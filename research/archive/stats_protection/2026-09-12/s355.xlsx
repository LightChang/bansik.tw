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331\"/>
    </mc:Choice>
  </mc:AlternateContent>
  <xr:revisionPtr revIDLastSave="0" documentId="13_ncr:1_{C80B5EF6-D623-4EC3-8CB4-CFD2523CF0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歷年" sheetId="1" r:id="rId1"/>
    <sheet name="2025" sheetId="33" r:id="rId2"/>
    <sheet name="July-Dec., 2025" sheetId="5" r:id="rId3"/>
    <sheet name="Jan.-June,  2025" sheetId="6" r:id="rId4"/>
    <sheet name="2024" sheetId="32" r:id="rId5"/>
    <sheet name="July-Dec., 2024" sheetId="34" state="hidden" r:id="rId6"/>
    <sheet name=" Jan.-June, 2024" sheetId="35" state="hidden" r:id="rId7"/>
    <sheet name="2023" sheetId="31" r:id="rId8"/>
    <sheet name="2022" sheetId="30" r:id="rId9"/>
    <sheet name="2021" sheetId="29" r:id="rId10"/>
    <sheet name="2020" sheetId="28" r:id="rId11"/>
    <sheet name="2019" sheetId="2" r:id="rId12"/>
    <sheet name="2018" sheetId="7" state="hidden" r:id="rId13"/>
    <sheet name="2017" sheetId="8" state="hidden" r:id="rId14"/>
    <sheet name="2016" sheetId="9" state="hidden" r:id="rId15"/>
    <sheet name="2015" sheetId="10" state="hidden" r:id="rId16"/>
  </sheets>
  <definedNames>
    <definedName name="_xlnm.Print_Area" localSheetId="15">'2015'!$A$2:$R$76</definedName>
    <definedName name="_xlnm.Print_Area" localSheetId="14">'2016'!$A$2:$C$76</definedName>
    <definedName name="_xlnm.Print_Area" localSheetId="0">歷年!#REF!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B24" i="1"/>
  <c r="S17" i="1"/>
  <c r="T17" i="1"/>
  <c r="U17" i="1"/>
  <c r="V17" i="1"/>
  <c r="W17" i="1"/>
  <c r="X17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B15" i="1"/>
  <c r="S16" i="1"/>
  <c r="T16" i="1"/>
  <c r="U16" i="1"/>
  <c r="V219" i="35"/>
  <c r="U219" i="35"/>
  <c r="T219" i="35"/>
  <c r="S219" i="35"/>
  <c r="R219" i="35"/>
  <c r="Q219" i="35"/>
  <c r="P219" i="35"/>
  <c r="O219" i="35"/>
  <c r="N219" i="35"/>
  <c r="M219" i="35"/>
  <c r="L219" i="35"/>
  <c r="K219" i="35"/>
  <c r="J219" i="35"/>
  <c r="I219" i="35"/>
  <c r="H219" i="35"/>
  <c r="G219" i="35"/>
  <c r="F219" i="35"/>
  <c r="E219" i="35"/>
  <c r="D219" i="35"/>
  <c r="V218" i="35"/>
  <c r="U218" i="35"/>
  <c r="T218" i="35"/>
  <c r="S218" i="35"/>
  <c r="R218" i="35"/>
  <c r="Q218" i="35"/>
  <c r="P218" i="35"/>
  <c r="O218" i="35"/>
  <c r="N218" i="35"/>
  <c r="M218" i="35"/>
  <c r="L218" i="35"/>
  <c r="K218" i="35"/>
  <c r="J218" i="35"/>
  <c r="I218" i="35"/>
  <c r="H218" i="35"/>
  <c r="G218" i="35"/>
  <c r="F218" i="35"/>
  <c r="E218" i="35"/>
  <c r="D218" i="35"/>
  <c r="V217" i="35"/>
  <c r="U217" i="35"/>
  <c r="T217" i="35"/>
  <c r="S217" i="35"/>
  <c r="R217" i="35"/>
  <c r="Q217" i="35"/>
  <c r="P217" i="35"/>
  <c r="O217" i="35"/>
  <c r="N217" i="35"/>
  <c r="M217" i="35"/>
  <c r="L217" i="35"/>
  <c r="K217" i="35"/>
  <c r="J217" i="35"/>
  <c r="I217" i="35"/>
  <c r="H217" i="35"/>
  <c r="G217" i="35"/>
  <c r="F217" i="35"/>
  <c r="E217" i="35"/>
  <c r="D217" i="35"/>
  <c r="V216" i="35"/>
  <c r="U216" i="35"/>
  <c r="T216" i="35"/>
  <c r="S216" i="35"/>
  <c r="R216" i="35"/>
  <c r="Q216" i="35"/>
  <c r="P216" i="35"/>
  <c r="O216" i="35"/>
  <c r="N216" i="35"/>
  <c r="M216" i="35"/>
  <c r="L216" i="35"/>
  <c r="K216" i="35"/>
  <c r="J216" i="35"/>
  <c r="I216" i="35"/>
  <c r="H216" i="35"/>
  <c r="G216" i="35"/>
  <c r="F216" i="35"/>
  <c r="E216" i="35"/>
  <c r="D216" i="35"/>
  <c r="V215" i="35"/>
  <c r="U215" i="35"/>
  <c r="T215" i="35"/>
  <c r="S215" i="35"/>
  <c r="R215" i="35"/>
  <c r="Q215" i="35"/>
  <c r="P215" i="35"/>
  <c r="O215" i="35"/>
  <c r="N215" i="35"/>
  <c r="M215" i="35"/>
  <c r="L215" i="35"/>
  <c r="K215" i="35"/>
  <c r="J215" i="35"/>
  <c r="I215" i="35"/>
  <c r="H215" i="35"/>
  <c r="G215" i="35"/>
  <c r="F215" i="35"/>
  <c r="E215" i="35"/>
  <c r="D215" i="35"/>
  <c r="V214" i="35"/>
  <c r="U214" i="35"/>
  <c r="T214" i="35"/>
  <c r="S214" i="35"/>
  <c r="R214" i="35"/>
  <c r="Q214" i="35"/>
  <c r="P214" i="35"/>
  <c r="O214" i="35"/>
  <c r="N214" i="35"/>
  <c r="M214" i="35"/>
  <c r="L214" i="35"/>
  <c r="K214" i="35"/>
  <c r="J214" i="35"/>
  <c r="I214" i="35"/>
  <c r="H214" i="35"/>
  <c r="G214" i="35"/>
  <c r="F214" i="35"/>
  <c r="E214" i="35"/>
  <c r="D214" i="35"/>
  <c r="V213" i="35"/>
  <c r="U213" i="35"/>
  <c r="T213" i="35"/>
  <c r="S213" i="35"/>
  <c r="R213" i="35"/>
  <c r="Q213" i="35"/>
  <c r="P213" i="35"/>
  <c r="O213" i="35"/>
  <c r="N213" i="35"/>
  <c r="M213" i="35"/>
  <c r="L213" i="35"/>
  <c r="K213" i="35"/>
  <c r="J213" i="35"/>
  <c r="I213" i="35"/>
  <c r="H213" i="35"/>
  <c r="G213" i="35"/>
  <c r="F213" i="35"/>
  <c r="E213" i="35"/>
  <c r="D213" i="35"/>
  <c r="V212" i="35"/>
  <c r="U212" i="35"/>
  <c r="T212" i="35"/>
  <c r="S212" i="35"/>
  <c r="R212" i="35"/>
  <c r="Q212" i="35"/>
  <c r="P212" i="35"/>
  <c r="O212" i="35"/>
  <c r="N212" i="35"/>
  <c r="M212" i="35"/>
  <c r="L212" i="35"/>
  <c r="K212" i="35"/>
  <c r="J212" i="35"/>
  <c r="I212" i="35"/>
  <c r="H212" i="35"/>
  <c r="G212" i="35"/>
  <c r="F212" i="35"/>
  <c r="E212" i="35"/>
  <c r="D212" i="35"/>
  <c r="V211" i="35"/>
  <c r="U211" i="35"/>
  <c r="T211" i="35"/>
  <c r="S211" i="35"/>
  <c r="R211" i="35"/>
  <c r="Q211" i="35"/>
  <c r="P211" i="35"/>
  <c r="O211" i="35"/>
  <c r="N211" i="35"/>
  <c r="M211" i="35"/>
  <c r="L211" i="35"/>
  <c r="K211" i="35"/>
  <c r="J211" i="35"/>
  <c r="I211" i="35"/>
  <c r="H211" i="35"/>
  <c r="G211" i="35"/>
  <c r="F211" i="35"/>
  <c r="E211" i="35"/>
  <c r="D211" i="35"/>
  <c r="V210" i="35"/>
  <c r="U210" i="35"/>
  <c r="T210" i="35"/>
  <c r="S210" i="35"/>
  <c r="R210" i="35"/>
  <c r="Q210" i="35"/>
  <c r="P210" i="35"/>
  <c r="O210" i="35"/>
  <c r="N210" i="35"/>
  <c r="M210" i="35"/>
  <c r="L210" i="35"/>
  <c r="K210" i="35"/>
  <c r="J210" i="35"/>
  <c r="I210" i="35"/>
  <c r="H210" i="35"/>
  <c r="G210" i="35"/>
  <c r="F210" i="35"/>
  <c r="E210" i="35"/>
  <c r="D210" i="35"/>
  <c r="V209" i="35"/>
  <c r="U209" i="35"/>
  <c r="T209" i="35"/>
  <c r="S209" i="35"/>
  <c r="R209" i="35"/>
  <c r="Q209" i="35"/>
  <c r="P209" i="35"/>
  <c r="O209" i="35"/>
  <c r="N209" i="35"/>
  <c r="M209" i="35"/>
  <c r="L209" i="35"/>
  <c r="K209" i="35"/>
  <c r="J209" i="35"/>
  <c r="I209" i="35"/>
  <c r="H209" i="35"/>
  <c r="G209" i="35"/>
  <c r="F209" i="35"/>
  <c r="E209" i="35"/>
  <c r="D209" i="35"/>
  <c r="V208" i="35"/>
  <c r="U208" i="35"/>
  <c r="T208" i="35"/>
  <c r="S208" i="35"/>
  <c r="R208" i="35"/>
  <c r="Q208" i="35"/>
  <c r="P208" i="35"/>
  <c r="O208" i="35"/>
  <c r="N208" i="35"/>
  <c r="M208" i="35"/>
  <c r="L208" i="35"/>
  <c r="K208" i="35"/>
  <c r="J208" i="35"/>
  <c r="I208" i="35"/>
  <c r="H208" i="35"/>
  <c r="G208" i="35"/>
  <c r="F208" i="35"/>
  <c r="E208" i="35"/>
  <c r="D208" i="35"/>
  <c r="V207" i="35"/>
  <c r="U207" i="35"/>
  <c r="T207" i="35"/>
  <c r="S207" i="35"/>
  <c r="R207" i="35"/>
  <c r="Q207" i="35"/>
  <c r="P207" i="35"/>
  <c r="O207" i="35"/>
  <c r="N207" i="35"/>
  <c r="M207" i="35"/>
  <c r="L207" i="35"/>
  <c r="K207" i="35"/>
  <c r="J207" i="35"/>
  <c r="I207" i="35"/>
  <c r="H207" i="35"/>
  <c r="G207" i="35"/>
  <c r="F207" i="35"/>
  <c r="E207" i="35"/>
  <c r="D207" i="35"/>
  <c r="V206" i="35"/>
  <c r="U206" i="35"/>
  <c r="T206" i="35"/>
  <c r="S206" i="35"/>
  <c r="R206" i="35"/>
  <c r="Q206" i="35"/>
  <c r="P206" i="35"/>
  <c r="O206" i="35"/>
  <c r="N206" i="35"/>
  <c r="M206" i="35"/>
  <c r="L206" i="35"/>
  <c r="K206" i="35"/>
  <c r="J206" i="35"/>
  <c r="I206" i="35"/>
  <c r="H206" i="35"/>
  <c r="G206" i="35"/>
  <c r="F206" i="35"/>
  <c r="E206" i="35"/>
  <c r="D206" i="35"/>
  <c r="V205" i="35"/>
  <c r="U205" i="35"/>
  <c r="T205" i="35"/>
  <c r="S205" i="35"/>
  <c r="R205" i="35"/>
  <c r="Q205" i="35"/>
  <c r="P205" i="35"/>
  <c r="O205" i="35"/>
  <c r="N205" i="35"/>
  <c r="M205" i="35"/>
  <c r="L205" i="35"/>
  <c r="K205" i="35"/>
  <c r="J205" i="35"/>
  <c r="I205" i="35"/>
  <c r="H205" i="35"/>
  <c r="G205" i="35"/>
  <c r="F205" i="35"/>
  <c r="E205" i="35"/>
  <c r="D205" i="35"/>
  <c r="V204" i="35"/>
  <c r="U204" i="35"/>
  <c r="T204" i="35"/>
  <c r="S204" i="35"/>
  <c r="R204" i="35"/>
  <c r="Q204" i="35"/>
  <c r="P204" i="35"/>
  <c r="O204" i="35"/>
  <c r="N204" i="35"/>
  <c r="M204" i="35"/>
  <c r="L204" i="35"/>
  <c r="K204" i="35"/>
  <c r="J204" i="35"/>
  <c r="I204" i="35"/>
  <c r="H204" i="35"/>
  <c r="G204" i="35"/>
  <c r="F204" i="35"/>
  <c r="E204" i="35"/>
  <c r="D204" i="35"/>
  <c r="V203" i="35"/>
  <c r="U203" i="35"/>
  <c r="T203" i="35"/>
  <c r="S203" i="35"/>
  <c r="R203" i="35"/>
  <c r="Q203" i="35"/>
  <c r="P203" i="35"/>
  <c r="O203" i="35"/>
  <c r="N203" i="35"/>
  <c r="M203" i="35"/>
  <c r="L203" i="35"/>
  <c r="K203" i="35"/>
  <c r="J203" i="35"/>
  <c r="I203" i="35"/>
  <c r="H203" i="35"/>
  <c r="G203" i="35"/>
  <c r="F203" i="35"/>
  <c r="E203" i="35"/>
  <c r="D203" i="35"/>
  <c r="V202" i="35"/>
  <c r="U202" i="35"/>
  <c r="T202" i="35"/>
  <c r="S202" i="35"/>
  <c r="R202" i="35"/>
  <c r="Q202" i="35"/>
  <c r="P202" i="35"/>
  <c r="O202" i="35"/>
  <c r="N202" i="35"/>
  <c r="M202" i="35"/>
  <c r="L202" i="35"/>
  <c r="K202" i="35"/>
  <c r="J202" i="35"/>
  <c r="I202" i="35"/>
  <c r="H202" i="35"/>
  <c r="G202" i="35"/>
  <c r="F202" i="35"/>
  <c r="E202" i="35"/>
  <c r="D202" i="35"/>
  <c r="V201" i="35"/>
  <c r="U201" i="35"/>
  <c r="T201" i="35"/>
  <c r="S201" i="35"/>
  <c r="R201" i="35"/>
  <c r="Q201" i="35"/>
  <c r="P201" i="35"/>
  <c r="O201" i="35"/>
  <c r="N201" i="35"/>
  <c r="M201" i="35"/>
  <c r="L201" i="35"/>
  <c r="K201" i="35"/>
  <c r="J201" i="35"/>
  <c r="I201" i="35"/>
  <c r="H201" i="35"/>
  <c r="G201" i="35"/>
  <c r="F201" i="35"/>
  <c r="E201" i="35"/>
  <c r="D201" i="35"/>
  <c r="V200" i="35"/>
  <c r="U200" i="35"/>
  <c r="T200" i="35"/>
  <c r="S200" i="35"/>
  <c r="R200" i="35"/>
  <c r="Q200" i="35"/>
  <c r="P200" i="35"/>
  <c r="O200" i="35"/>
  <c r="N200" i="35"/>
  <c r="M200" i="35"/>
  <c r="L200" i="35"/>
  <c r="K200" i="35"/>
  <c r="J200" i="35"/>
  <c r="I200" i="35"/>
  <c r="H200" i="35"/>
  <c r="G200" i="35"/>
  <c r="F200" i="35"/>
  <c r="E200" i="35"/>
  <c r="D200" i="35"/>
  <c r="V199" i="35"/>
  <c r="U199" i="35"/>
  <c r="T199" i="35"/>
  <c r="S199" i="35"/>
  <c r="R199" i="35"/>
  <c r="Q199" i="35"/>
  <c r="P199" i="35"/>
  <c r="O199" i="35"/>
  <c r="N199" i="35"/>
  <c r="M199" i="35"/>
  <c r="L199" i="35"/>
  <c r="K199" i="35"/>
  <c r="J199" i="35"/>
  <c r="I199" i="35"/>
  <c r="H199" i="35"/>
  <c r="G199" i="35"/>
  <c r="F199" i="35"/>
  <c r="E199" i="35"/>
  <c r="D199" i="35"/>
  <c r="V198" i="35"/>
  <c r="U198" i="35"/>
  <c r="T198" i="35"/>
  <c r="S198" i="35"/>
  <c r="R198" i="35"/>
  <c r="Q198" i="35"/>
  <c r="P198" i="35"/>
  <c r="O198" i="35"/>
  <c r="N198" i="35"/>
  <c r="M198" i="35"/>
  <c r="L198" i="35"/>
  <c r="K198" i="35"/>
  <c r="J198" i="35"/>
  <c r="I198" i="35"/>
  <c r="H198" i="35"/>
  <c r="G198" i="35"/>
  <c r="F198" i="35"/>
  <c r="E198" i="35"/>
  <c r="D198" i="35"/>
  <c r="V197" i="35"/>
  <c r="U197" i="35"/>
  <c r="T197" i="35"/>
  <c r="S197" i="35"/>
  <c r="R197" i="35"/>
  <c r="Q197" i="35"/>
  <c r="P197" i="35"/>
  <c r="O197" i="35"/>
  <c r="N197" i="35"/>
  <c r="M197" i="35"/>
  <c r="L197" i="35"/>
  <c r="K197" i="35"/>
  <c r="J197" i="35"/>
  <c r="I197" i="35"/>
  <c r="H197" i="35"/>
  <c r="G197" i="35"/>
  <c r="F197" i="35"/>
  <c r="E197" i="35"/>
  <c r="D197" i="35"/>
  <c r="V196" i="35"/>
  <c r="U196" i="35"/>
  <c r="T196" i="35"/>
  <c r="S196" i="35"/>
  <c r="R196" i="35"/>
  <c r="Q196" i="35"/>
  <c r="P196" i="35"/>
  <c r="O196" i="35"/>
  <c r="N196" i="35"/>
  <c r="M196" i="35"/>
  <c r="L196" i="35"/>
  <c r="K196" i="35"/>
  <c r="J196" i="35"/>
  <c r="I196" i="35"/>
  <c r="H196" i="35"/>
  <c r="G196" i="35"/>
  <c r="F196" i="35"/>
  <c r="E196" i="35"/>
  <c r="D196" i="35"/>
  <c r="V195" i="35"/>
  <c r="U195" i="35"/>
  <c r="T195" i="35"/>
  <c r="S195" i="35"/>
  <c r="R195" i="35"/>
  <c r="Q195" i="35"/>
  <c r="P195" i="35"/>
  <c r="O195" i="35"/>
  <c r="N195" i="35"/>
  <c r="M195" i="35"/>
  <c r="L195" i="35"/>
  <c r="K195" i="35"/>
  <c r="J195" i="35"/>
  <c r="I195" i="35"/>
  <c r="H195" i="35"/>
  <c r="G195" i="35"/>
  <c r="F195" i="35"/>
  <c r="E195" i="35"/>
  <c r="D195" i="35"/>
  <c r="V194" i="35"/>
  <c r="U194" i="35"/>
  <c r="T194" i="35"/>
  <c r="S194" i="35"/>
  <c r="R194" i="35"/>
  <c r="Q194" i="35"/>
  <c r="P194" i="35"/>
  <c r="O194" i="35"/>
  <c r="N194" i="35"/>
  <c r="M194" i="35"/>
  <c r="L194" i="35"/>
  <c r="K194" i="35"/>
  <c r="J194" i="35"/>
  <c r="I194" i="35"/>
  <c r="H194" i="35"/>
  <c r="G194" i="35"/>
  <c r="F194" i="35"/>
  <c r="E194" i="35"/>
  <c r="D194" i="35"/>
  <c r="V193" i="35"/>
  <c r="U193" i="35"/>
  <c r="T193" i="35"/>
  <c r="S193" i="35"/>
  <c r="R193" i="35"/>
  <c r="Q193" i="35"/>
  <c r="P193" i="35"/>
  <c r="O193" i="35"/>
  <c r="N193" i="35"/>
  <c r="M193" i="35"/>
  <c r="L193" i="35"/>
  <c r="K193" i="35"/>
  <c r="J193" i="35"/>
  <c r="I193" i="35"/>
  <c r="H193" i="35"/>
  <c r="G193" i="35"/>
  <c r="F193" i="35"/>
  <c r="E193" i="35"/>
  <c r="D193" i="35"/>
  <c r="V192" i="35"/>
  <c r="U192" i="35"/>
  <c r="T192" i="35"/>
  <c r="S192" i="35"/>
  <c r="R192" i="35"/>
  <c r="Q192" i="35"/>
  <c r="P192" i="35"/>
  <c r="O192" i="35"/>
  <c r="N192" i="35"/>
  <c r="M192" i="35"/>
  <c r="L192" i="35"/>
  <c r="K192" i="35"/>
  <c r="J192" i="35"/>
  <c r="I192" i="35"/>
  <c r="H192" i="35"/>
  <c r="G192" i="35"/>
  <c r="F192" i="35"/>
  <c r="E192" i="35"/>
  <c r="D192" i="35"/>
  <c r="V191" i="35"/>
  <c r="U191" i="35"/>
  <c r="T191" i="35"/>
  <c r="S191" i="35"/>
  <c r="R191" i="35"/>
  <c r="Q191" i="35"/>
  <c r="P191" i="35"/>
  <c r="O191" i="35"/>
  <c r="N191" i="35"/>
  <c r="M191" i="35"/>
  <c r="L191" i="35"/>
  <c r="K191" i="35"/>
  <c r="J191" i="35"/>
  <c r="I191" i="35"/>
  <c r="H191" i="35"/>
  <c r="G191" i="35"/>
  <c r="F191" i="35"/>
  <c r="E191" i="35"/>
  <c r="D191" i="35"/>
  <c r="V190" i="35"/>
  <c r="U190" i="35"/>
  <c r="T190" i="35"/>
  <c r="S190" i="35"/>
  <c r="R190" i="35"/>
  <c r="Q190" i="35"/>
  <c r="P190" i="35"/>
  <c r="O190" i="35"/>
  <c r="N190" i="35"/>
  <c r="M190" i="35"/>
  <c r="L190" i="35"/>
  <c r="K190" i="35"/>
  <c r="J190" i="35"/>
  <c r="I190" i="35"/>
  <c r="H190" i="35"/>
  <c r="G190" i="35"/>
  <c r="F190" i="35"/>
  <c r="E190" i="35"/>
  <c r="D190" i="35"/>
  <c r="V189" i="35"/>
  <c r="U189" i="35"/>
  <c r="T189" i="35"/>
  <c r="S189" i="35"/>
  <c r="R189" i="35"/>
  <c r="Q189" i="35"/>
  <c r="P189" i="35"/>
  <c r="O189" i="35"/>
  <c r="N189" i="35"/>
  <c r="M189" i="35"/>
  <c r="L189" i="35"/>
  <c r="K189" i="35"/>
  <c r="J189" i="35"/>
  <c r="I189" i="35"/>
  <c r="H189" i="35"/>
  <c r="G189" i="35"/>
  <c r="F189" i="35"/>
  <c r="E189" i="35"/>
  <c r="D189" i="35"/>
  <c r="V188" i="35"/>
  <c r="U188" i="35"/>
  <c r="T188" i="35"/>
  <c r="S188" i="35"/>
  <c r="R188" i="35"/>
  <c r="Q188" i="35"/>
  <c r="P188" i="35"/>
  <c r="O188" i="35"/>
  <c r="N188" i="35"/>
  <c r="M188" i="35"/>
  <c r="L188" i="35"/>
  <c r="K188" i="35"/>
  <c r="J188" i="35"/>
  <c r="I188" i="35"/>
  <c r="H188" i="35"/>
  <c r="G188" i="35"/>
  <c r="F188" i="35"/>
  <c r="E188" i="35"/>
  <c r="D188" i="35"/>
  <c r="V187" i="35"/>
  <c r="U187" i="35"/>
  <c r="T187" i="35"/>
  <c r="S187" i="35"/>
  <c r="R187" i="35"/>
  <c r="Q187" i="35"/>
  <c r="P187" i="35"/>
  <c r="O187" i="35"/>
  <c r="N187" i="35"/>
  <c r="M187" i="35"/>
  <c r="L187" i="35"/>
  <c r="K187" i="35"/>
  <c r="J187" i="35"/>
  <c r="I187" i="35"/>
  <c r="H187" i="35"/>
  <c r="G187" i="35"/>
  <c r="F187" i="35"/>
  <c r="E187" i="35"/>
  <c r="D187" i="35"/>
  <c r="V186" i="35"/>
  <c r="U186" i="35"/>
  <c r="T186" i="35"/>
  <c r="S186" i="35"/>
  <c r="R186" i="35"/>
  <c r="Q186" i="35"/>
  <c r="P186" i="35"/>
  <c r="O186" i="35"/>
  <c r="N186" i="35"/>
  <c r="M186" i="35"/>
  <c r="L186" i="35"/>
  <c r="K186" i="35"/>
  <c r="J186" i="35"/>
  <c r="I186" i="35"/>
  <c r="H186" i="35"/>
  <c r="G186" i="35"/>
  <c r="F186" i="35"/>
  <c r="E186" i="35"/>
  <c r="D186" i="35"/>
  <c r="V185" i="35"/>
  <c r="U185" i="35"/>
  <c r="T185" i="35"/>
  <c r="S185" i="35"/>
  <c r="R185" i="35"/>
  <c r="Q185" i="35"/>
  <c r="P185" i="35"/>
  <c r="O185" i="35"/>
  <c r="N185" i="35"/>
  <c r="M185" i="35"/>
  <c r="L185" i="35"/>
  <c r="K185" i="35"/>
  <c r="J185" i="35"/>
  <c r="I185" i="35"/>
  <c r="H185" i="35"/>
  <c r="G185" i="35"/>
  <c r="F185" i="35"/>
  <c r="E185" i="35"/>
  <c r="D185" i="35"/>
  <c r="V184" i="35"/>
  <c r="U184" i="35"/>
  <c r="T184" i="35"/>
  <c r="S184" i="35"/>
  <c r="R184" i="35"/>
  <c r="Q184" i="35"/>
  <c r="P184" i="35"/>
  <c r="O184" i="35"/>
  <c r="N184" i="35"/>
  <c r="M184" i="35"/>
  <c r="L184" i="35"/>
  <c r="K184" i="35"/>
  <c r="J184" i="35"/>
  <c r="I184" i="35"/>
  <c r="H184" i="35"/>
  <c r="G184" i="35"/>
  <c r="F184" i="35"/>
  <c r="E184" i="35"/>
  <c r="D184" i="35"/>
  <c r="V183" i="35"/>
  <c r="U183" i="35"/>
  <c r="T183" i="35"/>
  <c r="S183" i="35"/>
  <c r="R183" i="35"/>
  <c r="Q183" i="35"/>
  <c r="P183" i="35"/>
  <c r="O183" i="35"/>
  <c r="N183" i="35"/>
  <c r="M183" i="35"/>
  <c r="L183" i="35"/>
  <c r="K183" i="35"/>
  <c r="J183" i="35"/>
  <c r="I183" i="35"/>
  <c r="H183" i="35"/>
  <c r="G183" i="35"/>
  <c r="F183" i="35"/>
  <c r="E183" i="35"/>
  <c r="D183" i="35"/>
  <c r="V182" i="35"/>
  <c r="U182" i="35"/>
  <c r="T182" i="35"/>
  <c r="S182" i="35"/>
  <c r="R182" i="35"/>
  <c r="Q182" i="35"/>
  <c r="P182" i="35"/>
  <c r="O182" i="35"/>
  <c r="N182" i="35"/>
  <c r="M182" i="35"/>
  <c r="L182" i="35"/>
  <c r="K182" i="35"/>
  <c r="J182" i="35"/>
  <c r="I182" i="35"/>
  <c r="H182" i="35"/>
  <c r="G182" i="35"/>
  <c r="F182" i="35"/>
  <c r="E182" i="35"/>
  <c r="D182" i="35"/>
  <c r="V181" i="35"/>
  <c r="U181" i="35"/>
  <c r="T181" i="35"/>
  <c r="S181" i="35"/>
  <c r="R181" i="35"/>
  <c r="Q181" i="35"/>
  <c r="P181" i="35"/>
  <c r="O181" i="35"/>
  <c r="N181" i="35"/>
  <c r="M181" i="35"/>
  <c r="L181" i="35"/>
  <c r="K181" i="35"/>
  <c r="J181" i="35"/>
  <c r="I181" i="35"/>
  <c r="H181" i="35"/>
  <c r="G181" i="35"/>
  <c r="F181" i="35"/>
  <c r="E181" i="35"/>
  <c r="D181" i="35"/>
  <c r="V180" i="35"/>
  <c r="U180" i="35"/>
  <c r="T180" i="35"/>
  <c r="S180" i="35"/>
  <c r="R180" i="35"/>
  <c r="Q180" i="35"/>
  <c r="P180" i="35"/>
  <c r="O180" i="35"/>
  <c r="N180" i="35"/>
  <c r="M180" i="35"/>
  <c r="L180" i="35"/>
  <c r="K180" i="35"/>
  <c r="J180" i="35"/>
  <c r="I180" i="35"/>
  <c r="H180" i="35"/>
  <c r="G180" i="35"/>
  <c r="F180" i="35"/>
  <c r="E180" i="35"/>
  <c r="D180" i="35"/>
  <c r="V179" i="35"/>
  <c r="U179" i="35"/>
  <c r="T179" i="35"/>
  <c r="S179" i="35"/>
  <c r="R179" i="35"/>
  <c r="Q179" i="35"/>
  <c r="P179" i="35"/>
  <c r="O179" i="35"/>
  <c r="N179" i="35"/>
  <c r="M179" i="35"/>
  <c r="L179" i="35"/>
  <c r="K179" i="35"/>
  <c r="J179" i="35"/>
  <c r="I179" i="35"/>
  <c r="H179" i="35"/>
  <c r="G179" i="35"/>
  <c r="F179" i="35"/>
  <c r="E179" i="35"/>
  <c r="D179" i="35"/>
  <c r="V178" i="35"/>
  <c r="U178" i="35"/>
  <c r="T178" i="35"/>
  <c r="S178" i="35"/>
  <c r="R178" i="35"/>
  <c r="Q178" i="35"/>
  <c r="P178" i="35"/>
  <c r="O178" i="35"/>
  <c r="N178" i="35"/>
  <c r="M178" i="35"/>
  <c r="L178" i="35"/>
  <c r="K178" i="35"/>
  <c r="J178" i="35"/>
  <c r="I178" i="35"/>
  <c r="H178" i="35"/>
  <c r="G178" i="35"/>
  <c r="F178" i="35"/>
  <c r="E178" i="35"/>
  <c r="D178" i="35"/>
  <c r="V177" i="35"/>
  <c r="U177" i="35"/>
  <c r="T177" i="35"/>
  <c r="S177" i="35"/>
  <c r="R177" i="35"/>
  <c r="Q177" i="35"/>
  <c r="P177" i="35"/>
  <c r="O177" i="35"/>
  <c r="N177" i="35"/>
  <c r="M177" i="35"/>
  <c r="L177" i="35"/>
  <c r="K177" i="35"/>
  <c r="J177" i="35"/>
  <c r="I177" i="35"/>
  <c r="H177" i="35"/>
  <c r="G177" i="35"/>
  <c r="F177" i="35"/>
  <c r="E177" i="35"/>
  <c r="D177" i="35"/>
  <c r="V176" i="35"/>
  <c r="U176" i="35"/>
  <c r="T176" i="35"/>
  <c r="S176" i="35"/>
  <c r="R176" i="35"/>
  <c r="Q176" i="35"/>
  <c r="P176" i="35"/>
  <c r="O176" i="35"/>
  <c r="N176" i="35"/>
  <c r="M176" i="35"/>
  <c r="L176" i="35"/>
  <c r="K176" i="35"/>
  <c r="J176" i="35"/>
  <c r="I176" i="35"/>
  <c r="H176" i="35"/>
  <c r="G176" i="35"/>
  <c r="F176" i="35"/>
  <c r="E176" i="35"/>
  <c r="D176" i="35"/>
  <c r="V175" i="35"/>
  <c r="U175" i="35"/>
  <c r="T175" i="35"/>
  <c r="S175" i="35"/>
  <c r="R175" i="35"/>
  <c r="Q175" i="35"/>
  <c r="P175" i="35"/>
  <c r="O175" i="35"/>
  <c r="N175" i="35"/>
  <c r="M175" i="35"/>
  <c r="L175" i="35"/>
  <c r="K175" i="35"/>
  <c r="J175" i="35"/>
  <c r="I175" i="35"/>
  <c r="H175" i="35"/>
  <c r="G175" i="35"/>
  <c r="F175" i="35"/>
  <c r="E175" i="35"/>
  <c r="D175" i="35"/>
  <c r="V174" i="35"/>
  <c r="U174" i="35"/>
  <c r="T174" i="35"/>
  <c r="S174" i="35"/>
  <c r="R174" i="35"/>
  <c r="Q174" i="35"/>
  <c r="P174" i="35"/>
  <c r="O174" i="35"/>
  <c r="N174" i="35"/>
  <c r="M174" i="35"/>
  <c r="L174" i="35"/>
  <c r="K174" i="35"/>
  <c r="J174" i="35"/>
  <c r="I174" i="35"/>
  <c r="H174" i="35"/>
  <c r="G174" i="35"/>
  <c r="F174" i="35"/>
  <c r="E174" i="35"/>
  <c r="D174" i="35"/>
  <c r="V173" i="35"/>
  <c r="U173" i="35"/>
  <c r="T173" i="35"/>
  <c r="S173" i="35"/>
  <c r="R173" i="35"/>
  <c r="Q173" i="35"/>
  <c r="P173" i="35"/>
  <c r="O173" i="35"/>
  <c r="N173" i="35"/>
  <c r="M173" i="35"/>
  <c r="L173" i="35"/>
  <c r="K173" i="35"/>
  <c r="J173" i="35"/>
  <c r="I173" i="35"/>
  <c r="H173" i="35"/>
  <c r="G173" i="35"/>
  <c r="F173" i="35"/>
  <c r="E173" i="35"/>
  <c r="D173" i="35"/>
  <c r="V172" i="35"/>
  <c r="U172" i="35"/>
  <c r="T172" i="35"/>
  <c r="S172" i="35"/>
  <c r="R172" i="35"/>
  <c r="Q172" i="35"/>
  <c r="P172" i="35"/>
  <c r="O172" i="35"/>
  <c r="N172" i="35"/>
  <c r="M172" i="35"/>
  <c r="L172" i="35"/>
  <c r="K172" i="35"/>
  <c r="J172" i="35"/>
  <c r="I172" i="35"/>
  <c r="H172" i="35"/>
  <c r="G172" i="35"/>
  <c r="F172" i="35"/>
  <c r="E172" i="35"/>
  <c r="D172" i="35"/>
  <c r="V171" i="35"/>
  <c r="U171" i="35"/>
  <c r="T171" i="35"/>
  <c r="S171" i="35"/>
  <c r="R171" i="35"/>
  <c r="Q171" i="35"/>
  <c r="P171" i="35"/>
  <c r="O171" i="35"/>
  <c r="N171" i="35"/>
  <c r="M171" i="35"/>
  <c r="L171" i="35"/>
  <c r="K171" i="35"/>
  <c r="J171" i="35"/>
  <c r="I171" i="35"/>
  <c r="H171" i="35"/>
  <c r="G171" i="35"/>
  <c r="F171" i="35"/>
  <c r="E171" i="35"/>
  <c r="D171" i="35"/>
  <c r="V170" i="35"/>
  <c r="U170" i="35"/>
  <c r="T170" i="35"/>
  <c r="S170" i="35"/>
  <c r="R170" i="35"/>
  <c r="Q170" i="35"/>
  <c r="P170" i="35"/>
  <c r="O170" i="35"/>
  <c r="N170" i="35"/>
  <c r="M170" i="35"/>
  <c r="L170" i="35"/>
  <c r="K170" i="35"/>
  <c r="J170" i="35"/>
  <c r="I170" i="35"/>
  <c r="H170" i="35"/>
  <c r="G170" i="35"/>
  <c r="F170" i="35"/>
  <c r="E170" i="35"/>
  <c r="D170" i="35"/>
  <c r="V169" i="35"/>
  <c r="U169" i="35"/>
  <c r="T169" i="35"/>
  <c r="S169" i="35"/>
  <c r="R169" i="35"/>
  <c r="Q169" i="35"/>
  <c r="P169" i="35"/>
  <c r="O169" i="35"/>
  <c r="N169" i="35"/>
  <c r="M169" i="35"/>
  <c r="L169" i="35"/>
  <c r="K169" i="35"/>
  <c r="J169" i="35"/>
  <c r="I169" i="35"/>
  <c r="H169" i="35"/>
  <c r="G169" i="35"/>
  <c r="F169" i="35"/>
  <c r="E169" i="35"/>
  <c r="D169" i="35"/>
  <c r="V168" i="35"/>
  <c r="U168" i="35"/>
  <c r="T168" i="35"/>
  <c r="S168" i="35"/>
  <c r="R168" i="35"/>
  <c r="Q168" i="35"/>
  <c r="P168" i="35"/>
  <c r="O168" i="35"/>
  <c r="N168" i="35"/>
  <c r="M168" i="35"/>
  <c r="L168" i="35"/>
  <c r="K168" i="35"/>
  <c r="J168" i="35"/>
  <c r="I168" i="35"/>
  <c r="H168" i="35"/>
  <c r="G168" i="35"/>
  <c r="F168" i="35"/>
  <c r="E168" i="35"/>
  <c r="D168" i="35"/>
  <c r="V167" i="35"/>
  <c r="U167" i="35"/>
  <c r="T167" i="35"/>
  <c r="S167" i="35"/>
  <c r="R167" i="35"/>
  <c r="Q167" i="35"/>
  <c r="P167" i="35"/>
  <c r="O167" i="35"/>
  <c r="N167" i="35"/>
  <c r="M167" i="35"/>
  <c r="L167" i="35"/>
  <c r="K167" i="35"/>
  <c r="J167" i="35"/>
  <c r="I167" i="35"/>
  <c r="H167" i="35"/>
  <c r="G167" i="35"/>
  <c r="F167" i="35"/>
  <c r="E167" i="35"/>
  <c r="D167" i="35"/>
  <c r="V166" i="35"/>
  <c r="U166" i="35"/>
  <c r="T166" i="35"/>
  <c r="S166" i="35"/>
  <c r="R166" i="35"/>
  <c r="Q166" i="35"/>
  <c r="P166" i="35"/>
  <c r="O166" i="35"/>
  <c r="N166" i="35"/>
  <c r="M166" i="35"/>
  <c r="L166" i="35"/>
  <c r="K166" i="35"/>
  <c r="J166" i="35"/>
  <c r="I166" i="35"/>
  <c r="H166" i="35"/>
  <c r="G166" i="35"/>
  <c r="F166" i="35"/>
  <c r="E166" i="35"/>
  <c r="D166" i="35"/>
  <c r="V165" i="35"/>
  <c r="U165" i="35"/>
  <c r="T165" i="35"/>
  <c r="S165" i="35"/>
  <c r="R165" i="35"/>
  <c r="Q165" i="35"/>
  <c r="P165" i="35"/>
  <c r="O165" i="35"/>
  <c r="N165" i="35"/>
  <c r="M165" i="35"/>
  <c r="L165" i="35"/>
  <c r="K165" i="35"/>
  <c r="J165" i="35"/>
  <c r="I165" i="35"/>
  <c r="H165" i="35"/>
  <c r="G165" i="35"/>
  <c r="F165" i="35"/>
  <c r="E165" i="35"/>
  <c r="D165" i="35"/>
  <c r="V164" i="35"/>
  <c r="U164" i="35"/>
  <c r="T164" i="35"/>
  <c r="S164" i="35"/>
  <c r="R164" i="35"/>
  <c r="Q164" i="35"/>
  <c r="P164" i="35"/>
  <c r="O164" i="35"/>
  <c r="N164" i="35"/>
  <c r="M164" i="35"/>
  <c r="L164" i="35"/>
  <c r="K164" i="35"/>
  <c r="J164" i="35"/>
  <c r="I164" i="35"/>
  <c r="H164" i="35"/>
  <c r="G164" i="35"/>
  <c r="F164" i="35"/>
  <c r="E164" i="35"/>
  <c r="D164" i="35"/>
  <c r="V163" i="35"/>
  <c r="U163" i="35"/>
  <c r="T163" i="35"/>
  <c r="S163" i="35"/>
  <c r="R163" i="35"/>
  <c r="Q163" i="35"/>
  <c r="P163" i="35"/>
  <c r="O163" i="35"/>
  <c r="N163" i="35"/>
  <c r="M163" i="35"/>
  <c r="L163" i="35"/>
  <c r="K163" i="35"/>
  <c r="J163" i="35"/>
  <c r="I163" i="35"/>
  <c r="H163" i="35"/>
  <c r="G163" i="35"/>
  <c r="F163" i="35"/>
  <c r="E163" i="35"/>
  <c r="D163" i="35"/>
  <c r="V162" i="35"/>
  <c r="U162" i="35"/>
  <c r="T162" i="35"/>
  <c r="S162" i="35"/>
  <c r="R162" i="35"/>
  <c r="Q162" i="35"/>
  <c r="P162" i="35"/>
  <c r="O162" i="35"/>
  <c r="N162" i="35"/>
  <c r="M162" i="35"/>
  <c r="L162" i="35"/>
  <c r="K162" i="35"/>
  <c r="J162" i="35"/>
  <c r="I162" i="35"/>
  <c r="H162" i="35"/>
  <c r="G162" i="35"/>
  <c r="F162" i="35"/>
  <c r="E162" i="35"/>
  <c r="D162" i="35"/>
  <c r="V161" i="35"/>
  <c r="U161" i="35"/>
  <c r="T161" i="35"/>
  <c r="S161" i="35"/>
  <c r="R161" i="35"/>
  <c r="Q161" i="35"/>
  <c r="P161" i="35"/>
  <c r="O161" i="35"/>
  <c r="N161" i="35"/>
  <c r="M161" i="35"/>
  <c r="L161" i="35"/>
  <c r="K161" i="35"/>
  <c r="J161" i="35"/>
  <c r="I161" i="35"/>
  <c r="H161" i="35"/>
  <c r="G161" i="35"/>
  <c r="F161" i="35"/>
  <c r="E161" i="35"/>
  <c r="D161" i="35"/>
  <c r="V160" i="35"/>
  <c r="U160" i="35"/>
  <c r="T160" i="35"/>
  <c r="S160" i="35"/>
  <c r="R160" i="35"/>
  <c r="Q160" i="35"/>
  <c r="P160" i="35"/>
  <c r="O160" i="35"/>
  <c r="N160" i="35"/>
  <c r="M160" i="35"/>
  <c r="L160" i="35"/>
  <c r="K160" i="35"/>
  <c r="J160" i="35"/>
  <c r="I160" i="35"/>
  <c r="H160" i="35"/>
  <c r="G160" i="35"/>
  <c r="F160" i="35"/>
  <c r="E160" i="35"/>
  <c r="D160" i="35"/>
  <c r="V159" i="35"/>
  <c r="U159" i="35"/>
  <c r="T159" i="35"/>
  <c r="S159" i="35"/>
  <c r="R159" i="35"/>
  <c r="Q159" i="35"/>
  <c r="P159" i="35"/>
  <c r="O159" i="35"/>
  <c r="N159" i="35"/>
  <c r="M159" i="35"/>
  <c r="L159" i="35"/>
  <c r="K159" i="35"/>
  <c r="J159" i="35"/>
  <c r="I159" i="35"/>
  <c r="H159" i="35"/>
  <c r="G159" i="35"/>
  <c r="F159" i="35"/>
  <c r="E159" i="35"/>
  <c r="D159" i="35"/>
  <c r="V158" i="35"/>
  <c r="U158" i="35"/>
  <c r="T158" i="35"/>
  <c r="S158" i="35"/>
  <c r="R158" i="35"/>
  <c r="Q158" i="35"/>
  <c r="P158" i="35"/>
  <c r="O158" i="35"/>
  <c r="N158" i="35"/>
  <c r="M158" i="35"/>
  <c r="L158" i="35"/>
  <c r="K158" i="35"/>
  <c r="J158" i="35"/>
  <c r="I158" i="35"/>
  <c r="H158" i="35"/>
  <c r="G158" i="35"/>
  <c r="F158" i="35"/>
  <c r="E158" i="35"/>
  <c r="D158" i="35"/>
  <c r="V157" i="35"/>
  <c r="U157" i="35"/>
  <c r="T157" i="35"/>
  <c r="S157" i="35"/>
  <c r="R157" i="35"/>
  <c r="Q157" i="35"/>
  <c r="P157" i="35"/>
  <c r="O157" i="35"/>
  <c r="N157" i="35"/>
  <c r="M157" i="35"/>
  <c r="L157" i="35"/>
  <c r="K157" i="35"/>
  <c r="J157" i="35"/>
  <c r="I157" i="35"/>
  <c r="H157" i="35"/>
  <c r="G157" i="35"/>
  <c r="F157" i="35"/>
  <c r="E157" i="35"/>
  <c r="D157" i="35"/>
  <c r="V156" i="35"/>
  <c r="U156" i="35"/>
  <c r="T156" i="35"/>
  <c r="S156" i="35"/>
  <c r="R156" i="35"/>
  <c r="Q156" i="35"/>
  <c r="P156" i="35"/>
  <c r="O156" i="35"/>
  <c r="N156" i="35"/>
  <c r="M156" i="35"/>
  <c r="L156" i="35"/>
  <c r="K156" i="35"/>
  <c r="J156" i="35"/>
  <c r="I156" i="35"/>
  <c r="H156" i="35"/>
  <c r="G156" i="35"/>
  <c r="F156" i="35"/>
  <c r="E156" i="35"/>
  <c r="D156" i="35"/>
  <c r="V155" i="35"/>
  <c r="U155" i="35"/>
  <c r="T155" i="35"/>
  <c r="S155" i="35"/>
  <c r="R155" i="35"/>
  <c r="Q155" i="35"/>
  <c r="P155" i="35"/>
  <c r="O155" i="35"/>
  <c r="N155" i="35"/>
  <c r="M155" i="35"/>
  <c r="L155" i="35"/>
  <c r="K155" i="35"/>
  <c r="J155" i="35"/>
  <c r="I155" i="35"/>
  <c r="H155" i="35"/>
  <c r="G155" i="35"/>
  <c r="F155" i="35"/>
  <c r="E155" i="35"/>
  <c r="D155" i="35"/>
  <c r="V154" i="35"/>
  <c r="U154" i="35"/>
  <c r="T154" i="35"/>
  <c r="S154" i="35"/>
  <c r="R154" i="35"/>
  <c r="Q154" i="35"/>
  <c r="P154" i="35"/>
  <c r="O154" i="35"/>
  <c r="N154" i="35"/>
  <c r="M154" i="35"/>
  <c r="L154" i="35"/>
  <c r="K154" i="35"/>
  <c r="J154" i="35"/>
  <c r="I154" i="35"/>
  <c r="H154" i="35"/>
  <c r="G154" i="35"/>
  <c r="F154" i="35"/>
  <c r="E154" i="35"/>
  <c r="D154" i="35"/>
  <c r="V153" i="35"/>
  <c r="U153" i="35"/>
  <c r="T153" i="35"/>
  <c r="S153" i="35"/>
  <c r="R153" i="35"/>
  <c r="Q153" i="35"/>
  <c r="P153" i="35"/>
  <c r="O153" i="35"/>
  <c r="N153" i="35"/>
  <c r="M153" i="35"/>
  <c r="L153" i="35"/>
  <c r="K153" i="35"/>
  <c r="J153" i="35"/>
  <c r="I153" i="35"/>
  <c r="H153" i="35"/>
  <c r="G153" i="35"/>
  <c r="F153" i="35"/>
  <c r="E153" i="35"/>
  <c r="D153" i="35"/>
  <c r="V152" i="35"/>
  <c r="U152" i="35"/>
  <c r="T152" i="35"/>
  <c r="S152" i="35"/>
  <c r="R152" i="35"/>
  <c r="Q152" i="35"/>
  <c r="P152" i="35"/>
  <c r="O152" i="35"/>
  <c r="N152" i="35"/>
  <c r="M152" i="35"/>
  <c r="L152" i="35"/>
  <c r="K152" i="35"/>
  <c r="J152" i="35"/>
  <c r="I152" i="35"/>
  <c r="H152" i="35"/>
  <c r="G152" i="35"/>
  <c r="F152" i="35"/>
  <c r="E152" i="35"/>
  <c r="D152" i="35"/>
  <c r="V151" i="35"/>
  <c r="U151" i="35"/>
  <c r="T151" i="35"/>
  <c r="S151" i="35"/>
  <c r="R151" i="35"/>
  <c r="Q151" i="35"/>
  <c r="P151" i="35"/>
  <c r="O151" i="35"/>
  <c r="N151" i="35"/>
  <c r="M151" i="35"/>
  <c r="L151" i="35"/>
  <c r="K151" i="35"/>
  <c r="J151" i="35"/>
  <c r="I151" i="35"/>
  <c r="H151" i="35"/>
  <c r="G151" i="35"/>
  <c r="F151" i="35"/>
  <c r="E151" i="35"/>
  <c r="D151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T3" i="33" l="1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B12" i="1"/>
  <c r="V3" i="32" l="1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R11" i="1" l="1"/>
  <c r="S11" i="1"/>
  <c r="T11" i="1"/>
  <c r="Q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W11" i="1"/>
  <c r="X11" i="1"/>
  <c r="B11" i="1"/>
  <c r="V3" i="31" l="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10" i="1"/>
  <c r="C16" i="1"/>
  <c r="C17" i="1"/>
  <c r="D16" i="1"/>
  <c r="D17" i="1"/>
  <c r="E16" i="1"/>
  <c r="E17" i="1"/>
  <c r="F16" i="1"/>
  <c r="F17" i="1"/>
  <c r="G16" i="1"/>
  <c r="G17" i="1"/>
  <c r="H16" i="1"/>
  <c r="H17" i="1"/>
  <c r="I16" i="1"/>
  <c r="I17" i="1"/>
  <c r="J16" i="1"/>
  <c r="J17" i="1"/>
  <c r="K16" i="1"/>
  <c r="K17" i="1"/>
  <c r="L16" i="1"/>
  <c r="L17" i="1"/>
  <c r="M16" i="1"/>
  <c r="M17" i="1"/>
  <c r="N16" i="1"/>
  <c r="N17" i="1"/>
  <c r="O16" i="1"/>
  <c r="O17" i="1"/>
  <c r="P16" i="1"/>
  <c r="P17" i="1"/>
  <c r="Q16" i="1"/>
  <c r="Q17" i="1"/>
  <c r="R16" i="1"/>
  <c r="R17" i="1"/>
  <c r="B16" i="1"/>
  <c r="B17" i="1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R9" i="1"/>
  <c r="S9" i="1"/>
  <c r="T9" i="1"/>
  <c r="Q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9" i="1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G3" i="6"/>
  <c r="E151" i="6"/>
  <c r="F151" i="6"/>
  <c r="G151" i="6"/>
  <c r="H151" i="6"/>
  <c r="I151" i="6"/>
  <c r="J151" i="6"/>
  <c r="M151" i="6"/>
  <c r="N151" i="6"/>
  <c r="Q151" i="6"/>
  <c r="R151" i="6"/>
  <c r="S151" i="6"/>
  <c r="T151" i="6"/>
  <c r="E152" i="6"/>
  <c r="F152" i="6"/>
  <c r="G152" i="6"/>
  <c r="H152" i="6"/>
  <c r="I152" i="6"/>
  <c r="J152" i="6"/>
  <c r="M152" i="6"/>
  <c r="N152" i="6"/>
  <c r="Q152" i="6"/>
  <c r="R152" i="6"/>
  <c r="S152" i="6"/>
  <c r="T152" i="6"/>
  <c r="E153" i="6"/>
  <c r="F153" i="6"/>
  <c r="G153" i="6"/>
  <c r="H153" i="6"/>
  <c r="I153" i="6"/>
  <c r="J153" i="6"/>
  <c r="M153" i="6"/>
  <c r="N153" i="6"/>
  <c r="Q153" i="6"/>
  <c r="R153" i="6"/>
  <c r="S153" i="6"/>
  <c r="T153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151" i="6"/>
  <c r="P153" i="6"/>
  <c r="O153" i="6"/>
  <c r="L153" i="6"/>
  <c r="K153" i="6"/>
  <c r="L151" i="6"/>
  <c r="K151" i="6"/>
  <c r="O151" i="6"/>
  <c r="P151" i="6"/>
  <c r="P152" i="6"/>
  <c r="O152" i="6"/>
  <c r="L152" i="6"/>
  <c r="K152" i="6"/>
  <c r="J3" i="6"/>
  <c r="I3" i="6"/>
  <c r="H3" i="6"/>
  <c r="F3" i="6"/>
  <c r="E3" i="6"/>
  <c r="D3" i="6"/>
  <c r="T3" i="6"/>
  <c r="S3" i="6"/>
  <c r="R3" i="6"/>
  <c r="Q3" i="6"/>
  <c r="N3" i="6"/>
  <c r="M3" i="6"/>
  <c r="P3" i="6"/>
  <c r="O3" i="6"/>
  <c r="K3" i="6"/>
  <c r="L3" i="6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U8" i="1"/>
  <c r="V8" i="1"/>
  <c r="Q8" i="1"/>
  <c r="R8" i="1"/>
  <c r="S8" i="1"/>
  <c r="T8" i="1"/>
  <c r="W8" i="1"/>
  <c r="X8" i="1"/>
  <c r="B8" i="1"/>
  <c r="X7" i="1"/>
  <c r="W7" i="1"/>
  <c r="T7" i="1"/>
  <c r="S7" i="1"/>
  <c r="R7" i="1"/>
  <c r="Q7" i="1"/>
  <c r="V7" i="1"/>
  <c r="U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d04</author>
  </authors>
  <commentList>
    <comment ref="A4" authorId="0" shapeId="0" xr:uid="{00000000-0006-0000-0E00-000001000000}">
      <text>
        <r>
          <rPr>
            <b/>
            <sz val="9"/>
            <color rgb="FF000000"/>
            <rFont val="Tahoma"/>
            <family val="2"/>
          </rPr>
          <t>1060327</t>
        </r>
        <r>
          <rPr>
            <b/>
            <sz val="9"/>
            <color rgb="FF000000"/>
            <rFont val="細明體"/>
            <family val="3"/>
            <charset val="136"/>
          </rPr>
          <t>新北市修</t>
        </r>
      </text>
    </comment>
  </commentList>
</comments>
</file>

<file path=xl/sharedStrings.xml><?xml version="1.0" encoding="utf-8"?>
<sst xmlns="http://schemas.openxmlformats.org/spreadsheetml/2006/main" count="4139" uniqueCount="178">
  <si>
    <r>
      <rPr>
        <b/>
        <sz val="16"/>
        <color rgb="FF000000"/>
        <rFont val="標楷體"/>
        <family val="4"/>
        <charset val="136"/>
      </rPr>
      <t>兒童少年保護</t>
    </r>
    <r>
      <rPr>
        <b/>
        <sz val="16"/>
        <color rgb="FF000000"/>
        <rFont val="Times New Roman"/>
        <family val="1"/>
      </rPr>
      <t>-</t>
    </r>
    <r>
      <rPr>
        <b/>
        <sz val="16"/>
        <color rgb="FF000000"/>
        <rFont val="標楷體"/>
        <family val="4"/>
        <charset val="136"/>
      </rPr>
      <t>受虐類型</t>
    </r>
    <r>
      <rPr>
        <b/>
        <sz val="16"/>
        <color rgb="FF000000"/>
        <rFont val="Times New Roman"/>
        <family val="1"/>
      </rPr>
      <t xml:space="preserve">  Type of Abused Child and Youth</t>
    </r>
  </si>
  <si>
    <r>
      <rPr>
        <sz val="10"/>
        <color rgb="FF000000"/>
        <rFont val="標楷體"/>
        <family val="4"/>
        <charset val="136"/>
      </rPr>
      <t>年別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Year</t>
    </r>
  </si>
  <si>
    <r>
      <rPr>
        <sz val="10"/>
        <color rgb="FF000000"/>
        <rFont val="標楷體"/>
        <family val="4"/>
        <charset val="136"/>
      </rPr>
      <t>兒童少年受虐類型</t>
    </r>
    <r>
      <rPr>
        <sz val="10"/>
        <color rgb="FF000000"/>
        <rFont val="Times New Roman"/>
        <family val="1"/>
      </rPr>
      <t xml:space="preserve">   (</t>
    </r>
    <r>
      <rPr>
        <sz val="10"/>
        <color rgb="FF000000"/>
        <rFont val="標楷體"/>
        <family val="4"/>
        <charset val="136"/>
      </rPr>
      <t>複選</t>
    </r>
    <r>
      <rPr>
        <sz val="10"/>
        <color rgb="FF000000"/>
        <rFont val="Times New Roman"/>
        <family val="1"/>
      </rPr>
      <t>)  (</t>
    </r>
    <r>
      <rPr>
        <sz val="10"/>
        <color rgb="FF000000"/>
        <rFont val="標楷體"/>
        <family val="4"/>
        <charset val="136"/>
      </rPr>
      <t>人次</t>
    </r>
    <r>
      <rPr>
        <sz val="10"/>
        <color rgb="FF000000"/>
        <rFont val="Times New Roman"/>
        <family val="1"/>
      </rPr>
      <t>)By Types(Multiple Options)(Person-Times)</t>
    </r>
  </si>
  <si>
    <r>
      <rPr>
        <sz val="10"/>
        <color rgb="FF000000"/>
        <rFont val="標楷體"/>
        <family val="4"/>
        <charset val="136"/>
      </rPr>
      <t>總計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Total</t>
    </r>
  </si>
  <si>
    <r>
      <rPr>
        <sz val="10"/>
        <color rgb="FF000000"/>
        <rFont val="標楷體"/>
        <family val="4"/>
        <charset val="136"/>
      </rPr>
      <t>遺棄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Abandon</t>
    </r>
  </si>
  <si>
    <r>
      <rPr>
        <sz val="10"/>
        <color rgb="FF000000"/>
        <rFont val="標楷體"/>
        <family val="4"/>
        <charset val="136"/>
      </rPr>
      <t>身心虐待</t>
    </r>
    <r>
      <rPr>
        <sz val="10"/>
        <color rgb="FF000000"/>
        <rFont val="Times New Roman"/>
        <family val="1"/>
      </rPr>
      <t>Physical Emotional Abuse</t>
    </r>
  </si>
  <si>
    <r>
      <rPr>
        <sz val="10"/>
        <color rgb="FF000000"/>
        <rFont val="標楷體"/>
        <family val="4"/>
        <charset val="136"/>
      </rPr>
      <t>不當管教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Improper Discipline</t>
    </r>
  </si>
  <si>
    <r>
      <rPr>
        <sz val="10"/>
        <color rgb="FF000000"/>
        <rFont val="標楷體"/>
        <family val="4"/>
        <charset val="136"/>
      </rPr>
      <t>目睹家暴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Witnessing Domestic Violence</t>
    </r>
  </si>
  <si>
    <r>
      <rPr>
        <sz val="10"/>
        <color rgb="FF000000"/>
        <rFont val="標楷體"/>
        <family val="4"/>
        <charset val="136"/>
      </rPr>
      <t>身體虐待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Physical Abuse</t>
    </r>
  </si>
  <si>
    <r>
      <rPr>
        <sz val="10"/>
        <color rgb="FF000000"/>
        <rFont val="標楷體"/>
        <family val="4"/>
        <charset val="136"/>
      </rPr>
      <t>精神虐待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Emotional Abuse</t>
    </r>
  </si>
  <si>
    <r>
      <rPr>
        <sz val="10"/>
        <color rgb="FF000000"/>
        <rFont val="標楷體"/>
        <family val="4"/>
        <charset val="136"/>
      </rPr>
      <t>性虐待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Sexual Abuse</t>
    </r>
  </si>
  <si>
    <r>
      <rPr>
        <sz val="10"/>
        <color rgb="FF000000"/>
        <rFont val="標楷體"/>
        <family val="4"/>
        <charset val="136"/>
      </rPr>
      <t>疏忽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Neglect</t>
    </r>
  </si>
  <si>
    <r>
      <rPr>
        <sz val="10"/>
        <color rgb="FF000000"/>
        <rFont val="標楷體"/>
        <family val="4"/>
        <charset val="136"/>
      </rPr>
      <t>合計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SubTotal</t>
    </r>
  </si>
  <si>
    <r>
      <rPr>
        <sz val="10"/>
        <color rgb="FF000000"/>
        <rFont val="標楷體"/>
        <family val="4"/>
        <charset val="136"/>
      </rPr>
      <t>男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 xml:space="preserve">Male </t>
    </r>
  </si>
  <si>
    <r>
      <rPr>
        <sz val="10"/>
        <color rgb="FF000000"/>
        <rFont val="標楷體"/>
        <family val="4"/>
        <charset val="136"/>
      </rPr>
      <t>女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Female</t>
    </r>
  </si>
  <si>
    <r>
      <t>104</t>
    </r>
    <r>
      <rPr>
        <sz val="10"/>
        <color rgb="FF000000"/>
        <rFont val="標楷體"/>
        <family val="4"/>
        <charset val="136"/>
      </rPr>
      <t>年</t>
    </r>
    <r>
      <rPr>
        <sz val="10"/>
        <color rgb="FF000000"/>
        <rFont val="Times New Roman"/>
        <family val="1"/>
      </rPr>
      <t>, 2015</t>
    </r>
  </si>
  <si>
    <r>
      <t>105</t>
    </r>
    <r>
      <rPr>
        <sz val="10"/>
        <color rgb="FF000000"/>
        <rFont val="標楷體"/>
        <family val="4"/>
        <charset val="136"/>
      </rPr>
      <t>年</t>
    </r>
    <r>
      <rPr>
        <sz val="10"/>
        <color rgb="FF000000"/>
        <rFont val="Times New Roman"/>
        <family val="1"/>
      </rPr>
      <t>, 2016</t>
    </r>
  </si>
  <si>
    <r>
      <rPr>
        <b/>
        <sz val="14"/>
        <color rgb="FFFF0000"/>
        <rFont val="標楷體"/>
        <family val="4"/>
        <charset val="136"/>
      </rPr>
      <t>家內</t>
    </r>
    <r>
      <rPr>
        <b/>
        <sz val="14"/>
        <color rgb="FF000000"/>
        <rFont val="標楷體"/>
        <family val="4"/>
        <charset val="136"/>
      </rPr>
      <t>兒童及少年保護</t>
    </r>
    <r>
      <rPr>
        <b/>
        <sz val="14"/>
        <color rgb="FFFF0000"/>
        <rFont val="標楷體"/>
        <family val="4"/>
        <charset val="136"/>
      </rPr>
      <t>案件</t>
    </r>
    <r>
      <rPr>
        <b/>
        <sz val="14"/>
        <color rgb="FF000000"/>
        <rFont val="Times New Roman"/>
        <family val="1"/>
      </rPr>
      <t>-</t>
    </r>
    <r>
      <rPr>
        <b/>
        <sz val="14"/>
        <color rgb="FF000000"/>
        <rFont val="標楷體"/>
        <family val="4"/>
        <charset val="136"/>
      </rPr>
      <t>受虐類型</t>
    </r>
    <r>
      <rPr>
        <b/>
        <sz val="14"/>
        <color rgb="FF000000"/>
        <rFont val="Times New Roman"/>
        <family val="1"/>
      </rPr>
      <t xml:space="preserve"> Intra-family Child and Youth Protection Cases - Type of Abused</t>
    </r>
  </si>
  <si>
    <r>
      <rPr>
        <sz val="10"/>
        <color rgb="FF000000"/>
        <rFont val="標楷體"/>
        <family val="4"/>
        <charset val="136"/>
      </rPr>
      <t>單位：人次</t>
    </r>
    <r>
      <rPr>
        <sz val="10"/>
        <color rgb="FF000000"/>
        <rFont val="Times New Roman"/>
        <family val="1"/>
      </rPr>
      <t xml:space="preserve">  Unit : Person-times</t>
    </r>
  </si>
  <si>
    <r>
      <rPr>
        <sz val="10"/>
        <color rgb="FF000000"/>
        <rFont val="標楷體"/>
        <family val="4"/>
        <charset val="136"/>
      </rPr>
      <t>棄嬰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Abandoned Infants</t>
    </r>
  </si>
  <si>
    <r>
      <rPr>
        <sz val="10"/>
        <color rgb="FF000000"/>
        <rFont val="標楷體"/>
        <family val="4"/>
        <charset val="136"/>
      </rPr>
      <t>棄兒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Abandoned Children</t>
    </r>
  </si>
  <si>
    <r>
      <t>106</t>
    </r>
    <r>
      <rPr>
        <sz val="10"/>
        <color rgb="FF000000"/>
        <rFont val="標楷體"/>
        <family val="4"/>
        <charset val="136"/>
      </rPr>
      <t>年</t>
    </r>
    <r>
      <rPr>
        <sz val="10"/>
        <color rgb="FF000000"/>
        <rFont val="Times New Roman"/>
        <family val="1"/>
      </rPr>
      <t>, 2017</t>
    </r>
  </si>
  <si>
    <r>
      <t>107</t>
    </r>
    <r>
      <rPr>
        <sz val="10"/>
        <color rgb="FF000000"/>
        <rFont val="標楷體"/>
        <family val="4"/>
        <charset val="136"/>
      </rPr>
      <t>年</t>
    </r>
    <r>
      <rPr>
        <sz val="10"/>
        <color rgb="FF000000"/>
        <rFont val="Times New Roman"/>
        <family val="1"/>
      </rPr>
      <t>, 2018</t>
    </r>
  </si>
  <si>
    <r>
      <rPr>
        <b/>
        <sz val="14"/>
        <color rgb="FF000000"/>
        <rFont val="標楷體"/>
        <family val="4"/>
        <charset val="136"/>
      </rPr>
      <t>兒童及少年保護</t>
    </r>
    <r>
      <rPr>
        <b/>
        <sz val="14"/>
        <color rgb="FF000000"/>
        <rFont val="Times New Roman"/>
        <family val="1"/>
      </rPr>
      <t>-</t>
    </r>
    <r>
      <rPr>
        <b/>
        <sz val="14"/>
        <color rgb="FF000000"/>
        <rFont val="標楷體"/>
        <family val="4"/>
        <charset val="136"/>
      </rPr>
      <t>受虐</t>
    </r>
    <r>
      <rPr>
        <b/>
        <sz val="14"/>
        <color rgb="FF000000"/>
        <rFont val="Times New Roman"/>
        <family val="1"/>
      </rPr>
      <t>/</t>
    </r>
    <r>
      <rPr>
        <b/>
        <sz val="14"/>
        <color rgb="FF000000"/>
        <rFont val="標楷體"/>
        <family val="4"/>
        <charset val="136"/>
      </rPr>
      <t>問題類型</t>
    </r>
    <r>
      <rPr>
        <b/>
        <sz val="14"/>
        <color rgb="FF000000"/>
        <rFont val="Times New Roman"/>
        <family val="1"/>
      </rPr>
      <t xml:space="preserve"> Child and Youth Protection Cases - Type/Matter of Abused</t>
    </r>
  </si>
  <si>
    <r>
      <rPr>
        <sz val="10"/>
        <color rgb="FF000000"/>
        <rFont val="標楷體"/>
        <family val="4"/>
        <charset val="136"/>
      </rPr>
      <t>單位：人</t>
    </r>
    <r>
      <rPr>
        <sz val="10"/>
        <color rgb="FF000000"/>
        <rFont val="Times New Roman"/>
        <family val="1"/>
      </rPr>
      <t xml:space="preserve">  Unit : Person</t>
    </r>
  </si>
  <si>
    <r>
      <rPr>
        <sz val="10"/>
        <color rgb="FF000000"/>
        <rFont val="標楷體"/>
        <family val="4"/>
        <charset val="136"/>
      </rPr>
      <t>兒童少年受虐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標楷體"/>
        <family val="4"/>
        <charset val="136"/>
      </rPr>
      <t>間題類型</t>
    </r>
    <r>
      <rPr>
        <sz val="10"/>
        <color rgb="FF000000"/>
        <rFont val="Times New Roman"/>
        <family val="1"/>
      </rPr>
      <t xml:space="preserve"> (</t>
    </r>
    <r>
      <rPr>
        <sz val="10"/>
        <color rgb="FF000000"/>
        <rFont val="標楷體"/>
        <family val="4"/>
        <charset val="136"/>
      </rPr>
      <t>人數</t>
    </r>
    <r>
      <rPr>
        <sz val="10"/>
        <color rgb="FF000000"/>
        <rFont val="Times New Roman"/>
        <family val="1"/>
      </rPr>
      <t>)By Types/Matters (Person)</t>
    </r>
  </si>
  <si>
    <t xml:space="preserve">兒少物質濫用
</t>
  </si>
  <si>
    <t>其他
Others</t>
  </si>
  <si>
    <r>
      <rPr>
        <sz val="10"/>
        <color rgb="FF000000"/>
        <rFont val="標楷體"/>
        <family val="4"/>
        <charset val="136"/>
      </rPr>
      <t>資料來源：各直轄市、縣市政府。</t>
    </r>
  </si>
  <si>
    <t>Source: County and Government.</t>
  </si>
  <si>
    <r>
      <rPr>
        <sz val="10"/>
        <color rgb="FF000000"/>
        <rFont val="標楷體"/>
        <family val="4"/>
        <charset val="136"/>
      </rPr>
      <t>更新日期：</t>
    </r>
    <r>
      <rPr>
        <sz val="10"/>
        <color rgb="FF000000"/>
        <rFont val="Times New Roman"/>
        <family val="1"/>
      </rPr>
      <t>2020/3/31</t>
    </r>
  </si>
  <si>
    <r>
      <rPr>
        <b/>
        <sz val="14"/>
        <color rgb="FF000000"/>
        <rFont val="標楷體"/>
        <family val="4"/>
        <charset val="136"/>
      </rPr>
      <t>兒童及少年保護</t>
    </r>
    <r>
      <rPr>
        <b/>
        <sz val="14"/>
        <color rgb="FF000000"/>
        <rFont val="Times New Roman"/>
        <family val="1"/>
      </rPr>
      <t>-</t>
    </r>
    <r>
      <rPr>
        <b/>
        <sz val="14"/>
        <color rgb="FF000000"/>
        <rFont val="標楷體"/>
        <family val="4"/>
        <charset val="136"/>
      </rPr>
      <t>受虐</t>
    </r>
    <r>
      <rPr>
        <b/>
        <sz val="14"/>
        <color rgb="FF000000"/>
        <rFont val="Times New Roman"/>
        <family val="1"/>
      </rPr>
      <t>/</t>
    </r>
    <r>
      <rPr>
        <b/>
        <sz val="14"/>
        <color rgb="FF000000"/>
        <rFont val="標楷體"/>
        <family val="4"/>
        <charset val="136"/>
      </rPr>
      <t>問題類型</t>
    </r>
    <r>
      <rPr>
        <b/>
        <sz val="14"/>
        <color rgb="FF000000"/>
        <rFont val="Times New Roman"/>
        <family val="1"/>
      </rPr>
      <t>Child and Youth Protection Cases - Type/Matter of Abused</t>
    </r>
  </si>
  <si>
    <r>
      <t>108</t>
    </r>
    <r>
      <rPr>
        <sz val="10"/>
        <color rgb="FF000000"/>
        <rFont val="標楷體"/>
        <family val="4"/>
        <charset val="136"/>
      </rPr>
      <t>年</t>
    </r>
    <r>
      <rPr>
        <sz val="10"/>
        <color rgb="FF000000"/>
        <rFont val="Times New Roman"/>
        <family val="1"/>
      </rPr>
      <t>, 2019</t>
    </r>
  </si>
  <si>
    <r>
      <rPr>
        <sz val="10"/>
        <color rgb="FF000000"/>
        <rFont val="標楷體"/>
        <family val="4"/>
        <charset val="136"/>
      </rPr>
      <t>區域及特殊族群別</t>
    </r>
    <r>
      <rPr>
        <sz val="10"/>
        <color rgb="FF000000"/>
        <rFont val="標楷體"/>
        <family val="4"/>
        <charset val="136"/>
      </rPr>
      <t xml:space="preserve">
</t>
    </r>
    <r>
      <rPr>
        <sz val="10"/>
        <color rgb="FF000000"/>
        <rFont val="Times New Roman"/>
        <family val="1"/>
      </rPr>
      <t>Locality &amp;  Ethnos</t>
    </r>
  </si>
  <si>
    <r>
      <rPr>
        <sz val="10"/>
        <color rgb="FF000000"/>
        <rFont val="標楷體"/>
        <family val="4"/>
        <charset val="136"/>
      </rPr>
      <t>總計</t>
    </r>
  </si>
  <si>
    <r>
      <rPr>
        <sz val="10"/>
        <color rgb="FF0000FF"/>
        <rFont val="標楷體"/>
        <family val="4"/>
        <charset val="136"/>
      </rPr>
      <t>計</t>
    </r>
  </si>
  <si>
    <t>Total</t>
  </si>
  <si>
    <r>
      <rPr>
        <sz val="10"/>
        <color rgb="FF000000"/>
        <rFont val="標楷體"/>
        <family val="4"/>
        <charset val="136"/>
      </rPr>
      <t>一般</t>
    </r>
  </si>
  <si>
    <t>General</t>
  </si>
  <si>
    <r>
      <rPr>
        <sz val="10"/>
        <color rgb="FF000000"/>
        <rFont val="標楷體"/>
        <family val="4"/>
        <charset val="136"/>
      </rPr>
      <t>原住民</t>
    </r>
  </si>
  <si>
    <t xml:space="preserve">  新北市</t>
  </si>
  <si>
    <t>New Taipei City</t>
  </si>
  <si>
    <t xml:space="preserve">  臺北市</t>
  </si>
  <si>
    <t>Taipei City</t>
  </si>
  <si>
    <t xml:space="preserve">  桃園市</t>
  </si>
  <si>
    <t>Taoyuan City</t>
  </si>
  <si>
    <t xml:space="preserve">  臺中市</t>
  </si>
  <si>
    <t>Taichung City</t>
  </si>
  <si>
    <t xml:space="preserve">  臺南市</t>
  </si>
  <si>
    <t>Tainan City</t>
  </si>
  <si>
    <t xml:space="preserve">  高雄市</t>
  </si>
  <si>
    <t>Kaohsiung City</t>
  </si>
  <si>
    <r>
      <rPr>
        <sz val="10"/>
        <color rgb="FF000000"/>
        <rFont val="標楷體"/>
        <family val="4"/>
        <charset val="136"/>
      </rPr>
      <t>　宜蘭縣</t>
    </r>
  </si>
  <si>
    <t>Yilan County</t>
  </si>
  <si>
    <r>
      <rPr>
        <sz val="10"/>
        <color rgb="FF000000"/>
        <rFont val="標楷體"/>
        <family val="4"/>
        <charset val="136"/>
      </rPr>
      <t>　新竹縣</t>
    </r>
  </si>
  <si>
    <t>Hsinchu County</t>
  </si>
  <si>
    <r>
      <rPr>
        <sz val="10"/>
        <color rgb="FF000000"/>
        <rFont val="標楷體"/>
        <family val="4"/>
        <charset val="136"/>
      </rPr>
      <t>　苗栗縣</t>
    </r>
  </si>
  <si>
    <t>Miaoli County</t>
  </si>
  <si>
    <r>
      <rPr>
        <sz val="10"/>
        <color rgb="FF000000"/>
        <rFont val="標楷體"/>
        <family val="4"/>
        <charset val="136"/>
      </rPr>
      <t>　彰化縣</t>
    </r>
  </si>
  <si>
    <t>Changhua County</t>
  </si>
  <si>
    <r>
      <rPr>
        <sz val="10"/>
        <color rgb="FF000000"/>
        <rFont val="標楷體"/>
        <family val="4"/>
        <charset val="136"/>
      </rPr>
      <t>　南投縣</t>
    </r>
  </si>
  <si>
    <t>Nantou County</t>
  </si>
  <si>
    <r>
      <rPr>
        <sz val="10"/>
        <color rgb="FF000000"/>
        <rFont val="標楷體"/>
        <family val="4"/>
        <charset val="136"/>
      </rPr>
      <t>　雲林縣</t>
    </r>
  </si>
  <si>
    <t>Yunlin County</t>
  </si>
  <si>
    <r>
      <rPr>
        <sz val="10"/>
        <color rgb="FF000000"/>
        <rFont val="標楷體"/>
        <family val="4"/>
        <charset val="136"/>
      </rPr>
      <t>　嘉義縣</t>
    </r>
  </si>
  <si>
    <t>Chiayi County</t>
  </si>
  <si>
    <r>
      <rPr>
        <sz val="10"/>
        <color rgb="FF000000"/>
        <rFont val="標楷體"/>
        <family val="4"/>
        <charset val="136"/>
      </rPr>
      <t>　屏東縣</t>
    </r>
  </si>
  <si>
    <t>Pingtung County</t>
  </si>
  <si>
    <r>
      <rPr>
        <sz val="10"/>
        <color rgb="FF000000"/>
        <rFont val="標楷體"/>
        <family val="4"/>
        <charset val="136"/>
      </rPr>
      <t>　臺東縣</t>
    </r>
  </si>
  <si>
    <t>Taitung County</t>
  </si>
  <si>
    <r>
      <rPr>
        <sz val="10"/>
        <color rgb="FF000000"/>
        <rFont val="標楷體"/>
        <family val="4"/>
        <charset val="136"/>
      </rPr>
      <t>　花蓮縣</t>
    </r>
  </si>
  <si>
    <t>Hualien County</t>
  </si>
  <si>
    <r>
      <rPr>
        <sz val="10"/>
        <color rgb="FF000000"/>
        <rFont val="標楷體"/>
        <family val="4"/>
        <charset val="136"/>
      </rPr>
      <t>　澎湖縣</t>
    </r>
  </si>
  <si>
    <t>Penghu County</t>
  </si>
  <si>
    <r>
      <rPr>
        <sz val="10"/>
        <color rgb="FF000000"/>
        <rFont val="標楷體"/>
        <family val="4"/>
        <charset val="136"/>
      </rPr>
      <t>　基隆市</t>
    </r>
  </si>
  <si>
    <t>Keelung City</t>
  </si>
  <si>
    <r>
      <rPr>
        <sz val="10"/>
        <color rgb="FF000000"/>
        <rFont val="標楷體"/>
        <family val="4"/>
        <charset val="136"/>
      </rPr>
      <t>　新竹市</t>
    </r>
  </si>
  <si>
    <t>Hsinchu City</t>
  </si>
  <si>
    <r>
      <rPr>
        <sz val="10"/>
        <color rgb="FF000000"/>
        <rFont val="標楷體"/>
        <family val="4"/>
        <charset val="136"/>
      </rPr>
      <t>　嘉義市</t>
    </r>
  </si>
  <si>
    <t>Chiayi City</t>
  </si>
  <si>
    <r>
      <rPr>
        <sz val="10"/>
        <color rgb="FF000000"/>
        <rFont val="標楷體"/>
        <family val="4"/>
        <charset val="136"/>
      </rPr>
      <t>　金門縣</t>
    </r>
  </si>
  <si>
    <t>Kinmen County</t>
  </si>
  <si>
    <r>
      <rPr>
        <sz val="10"/>
        <color rgb="FF000000"/>
        <rFont val="標楷體"/>
        <family val="4"/>
        <charset val="136"/>
      </rPr>
      <t>　連江縣</t>
    </r>
  </si>
  <si>
    <t>Lienchiang County</t>
  </si>
  <si>
    <r>
      <t>兒童少年受虐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標楷體"/>
        <family val="4"/>
        <charset val="136"/>
      </rPr>
      <t>間題類型</t>
    </r>
    <r>
      <rPr>
        <sz val="10"/>
        <color rgb="FF000000"/>
        <rFont val="Times New Roman"/>
        <family val="1"/>
      </rPr>
      <t xml:space="preserve"> (</t>
    </r>
    <r>
      <rPr>
        <sz val="10"/>
        <color rgb="FF000000"/>
        <rFont val="標楷體"/>
        <family val="4"/>
        <charset val="136"/>
      </rPr>
      <t>人數</t>
    </r>
    <r>
      <rPr>
        <sz val="10"/>
        <color rgb="FF000000"/>
        <rFont val="Times New Roman"/>
        <family val="1"/>
      </rPr>
      <t>)By Types/Matters (Person)</t>
    </r>
  </si>
  <si>
    <r>
      <rPr>
        <sz val="8"/>
        <color rgb="FF000000"/>
        <rFont val="標楷體"/>
        <family val="4"/>
        <charset val="136"/>
      </rPr>
      <t>資料來源：各直轄市、縣市政府。</t>
    </r>
  </si>
  <si>
    <r>
      <rPr>
        <sz val="8"/>
        <color rgb="FF000000"/>
        <rFont val="標楷體"/>
        <family val="4"/>
        <charset val="136"/>
      </rPr>
      <t>備註：自</t>
    </r>
    <r>
      <rPr>
        <sz val="8"/>
        <color rgb="FF000000"/>
        <rFont val="Times New Roman"/>
        <family val="1"/>
      </rPr>
      <t>102</t>
    </r>
    <r>
      <rPr>
        <sz val="8"/>
        <color rgb="FF000000"/>
        <rFont val="標楷體"/>
        <family val="4"/>
        <charset val="136"/>
      </rPr>
      <t>年起非屬「受虐兒童少年之受虐者本身因素」不再歸類於『其他』項下統計。</t>
    </r>
  </si>
  <si>
    <r>
      <rPr>
        <sz val="10"/>
        <color rgb="FF000000"/>
        <rFont val="標楷體"/>
        <family val="4"/>
        <charset val="136"/>
      </rPr>
      <t>更新日期：</t>
    </r>
    <r>
      <rPr>
        <sz val="10"/>
        <color rgb="FF000000"/>
        <rFont val="Times New Roman"/>
        <family val="1"/>
      </rPr>
      <t>2019/4/1</t>
    </r>
  </si>
  <si>
    <r>
      <rPr>
        <sz val="10"/>
        <color rgb="FF000000"/>
        <rFont val="標楷體"/>
        <family val="4"/>
        <charset val="136"/>
      </rPr>
      <t>兒童少年受虐類型</t>
    </r>
    <r>
      <rPr>
        <sz val="10"/>
        <color rgb="FF000000"/>
        <rFont val="Times New Roman"/>
        <family val="1"/>
      </rPr>
      <t xml:space="preserve">   (</t>
    </r>
    <r>
      <rPr>
        <sz val="10"/>
        <color rgb="FF000000"/>
        <rFont val="標楷體"/>
        <family val="4"/>
        <charset val="136"/>
      </rPr>
      <t>人次</t>
    </r>
    <r>
      <rPr>
        <sz val="10"/>
        <color rgb="FF000000"/>
        <rFont val="Times New Roman"/>
        <family val="1"/>
      </rPr>
      <t>)By Types(Multiple Options)(Person-Times)</t>
    </r>
  </si>
  <si>
    <r>
      <rPr>
        <sz val="10"/>
        <color rgb="FF000000"/>
        <rFont val="標楷體"/>
        <family val="4"/>
        <charset val="136"/>
      </rPr>
      <t>更新日期：</t>
    </r>
    <r>
      <rPr>
        <sz val="10"/>
        <color rgb="FF000000"/>
        <rFont val="Times New Roman"/>
        <family val="1"/>
      </rPr>
      <t>2018/3/31</t>
    </r>
  </si>
  <si>
    <r>
      <rPr>
        <sz val="8"/>
        <color rgb="FF000000"/>
        <rFont val="標楷體"/>
        <family val="4"/>
        <charset val="136"/>
      </rPr>
      <t>區域及特殊族群別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Locality &amp;  Ethnos</t>
    </r>
  </si>
  <si>
    <r>
      <rPr>
        <sz val="8"/>
        <color rgb="FF000000"/>
        <rFont val="標楷體"/>
        <family val="4"/>
        <charset val="136"/>
      </rPr>
      <t>兒童少年受虐類型</t>
    </r>
    <r>
      <rPr>
        <sz val="8"/>
        <color rgb="FF000000"/>
        <rFont val="Times New Roman"/>
        <family val="1"/>
      </rPr>
      <t xml:space="preserve">   (</t>
    </r>
    <r>
      <rPr>
        <sz val="8"/>
        <color rgb="FF000000"/>
        <rFont val="標楷體"/>
        <family val="4"/>
        <charset val="136"/>
      </rPr>
      <t>複選</t>
    </r>
    <r>
      <rPr>
        <sz val="8"/>
        <color rgb="FF000000"/>
        <rFont val="Times New Roman"/>
        <family val="1"/>
      </rPr>
      <t>)  (</t>
    </r>
    <r>
      <rPr>
        <sz val="8"/>
        <color rgb="FF000000"/>
        <rFont val="標楷體"/>
        <family val="4"/>
        <charset val="136"/>
      </rPr>
      <t>人次</t>
    </r>
    <r>
      <rPr>
        <sz val="8"/>
        <color rgb="FF000000"/>
        <rFont val="Times New Roman"/>
        <family val="1"/>
      </rPr>
      <t>)By Types(Multiple Options)(Person-Times)</t>
    </r>
  </si>
  <si>
    <r>
      <rPr>
        <sz val="8"/>
        <color rgb="FF000000"/>
        <rFont val="標楷體"/>
        <family val="4"/>
        <charset val="136"/>
      </rPr>
      <t>總計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Total</t>
    </r>
  </si>
  <si>
    <r>
      <rPr>
        <sz val="8"/>
        <color rgb="FF000000"/>
        <rFont val="標楷體"/>
        <family val="4"/>
        <charset val="136"/>
      </rPr>
      <t>遺棄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Abandon</t>
    </r>
  </si>
  <si>
    <r>
      <rPr>
        <sz val="8"/>
        <color rgb="FF000000"/>
        <rFont val="標楷體"/>
        <family val="4"/>
        <charset val="136"/>
      </rPr>
      <t>身心虐待</t>
    </r>
    <r>
      <rPr>
        <sz val="8"/>
        <color rgb="FF000000"/>
        <rFont val="Times New Roman"/>
        <family val="1"/>
      </rPr>
      <t>Physical Emotional Abuse</t>
    </r>
  </si>
  <si>
    <r>
      <rPr>
        <sz val="8"/>
        <color rgb="FF000000"/>
        <rFont val="標楷體"/>
        <family val="4"/>
        <charset val="136"/>
      </rPr>
      <t>目睹家暴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Witnessing Domestic Violence</t>
    </r>
  </si>
  <si>
    <r>
      <rPr>
        <sz val="8"/>
        <color rgb="FF000000"/>
        <rFont val="標楷體"/>
        <family val="4"/>
        <charset val="136"/>
      </rPr>
      <t>不當管教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Improper Discipline</t>
    </r>
  </si>
  <si>
    <r>
      <rPr>
        <sz val="8"/>
        <color rgb="FF000000"/>
        <rFont val="標楷體"/>
        <family val="4"/>
        <charset val="136"/>
      </rPr>
      <t>其他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Others</t>
    </r>
  </si>
  <si>
    <r>
      <rPr>
        <sz val="8"/>
        <color rgb="FF000000"/>
        <rFont val="標楷體"/>
        <family val="4"/>
        <charset val="136"/>
      </rPr>
      <t>身體虐待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Physical Abuse</t>
    </r>
  </si>
  <si>
    <r>
      <rPr>
        <sz val="8"/>
        <color rgb="FF000000"/>
        <rFont val="標楷體"/>
        <family val="4"/>
        <charset val="136"/>
      </rPr>
      <t>精神虐待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Emotional Abuse</t>
    </r>
  </si>
  <si>
    <r>
      <rPr>
        <sz val="8"/>
        <color rgb="FF000000"/>
        <rFont val="標楷體"/>
        <family val="4"/>
        <charset val="136"/>
      </rPr>
      <t>性虐待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Sexual Abuse</t>
    </r>
  </si>
  <si>
    <r>
      <rPr>
        <sz val="8"/>
        <color rgb="FF000000"/>
        <rFont val="標楷體"/>
        <family val="4"/>
        <charset val="136"/>
      </rPr>
      <t>疏忽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Neglect</t>
    </r>
  </si>
  <si>
    <r>
      <rPr>
        <sz val="8"/>
        <color rgb="FF000000"/>
        <rFont val="標楷體"/>
        <family val="4"/>
        <charset val="136"/>
      </rPr>
      <t>合計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SubTotal</t>
    </r>
  </si>
  <si>
    <r>
      <rPr>
        <sz val="8"/>
        <color rgb="FF000000"/>
        <rFont val="標楷體"/>
        <family val="4"/>
        <charset val="136"/>
      </rPr>
      <t>男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 xml:space="preserve">Male </t>
    </r>
  </si>
  <si>
    <r>
      <rPr>
        <sz val="8"/>
        <color rgb="FF000000"/>
        <rFont val="標楷體"/>
        <family val="4"/>
        <charset val="136"/>
      </rPr>
      <t>女</t>
    </r>
    <r>
      <rPr>
        <sz val="8"/>
        <color rgb="FF000000"/>
        <rFont val="標楷體"/>
        <family val="4"/>
        <charset val="136"/>
      </rPr>
      <t xml:space="preserve">
</t>
    </r>
    <r>
      <rPr>
        <sz val="8"/>
        <color rgb="FF000000"/>
        <rFont val="Times New Roman"/>
        <family val="1"/>
      </rPr>
      <t>Female</t>
    </r>
  </si>
  <si>
    <r>
      <rPr>
        <sz val="8"/>
        <color rgb="FF000000"/>
        <rFont val="標楷體"/>
        <family val="4"/>
        <charset val="136"/>
      </rPr>
      <t>總計</t>
    </r>
  </si>
  <si>
    <r>
      <rPr>
        <sz val="9"/>
        <color rgb="FF0000FF"/>
        <rFont val="標楷體"/>
        <family val="4"/>
        <charset val="136"/>
      </rPr>
      <t>計</t>
    </r>
  </si>
  <si>
    <r>
      <rPr>
        <sz val="8"/>
        <color rgb="FF000000"/>
        <rFont val="標楷體"/>
        <family val="4"/>
        <charset val="136"/>
      </rPr>
      <t>一般</t>
    </r>
  </si>
  <si>
    <r>
      <rPr>
        <sz val="8"/>
        <color rgb="FF000000"/>
        <rFont val="標楷體"/>
        <family val="4"/>
        <charset val="136"/>
      </rPr>
      <t>原住民</t>
    </r>
  </si>
  <si>
    <t>　新北市</t>
  </si>
  <si>
    <t>　臺北市</t>
  </si>
  <si>
    <t>　桃園市</t>
  </si>
  <si>
    <t>　臺中市</t>
  </si>
  <si>
    <t>　臺南市</t>
  </si>
  <si>
    <t>　高雄市</t>
  </si>
  <si>
    <t>　宜蘭縣</t>
  </si>
  <si>
    <r>
      <rPr>
        <sz val="8"/>
        <color rgb="FF000000"/>
        <rFont val="標楷體"/>
        <family val="4"/>
        <charset val="136"/>
      </rPr>
      <t>　新竹縣</t>
    </r>
  </si>
  <si>
    <r>
      <rPr>
        <sz val="8"/>
        <color rgb="FF000000"/>
        <rFont val="標楷體"/>
        <family val="4"/>
        <charset val="136"/>
      </rPr>
      <t>　苗栗縣</t>
    </r>
  </si>
  <si>
    <r>
      <rPr>
        <sz val="8"/>
        <color rgb="FF000000"/>
        <rFont val="標楷體"/>
        <family val="4"/>
        <charset val="136"/>
      </rPr>
      <t>　彰化縣</t>
    </r>
  </si>
  <si>
    <r>
      <rPr>
        <sz val="8"/>
        <color rgb="FF000000"/>
        <rFont val="標楷體"/>
        <family val="4"/>
        <charset val="136"/>
      </rPr>
      <t>　南投縣</t>
    </r>
  </si>
  <si>
    <r>
      <rPr>
        <sz val="8"/>
        <color rgb="FF000000"/>
        <rFont val="標楷體"/>
        <family val="4"/>
        <charset val="136"/>
      </rPr>
      <t>　雲林縣</t>
    </r>
  </si>
  <si>
    <r>
      <rPr>
        <sz val="8"/>
        <color rgb="FF000000"/>
        <rFont val="標楷體"/>
        <family val="4"/>
        <charset val="136"/>
      </rPr>
      <t>　嘉義縣</t>
    </r>
  </si>
  <si>
    <r>
      <rPr>
        <sz val="8"/>
        <color rgb="FF000000"/>
        <rFont val="標楷體"/>
        <family val="4"/>
        <charset val="136"/>
      </rPr>
      <t>　屏東縣</t>
    </r>
  </si>
  <si>
    <r>
      <rPr>
        <sz val="8"/>
        <color rgb="FF000000"/>
        <rFont val="標楷體"/>
        <family val="4"/>
        <charset val="136"/>
      </rPr>
      <t>　臺東縣</t>
    </r>
  </si>
  <si>
    <r>
      <rPr>
        <sz val="8"/>
        <color rgb="FF000000"/>
        <rFont val="標楷體"/>
        <family val="4"/>
        <charset val="136"/>
      </rPr>
      <t>　花蓮縣</t>
    </r>
  </si>
  <si>
    <r>
      <rPr>
        <sz val="8"/>
        <color rgb="FF000000"/>
        <rFont val="標楷體"/>
        <family val="4"/>
        <charset val="136"/>
      </rPr>
      <t>　澎湖縣</t>
    </r>
  </si>
  <si>
    <r>
      <rPr>
        <sz val="8"/>
        <color rgb="FF000000"/>
        <rFont val="標楷體"/>
        <family val="4"/>
        <charset val="136"/>
      </rPr>
      <t>　基隆市</t>
    </r>
  </si>
  <si>
    <r>
      <rPr>
        <sz val="8"/>
        <color rgb="FF000000"/>
        <rFont val="標楷體"/>
        <family val="4"/>
        <charset val="136"/>
      </rPr>
      <t>　新竹市</t>
    </r>
  </si>
  <si>
    <r>
      <rPr>
        <sz val="8"/>
        <color rgb="FF000000"/>
        <rFont val="標楷體"/>
        <family val="4"/>
        <charset val="136"/>
      </rPr>
      <t>　嘉義市</t>
    </r>
  </si>
  <si>
    <r>
      <rPr>
        <sz val="8"/>
        <color rgb="FF000000"/>
        <rFont val="標楷體"/>
        <family val="4"/>
        <charset val="136"/>
      </rPr>
      <t>　金門縣</t>
    </r>
  </si>
  <si>
    <r>
      <rPr>
        <sz val="8"/>
        <color rgb="FF000000"/>
        <rFont val="標楷體"/>
        <family val="4"/>
        <charset val="136"/>
      </rPr>
      <t>　連江縣</t>
    </r>
  </si>
  <si>
    <r>
      <rPr>
        <sz val="8"/>
        <color rgb="FF000000"/>
        <rFont val="標楷體"/>
        <family val="4"/>
        <charset val="136"/>
      </rPr>
      <t>更新日期：</t>
    </r>
    <r>
      <rPr>
        <sz val="8"/>
        <color rgb="FF000000"/>
        <rFont val="Times New Roman"/>
        <family val="1"/>
      </rPr>
      <t>2017/3/9</t>
    </r>
  </si>
  <si>
    <r>
      <rPr>
        <sz val="8"/>
        <color rgb="FF000000"/>
        <rFont val="標楷體"/>
        <family val="4"/>
        <charset val="136"/>
      </rPr>
      <t>　宜蘭縣</t>
    </r>
  </si>
  <si>
    <r>
      <rPr>
        <sz val="8"/>
        <color rgb="FF000000"/>
        <rFont val="標楷體"/>
        <family val="4"/>
        <charset val="136"/>
      </rPr>
      <t>更新日期：</t>
    </r>
    <r>
      <rPr>
        <sz val="8"/>
        <color rgb="FF000000"/>
        <rFont val="Times New Roman"/>
        <family val="1"/>
      </rPr>
      <t>2016/3/8</t>
    </r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</si>
  <si>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16" type="noConversion"/>
  </si>
  <si>
    <r>
      <rPr>
        <sz val="10"/>
        <rFont val="標楷體"/>
        <family val="4"/>
        <charset val="136"/>
      </rPr>
      <t>上半年</t>
    </r>
    <r>
      <rPr>
        <sz val="10"/>
        <rFont val="Times New Roman"/>
        <family val="1"/>
      </rPr>
      <t>, Jan.-June</t>
    </r>
    <r>
      <rPr>
        <sz val="12"/>
        <color theme="1"/>
        <rFont val="新細明體"/>
        <family val="2"/>
        <charset val="136"/>
        <scheme val="minor"/>
      </rPr>
      <t/>
    </r>
    <phoneticPr fontId="16" type="noConversion"/>
  </si>
  <si>
    <r>
      <rPr>
        <sz val="10"/>
        <rFont val="標楷體"/>
        <family val="4"/>
        <charset val="136"/>
      </rPr>
      <t>下半年</t>
    </r>
    <r>
      <rPr>
        <sz val="10"/>
        <rFont val="Times New Roman"/>
        <family val="1"/>
      </rPr>
      <t>, July-Dec.</t>
    </r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</si>
  <si>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109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2020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</si>
  <si>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2021/03/31</t>
    </r>
    <phoneticPr fontId="16" type="noConversion"/>
  </si>
  <si>
    <r>
      <rPr>
        <sz val="10"/>
        <color rgb="FF000000"/>
        <rFont val="標楷體"/>
        <family val="4"/>
        <charset val="136"/>
      </rPr>
      <t>說　　明：</t>
    </r>
    <r>
      <rPr>
        <sz val="10"/>
        <color rgb="FF000000"/>
        <rFont val="Times New Roman"/>
        <family val="1"/>
      </rPr>
      <t>1.106</t>
    </r>
    <r>
      <rPr>
        <sz val="10"/>
        <color rgb="FF000000"/>
        <rFont val="標楷體"/>
        <family val="4"/>
        <charset val="136"/>
      </rPr>
      <t>年及</t>
    </r>
    <r>
      <rPr>
        <sz val="10"/>
        <color rgb="FF000000"/>
        <rFont val="Times New Roman"/>
        <family val="1"/>
      </rPr>
      <t>107</t>
    </r>
    <r>
      <rPr>
        <sz val="10"/>
        <color rgb="FF000000"/>
        <rFont val="標楷體"/>
        <family val="4"/>
        <charset val="136"/>
      </rPr>
      <t>年，係統計『家內』兒少保護案件，自</t>
    </r>
    <r>
      <rPr>
        <sz val="10"/>
        <color rgb="FF000000"/>
        <rFont val="Times New Roman"/>
        <family val="1"/>
      </rPr>
      <t>108</t>
    </r>
    <r>
      <rPr>
        <sz val="10"/>
        <color rgb="FF000000"/>
        <rFont val="標楷體"/>
        <family val="4"/>
        <charset val="136"/>
      </rPr>
      <t>年起統計範圍包含家內及家外之兒少保護案件，其中「家內案件」係指因兒童及少年之父母、監護人、其他實際照顧兒童及少年之人或其他家庭成員，
　　　　　未盡力禁止或故意，致兒少受到不當對待之案件；「家外案件」則指因兒少本人或照顧人以外之人故意，致兒少受到不當對待之案件。</t>
    </r>
    <phoneticPr fontId="16" type="noConversion"/>
  </si>
  <si>
    <r>
      <rPr>
        <sz val="10"/>
        <color rgb="FF000000"/>
        <rFont val="標楷體"/>
        <family val="4"/>
        <charset val="136"/>
      </rPr>
      <t>身心不當對待</t>
    </r>
    <r>
      <rPr>
        <sz val="10"/>
        <color rgb="FF000000"/>
        <rFont val="Times New Roman"/>
        <family val="1"/>
      </rPr>
      <t>Physical Emotional Abuse</t>
    </r>
    <phoneticPr fontId="16" type="noConversion"/>
  </si>
  <si>
    <r>
      <rPr>
        <sz val="10"/>
        <color rgb="FF000000"/>
        <rFont val="標楷體"/>
        <family val="4"/>
        <charset val="136"/>
      </rPr>
      <t xml:space="preserve">身體不當對待
</t>
    </r>
    <r>
      <rPr>
        <sz val="10"/>
        <color rgb="FF000000"/>
        <rFont val="Times New Roman"/>
        <family val="1"/>
      </rPr>
      <t>Physical Abuse</t>
    </r>
    <phoneticPr fontId="16" type="noConversion"/>
  </si>
  <si>
    <r>
      <rPr>
        <sz val="10"/>
        <color rgb="FF000000"/>
        <rFont val="標楷體"/>
        <family val="4"/>
        <charset val="136"/>
      </rPr>
      <t xml:space="preserve">精神不當對待
</t>
    </r>
    <r>
      <rPr>
        <sz val="10"/>
        <color rgb="FF000000"/>
        <rFont val="Times New Roman"/>
        <family val="1"/>
      </rPr>
      <t>Emotional Abuse</t>
    </r>
    <phoneticPr fontId="16" type="noConversion"/>
  </si>
  <si>
    <r>
      <rPr>
        <sz val="10"/>
        <color rgb="FF000000"/>
        <rFont val="標楷體"/>
        <family val="4"/>
        <charset val="136"/>
      </rPr>
      <t xml:space="preserve">性不當對待
</t>
    </r>
    <r>
      <rPr>
        <sz val="10"/>
        <color rgb="FF000000"/>
        <rFont val="Times New Roman"/>
        <family val="1"/>
      </rPr>
      <t>Sexual Abuse</t>
    </r>
    <phoneticPr fontId="16" type="noConversion"/>
  </si>
  <si>
    <r>
      <rPr>
        <sz val="10"/>
        <color rgb="FF000000"/>
        <rFont val="標楷體"/>
        <family val="4"/>
        <charset val="136"/>
      </rPr>
      <t xml:space="preserve">疏忽
</t>
    </r>
    <r>
      <rPr>
        <sz val="10"/>
        <color rgb="FF000000"/>
        <rFont val="Times New Roman"/>
        <family val="1"/>
      </rPr>
      <t>Neglect</t>
    </r>
  </si>
  <si>
    <t>—</t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</si>
  <si>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110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2021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</si>
  <si>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2022/3/31</t>
    </r>
    <phoneticPr fontId="16" type="noConversion"/>
  </si>
  <si>
    <t>資料來源：各直轄市、縣市政府。</t>
    <phoneticPr fontId="16" type="noConversion"/>
  </si>
  <si>
    <r>
      <rPr>
        <b/>
        <sz val="10"/>
        <color rgb="FF000000"/>
        <rFont val="標楷體"/>
        <family val="4"/>
        <charset val="136"/>
      </rPr>
      <t>總計</t>
    </r>
  </si>
  <si>
    <r>
      <rPr>
        <b/>
        <sz val="10"/>
        <color rgb="FF0000FF"/>
        <rFont val="標楷體"/>
        <family val="4"/>
        <charset val="136"/>
      </rPr>
      <t>計</t>
    </r>
  </si>
  <si>
    <r>
      <rPr>
        <b/>
        <sz val="10"/>
        <color rgb="FF000000"/>
        <rFont val="標楷體"/>
        <family val="4"/>
        <charset val="136"/>
      </rPr>
      <t>一般</t>
    </r>
  </si>
  <si>
    <r>
      <rPr>
        <b/>
        <sz val="10"/>
        <color rgb="FF000000"/>
        <rFont val="標楷體"/>
        <family val="4"/>
        <charset val="136"/>
      </rPr>
      <t>原住民</t>
    </r>
  </si>
  <si>
    <r>
      <t xml:space="preserve">兒少物質濫用
</t>
    </r>
    <r>
      <rPr>
        <sz val="10"/>
        <color rgb="FF000000"/>
        <rFont val="Times New Roman"/>
        <family val="1"/>
      </rPr>
      <t>substance abuse</t>
    </r>
    <r>
      <rPr>
        <sz val="10"/>
        <color rgb="FF000000"/>
        <rFont val="標楷體"/>
        <family val="4"/>
        <charset val="136"/>
      </rPr>
      <t xml:space="preserve">
</t>
    </r>
    <phoneticPr fontId="16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</si>
  <si>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</si>
  <si>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111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2022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</si>
  <si>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2023/3/31</t>
    </r>
    <phoneticPr fontId="16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</si>
  <si>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</si>
  <si>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112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2023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</si>
  <si>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2024/04/01</t>
    </r>
    <phoneticPr fontId="16" type="noConversion"/>
  </si>
  <si>
    <t>—</t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</si>
  <si>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16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</si>
  <si>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2024/09/30</t>
    </r>
    <phoneticPr fontId="16" type="noConversion"/>
  </si>
  <si>
    <t>Indigenous</t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</si>
  <si>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2024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</si>
  <si>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2025/03/31</t>
    </r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</si>
  <si>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, 2025</t>
    </r>
    <phoneticPr fontId="29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</si>
  <si>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color rgb="FF000000"/>
        <rFont val="Times New Roman"/>
        <family val="1"/>
      </rPr>
      <t xml:space="preserve"> Jan.-June, 2025</t>
    </r>
    <phoneticPr fontId="29" type="noConversion"/>
  </si>
  <si>
    <r>
      <t>民國</t>
    </r>
    <r>
      <rPr>
        <sz val="9"/>
        <color rgb="FF000000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July-Dec., 2025</t>
    </r>
    <phoneticPr fontId="29" type="noConversion"/>
  </si>
  <si>
    <r>
      <t>114</t>
    </r>
    <r>
      <rPr>
        <b/>
        <sz val="10"/>
        <rFont val="標楷體"/>
        <family val="4"/>
        <charset val="136"/>
      </rPr>
      <t>年</t>
    </r>
    <r>
      <rPr>
        <b/>
        <sz val="10"/>
        <rFont val="Times New Roman"/>
        <family val="1"/>
      </rPr>
      <t>, 2025</t>
    </r>
    <r>
      <rPr>
        <sz val="12"/>
        <color theme="1"/>
        <rFont val="新細明體"/>
        <family val="2"/>
        <charset val="136"/>
        <scheme val="minor"/>
      </rPr>
      <t/>
    </r>
    <phoneticPr fontId="16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</si>
  <si>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r>
      <rPr>
        <sz val="12"/>
        <color theme="1"/>
        <rFont val="新細明體"/>
        <family val="2"/>
        <charset val="136"/>
        <scheme val="minor"/>
      </rPr>
      <t/>
    </r>
    <phoneticPr fontId="16" type="noConversion"/>
  </si>
  <si>
    <r>
      <rPr>
        <sz val="9"/>
        <rFont val="標楷體"/>
        <family val="4"/>
        <charset val="136"/>
      </rPr>
      <t>民國</t>
    </r>
    <r>
      <rPr>
        <sz val="9"/>
        <color rgb="FF000000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color rgb="FF000000"/>
        <rFont val="Times New Roman"/>
        <family val="1"/>
      </rPr>
      <t>,Jan.-June, 2024</t>
    </r>
    <phoneticPr fontId="29" type="noConversion"/>
  </si>
  <si>
    <r>
      <t>民國</t>
    </r>
    <r>
      <rPr>
        <sz val="9"/>
        <color rgb="FF000000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color rgb="FF000000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July-Dec., 2024</t>
    </r>
    <phoneticPr fontId="29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</si>
  <si>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2025/09/30</t>
    </r>
    <phoneticPr fontId="16" type="noConversion"/>
  </si>
  <si>
    <r>
      <rPr>
        <sz val="10"/>
        <rFont val="標楷體"/>
        <family val="4"/>
        <charset val="136"/>
      </rPr>
      <t>附</t>
    </r>
    <r>
      <rPr>
        <sz val="10"/>
        <rFont val="Times New Roman"/>
        <family val="1"/>
      </rPr>
      <t xml:space="preserve">         </t>
    </r>
    <r>
      <rPr>
        <sz val="10"/>
        <rFont val="標楷體"/>
        <family val="4"/>
        <charset val="136"/>
      </rPr>
      <t>註：</t>
    </r>
    <r>
      <rPr>
        <sz val="10"/>
        <rFont val="Times New Roman"/>
        <family val="4"/>
      </rPr>
      <t>1.</t>
    </r>
    <r>
      <rPr>
        <sz val="10"/>
        <rFont val="標楷體"/>
        <family val="4"/>
        <charset val="136"/>
      </rPr>
      <t>自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7</t>
    </r>
    <r>
      <rPr>
        <sz val="10"/>
        <rFont val="標楷體"/>
        <family val="4"/>
        <charset val="136"/>
      </rPr>
      <t>月起刪除「不當管教」統計項目，轉至妥適項目統計。</t>
    </r>
    <phoneticPr fontId="16" type="noConversion"/>
  </si>
  <si>
    <r>
      <t xml:space="preserve">                       2.</t>
    </r>
    <r>
      <rPr>
        <sz val="10"/>
        <rFont val="標楷體"/>
        <family val="4"/>
        <charset val="136"/>
      </rPr>
      <t>自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7</t>
    </r>
    <r>
      <rPr>
        <sz val="10"/>
        <rFont val="標楷體"/>
        <family val="4"/>
        <charset val="136"/>
      </rPr>
      <t>月起「兒少物質濫用」移由少年輔導委員會及教育主管機關提供服務。</t>
    </r>
    <phoneticPr fontId="16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</si>
  <si>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2026/03/31</t>
    </r>
    <phoneticPr fontId="16" type="noConversion"/>
  </si>
  <si>
    <r>
      <rPr>
        <sz val="10"/>
        <color rgb="FF000000"/>
        <rFont val="標楷體"/>
        <family val="4"/>
        <charset val="136"/>
      </rPr>
      <t>遺棄</t>
    </r>
    <r>
      <rPr>
        <sz val="10"/>
        <color rgb="FF000000"/>
        <rFont val="Times New Roman"/>
        <family val="4"/>
      </rPr>
      <t xml:space="preserve"> </t>
    </r>
    <r>
      <rPr>
        <sz val="10"/>
        <color rgb="FF000000"/>
        <rFont val="Times New Roman"/>
        <family val="1"/>
      </rPr>
      <t>Abandon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</si>
</sst>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 &quot;;[Red]&quot;(&quot;#,##0&quot;)&quot;"/>
    <numFmt numFmtId="177" formatCode="#,##0;&quot;-&quot;#,##0;&quot;－&quot;"/>
    <numFmt numFmtId="178" formatCode="#,##0_);[Red]\(#,##0\)"/>
  </numFmts>
  <fonts count="45" x14ac:knownFonts="1">
    <font>
      <sz val="9"/>
      <color rgb="FF000000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b/>
      <sz val="16"/>
      <color rgb="FF000000"/>
      <name val="Times New Roman"/>
      <family val="1"/>
    </font>
    <font>
      <b/>
      <sz val="16"/>
      <color rgb="FF000000"/>
      <name val="標楷體"/>
      <family val="4"/>
      <charset val="136"/>
    </font>
    <font>
      <sz val="8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標楷體"/>
      <family val="4"/>
      <charset val="136"/>
    </font>
    <font>
      <sz val="10"/>
      <color rgb="FF0000FF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sz val="8"/>
      <color rgb="FF000000"/>
      <name val="標楷體"/>
      <family val="4"/>
      <charset val="136"/>
    </font>
    <font>
      <b/>
      <sz val="10"/>
      <color rgb="FF000000"/>
      <name val="Times New Roman"/>
      <family val="1"/>
    </font>
    <font>
      <b/>
      <sz val="8"/>
      <color rgb="FF0000FF"/>
      <name val="Times New Roman"/>
      <family val="1"/>
    </font>
    <font>
      <sz val="9"/>
      <name val="細明體"/>
      <family val="3"/>
      <charset val="136"/>
    </font>
    <font>
      <sz val="10"/>
      <color rgb="FF0000FF"/>
      <name val="標楷體"/>
      <family val="4"/>
      <charset val="136"/>
    </font>
    <font>
      <b/>
      <sz val="9"/>
      <color rgb="FF000000"/>
      <name val="Tahoma"/>
      <family val="2"/>
    </font>
    <font>
      <b/>
      <sz val="9"/>
      <color rgb="FF000000"/>
      <name val="細明體"/>
      <family val="3"/>
      <charset val="136"/>
    </font>
    <font>
      <sz val="9"/>
      <color rgb="FF0000FF"/>
      <name val="Times New Roman"/>
      <family val="1"/>
    </font>
    <font>
      <sz val="9"/>
      <color rgb="FF0000FF"/>
      <name val="標楷體"/>
      <family val="4"/>
      <charset val="136"/>
    </font>
    <font>
      <sz val="8"/>
      <color rgb="FF0000FF"/>
      <name val="Times New Roman"/>
      <family val="1"/>
    </font>
    <font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name val="Times New Roman"/>
      <family val="1"/>
    </font>
    <font>
      <sz val="9"/>
      <name val="標楷體"/>
      <family val="4"/>
      <charset val="136"/>
    </font>
    <font>
      <sz val="9"/>
      <name val="新細明體"/>
      <family val="1"/>
      <charset val="136"/>
    </font>
    <font>
      <sz val="10"/>
      <name val="Times New Roman"/>
      <family val="4"/>
      <charset val="136"/>
    </font>
    <font>
      <sz val="9"/>
      <color rgb="FF000000"/>
      <name val="Times New Roman"/>
      <family val="4"/>
      <charset val="136"/>
    </font>
    <font>
      <sz val="10"/>
      <color rgb="FF000000"/>
      <name val="新細明體"/>
      <family val="1"/>
      <charset val="136"/>
    </font>
    <font>
      <sz val="8"/>
      <color rgb="FFFF0000"/>
      <name val="Times New Roman"/>
      <family val="1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rgb="FF000000"/>
      <name val="標楷體"/>
      <family val="4"/>
      <charset val="136"/>
    </font>
    <font>
      <b/>
      <sz val="10"/>
      <color rgb="FF0000FF"/>
      <name val="Times New Roman"/>
      <family val="1"/>
    </font>
    <font>
      <b/>
      <sz val="10"/>
      <color rgb="FF0000FF"/>
      <name val="標楷體"/>
      <family val="4"/>
      <charset val="136"/>
    </font>
    <font>
      <sz val="10"/>
      <color theme="0"/>
      <name val="Times New Roman"/>
      <family val="1"/>
    </font>
    <font>
      <sz val="8"/>
      <color rgb="FF000000"/>
      <name val="細明體"/>
      <family val="3"/>
      <charset val="136"/>
    </font>
    <font>
      <sz val="10"/>
      <name val="Times New Roman"/>
      <family val="4"/>
    </font>
    <font>
      <sz val="10"/>
      <color rgb="FFFF0000"/>
      <name val="Times New Roman"/>
      <family val="1"/>
    </font>
    <font>
      <sz val="10"/>
      <color rgb="FF000000"/>
      <name val="Times New Roman"/>
      <family val="4"/>
    </font>
    <font>
      <sz val="10"/>
      <color rgb="FF000000"/>
      <name val="Times New Roman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>
      <alignment vertical="center"/>
    </xf>
    <xf numFmtId="0" fontId="2" fillId="0" borderId="0" applyNumberFormat="0" applyBorder="0" applyProtection="0"/>
  </cellStyleXfs>
  <cellXfs count="122">
    <xf numFmtId="0" fontId="0" fillId="0" borderId="0" xfId="0"/>
    <xf numFmtId="176" fontId="3" fillId="0" borderId="0" xfId="0" applyNumberFormat="1" applyFont="1" applyAlignment="1">
      <alignment vertical="center"/>
    </xf>
    <xf numFmtId="176" fontId="5" fillId="0" borderId="0" xfId="3" applyNumberFormat="1" applyFont="1" applyAlignment="1" applyProtection="1">
      <alignment horizontal="left" vertical="center"/>
    </xf>
    <xf numFmtId="176" fontId="5" fillId="0" borderId="0" xfId="3" applyNumberFormat="1" applyFont="1" applyProtection="1">
      <alignment vertical="center"/>
    </xf>
    <xf numFmtId="176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76" fontId="7" fillId="0" borderId="0" xfId="3" applyNumberFormat="1" applyFont="1" applyProtection="1">
      <alignment vertical="center"/>
    </xf>
    <xf numFmtId="176" fontId="7" fillId="0" borderId="1" xfId="3" applyNumberFormat="1" applyFont="1" applyBorder="1" applyProtection="1">
      <alignment vertical="center"/>
    </xf>
    <xf numFmtId="176" fontId="7" fillId="0" borderId="2" xfId="3" applyNumberFormat="1" applyFont="1" applyBorder="1" applyAlignment="1" applyProtection="1">
      <alignment horizontal="center" vertical="center" wrapText="1"/>
    </xf>
    <xf numFmtId="176" fontId="7" fillId="0" borderId="0" xfId="3" applyNumberFormat="1" applyFont="1" applyAlignment="1" applyProtection="1">
      <alignment horizontal="center" vertical="center"/>
    </xf>
    <xf numFmtId="176" fontId="7" fillId="0" borderId="3" xfId="3" applyNumberFormat="1" applyFont="1" applyBorder="1" applyAlignment="1" applyProtection="1">
      <alignment horizontal="center" vertical="center" wrapText="1"/>
    </xf>
    <xf numFmtId="176" fontId="7" fillId="0" borderId="0" xfId="3" applyNumberFormat="1" applyFont="1" applyAlignment="1" applyProtection="1">
      <alignment horizontal="center" wrapText="1"/>
    </xf>
    <xf numFmtId="177" fontId="7" fillId="0" borderId="0" xfId="0" applyNumberFormat="1" applyFont="1" applyAlignment="1">
      <alignment horizontal="right" vertical="center"/>
    </xf>
    <xf numFmtId="176" fontId="7" fillId="0" borderId="0" xfId="3" applyNumberFormat="1" applyFont="1" applyAlignment="1" applyProtection="1">
      <alignment horizontal="right" vertical="center" wrapText="1"/>
    </xf>
    <xf numFmtId="177" fontId="9" fillId="0" borderId="0" xfId="0" applyNumberFormat="1" applyFont="1" applyAlignment="1">
      <alignment horizontal="right" vertical="center"/>
    </xf>
    <xf numFmtId="49" fontId="10" fillId="0" borderId="7" xfId="4" applyNumberFormat="1" applyFont="1" applyBorder="1" applyAlignment="1" applyProtection="1">
      <alignment vertical="center"/>
    </xf>
    <xf numFmtId="49" fontId="10" fillId="0" borderId="1" xfId="4" applyNumberFormat="1" applyFont="1" applyBorder="1" applyAlignment="1" applyProtection="1">
      <alignment vertical="center"/>
    </xf>
    <xf numFmtId="176" fontId="7" fillId="0" borderId="7" xfId="2" applyNumberFormat="1" applyFont="1" applyBorder="1" applyAlignment="1" applyProtection="1">
      <alignment horizontal="left" vertical="center" wrapText="1"/>
    </xf>
    <xf numFmtId="176" fontId="7" fillId="0" borderId="0" xfId="2" applyNumberFormat="1" applyFont="1" applyAlignment="1" applyProtection="1">
      <alignment horizontal="left" vertical="center"/>
    </xf>
    <xf numFmtId="177" fontId="7" fillId="0" borderId="0" xfId="0" applyNumberFormat="1" applyFont="1" applyAlignment="1">
      <alignment horizontal="right"/>
    </xf>
    <xf numFmtId="177" fontId="9" fillId="0" borderId="1" xfId="0" applyNumberFormat="1" applyFont="1" applyBorder="1" applyAlignment="1">
      <alignment horizontal="right" vertical="center"/>
    </xf>
    <xf numFmtId="176" fontId="7" fillId="0" borderId="1" xfId="3" applyNumberFormat="1" applyFont="1" applyBorder="1" applyAlignment="1" applyProtection="1">
      <alignment horizontal="right" vertical="center" wrapText="1"/>
    </xf>
    <xf numFmtId="177" fontId="7" fillId="0" borderId="7" xfId="0" applyNumberFormat="1" applyFont="1" applyBorder="1" applyAlignment="1">
      <alignment horizontal="right" vertical="center"/>
    </xf>
    <xf numFmtId="0" fontId="7" fillId="0" borderId="0" xfId="1" applyFont="1" applyProtection="1"/>
    <xf numFmtId="177" fontId="5" fillId="0" borderId="0" xfId="0" applyNumberFormat="1" applyFont="1" applyAlignment="1">
      <alignment horizontal="right"/>
    </xf>
    <xf numFmtId="177" fontId="1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3" applyFont="1" applyProtection="1">
      <alignment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9" fillId="2" borderId="8" xfId="4" applyNumberFormat="1" applyFont="1" applyFill="1" applyBorder="1" applyAlignment="1" applyProtection="1">
      <alignment horizontal="right" vertical="center"/>
    </xf>
    <xf numFmtId="49" fontId="9" fillId="2" borderId="4" xfId="4" applyNumberFormat="1" applyFont="1" applyFill="1" applyBorder="1" applyAlignment="1" applyProtection="1">
      <alignment horizontal="left" vertical="center"/>
    </xf>
    <xf numFmtId="177" fontId="9" fillId="2" borderId="0" xfId="0" applyNumberFormat="1" applyFont="1" applyFill="1" applyAlignment="1">
      <alignment horizontal="right" vertical="center"/>
    </xf>
    <xf numFmtId="176" fontId="7" fillId="0" borderId="0" xfId="3" applyNumberFormat="1" applyFont="1" applyAlignment="1" applyProtection="1">
      <alignment horizontal="left" wrapText="1"/>
    </xf>
    <xf numFmtId="49" fontId="7" fillId="0" borderId="7" xfId="4" applyNumberFormat="1" applyFont="1" applyBorder="1" applyAlignment="1" applyProtection="1">
      <alignment horizontal="right" vertical="center"/>
    </xf>
    <xf numFmtId="49" fontId="7" fillId="0" borderId="5" xfId="4" applyNumberFormat="1" applyFont="1" applyBorder="1" applyAlignment="1" applyProtection="1">
      <alignment horizontal="left" vertical="center"/>
    </xf>
    <xf numFmtId="49" fontId="8" fillId="2" borderId="11" xfId="0" applyNumberFormat="1" applyFont="1" applyFill="1" applyBorder="1" applyAlignment="1">
      <alignment vertical="center"/>
    </xf>
    <xf numFmtId="49" fontId="7" fillId="0" borderId="10" xfId="4" applyNumberFormat="1" applyFont="1" applyBorder="1" applyAlignment="1" applyProtection="1">
      <alignment horizontal="right" vertical="center"/>
    </xf>
    <xf numFmtId="49" fontId="7" fillId="0" borderId="6" xfId="4" applyNumberFormat="1" applyFont="1" applyBorder="1" applyAlignment="1" applyProtection="1">
      <alignment horizontal="left" vertical="center"/>
    </xf>
    <xf numFmtId="49" fontId="7" fillId="2" borderId="11" xfId="0" applyNumberFormat="1" applyFont="1" applyFill="1" applyBorder="1" applyAlignment="1">
      <alignment vertical="center"/>
    </xf>
    <xf numFmtId="177" fontId="7" fillId="0" borderId="1" xfId="0" applyNumberFormat="1" applyFont="1" applyBorder="1" applyAlignment="1">
      <alignment horizontal="right"/>
    </xf>
    <xf numFmtId="0" fontId="0" fillId="0" borderId="0" xfId="1" applyFont="1" applyProtection="1"/>
    <xf numFmtId="0" fontId="5" fillId="0" borderId="0" xfId="3" applyFont="1" applyProtection="1">
      <alignment vertical="center"/>
    </xf>
    <xf numFmtId="176" fontId="5" fillId="0" borderId="1" xfId="3" applyNumberFormat="1" applyFont="1" applyBorder="1" applyProtection="1">
      <alignment vertical="center"/>
    </xf>
    <xf numFmtId="176" fontId="5" fillId="0" borderId="2" xfId="3" applyNumberFormat="1" applyFont="1" applyBorder="1" applyAlignment="1" applyProtection="1">
      <alignment horizontal="center" vertical="center" wrapText="1"/>
    </xf>
    <xf numFmtId="176" fontId="5" fillId="0" borderId="0" xfId="3" applyNumberFormat="1" applyFont="1" applyAlignment="1" applyProtection="1">
      <alignment horizontal="center" vertical="center"/>
    </xf>
    <xf numFmtId="176" fontId="5" fillId="0" borderId="3" xfId="3" applyNumberFormat="1" applyFont="1" applyBorder="1" applyAlignment="1" applyProtection="1">
      <alignment horizontal="center" vertical="center" wrapText="1"/>
    </xf>
    <xf numFmtId="176" fontId="5" fillId="0" borderId="0" xfId="3" applyNumberFormat="1" applyFont="1" applyAlignment="1" applyProtection="1">
      <alignment horizontal="center" wrapText="1"/>
    </xf>
    <xf numFmtId="49" fontId="5" fillId="2" borderId="11" xfId="0" applyNumberFormat="1" applyFont="1" applyFill="1" applyBorder="1" applyAlignment="1">
      <alignment vertical="center"/>
    </xf>
    <xf numFmtId="49" fontId="20" fillId="2" borderId="8" xfId="4" applyNumberFormat="1" applyFont="1" applyFill="1" applyBorder="1" applyAlignment="1" applyProtection="1">
      <alignment horizontal="right" vertical="center"/>
    </xf>
    <xf numFmtId="49" fontId="20" fillId="2" borderId="4" xfId="4" applyNumberFormat="1" applyFont="1" applyFill="1" applyBorder="1" applyAlignment="1" applyProtection="1">
      <alignment horizontal="left" vertical="center"/>
    </xf>
    <xf numFmtId="177" fontId="22" fillId="2" borderId="0" xfId="0" applyNumberFormat="1" applyFont="1" applyFill="1" applyAlignment="1">
      <alignment horizontal="right" vertical="center"/>
    </xf>
    <xf numFmtId="176" fontId="5" fillId="0" borderId="0" xfId="3" applyNumberFormat="1" applyFont="1" applyAlignment="1" applyProtection="1">
      <alignment horizontal="left" wrapText="1"/>
    </xf>
    <xf numFmtId="49" fontId="5" fillId="0" borderId="7" xfId="4" applyNumberFormat="1" applyFont="1" applyBorder="1" applyAlignment="1" applyProtection="1">
      <alignment horizontal="right" vertical="center"/>
    </xf>
    <xf numFmtId="49" fontId="5" fillId="0" borderId="5" xfId="4" applyNumberFormat="1" applyFont="1" applyBorder="1" applyAlignment="1" applyProtection="1">
      <alignment horizontal="left" vertical="center"/>
    </xf>
    <xf numFmtId="49" fontId="13" fillId="2" borderId="11" xfId="0" applyNumberFormat="1" applyFont="1" applyFill="1" applyBorder="1" applyAlignment="1">
      <alignment vertical="center"/>
    </xf>
    <xf numFmtId="49" fontId="5" fillId="0" borderId="10" xfId="4" applyNumberFormat="1" applyFont="1" applyBorder="1" applyAlignment="1" applyProtection="1">
      <alignment horizontal="right" vertical="center"/>
    </xf>
    <xf numFmtId="49" fontId="5" fillId="0" borderId="6" xfId="4" applyNumberFormat="1" applyFont="1" applyBorder="1" applyAlignment="1" applyProtection="1">
      <alignment horizontal="left" vertical="center"/>
    </xf>
    <xf numFmtId="177" fontId="5" fillId="0" borderId="1" xfId="0" applyNumberFormat="1" applyFont="1" applyBorder="1" applyAlignment="1">
      <alignment horizontal="right"/>
    </xf>
    <xf numFmtId="176" fontId="23" fillId="0" borderId="0" xfId="0" applyNumberFormat="1" applyFont="1" applyAlignment="1">
      <alignment vertical="center"/>
    </xf>
    <xf numFmtId="176" fontId="24" fillId="0" borderId="0" xfId="0" applyNumberFormat="1" applyFont="1" applyAlignment="1">
      <alignment horizontal="left" vertical="center"/>
    </xf>
    <xf numFmtId="176" fontId="7" fillId="0" borderId="14" xfId="3" applyNumberFormat="1" applyFont="1" applyBorder="1" applyProtection="1">
      <alignment vertical="center"/>
    </xf>
    <xf numFmtId="177" fontId="7" fillId="0" borderId="14" xfId="0" applyNumberFormat="1" applyFont="1" applyBorder="1" applyAlignment="1">
      <alignment horizontal="right"/>
    </xf>
    <xf numFmtId="178" fontId="25" fillId="0" borderId="0" xfId="3" applyNumberFormat="1" applyFont="1">
      <alignment vertical="center"/>
    </xf>
    <xf numFmtId="0" fontId="0" fillId="0" borderId="17" xfId="4" applyFont="1" applyBorder="1"/>
    <xf numFmtId="177" fontId="7" fillId="0" borderId="8" xfId="0" applyNumberFormat="1" applyFont="1" applyBorder="1" applyAlignment="1">
      <alignment horizontal="right" vertical="center"/>
    </xf>
    <xf numFmtId="177" fontId="7" fillId="0" borderId="9" xfId="0" applyNumberFormat="1" applyFont="1" applyBorder="1" applyAlignment="1">
      <alignment horizontal="right" vertical="center"/>
    </xf>
    <xf numFmtId="178" fontId="30" fillId="0" borderId="0" xfId="3" applyNumberFormat="1" applyFont="1">
      <alignment vertical="center"/>
    </xf>
    <xf numFmtId="0" fontId="31" fillId="0" borderId="17" xfId="4" applyFont="1" applyBorder="1"/>
    <xf numFmtId="176" fontId="25" fillId="0" borderId="0" xfId="3" applyNumberFormat="1" applyFont="1" applyAlignment="1" applyProtection="1">
      <alignment horizontal="left" vertical="center"/>
    </xf>
    <xf numFmtId="176" fontId="25" fillId="0" borderId="0" xfId="3" applyNumberFormat="1" applyFont="1" applyAlignment="1" applyProtection="1">
      <alignment horizontal="left" vertical="center" wrapText="1"/>
    </xf>
    <xf numFmtId="176" fontId="25" fillId="0" borderId="0" xfId="3" applyNumberFormat="1" applyFont="1" applyProtection="1">
      <alignment vertical="center"/>
    </xf>
    <xf numFmtId="176" fontId="7" fillId="0" borderId="0" xfId="3" applyNumberFormat="1" applyFont="1" applyAlignment="1" applyProtection="1">
      <alignment horizontal="right" wrapText="1"/>
    </xf>
    <xf numFmtId="176" fontId="32" fillId="0" borderId="0" xfId="3" applyNumberFormat="1" applyFont="1" applyAlignment="1" applyProtection="1">
      <alignment horizontal="center" wrapText="1"/>
    </xf>
    <xf numFmtId="178" fontId="33" fillId="0" borderId="0" xfId="3" applyNumberFormat="1" applyFont="1" applyBorder="1">
      <alignment vertical="center"/>
    </xf>
    <xf numFmtId="176" fontId="8" fillId="0" borderId="14" xfId="3" applyNumberFormat="1" applyFont="1" applyBorder="1" applyProtection="1">
      <alignment vertical="center"/>
    </xf>
    <xf numFmtId="49" fontId="14" fillId="2" borderId="11" xfId="0" applyNumberFormat="1" applyFont="1" applyFill="1" applyBorder="1" applyAlignment="1">
      <alignment horizontal="center" vertical="center"/>
    </xf>
    <xf numFmtId="49" fontId="37" fillId="2" borderId="8" xfId="4" applyNumberFormat="1" applyFont="1" applyFill="1" applyBorder="1" applyAlignment="1" applyProtection="1">
      <alignment horizontal="right" vertical="center"/>
    </xf>
    <xf numFmtId="49" fontId="37" fillId="2" borderId="4" xfId="4" applyNumberFormat="1" applyFont="1" applyFill="1" applyBorder="1" applyAlignment="1" applyProtection="1">
      <alignment horizontal="left" vertical="center"/>
    </xf>
    <xf numFmtId="177" fontId="37" fillId="2" borderId="0" xfId="0" applyNumberFormat="1" applyFont="1" applyFill="1" applyAlignment="1">
      <alignment horizontal="right" vertical="center"/>
    </xf>
    <xf numFmtId="176" fontId="14" fillId="0" borderId="0" xfId="3" applyNumberFormat="1" applyFont="1" applyAlignment="1" applyProtection="1">
      <alignment horizontal="left" wrapText="1"/>
    </xf>
    <xf numFmtId="49" fontId="14" fillId="0" borderId="7" xfId="4" applyNumberFormat="1" applyFont="1" applyBorder="1" applyAlignment="1" applyProtection="1">
      <alignment horizontal="right" vertical="center"/>
    </xf>
    <xf numFmtId="49" fontId="14" fillId="0" borderId="5" xfId="4" applyNumberFormat="1" applyFont="1" applyBorder="1" applyAlignment="1" applyProtection="1">
      <alignment horizontal="left" vertical="center"/>
    </xf>
    <xf numFmtId="177" fontId="14" fillId="0" borderId="0" xfId="0" applyNumberFormat="1" applyFont="1" applyAlignment="1">
      <alignment horizontal="right"/>
    </xf>
    <xf numFmtId="176" fontId="14" fillId="0" borderId="0" xfId="3" applyNumberFormat="1" applyFont="1" applyAlignment="1" applyProtection="1">
      <alignment horizontal="right" wrapText="1"/>
    </xf>
    <xf numFmtId="177" fontId="7" fillId="0" borderId="18" xfId="0" applyNumberFormat="1" applyFont="1" applyBorder="1" applyAlignment="1">
      <alignment horizontal="right" vertical="center"/>
    </xf>
    <xf numFmtId="0" fontId="28" fillId="0" borderId="17" xfId="4" applyFont="1" applyBorder="1"/>
    <xf numFmtId="176" fontId="39" fillId="0" borderId="0" xfId="3" applyNumberFormat="1" applyFont="1" applyProtection="1">
      <alignment vertical="center"/>
    </xf>
    <xf numFmtId="177" fontId="14" fillId="0" borderId="0" xfId="0" applyNumberFormat="1" applyFont="1" applyAlignment="1">
      <alignment horizontal="right" vertical="center"/>
    </xf>
    <xf numFmtId="176" fontId="7" fillId="0" borderId="0" xfId="3" applyNumberFormat="1" applyFont="1" applyAlignment="1" applyProtection="1">
      <alignment horizontal="center" vertical="center" wrapText="1"/>
    </xf>
    <xf numFmtId="176" fontId="14" fillId="0" borderId="0" xfId="3" applyNumberFormat="1" applyFont="1" applyAlignment="1" applyProtection="1">
      <alignment horizontal="center" vertical="center" wrapText="1"/>
    </xf>
    <xf numFmtId="176" fontId="7" fillId="0" borderId="4" xfId="3" applyNumberFormat="1" applyFont="1" applyBorder="1" applyAlignment="1" applyProtection="1">
      <alignment horizontal="left" vertical="center" wrapText="1" indent="1"/>
    </xf>
    <xf numFmtId="178" fontId="25" fillId="0" borderId="15" xfId="3" applyNumberFormat="1" applyFont="1" applyBorder="1" applyAlignment="1">
      <alignment horizontal="left" vertical="center" wrapText="1" indent="1"/>
    </xf>
    <xf numFmtId="49" fontId="25" fillId="0" borderId="15" xfId="0" applyNumberFormat="1" applyFont="1" applyBorder="1" applyAlignment="1">
      <alignment horizontal="left" vertical="center" wrapText="1" indent="1"/>
    </xf>
    <xf numFmtId="49" fontId="25" fillId="0" borderId="5" xfId="0" applyNumberFormat="1" applyFont="1" applyBorder="1" applyAlignment="1">
      <alignment horizontal="left" vertical="center" wrapText="1" indent="1"/>
    </xf>
    <xf numFmtId="178" fontId="34" fillId="0" borderId="15" xfId="3" applyNumberFormat="1" applyFont="1" applyBorder="1" applyAlignment="1">
      <alignment horizontal="left" vertical="center" wrapText="1" indent="1"/>
    </xf>
    <xf numFmtId="176" fontId="40" fillId="0" borderId="0" xfId="3" applyNumberFormat="1" applyFont="1" applyProtection="1">
      <alignment vertical="center"/>
    </xf>
    <xf numFmtId="176" fontId="30" fillId="0" borderId="0" xfId="3" applyNumberFormat="1" applyFont="1" applyAlignment="1" applyProtection="1">
      <alignment horizontal="left" vertical="center"/>
    </xf>
    <xf numFmtId="49" fontId="25" fillId="0" borderId="15" xfId="0" applyNumberFormat="1" applyFont="1" applyBorder="1" applyAlignment="1">
      <alignment horizontal="center" vertical="center" wrapText="1"/>
    </xf>
    <xf numFmtId="176" fontId="42" fillId="0" borderId="0" xfId="3" applyNumberFormat="1" applyFont="1" applyProtection="1">
      <alignment vertical="center"/>
    </xf>
    <xf numFmtId="176" fontId="7" fillId="0" borderId="0" xfId="3" applyNumberFormat="1" applyFont="1" applyAlignment="1" applyProtection="1">
      <alignment horizontal="left" vertical="center" wrapText="1"/>
    </xf>
    <xf numFmtId="0" fontId="8" fillId="0" borderId="2" xfId="3" applyFont="1" applyBorder="1" applyAlignment="1" applyProtection="1">
      <alignment horizontal="center" vertical="center" wrapText="1"/>
    </xf>
    <xf numFmtId="0" fontId="8" fillId="0" borderId="3" xfId="3" applyFont="1" applyBorder="1" applyAlignment="1" applyProtection="1">
      <alignment horizontal="center" vertical="center" wrapText="1"/>
    </xf>
    <xf numFmtId="176" fontId="7" fillId="0" borderId="2" xfId="3" applyNumberFormat="1" applyFont="1" applyBorder="1" applyAlignment="1" applyProtection="1">
      <alignment horizontal="center" vertical="center" wrapText="1"/>
    </xf>
    <xf numFmtId="176" fontId="7" fillId="0" borderId="3" xfId="2" applyNumberFormat="1" applyFont="1" applyBorder="1" applyAlignment="1" applyProtection="1">
      <alignment horizontal="center" vertical="center" wrapText="1"/>
    </xf>
    <xf numFmtId="176" fontId="7" fillId="0" borderId="13" xfId="2" applyNumberFormat="1" applyFont="1" applyBorder="1" applyAlignment="1" applyProtection="1">
      <alignment horizontal="center" vertical="center" wrapText="1"/>
    </xf>
    <xf numFmtId="0" fontId="7" fillId="0" borderId="3" xfId="3" applyFont="1" applyBorder="1" applyAlignment="1" applyProtection="1">
      <alignment horizontal="center" vertical="center"/>
    </xf>
    <xf numFmtId="176" fontId="7" fillId="0" borderId="2" xfId="3" applyNumberFormat="1" applyFont="1" applyBorder="1" applyAlignment="1" applyProtection="1">
      <alignment horizontal="center" vertical="center"/>
    </xf>
    <xf numFmtId="0" fontId="7" fillId="0" borderId="2" xfId="3" applyFont="1" applyBorder="1" applyAlignment="1" applyProtection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/>
    </xf>
    <xf numFmtId="0" fontId="8" fillId="0" borderId="3" xfId="3" applyFont="1" applyBorder="1" applyAlignment="1" applyProtection="1">
      <alignment horizontal="center" vertical="center"/>
    </xf>
    <xf numFmtId="0" fontId="7" fillId="0" borderId="3" xfId="3" applyFont="1" applyBorder="1" applyAlignment="1" applyProtection="1">
      <alignment horizontal="center" vertical="center" wrapText="1"/>
    </xf>
    <xf numFmtId="49" fontId="14" fillId="0" borderId="12" xfId="4" applyNumberFormat="1" applyFont="1" applyBorder="1" applyAlignment="1" applyProtection="1">
      <alignment horizontal="center" vertical="center" wrapText="1"/>
    </xf>
    <xf numFmtId="49" fontId="7" fillId="0" borderId="12" xfId="4" applyNumberFormat="1" applyFont="1" applyBorder="1" applyAlignment="1" applyProtection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/>
    </xf>
    <xf numFmtId="176" fontId="5" fillId="0" borderId="2" xfId="3" applyNumberFormat="1" applyFont="1" applyBorder="1" applyAlignment="1" applyProtection="1">
      <alignment horizontal="center" vertical="center" wrapText="1"/>
    </xf>
    <xf numFmtId="0" fontId="5" fillId="0" borderId="3" xfId="3" applyFont="1" applyBorder="1" applyAlignment="1" applyProtection="1">
      <alignment horizontal="center" vertical="center"/>
    </xf>
    <xf numFmtId="176" fontId="5" fillId="0" borderId="2" xfId="3" applyNumberFormat="1" applyFont="1" applyBorder="1" applyAlignment="1" applyProtection="1">
      <alignment horizontal="center" vertical="center"/>
    </xf>
    <xf numFmtId="0" fontId="5" fillId="0" borderId="2" xfId="3" applyFont="1" applyBorder="1" applyAlignment="1" applyProtection="1">
      <alignment horizontal="center" vertical="center" wrapText="1"/>
    </xf>
    <xf numFmtId="0" fontId="5" fillId="0" borderId="3" xfId="3" applyFont="1" applyBorder="1" applyAlignment="1" applyProtection="1">
      <alignment horizontal="center" vertical="center" wrapText="1"/>
    </xf>
    <xf numFmtId="49" fontId="0" fillId="0" borderId="12" xfId="4" applyNumberFormat="1" applyFont="1" applyBorder="1" applyAlignment="1" applyProtection="1">
      <alignment horizontal="center" vertical="center" wrapText="1"/>
    </xf>
    <xf numFmtId="49" fontId="25" fillId="0" borderId="16" xfId="0" applyNumberFormat="1" applyFont="1" applyBorder="1" applyAlignment="1">
      <alignment horizontal="center" wrapText="1"/>
    </xf>
    <xf numFmtId="176" fontId="44" fillId="0" borderId="2" xfId="3" applyNumberFormat="1" applyFont="1" applyBorder="1" applyAlignment="1" applyProtection="1">
      <alignment horizontal="center" vertical="center" wrapText="1"/>
    </xf>
  </cellXfs>
  <cellStyles count="5">
    <cellStyle name="一般" xfId="0" builtinId="0" customBuiltin="1"/>
    <cellStyle name="一般 3" xfId="2" xr:uid="{00000000-0005-0000-0000-000001000000}"/>
    <cellStyle name="一般_moi04-05" xfId="3" xr:uid="{00000000-0005-0000-0000-000002000000}"/>
    <cellStyle name="一般_Sheet1" xfId="4" xr:uid="{00000000-0005-0000-0000-000003000000}"/>
    <cellStyle name="一般_十年長照上網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workbookViewId="0">
      <pane xSplit="2" ySplit="7" topLeftCell="C8" activePane="bottomRight" state="frozen"/>
      <selection activeCell="A36" sqref="A36"/>
      <selection pane="topRight" activeCell="C36" sqref="C36"/>
      <selection pane="bottomLeft" activeCell="A43" sqref="A43"/>
      <selection pane="bottomRight" activeCell="F10" sqref="F10"/>
    </sheetView>
  </sheetViews>
  <sheetFormatPr defaultColWidth="5.5" defaultRowHeight="11.25" x14ac:dyDescent="0.2"/>
  <cols>
    <col min="1" max="1" width="23.6640625" style="3" customWidth="1"/>
    <col min="2" max="20" width="9.6640625" style="3" customWidth="1"/>
    <col min="21" max="22" width="9.33203125" style="3" customWidth="1"/>
    <col min="23" max="23" width="11" style="3" customWidth="1"/>
    <col min="24" max="24" width="10.83203125" style="3" customWidth="1"/>
    <col min="25" max="25" width="5.5" style="3" customWidth="1"/>
    <col min="26" max="26" width="8.6640625" style="3" customWidth="1"/>
    <col min="27" max="30" width="6" style="3" customWidth="1"/>
    <col min="31" max="42" width="7.33203125" style="3" customWidth="1"/>
    <col min="43" max="43" width="7.6640625" style="3" customWidth="1"/>
    <col min="44" max="57" width="7.1640625" style="3" customWidth="1"/>
    <col min="58" max="58" width="8.1640625" style="3" customWidth="1"/>
    <col min="59" max="72" width="7.1640625" style="3" customWidth="1"/>
    <col min="73" max="73" width="7.33203125" style="3" customWidth="1"/>
    <col min="74" max="78" width="6" style="3" customWidth="1"/>
    <col min="79" max="79" width="4.6640625" style="3" customWidth="1"/>
    <col min="80" max="93" width="7.6640625" style="3" customWidth="1"/>
    <col min="94" max="94" width="11" style="3" customWidth="1"/>
    <col min="95" max="104" width="9.5" style="3" customWidth="1"/>
    <col min="105" max="105" width="7.6640625" style="3" customWidth="1"/>
    <col min="106" max="119" width="7.33203125" style="3" customWidth="1"/>
    <col min="120" max="120" width="9.1640625" style="3" customWidth="1"/>
    <col min="121" max="132" width="8.1640625" style="3" customWidth="1"/>
    <col min="133" max="133" width="6.6640625" style="3" customWidth="1"/>
    <col min="134" max="150" width="6.33203125" style="3" customWidth="1"/>
    <col min="151" max="151" width="5.5" style="3" customWidth="1"/>
    <col min="152" max="16384" width="5.5" style="3"/>
  </cols>
  <sheetData>
    <row r="1" spans="1:24" s="13" customFormat="1" ht="19.5" x14ac:dyDescent="0.2">
      <c r="A1" s="15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4" s="13" customFormat="1" ht="18.75" x14ac:dyDescent="0.2">
      <c r="A2" s="7" t="s">
        <v>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20"/>
      <c r="V2" s="20"/>
      <c r="W2" s="21"/>
      <c r="X2" s="21"/>
    </row>
    <row r="3" spans="1:24" s="9" customFormat="1" ht="14.25" x14ac:dyDescent="0.2">
      <c r="A3" s="102" t="s">
        <v>1</v>
      </c>
      <c r="B3" s="105" t="s">
        <v>25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</row>
    <row r="4" spans="1:24" s="9" customFormat="1" ht="19.5" customHeight="1" x14ac:dyDescent="0.2">
      <c r="A4" s="102"/>
      <c r="B4" s="102" t="s">
        <v>3</v>
      </c>
      <c r="C4" s="102"/>
      <c r="D4" s="102"/>
      <c r="E4" s="121" t="s">
        <v>177</v>
      </c>
      <c r="F4" s="102"/>
      <c r="G4" s="102"/>
      <c r="H4" s="102"/>
      <c r="I4" s="106" t="s">
        <v>140</v>
      </c>
      <c r="J4" s="106"/>
      <c r="K4" s="106"/>
      <c r="L4" s="106"/>
      <c r="M4" s="106"/>
      <c r="N4" s="106"/>
      <c r="O4" s="106"/>
      <c r="P4" s="106"/>
      <c r="Q4" s="107" t="s">
        <v>7</v>
      </c>
      <c r="R4" s="107"/>
      <c r="S4" s="100" t="s">
        <v>26</v>
      </c>
      <c r="T4" s="100"/>
      <c r="U4" s="107" t="s">
        <v>6</v>
      </c>
      <c r="V4" s="107"/>
      <c r="W4" s="101" t="s">
        <v>27</v>
      </c>
      <c r="X4" s="101"/>
    </row>
    <row r="5" spans="1:24" s="9" customFormat="1" ht="42.75" customHeight="1" x14ac:dyDescent="0.2">
      <c r="A5" s="102"/>
      <c r="B5" s="102"/>
      <c r="C5" s="102"/>
      <c r="D5" s="102"/>
      <c r="E5" s="103" t="s">
        <v>19</v>
      </c>
      <c r="F5" s="104"/>
      <c r="G5" s="103" t="s">
        <v>20</v>
      </c>
      <c r="H5" s="104"/>
      <c r="I5" s="102" t="s">
        <v>141</v>
      </c>
      <c r="J5" s="102"/>
      <c r="K5" s="102" t="s">
        <v>142</v>
      </c>
      <c r="L5" s="102"/>
      <c r="M5" s="102" t="s">
        <v>143</v>
      </c>
      <c r="N5" s="102"/>
      <c r="O5" s="102" t="s">
        <v>144</v>
      </c>
      <c r="P5" s="102"/>
      <c r="Q5" s="107"/>
      <c r="R5" s="107"/>
      <c r="S5" s="100"/>
      <c r="T5" s="100"/>
      <c r="U5" s="107"/>
      <c r="V5" s="107"/>
      <c r="W5" s="101"/>
      <c r="X5" s="101"/>
    </row>
    <row r="6" spans="1:24" s="88" customFormat="1" ht="27" x14ac:dyDescent="0.2">
      <c r="A6" s="102"/>
      <c r="B6" s="8" t="s">
        <v>12</v>
      </c>
      <c r="C6" s="8" t="s">
        <v>13</v>
      </c>
      <c r="D6" s="8" t="s">
        <v>14</v>
      </c>
      <c r="E6" s="8" t="s">
        <v>13</v>
      </c>
      <c r="F6" s="8" t="s">
        <v>14</v>
      </c>
      <c r="G6" s="8" t="s">
        <v>13</v>
      </c>
      <c r="H6" s="8" t="s">
        <v>14</v>
      </c>
      <c r="I6" s="8" t="s">
        <v>13</v>
      </c>
      <c r="J6" s="8" t="s">
        <v>14</v>
      </c>
      <c r="K6" s="8" t="s">
        <v>13</v>
      </c>
      <c r="L6" s="8" t="s">
        <v>14</v>
      </c>
      <c r="M6" s="8" t="s">
        <v>13</v>
      </c>
      <c r="N6" s="8" t="s">
        <v>14</v>
      </c>
      <c r="O6" s="8" t="s">
        <v>13</v>
      </c>
      <c r="P6" s="8" t="s">
        <v>14</v>
      </c>
      <c r="Q6" s="8" t="s">
        <v>13</v>
      </c>
      <c r="R6" s="10" t="s">
        <v>14</v>
      </c>
      <c r="S6" s="8" t="s">
        <v>13</v>
      </c>
      <c r="T6" s="10" t="s">
        <v>14</v>
      </c>
      <c r="U6" s="8" t="s">
        <v>13</v>
      </c>
      <c r="V6" s="8" t="s">
        <v>14</v>
      </c>
      <c r="W6" s="8" t="s">
        <v>13</v>
      </c>
      <c r="X6" s="10" t="s">
        <v>14</v>
      </c>
    </row>
    <row r="7" spans="1:24" s="88" customFormat="1" ht="14.25" x14ac:dyDescent="0.2">
      <c r="A7" s="90" t="s">
        <v>32</v>
      </c>
      <c r="B7" s="64">
        <f>'2019'!D8</f>
        <v>11113</v>
      </c>
      <c r="C7" s="65">
        <f>'2019'!E8</f>
        <v>4832</v>
      </c>
      <c r="D7" s="65">
        <f>'2019'!F8</f>
        <v>6281</v>
      </c>
      <c r="E7" s="65">
        <f>'2019'!G8</f>
        <v>8</v>
      </c>
      <c r="F7" s="65">
        <f>'2019'!H8</f>
        <v>8</v>
      </c>
      <c r="G7" s="65">
        <f>'2019'!I8</f>
        <v>8</v>
      </c>
      <c r="H7" s="65">
        <f>'2019'!J8</f>
        <v>4</v>
      </c>
      <c r="I7" s="65">
        <f>'2019'!K8</f>
        <v>429</v>
      </c>
      <c r="J7" s="65">
        <f>'2019'!L8</f>
        <v>315</v>
      </c>
      <c r="K7" s="65">
        <f>'2019'!M8</f>
        <v>123</v>
      </c>
      <c r="L7" s="65">
        <f>'2019'!N8</f>
        <v>152</v>
      </c>
      <c r="M7" s="65">
        <f>'2019'!O8</f>
        <v>556</v>
      </c>
      <c r="N7" s="65">
        <f>'2019'!P8</f>
        <v>2585</v>
      </c>
      <c r="O7" s="65">
        <f>'2019'!Q8</f>
        <v>523</v>
      </c>
      <c r="P7" s="65">
        <f>'2019'!R8</f>
        <v>480</v>
      </c>
      <c r="Q7" s="65">
        <f>'2019'!U8</f>
        <v>61</v>
      </c>
      <c r="R7" s="65">
        <f>'2019'!V8</f>
        <v>57</v>
      </c>
      <c r="S7" s="65">
        <f>'2019'!W8</f>
        <v>89</v>
      </c>
      <c r="T7" s="65">
        <f>'2019'!X8</f>
        <v>126</v>
      </c>
      <c r="U7" s="65">
        <f>'2019'!S8</f>
        <v>1879</v>
      </c>
      <c r="V7" s="65">
        <f>'2019'!T8</f>
        <v>1154</v>
      </c>
      <c r="W7" s="65">
        <f>'2019'!Y8</f>
        <v>1156</v>
      </c>
      <c r="X7" s="65">
        <f>'2019'!Z8</f>
        <v>1400</v>
      </c>
    </row>
    <row r="8" spans="1:24" s="89" customFormat="1" ht="14.25" x14ac:dyDescent="0.2">
      <c r="A8" s="91" t="s">
        <v>134</v>
      </c>
      <c r="B8" s="22">
        <f>'2020'!D8</f>
        <v>12610</v>
      </c>
      <c r="C8" s="12">
        <f>'2020'!E8</f>
        <v>5475</v>
      </c>
      <c r="D8" s="12">
        <f>'2020'!F8</f>
        <v>7135</v>
      </c>
      <c r="E8" s="12">
        <f>'2020'!G8</f>
        <v>5</v>
      </c>
      <c r="F8" s="12">
        <f>'2020'!H8</f>
        <v>8</v>
      </c>
      <c r="G8" s="12">
        <f>'2020'!I8</f>
        <v>8</v>
      </c>
      <c r="H8" s="12">
        <f>'2020'!J8</f>
        <v>11</v>
      </c>
      <c r="I8" s="12">
        <f>'2020'!K8</f>
        <v>1841</v>
      </c>
      <c r="J8" s="12">
        <f>'2020'!L8</f>
        <v>1332</v>
      </c>
      <c r="K8" s="12">
        <f>'2020'!M8</f>
        <v>183</v>
      </c>
      <c r="L8" s="12">
        <f>'2020'!N8</f>
        <v>229</v>
      </c>
      <c r="M8" s="12">
        <f>'2020'!O8</f>
        <v>337</v>
      </c>
      <c r="N8" s="12">
        <f>'2020'!P8</f>
        <v>1633</v>
      </c>
      <c r="O8" s="12">
        <f>'2020'!Q8</f>
        <v>644</v>
      </c>
      <c r="P8" s="12">
        <f>'2020'!R8</f>
        <v>588</v>
      </c>
      <c r="Q8" s="12">
        <f>'2020'!U8</f>
        <v>62</v>
      </c>
      <c r="R8" s="12">
        <f>'2020'!V8</f>
        <v>67</v>
      </c>
      <c r="S8" s="12">
        <f>'2020'!W8</f>
        <v>343</v>
      </c>
      <c r="T8" s="12">
        <f>'2020'!X8</f>
        <v>156</v>
      </c>
      <c r="U8" s="12">
        <f>'2020'!S8</f>
        <v>801</v>
      </c>
      <c r="V8" s="12">
        <f>'2020'!T8</f>
        <v>536</v>
      </c>
      <c r="W8" s="12">
        <f>'2020'!Y8</f>
        <v>1251</v>
      </c>
      <c r="X8" s="12">
        <f>'2020'!Z8</f>
        <v>2575</v>
      </c>
    </row>
    <row r="9" spans="1:24" s="88" customFormat="1" ht="14.25" x14ac:dyDescent="0.2">
      <c r="A9" s="91" t="s">
        <v>154</v>
      </c>
      <c r="B9" s="22">
        <f>'2021'!D8</f>
        <v>11523</v>
      </c>
      <c r="C9" s="12">
        <f>'2021'!E8</f>
        <v>5108</v>
      </c>
      <c r="D9" s="12">
        <f>'2021'!F8</f>
        <v>6415</v>
      </c>
      <c r="E9" s="12">
        <f>'2021'!G8</f>
        <v>11</v>
      </c>
      <c r="F9" s="12">
        <f>'2021'!H8</f>
        <v>7</v>
      </c>
      <c r="G9" s="12">
        <f>'2021'!I8</f>
        <v>13</v>
      </c>
      <c r="H9" s="12">
        <f>'2021'!J8</f>
        <v>9</v>
      </c>
      <c r="I9" s="12">
        <f>'2021'!K8</f>
        <v>3032</v>
      </c>
      <c r="J9" s="12">
        <f>'2021'!L8</f>
        <v>2209</v>
      </c>
      <c r="K9" s="12">
        <f>'2021'!M8</f>
        <v>317</v>
      </c>
      <c r="L9" s="12">
        <f>'2021'!N8</f>
        <v>300</v>
      </c>
      <c r="M9" s="12">
        <f>'2021'!O8</f>
        <v>689</v>
      </c>
      <c r="N9" s="12">
        <f>'2021'!P8</f>
        <v>3138</v>
      </c>
      <c r="O9" s="12">
        <f>'2021'!Q8</f>
        <v>686</v>
      </c>
      <c r="P9" s="12">
        <f>'2021'!R8</f>
        <v>578</v>
      </c>
      <c r="Q9" s="12">
        <f>'2021'!S8</f>
        <v>48</v>
      </c>
      <c r="R9" s="12">
        <f>'2021'!T8</f>
        <v>63</v>
      </c>
      <c r="S9" s="12">
        <f>'2021'!U8</f>
        <v>312</v>
      </c>
      <c r="T9" s="12">
        <f>'2021'!V8</f>
        <v>111</v>
      </c>
      <c r="U9" s="12" t="s">
        <v>145</v>
      </c>
      <c r="V9" s="12" t="s">
        <v>145</v>
      </c>
      <c r="W9" s="12" t="s">
        <v>145</v>
      </c>
      <c r="X9" s="12" t="s">
        <v>145</v>
      </c>
    </row>
    <row r="10" spans="1:24" s="88" customFormat="1" ht="14.25" x14ac:dyDescent="0.2">
      <c r="A10" s="91" t="s">
        <v>157</v>
      </c>
      <c r="B10" s="22">
        <f>'2022'!D8</f>
        <v>11950</v>
      </c>
      <c r="C10" s="12">
        <f>'2022'!E8</f>
        <v>5281</v>
      </c>
      <c r="D10" s="12">
        <f>'2022'!F8</f>
        <v>6669</v>
      </c>
      <c r="E10" s="12">
        <f>'2022'!G8</f>
        <v>15</v>
      </c>
      <c r="F10" s="12">
        <f>'2022'!H8</f>
        <v>1</v>
      </c>
      <c r="G10" s="12">
        <f>'2022'!I8</f>
        <v>6</v>
      </c>
      <c r="H10" s="12">
        <f>'2022'!J8</f>
        <v>9</v>
      </c>
      <c r="I10" s="12">
        <f>'2022'!K8</f>
        <v>3199</v>
      </c>
      <c r="J10" s="12">
        <f>'2022'!L8</f>
        <v>2294</v>
      </c>
      <c r="K10" s="12">
        <f>'2022'!M8</f>
        <v>253</v>
      </c>
      <c r="L10" s="12">
        <f>'2022'!N8</f>
        <v>281</v>
      </c>
      <c r="M10" s="12">
        <f>'2022'!O8</f>
        <v>705</v>
      </c>
      <c r="N10" s="12">
        <f>'2022'!P8</f>
        <v>3302</v>
      </c>
      <c r="O10" s="12">
        <f>'2022'!Q8</f>
        <v>774</v>
      </c>
      <c r="P10" s="12">
        <f>'2022'!R8</f>
        <v>666</v>
      </c>
      <c r="Q10" s="12">
        <f>'2022'!S8</f>
        <v>49</v>
      </c>
      <c r="R10" s="12">
        <f>'2022'!T8</f>
        <v>43</v>
      </c>
      <c r="S10" s="12">
        <f>'2022'!U8</f>
        <v>280</v>
      </c>
      <c r="T10" s="12">
        <f>'2022'!V8</f>
        <v>73</v>
      </c>
      <c r="U10" s="12" t="s">
        <v>145</v>
      </c>
      <c r="V10" s="12" t="s">
        <v>145</v>
      </c>
      <c r="W10" s="12" t="s">
        <v>145</v>
      </c>
      <c r="X10" s="12" t="s">
        <v>145</v>
      </c>
    </row>
    <row r="11" spans="1:24" s="88" customFormat="1" ht="14.25" x14ac:dyDescent="0.2">
      <c r="A11" s="91" t="s">
        <v>161</v>
      </c>
      <c r="B11" s="84">
        <f>'2023'!D8</f>
        <v>12646</v>
      </c>
      <c r="C11" s="12">
        <f>'2023'!E8</f>
        <v>5649</v>
      </c>
      <c r="D11" s="12">
        <f>'2023'!F8</f>
        <v>6997</v>
      </c>
      <c r="E11" s="12">
        <f>'2023'!G8</f>
        <v>9</v>
      </c>
      <c r="F11" s="12">
        <f>'2023'!H8</f>
        <v>5</v>
      </c>
      <c r="G11" s="12">
        <f>'2023'!I8</f>
        <v>12</v>
      </c>
      <c r="H11" s="12">
        <f>'2023'!J8</f>
        <v>3</v>
      </c>
      <c r="I11" s="12">
        <f>'2023'!K8</f>
        <v>3756</v>
      </c>
      <c r="J11" s="12">
        <f>'2023'!L8</f>
        <v>2611</v>
      </c>
      <c r="K11" s="12">
        <f>'2023'!M8</f>
        <v>249</v>
      </c>
      <c r="L11" s="12">
        <f>'2023'!N8</f>
        <v>281</v>
      </c>
      <c r="M11" s="12">
        <f>'2023'!O8</f>
        <v>713</v>
      </c>
      <c r="N11" s="12">
        <f>'2023'!P8</f>
        <v>3400</v>
      </c>
      <c r="O11" s="12">
        <f>'2023'!Q8</f>
        <v>709</v>
      </c>
      <c r="P11" s="12">
        <f>'2023'!R8</f>
        <v>605</v>
      </c>
      <c r="Q11" s="12">
        <f>'2023'!S8</f>
        <v>59</v>
      </c>
      <c r="R11" s="12">
        <f>'2023'!T8</f>
        <v>59</v>
      </c>
      <c r="S11" s="12">
        <f>'2023'!U8</f>
        <v>142</v>
      </c>
      <c r="T11" s="12">
        <f>'2023'!V8</f>
        <v>33</v>
      </c>
      <c r="U11" s="12" t="s">
        <v>145</v>
      </c>
      <c r="V11" s="12" t="s">
        <v>145</v>
      </c>
      <c r="W11" s="12">
        <f>'2023'!Y8</f>
        <v>0</v>
      </c>
      <c r="X11" s="12">
        <f>'2023'!Z8</f>
        <v>0</v>
      </c>
    </row>
    <row r="12" spans="1:24" s="88" customFormat="1" ht="14.25" x14ac:dyDescent="0.2">
      <c r="A12" s="91" t="s">
        <v>170</v>
      </c>
      <c r="B12" s="12">
        <f>'2024'!D8</f>
        <v>10810</v>
      </c>
      <c r="C12" s="12">
        <f>'2024'!E8</f>
        <v>4836</v>
      </c>
      <c r="D12" s="12">
        <f>'2024'!F8</f>
        <v>5974</v>
      </c>
      <c r="E12" s="12">
        <f>'2024'!G8</f>
        <v>5</v>
      </c>
      <c r="F12" s="12">
        <f>'2024'!H8</f>
        <v>6</v>
      </c>
      <c r="G12" s="12">
        <f>'2024'!I8</f>
        <v>10</v>
      </c>
      <c r="H12" s="12">
        <f>'2024'!J8</f>
        <v>4</v>
      </c>
      <c r="I12" s="12">
        <f>'2024'!K8</f>
        <v>3340</v>
      </c>
      <c r="J12" s="12">
        <f>'2024'!L8</f>
        <v>2326</v>
      </c>
      <c r="K12" s="12">
        <f>'2024'!M8</f>
        <v>254</v>
      </c>
      <c r="L12" s="12">
        <f>'2024'!N8</f>
        <v>238</v>
      </c>
      <c r="M12" s="12">
        <f>'2024'!O8</f>
        <v>585</v>
      </c>
      <c r="N12" s="12">
        <f>'2024'!P8</f>
        <v>2882</v>
      </c>
      <c r="O12" s="12">
        <f>'2024'!Q8</f>
        <v>600</v>
      </c>
      <c r="P12" s="12">
        <f>'2024'!R8</f>
        <v>476</v>
      </c>
      <c r="Q12" s="12">
        <f>'2024'!S8</f>
        <v>37</v>
      </c>
      <c r="R12" s="12">
        <f>'2024'!T8</f>
        <v>31</v>
      </c>
      <c r="S12" s="12">
        <f>'2024'!U8</f>
        <v>5</v>
      </c>
      <c r="T12" s="12">
        <f>'2024'!V8</f>
        <v>11</v>
      </c>
      <c r="U12" s="12">
        <f>'2024'!W8</f>
        <v>0</v>
      </c>
      <c r="V12" s="12">
        <f>'2024'!X8</f>
        <v>0</v>
      </c>
      <c r="W12" s="12">
        <f>'2024'!Y8</f>
        <v>0</v>
      </c>
      <c r="X12" s="12">
        <f>'2024'!Z8</f>
        <v>0</v>
      </c>
    </row>
    <row r="13" spans="1:24" s="88" customFormat="1" ht="14.25" hidden="1" x14ac:dyDescent="0.2">
      <c r="A13" s="92" t="s">
        <v>135</v>
      </c>
      <c r="B13" s="12">
        <v>5771</v>
      </c>
      <c r="C13" s="12">
        <v>2521</v>
      </c>
      <c r="D13" s="12">
        <v>3250</v>
      </c>
      <c r="E13" s="12">
        <v>3</v>
      </c>
      <c r="F13" s="12">
        <v>5</v>
      </c>
      <c r="G13" s="12">
        <v>5</v>
      </c>
      <c r="H13" s="12">
        <v>3</v>
      </c>
      <c r="I13" s="12">
        <v>1804</v>
      </c>
      <c r="J13" s="12">
        <v>1242</v>
      </c>
      <c r="K13" s="12">
        <v>144</v>
      </c>
      <c r="L13" s="12">
        <v>144</v>
      </c>
      <c r="M13" s="12">
        <v>278</v>
      </c>
      <c r="N13" s="12">
        <v>1591</v>
      </c>
      <c r="O13" s="12">
        <v>273</v>
      </c>
      <c r="P13" s="12">
        <v>243</v>
      </c>
      <c r="Q13" s="12">
        <v>9</v>
      </c>
      <c r="R13" s="12">
        <v>11</v>
      </c>
      <c r="S13" s="12">
        <v>5</v>
      </c>
      <c r="T13" s="12">
        <v>11</v>
      </c>
      <c r="U13" s="12" t="s">
        <v>160</v>
      </c>
      <c r="V13" s="12" t="s">
        <v>160</v>
      </c>
      <c r="W13" s="12" t="s">
        <v>160</v>
      </c>
      <c r="X13" s="12" t="s">
        <v>160</v>
      </c>
    </row>
    <row r="14" spans="1:24" s="88" customFormat="1" ht="14.25" hidden="1" x14ac:dyDescent="0.2">
      <c r="A14" s="93" t="s">
        <v>136</v>
      </c>
      <c r="B14" s="12">
        <v>5039</v>
      </c>
      <c r="C14" s="12">
        <v>2315</v>
      </c>
      <c r="D14" s="12">
        <v>2724</v>
      </c>
      <c r="E14" s="12">
        <v>2</v>
      </c>
      <c r="F14" s="12">
        <v>1</v>
      </c>
      <c r="G14" s="12">
        <v>5</v>
      </c>
      <c r="H14" s="12">
        <v>1</v>
      </c>
      <c r="I14" s="12">
        <v>1536</v>
      </c>
      <c r="J14" s="12">
        <v>1084</v>
      </c>
      <c r="K14" s="12">
        <v>110</v>
      </c>
      <c r="L14" s="12">
        <v>94</v>
      </c>
      <c r="M14" s="12">
        <v>307</v>
      </c>
      <c r="N14" s="12">
        <v>1291</v>
      </c>
      <c r="O14" s="12">
        <v>327</v>
      </c>
      <c r="P14" s="12">
        <v>233</v>
      </c>
      <c r="Q14" s="12">
        <v>28</v>
      </c>
      <c r="R14" s="12">
        <v>20</v>
      </c>
      <c r="S14" s="12">
        <v>0</v>
      </c>
      <c r="T14" s="12">
        <v>0</v>
      </c>
      <c r="U14" s="12" t="s">
        <v>160</v>
      </c>
      <c r="V14" s="12" t="s">
        <v>160</v>
      </c>
      <c r="W14" s="12" t="s">
        <v>160</v>
      </c>
      <c r="X14" s="12" t="s">
        <v>160</v>
      </c>
    </row>
    <row r="15" spans="1:24" s="88" customFormat="1" ht="14.25" x14ac:dyDescent="0.2">
      <c r="A15" s="94" t="s">
        <v>169</v>
      </c>
      <c r="B15" s="87">
        <f>'2025'!D8</f>
        <v>9898</v>
      </c>
      <c r="C15" s="87">
        <f>'2025'!E8</f>
        <v>4451</v>
      </c>
      <c r="D15" s="87">
        <f>'2025'!F8</f>
        <v>5447</v>
      </c>
      <c r="E15" s="87">
        <f>'2025'!G8</f>
        <v>6</v>
      </c>
      <c r="F15" s="87">
        <f>'2025'!H8</f>
        <v>4</v>
      </c>
      <c r="G15" s="87">
        <f>'2025'!I8</f>
        <v>9</v>
      </c>
      <c r="H15" s="87">
        <f>'2025'!J8</f>
        <v>1</v>
      </c>
      <c r="I15" s="87">
        <f>'2025'!K8</f>
        <v>3125</v>
      </c>
      <c r="J15" s="87">
        <f>'2025'!L8</f>
        <v>2045</v>
      </c>
      <c r="K15" s="87">
        <f>'2025'!M8</f>
        <v>209</v>
      </c>
      <c r="L15" s="87">
        <f>'2025'!N8</f>
        <v>227</v>
      </c>
      <c r="M15" s="87">
        <f>'2025'!O8</f>
        <v>452</v>
      </c>
      <c r="N15" s="87">
        <f>'2025'!P8</f>
        <v>2657</v>
      </c>
      <c r="O15" s="87">
        <f>'2025'!Q8</f>
        <v>620</v>
      </c>
      <c r="P15" s="87">
        <f>'2025'!R8</f>
        <v>486</v>
      </c>
      <c r="Q15" s="87">
        <f>'2025'!S8</f>
        <v>30</v>
      </c>
      <c r="R15" s="87">
        <f>'2025'!T8</f>
        <v>27</v>
      </c>
      <c r="S15" s="87">
        <f>'2025'!U8</f>
        <v>0</v>
      </c>
      <c r="T15" s="87">
        <f>'2025'!V8</f>
        <v>0</v>
      </c>
      <c r="U15" s="87">
        <f>'2025'!W8</f>
        <v>0</v>
      </c>
      <c r="V15" s="87">
        <f>'2025'!X8</f>
        <v>0</v>
      </c>
      <c r="W15" s="87">
        <f>'2025'!Y8</f>
        <v>0</v>
      </c>
      <c r="X15" s="87">
        <f>'2025'!Z8</f>
        <v>0</v>
      </c>
    </row>
    <row r="16" spans="1:24" s="13" customFormat="1" ht="14.25" x14ac:dyDescent="0.2">
      <c r="A16" s="97" t="s">
        <v>135</v>
      </c>
      <c r="B16" s="22">
        <f>'Jan.-June,  2025'!D8</f>
        <v>5352</v>
      </c>
      <c r="C16" s="12">
        <f>'Jan.-June,  2025'!E8</f>
        <v>2421</v>
      </c>
      <c r="D16" s="12">
        <f>'Jan.-June,  2025'!F8</f>
        <v>2931</v>
      </c>
      <c r="E16" s="12">
        <f>'Jan.-June,  2025'!G8</f>
        <v>2</v>
      </c>
      <c r="F16" s="12">
        <f>'Jan.-June,  2025'!H8</f>
        <v>4</v>
      </c>
      <c r="G16" s="12">
        <f>'Jan.-June,  2025'!I8</f>
        <v>2</v>
      </c>
      <c r="H16" s="12">
        <f>'Jan.-June,  2025'!J8</f>
        <v>0</v>
      </c>
      <c r="I16" s="12">
        <f>'Jan.-June,  2025'!K8</f>
        <v>1714</v>
      </c>
      <c r="J16" s="12">
        <f>'Jan.-June,  2025'!L8</f>
        <v>1112</v>
      </c>
      <c r="K16" s="12">
        <f>'Jan.-June,  2025'!M8</f>
        <v>96</v>
      </c>
      <c r="L16" s="12">
        <f>'Jan.-June,  2025'!N8</f>
        <v>107</v>
      </c>
      <c r="M16" s="12">
        <f>'Jan.-June,  2025'!O8</f>
        <v>274</v>
      </c>
      <c r="N16" s="12">
        <f>'Jan.-June,  2025'!P8</f>
        <v>1454</v>
      </c>
      <c r="O16" s="12">
        <f>'Jan.-June,  2025'!Q8</f>
        <v>317</v>
      </c>
      <c r="P16" s="12">
        <f>'Jan.-June,  2025'!R8</f>
        <v>237</v>
      </c>
      <c r="Q16" s="12">
        <f>'Jan.-June,  2025'!S8</f>
        <v>16</v>
      </c>
      <c r="R16" s="12">
        <f>'Jan.-June,  2025'!T8</f>
        <v>17</v>
      </c>
      <c r="S16" s="12">
        <f>'Jan.-June,  2025'!U8</f>
        <v>0</v>
      </c>
      <c r="T16" s="12">
        <f>'Jan.-June,  2025'!V8</f>
        <v>0</v>
      </c>
      <c r="U16" s="12">
        <f>'Jan.-June,  2025'!W8</f>
        <v>0</v>
      </c>
      <c r="V16" s="12" t="s">
        <v>145</v>
      </c>
      <c r="W16" s="12" t="s">
        <v>145</v>
      </c>
      <c r="X16" s="12" t="s">
        <v>145</v>
      </c>
    </row>
    <row r="17" spans="1:24" s="13" customFormat="1" ht="14.25" x14ac:dyDescent="0.25">
      <c r="A17" s="120" t="s">
        <v>136</v>
      </c>
      <c r="B17" s="22">
        <f>'July-Dec., 2025'!D8</f>
        <v>4546</v>
      </c>
      <c r="C17" s="12">
        <f>'July-Dec., 2025'!E8</f>
        <v>2030</v>
      </c>
      <c r="D17" s="12">
        <f>'July-Dec., 2025'!F8</f>
        <v>2516</v>
      </c>
      <c r="E17" s="12">
        <f>'July-Dec., 2025'!G8</f>
        <v>4</v>
      </c>
      <c r="F17" s="12">
        <f>'July-Dec., 2025'!H8</f>
        <v>0</v>
      </c>
      <c r="G17" s="12">
        <f>'July-Dec., 2025'!I8</f>
        <v>7</v>
      </c>
      <c r="H17" s="12">
        <f>'July-Dec., 2025'!J8</f>
        <v>1</v>
      </c>
      <c r="I17" s="12">
        <f>'July-Dec., 2025'!K8</f>
        <v>1411</v>
      </c>
      <c r="J17" s="12">
        <f>'July-Dec., 2025'!L8</f>
        <v>933</v>
      </c>
      <c r="K17" s="12">
        <f>'July-Dec., 2025'!M8</f>
        <v>113</v>
      </c>
      <c r="L17" s="12">
        <f>'July-Dec., 2025'!N8</f>
        <v>120</v>
      </c>
      <c r="M17" s="12">
        <f>'July-Dec., 2025'!O8</f>
        <v>178</v>
      </c>
      <c r="N17" s="12">
        <f>'July-Dec., 2025'!P8</f>
        <v>1203</v>
      </c>
      <c r="O17" s="12">
        <f>'July-Dec., 2025'!Q8</f>
        <v>303</v>
      </c>
      <c r="P17" s="12">
        <f>'July-Dec., 2025'!R8</f>
        <v>249</v>
      </c>
      <c r="Q17" s="12">
        <f>'July-Dec., 2025'!S8</f>
        <v>14</v>
      </c>
      <c r="R17" s="12">
        <f>'July-Dec., 2025'!T8</f>
        <v>10</v>
      </c>
      <c r="S17" s="12">
        <f>'July-Dec., 2025'!U8</f>
        <v>0</v>
      </c>
      <c r="T17" s="12">
        <f>'July-Dec., 2025'!V8</f>
        <v>0</v>
      </c>
      <c r="U17" s="12">
        <f>'July-Dec., 2025'!W8</f>
        <v>0</v>
      </c>
      <c r="V17" s="12">
        <f>'July-Dec., 2025'!X8</f>
        <v>0</v>
      </c>
      <c r="W17" s="12">
        <f>'July-Dec., 2025'!Y8</f>
        <v>0</v>
      </c>
      <c r="X17" s="12">
        <f>'July-Dec., 2025'!Z8</f>
        <v>0</v>
      </c>
    </row>
    <row r="18" spans="1:24" s="6" customFormat="1" ht="14.25" x14ac:dyDescent="0.2">
      <c r="A18" s="74" t="s">
        <v>148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1"/>
      <c r="T18" s="61"/>
      <c r="U18" s="60"/>
      <c r="V18" s="60"/>
      <c r="W18" s="60"/>
      <c r="X18" s="60"/>
    </row>
    <row r="19" spans="1:24" s="6" customFormat="1" ht="12.75" x14ac:dyDescent="0.2">
      <c r="A19" s="99" t="s">
        <v>139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</row>
    <row r="20" spans="1:24" s="70" customFormat="1" ht="14.25" x14ac:dyDescent="0.2">
      <c r="A20" s="96" t="s">
        <v>174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</row>
    <row r="21" spans="1:24" s="70" customFormat="1" ht="14.25" x14ac:dyDescent="0.2">
      <c r="A21" s="68" t="s">
        <v>175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</row>
    <row r="22" spans="1:24" s="6" customFormat="1" ht="12.75" x14ac:dyDescent="0.2">
      <c r="A22" s="23" t="s">
        <v>29</v>
      </c>
      <c r="S22" s="19"/>
      <c r="T22" s="19"/>
      <c r="U22" s="19"/>
      <c r="V22" s="19"/>
    </row>
    <row r="23" spans="1:24" s="6" customFormat="1" ht="14.25" x14ac:dyDescent="0.2">
      <c r="A23" s="66" t="s">
        <v>176</v>
      </c>
    </row>
    <row r="24" spans="1:24" s="86" customFormat="1" ht="12.75" x14ac:dyDescent="0.2">
      <c r="B24" s="98" t="str">
        <f>IF(B15=SUM(B16:B17),"","*")</f>
        <v/>
      </c>
      <c r="C24" s="98" t="str">
        <f t="shared" ref="C24:X24" si="0">IF(C15=SUM(C16:C17),"","*")</f>
        <v/>
      </c>
      <c r="D24" s="98" t="str">
        <f t="shared" si="0"/>
        <v/>
      </c>
      <c r="E24" s="98" t="str">
        <f t="shared" si="0"/>
        <v/>
      </c>
      <c r="F24" s="98" t="str">
        <f t="shared" si="0"/>
        <v/>
      </c>
      <c r="G24" s="98" t="str">
        <f t="shared" si="0"/>
        <v/>
      </c>
      <c r="H24" s="98" t="str">
        <f t="shared" si="0"/>
        <v/>
      </c>
      <c r="I24" s="98" t="str">
        <f t="shared" si="0"/>
        <v/>
      </c>
      <c r="J24" s="98" t="str">
        <f t="shared" si="0"/>
        <v/>
      </c>
      <c r="K24" s="98" t="str">
        <f t="shared" si="0"/>
        <v/>
      </c>
      <c r="L24" s="98" t="str">
        <f t="shared" si="0"/>
        <v/>
      </c>
      <c r="M24" s="98" t="str">
        <f t="shared" si="0"/>
        <v/>
      </c>
      <c r="N24" s="98" t="str">
        <f t="shared" si="0"/>
        <v/>
      </c>
      <c r="O24" s="98" t="str">
        <f t="shared" si="0"/>
        <v/>
      </c>
      <c r="P24" s="98" t="str">
        <f t="shared" si="0"/>
        <v/>
      </c>
      <c r="Q24" s="98" t="str">
        <f t="shared" si="0"/>
        <v/>
      </c>
      <c r="R24" s="98" t="str">
        <f t="shared" si="0"/>
        <v/>
      </c>
      <c r="S24" s="98" t="str">
        <f t="shared" si="0"/>
        <v/>
      </c>
      <c r="T24" s="98" t="str">
        <f t="shared" si="0"/>
        <v/>
      </c>
      <c r="U24" s="98" t="str">
        <f t="shared" si="0"/>
        <v/>
      </c>
      <c r="V24" s="98" t="str">
        <f t="shared" si="0"/>
        <v/>
      </c>
      <c r="W24" s="98" t="str">
        <f t="shared" si="0"/>
        <v/>
      </c>
      <c r="X24" s="98" t="str">
        <f t="shared" si="0"/>
        <v/>
      </c>
    </row>
    <row r="25" spans="1:24" s="6" customFormat="1" ht="12.75" x14ac:dyDescent="0.2">
      <c r="S25" s="19"/>
      <c r="T25" s="19"/>
      <c r="U25" s="19"/>
      <c r="V25" s="19"/>
    </row>
    <row r="26" spans="1:24" x14ac:dyDescent="0.2">
      <c r="S26" s="24"/>
      <c r="T26" s="24"/>
      <c r="U26" s="24"/>
      <c r="V26" s="24"/>
    </row>
    <row r="27" spans="1:24" x14ac:dyDescent="0.2">
      <c r="S27" s="25"/>
      <c r="T27" s="25"/>
      <c r="U27" s="25"/>
      <c r="V27" s="25"/>
    </row>
    <row r="28" spans="1:24" x14ac:dyDescent="0.2">
      <c r="S28" s="24"/>
      <c r="T28" s="24"/>
      <c r="U28" s="24"/>
      <c r="V28" s="24"/>
    </row>
    <row r="29" spans="1:24" x14ac:dyDescent="0.2">
      <c r="S29" s="24"/>
      <c r="T29" s="24"/>
      <c r="U29" s="24"/>
      <c r="V29" s="24"/>
    </row>
    <row r="30" spans="1:24" x14ac:dyDescent="0.2">
      <c r="P30" s="95"/>
      <c r="S30" s="25"/>
      <c r="T30" s="25"/>
      <c r="U30" s="25"/>
      <c r="V30" s="25"/>
    </row>
    <row r="31" spans="1:24" x14ac:dyDescent="0.2">
      <c r="S31" s="24"/>
      <c r="T31" s="24"/>
      <c r="U31" s="24"/>
      <c r="V31" s="24"/>
    </row>
    <row r="32" spans="1:24" x14ac:dyDescent="0.2">
      <c r="S32" s="24"/>
      <c r="T32" s="24"/>
      <c r="U32" s="24"/>
      <c r="V32" s="24"/>
    </row>
    <row r="33" spans="19:22" x14ac:dyDescent="0.2">
      <c r="S33" s="25"/>
      <c r="T33" s="25"/>
      <c r="U33" s="25"/>
      <c r="V33" s="25"/>
    </row>
    <row r="34" spans="19:22" x14ac:dyDescent="0.2">
      <c r="S34" s="24"/>
      <c r="T34" s="24"/>
      <c r="U34" s="24"/>
      <c r="V34" s="24"/>
    </row>
    <row r="35" spans="19:22" x14ac:dyDescent="0.2">
      <c r="S35" s="24"/>
      <c r="T35" s="24"/>
      <c r="U35" s="24"/>
      <c r="V35" s="24"/>
    </row>
    <row r="36" spans="19:22" x14ac:dyDescent="0.2">
      <c r="S36" s="25"/>
      <c r="T36" s="25"/>
      <c r="U36" s="25"/>
      <c r="V36" s="25"/>
    </row>
    <row r="37" spans="19:22" x14ac:dyDescent="0.2">
      <c r="S37" s="24"/>
      <c r="T37" s="24"/>
      <c r="U37" s="24"/>
      <c r="V37" s="24"/>
    </row>
    <row r="38" spans="19:22" x14ac:dyDescent="0.2">
      <c r="S38" s="24"/>
      <c r="T38" s="24"/>
      <c r="U38" s="24"/>
      <c r="V38" s="24"/>
    </row>
    <row r="39" spans="19:22" x14ac:dyDescent="0.2">
      <c r="S39" s="25"/>
      <c r="T39" s="25"/>
      <c r="U39" s="25"/>
      <c r="V39" s="25"/>
    </row>
    <row r="40" spans="19:22" x14ac:dyDescent="0.2">
      <c r="S40" s="24"/>
      <c r="T40" s="24"/>
      <c r="U40" s="24"/>
      <c r="V40" s="24"/>
    </row>
    <row r="41" spans="19:22" x14ac:dyDescent="0.2">
      <c r="S41" s="24"/>
      <c r="T41" s="24"/>
      <c r="U41" s="24"/>
      <c r="V41" s="24"/>
    </row>
    <row r="42" spans="19:22" x14ac:dyDescent="0.2">
      <c r="S42" s="25"/>
      <c r="T42" s="25"/>
      <c r="U42" s="25"/>
      <c r="V42" s="25"/>
    </row>
    <row r="43" spans="19:22" x14ac:dyDescent="0.2">
      <c r="S43" s="24"/>
      <c r="T43" s="24"/>
      <c r="U43" s="24"/>
      <c r="V43" s="24"/>
    </row>
    <row r="44" spans="19:22" x14ac:dyDescent="0.2">
      <c r="S44" s="24"/>
      <c r="T44" s="24"/>
      <c r="U44" s="24"/>
      <c r="V44" s="24"/>
    </row>
    <row r="45" spans="19:22" x14ac:dyDescent="0.2">
      <c r="S45" s="25"/>
      <c r="T45" s="25"/>
      <c r="U45" s="25"/>
      <c r="V45" s="25"/>
    </row>
    <row r="46" spans="19:22" x14ac:dyDescent="0.2">
      <c r="S46" s="24"/>
      <c r="T46" s="24"/>
      <c r="U46" s="24"/>
      <c r="V46" s="24"/>
    </row>
    <row r="47" spans="19:22" x14ac:dyDescent="0.2">
      <c r="S47" s="24"/>
      <c r="T47" s="24"/>
      <c r="U47" s="24"/>
      <c r="V47" s="24"/>
    </row>
    <row r="48" spans="19:22" x14ac:dyDescent="0.2">
      <c r="S48" s="25"/>
      <c r="T48" s="25"/>
      <c r="U48" s="25"/>
      <c r="V48" s="25"/>
    </row>
    <row r="49" spans="19:22" x14ac:dyDescent="0.2">
      <c r="S49" s="24"/>
      <c r="T49" s="24"/>
      <c r="U49" s="24"/>
      <c r="V49" s="24"/>
    </row>
    <row r="50" spans="19:22" x14ac:dyDescent="0.2">
      <c r="S50" s="24"/>
      <c r="T50" s="24"/>
      <c r="U50" s="24"/>
      <c r="V50" s="24"/>
    </row>
    <row r="51" spans="19:22" x14ac:dyDescent="0.2">
      <c r="S51" s="25"/>
      <c r="T51" s="25"/>
      <c r="U51" s="25"/>
      <c r="V51" s="25"/>
    </row>
    <row r="52" spans="19:22" x14ac:dyDescent="0.2">
      <c r="S52" s="24"/>
      <c r="T52" s="24"/>
      <c r="U52" s="24"/>
      <c r="V52" s="24"/>
    </row>
    <row r="53" spans="19:22" x14ac:dyDescent="0.2">
      <c r="S53" s="24"/>
      <c r="T53" s="24"/>
      <c r="U53" s="24"/>
      <c r="V53" s="24"/>
    </row>
    <row r="54" spans="19:22" x14ac:dyDescent="0.2">
      <c r="S54" s="25"/>
      <c r="T54" s="25"/>
      <c r="U54" s="25"/>
      <c r="V54" s="25"/>
    </row>
    <row r="55" spans="19:22" x14ac:dyDescent="0.2">
      <c r="S55" s="24"/>
      <c r="T55" s="24"/>
      <c r="U55" s="24"/>
      <c r="V55" s="24"/>
    </row>
    <row r="56" spans="19:22" x14ac:dyDescent="0.2">
      <c r="S56" s="24"/>
      <c r="T56" s="24"/>
      <c r="U56" s="24"/>
      <c r="V56" s="24"/>
    </row>
    <row r="57" spans="19:22" x14ac:dyDescent="0.2">
      <c r="S57" s="25"/>
      <c r="T57" s="25"/>
      <c r="U57" s="25"/>
      <c r="V57" s="25"/>
    </row>
    <row r="58" spans="19:22" x14ac:dyDescent="0.2">
      <c r="S58" s="24"/>
      <c r="T58" s="24"/>
      <c r="U58" s="24"/>
      <c r="V58" s="24"/>
    </row>
    <row r="59" spans="19:22" x14ac:dyDescent="0.2">
      <c r="S59" s="24"/>
      <c r="T59" s="24"/>
      <c r="U59" s="24"/>
      <c r="V59" s="24"/>
    </row>
    <row r="60" spans="19:22" x14ac:dyDescent="0.2">
      <c r="S60" s="25"/>
      <c r="T60" s="25"/>
      <c r="U60" s="25"/>
      <c r="V60" s="25"/>
    </row>
    <row r="61" spans="19:22" x14ac:dyDescent="0.2">
      <c r="S61" s="24"/>
      <c r="T61" s="24"/>
      <c r="U61" s="24"/>
      <c r="V61" s="24"/>
    </row>
    <row r="62" spans="19:22" x14ac:dyDescent="0.2">
      <c r="S62" s="24"/>
      <c r="T62" s="24"/>
      <c r="U62" s="24"/>
      <c r="V62" s="24"/>
    </row>
    <row r="63" spans="19:22" x14ac:dyDescent="0.2">
      <c r="S63" s="25"/>
      <c r="T63" s="25"/>
      <c r="U63" s="25"/>
      <c r="V63" s="25"/>
    </row>
    <row r="64" spans="19:22" x14ac:dyDescent="0.2">
      <c r="S64" s="24"/>
      <c r="T64" s="24"/>
      <c r="U64" s="24"/>
      <c r="V64" s="24"/>
    </row>
    <row r="65" spans="19:22" x14ac:dyDescent="0.2">
      <c r="S65" s="24"/>
      <c r="T65" s="24"/>
      <c r="U65" s="24"/>
      <c r="V65" s="24"/>
    </row>
  </sheetData>
  <mergeCells count="16">
    <mergeCell ref="A19:X19"/>
    <mergeCell ref="S4:T5"/>
    <mergeCell ref="W4:X5"/>
    <mergeCell ref="I5:J5"/>
    <mergeCell ref="K5:L5"/>
    <mergeCell ref="M5:N5"/>
    <mergeCell ref="O5:P5"/>
    <mergeCell ref="E5:F5"/>
    <mergeCell ref="G5:H5"/>
    <mergeCell ref="A3:A6"/>
    <mergeCell ref="B3:X3"/>
    <mergeCell ref="B4:D5"/>
    <mergeCell ref="E4:H4"/>
    <mergeCell ref="I4:P4"/>
    <mergeCell ref="U4:V5"/>
    <mergeCell ref="Q4:R5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scale="39" fitToWidth="0" fitToHeight="0" orientation="landscape" verticalDpi="0" r:id="rId1"/>
  <headerFooter alignWithMargins="0">
    <oddHeader>&amp;L&amp;"微軟正黑體,Regular"&amp;16兒童及少年保護執行概況&amp;C
&amp;R&amp;"微軟正黑體,Regular"本表共&amp;N頁，第&amp;P頁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0"/>
  <sheetViews>
    <sheetView workbookViewId="0">
      <pane xSplit="4" ySplit="8" topLeftCell="E9" activePane="bottomRight" state="frozen"/>
      <selection activeCell="AA69" sqref="AA69"/>
      <selection pane="topRight" activeCell="AA69" sqref="AA69"/>
      <selection pane="bottomLeft" activeCell="AA69" sqref="AA69"/>
      <selection pane="bottomRight" activeCell="B26" sqref="B26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4" width="10.1640625" style="3" customWidth="1"/>
    <col min="25" max="16384" width="5.5" style="3"/>
  </cols>
  <sheetData>
    <row r="1" spans="1:20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0" s="6" customFormat="1" ht="12.75" customHeight="1" x14ac:dyDescent="0.2">
      <c r="A3" s="67" t="s">
        <v>166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T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</row>
    <row r="4" spans="1:20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0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10"/>
    </row>
    <row r="6" spans="1:20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10"/>
    </row>
    <row r="7" spans="1:20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</row>
    <row r="8" spans="1:20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9898</v>
      </c>
      <c r="E8" s="78">
        <v>4451</v>
      </c>
      <c r="F8" s="78">
        <v>5447</v>
      </c>
      <c r="G8" s="78">
        <v>6</v>
      </c>
      <c r="H8" s="78">
        <v>4</v>
      </c>
      <c r="I8" s="78">
        <v>9</v>
      </c>
      <c r="J8" s="78">
        <v>1</v>
      </c>
      <c r="K8" s="78">
        <v>3125</v>
      </c>
      <c r="L8" s="78">
        <v>2045</v>
      </c>
      <c r="M8" s="78">
        <v>209</v>
      </c>
      <c r="N8" s="78">
        <v>227</v>
      </c>
      <c r="O8" s="78">
        <v>452</v>
      </c>
      <c r="P8" s="78">
        <v>2657</v>
      </c>
      <c r="Q8" s="78">
        <v>620</v>
      </c>
      <c r="R8" s="78">
        <v>486</v>
      </c>
      <c r="S8" s="78">
        <v>30</v>
      </c>
      <c r="T8" s="78">
        <v>27</v>
      </c>
    </row>
    <row r="9" spans="1:20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8952</v>
      </c>
      <c r="E9" s="82">
        <v>4080</v>
      </c>
      <c r="F9" s="82">
        <v>4872</v>
      </c>
      <c r="G9" s="82">
        <v>6</v>
      </c>
      <c r="H9" s="82">
        <v>4</v>
      </c>
      <c r="I9" s="82">
        <v>8</v>
      </c>
      <c r="J9" s="82">
        <v>1</v>
      </c>
      <c r="K9" s="82">
        <v>2873</v>
      </c>
      <c r="L9" s="82">
        <v>1850</v>
      </c>
      <c r="M9" s="82">
        <v>192</v>
      </c>
      <c r="N9" s="82">
        <v>212</v>
      </c>
      <c r="O9" s="82">
        <v>410</v>
      </c>
      <c r="P9" s="82">
        <v>2355</v>
      </c>
      <c r="Q9" s="82">
        <v>561</v>
      </c>
      <c r="R9" s="82">
        <v>427</v>
      </c>
      <c r="S9" s="82">
        <v>30</v>
      </c>
      <c r="T9" s="82">
        <v>23</v>
      </c>
    </row>
    <row r="10" spans="1:20" s="79" customFormat="1" ht="14.25" customHeight="1" x14ac:dyDescent="0.2">
      <c r="A10" s="111"/>
      <c r="B10" s="80" t="s">
        <v>152</v>
      </c>
      <c r="C10" s="81" t="s">
        <v>163</v>
      </c>
      <c r="D10" s="82">
        <v>946</v>
      </c>
      <c r="E10" s="82">
        <v>371</v>
      </c>
      <c r="F10" s="82">
        <v>575</v>
      </c>
      <c r="G10" s="82">
        <v>0</v>
      </c>
      <c r="H10" s="82">
        <v>0</v>
      </c>
      <c r="I10" s="82">
        <v>1</v>
      </c>
      <c r="J10" s="82">
        <v>0</v>
      </c>
      <c r="K10" s="82">
        <v>252</v>
      </c>
      <c r="L10" s="82">
        <v>195</v>
      </c>
      <c r="M10" s="82">
        <v>17</v>
      </c>
      <c r="N10" s="82">
        <v>15</v>
      </c>
      <c r="O10" s="82">
        <v>42</v>
      </c>
      <c r="P10" s="82">
        <v>302</v>
      </c>
      <c r="Q10" s="82">
        <v>59</v>
      </c>
      <c r="R10" s="82">
        <v>59</v>
      </c>
      <c r="S10" s="82">
        <v>0</v>
      </c>
      <c r="T10" s="82">
        <v>4</v>
      </c>
    </row>
    <row r="11" spans="1:20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2147</v>
      </c>
      <c r="E11" s="31">
        <v>951</v>
      </c>
      <c r="F11" s="31">
        <v>1196</v>
      </c>
      <c r="G11" s="31">
        <v>0</v>
      </c>
      <c r="H11" s="31">
        <v>0</v>
      </c>
      <c r="I11" s="31">
        <v>1</v>
      </c>
      <c r="J11" s="31">
        <v>0</v>
      </c>
      <c r="K11" s="31">
        <v>704</v>
      </c>
      <c r="L11" s="31">
        <v>480</v>
      </c>
      <c r="M11" s="31">
        <v>70</v>
      </c>
      <c r="N11" s="31">
        <v>66</v>
      </c>
      <c r="O11" s="31">
        <v>85</v>
      </c>
      <c r="P11" s="31">
        <v>593</v>
      </c>
      <c r="Q11" s="31">
        <v>81</v>
      </c>
      <c r="R11" s="31">
        <v>49</v>
      </c>
      <c r="S11" s="31">
        <v>10</v>
      </c>
      <c r="T11" s="31">
        <v>8</v>
      </c>
    </row>
    <row r="12" spans="1:20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2009</v>
      </c>
      <c r="E12" s="19">
        <v>902</v>
      </c>
      <c r="F12" s="19">
        <v>1107</v>
      </c>
      <c r="G12" s="19">
        <v>0</v>
      </c>
      <c r="H12" s="19">
        <v>0</v>
      </c>
      <c r="I12" s="19">
        <v>1</v>
      </c>
      <c r="J12" s="19">
        <v>0</v>
      </c>
      <c r="K12" s="19">
        <v>665</v>
      </c>
      <c r="L12" s="19">
        <v>431</v>
      </c>
      <c r="M12" s="19">
        <v>68</v>
      </c>
      <c r="N12" s="19">
        <v>57</v>
      </c>
      <c r="O12" s="19">
        <v>80</v>
      </c>
      <c r="P12" s="19">
        <v>567</v>
      </c>
      <c r="Q12" s="19">
        <v>78</v>
      </c>
      <c r="R12" s="19">
        <v>45</v>
      </c>
      <c r="S12" s="19">
        <v>10</v>
      </c>
      <c r="T12" s="19">
        <v>7</v>
      </c>
    </row>
    <row r="13" spans="1:20" s="32" customFormat="1" ht="14.25" customHeight="1" x14ac:dyDescent="0.2">
      <c r="A13" s="108"/>
      <c r="B13" s="33" t="s">
        <v>39</v>
      </c>
      <c r="C13" s="34" t="s">
        <v>163</v>
      </c>
      <c r="D13" s="19">
        <v>138</v>
      </c>
      <c r="E13" s="19">
        <v>49</v>
      </c>
      <c r="F13" s="19">
        <v>89</v>
      </c>
      <c r="G13" s="19">
        <v>0</v>
      </c>
      <c r="H13" s="19">
        <v>0</v>
      </c>
      <c r="I13" s="19">
        <v>0</v>
      </c>
      <c r="J13" s="19">
        <v>0</v>
      </c>
      <c r="K13" s="19">
        <v>39</v>
      </c>
      <c r="L13" s="19">
        <v>49</v>
      </c>
      <c r="M13" s="19">
        <v>2</v>
      </c>
      <c r="N13" s="19">
        <v>9</v>
      </c>
      <c r="O13" s="19">
        <v>5</v>
      </c>
      <c r="P13" s="19">
        <v>26</v>
      </c>
      <c r="Q13" s="19">
        <v>3</v>
      </c>
      <c r="R13" s="19">
        <v>4</v>
      </c>
      <c r="S13" s="19">
        <v>0</v>
      </c>
      <c r="T13" s="19">
        <v>1</v>
      </c>
    </row>
    <row r="14" spans="1:20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894</v>
      </c>
      <c r="E14" s="31">
        <v>424</v>
      </c>
      <c r="F14" s="31">
        <v>470</v>
      </c>
      <c r="G14" s="31">
        <v>1</v>
      </c>
      <c r="H14" s="31">
        <v>1</v>
      </c>
      <c r="I14" s="31">
        <v>0</v>
      </c>
      <c r="J14" s="31">
        <v>0</v>
      </c>
      <c r="K14" s="31">
        <v>279</v>
      </c>
      <c r="L14" s="31">
        <v>167</v>
      </c>
      <c r="M14" s="31">
        <v>11</v>
      </c>
      <c r="N14" s="31">
        <v>15</v>
      </c>
      <c r="O14" s="31">
        <v>54</v>
      </c>
      <c r="P14" s="31">
        <v>230</v>
      </c>
      <c r="Q14" s="31">
        <v>76</v>
      </c>
      <c r="R14" s="31">
        <v>53</v>
      </c>
      <c r="S14" s="31">
        <v>3</v>
      </c>
      <c r="T14" s="31">
        <v>4</v>
      </c>
    </row>
    <row r="15" spans="1:20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874</v>
      </c>
      <c r="E15" s="19">
        <v>413</v>
      </c>
      <c r="F15" s="19">
        <v>461</v>
      </c>
      <c r="G15" s="19">
        <v>1</v>
      </c>
      <c r="H15" s="19">
        <v>1</v>
      </c>
      <c r="I15" s="19">
        <v>0</v>
      </c>
      <c r="J15" s="19">
        <v>0</v>
      </c>
      <c r="K15" s="19">
        <v>271</v>
      </c>
      <c r="L15" s="19">
        <v>165</v>
      </c>
      <c r="M15" s="19">
        <v>11</v>
      </c>
      <c r="N15" s="19">
        <v>15</v>
      </c>
      <c r="O15" s="19">
        <v>54</v>
      </c>
      <c r="P15" s="19">
        <v>225</v>
      </c>
      <c r="Q15" s="19">
        <v>73</v>
      </c>
      <c r="R15" s="19">
        <v>51</v>
      </c>
      <c r="S15" s="19">
        <v>3</v>
      </c>
      <c r="T15" s="19">
        <v>4</v>
      </c>
    </row>
    <row r="16" spans="1:20" s="32" customFormat="1" ht="14.25" customHeight="1" x14ac:dyDescent="0.2">
      <c r="A16" s="108"/>
      <c r="B16" s="36" t="s">
        <v>39</v>
      </c>
      <c r="C16" s="37" t="s">
        <v>163</v>
      </c>
      <c r="D16" s="19">
        <v>20</v>
      </c>
      <c r="E16" s="19">
        <v>11</v>
      </c>
      <c r="F16" s="19">
        <v>9</v>
      </c>
      <c r="G16" s="19">
        <v>0</v>
      </c>
      <c r="H16" s="19">
        <v>0</v>
      </c>
      <c r="I16" s="19">
        <v>0</v>
      </c>
      <c r="J16" s="19">
        <v>0</v>
      </c>
      <c r="K16" s="19">
        <v>8</v>
      </c>
      <c r="L16" s="19">
        <v>2</v>
      </c>
      <c r="M16" s="19">
        <v>0</v>
      </c>
      <c r="N16" s="19">
        <v>0</v>
      </c>
      <c r="O16" s="19">
        <v>0</v>
      </c>
      <c r="P16" s="19">
        <v>5</v>
      </c>
      <c r="Q16" s="19">
        <v>3</v>
      </c>
      <c r="R16" s="19">
        <v>2</v>
      </c>
      <c r="S16" s="19">
        <v>0</v>
      </c>
      <c r="T16" s="19">
        <v>0</v>
      </c>
    </row>
    <row r="17" spans="1:20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777</v>
      </c>
      <c r="E17" s="31">
        <v>353</v>
      </c>
      <c r="F17" s="31">
        <v>424</v>
      </c>
      <c r="G17" s="31">
        <v>1</v>
      </c>
      <c r="H17" s="31">
        <v>1</v>
      </c>
      <c r="I17" s="31">
        <v>0</v>
      </c>
      <c r="J17" s="31">
        <v>0</v>
      </c>
      <c r="K17" s="31">
        <v>305</v>
      </c>
      <c r="L17" s="31">
        <v>183</v>
      </c>
      <c r="M17" s="31">
        <v>1</v>
      </c>
      <c r="N17" s="31">
        <v>2</v>
      </c>
      <c r="O17" s="31">
        <v>24</v>
      </c>
      <c r="P17" s="31">
        <v>225</v>
      </c>
      <c r="Q17" s="31">
        <v>22</v>
      </c>
      <c r="R17" s="31">
        <v>13</v>
      </c>
      <c r="S17" s="31">
        <v>0</v>
      </c>
      <c r="T17" s="31">
        <v>0</v>
      </c>
    </row>
    <row r="18" spans="1:20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645</v>
      </c>
      <c r="E18" s="19">
        <v>296</v>
      </c>
      <c r="F18" s="19">
        <v>349</v>
      </c>
      <c r="G18" s="19">
        <v>1</v>
      </c>
      <c r="H18" s="19">
        <v>1</v>
      </c>
      <c r="I18" s="19">
        <v>0</v>
      </c>
      <c r="J18" s="19">
        <v>0</v>
      </c>
      <c r="K18" s="19">
        <v>254</v>
      </c>
      <c r="L18" s="19">
        <v>152</v>
      </c>
      <c r="M18" s="19">
        <v>1</v>
      </c>
      <c r="N18" s="19">
        <v>2</v>
      </c>
      <c r="O18" s="19">
        <v>22</v>
      </c>
      <c r="P18" s="19">
        <v>185</v>
      </c>
      <c r="Q18" s="19">
        <v>18</v>
      </c>
      <c r="R18" s="19">
        <v>9</v>
      </c>
      <c r="S18" s="19">
        <v>0</v>
      </c>
      <c r="T18" s="19">
        <v>0</v>
      </c>
    </row>
    <row r="19" spans="1:20" s="32" customFormat="1" ht="14.25" customHeight="1" x14ac:dyDescent="0.2">
      <c r="A19" s="108"/>
      <c r="B19" s="36" t="s">
        <v>39</v>
      </c>
      <c r="C19" s="37" t="s">
        <v>163</v>
      </c>
      <c r="D19" s="19">
        <v>132</v>
      </c>
      <c r="E19" s="19">
        <v>57</v>
      </c>
      <c r="F19" s="19">
        <v>75</v>
      </c>
      <c r="G19" s="19">
        <v>0</v>
      </c>
      <c r="H19" s="19">
        <v>0</v>
      </c>
      <c r="I19" s="19">
        <v>0</v>
      </c>
      <c r="J19" s="19">
        <v>0</v>
      </c>
      <c r="K19" s="19">
        <v>51</v>
      </c>
      <c r="L19" s="19">
        <v>31</v>
      </c>
      <c r="M19" s="19">
        <v>0</v>
      </c>
      <c r="N19" s="19">
        <v>0</v>
      </c>
      <c r="O19" s="19">
        <v>2</v>
      </c>
      <c r="P19" s="19">
        <v>40</v>
      </c>
      <c r="Q19" s="19">
        <v>4</v>
      </c>
      <c r="R19" s="19">
        <v>4</v>
      </c>
      <c r="S19" s="19">
        <v>0</v>
      </c>
      <c r="T19" s="19">
        <v>0</v>
      </c>
    </row>
    <row r="20" spans="1:20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1327</v>
      </c>
      <c r="E20" s="31">
        <v>663</v>
      </c>
      <c r="F20" s="31">
        <v>664</v>
      </c>
      <c r="G20" s="31">
        <v>0</v>
      </c>
      <c r="H20" s="31">
        <v>0</v>
      </c>
      <c r="I20" s="31">
        <v>2</v>
      </c>
      <c r="J20" s="31">
        <v>0</v>
      </c>
      <c r="K20" s="31">
        <v>519</v>
      </c>
      <c r="L20" s="31">
        <v>304</v>
      </c>
      <c r="M20" s="31">
        <v>38</v>
      </c>
      <c r="N20" s="31">
        <v>30</v>
      </c>
      <c r="O20" s="31">
        <v>57</v>
      </c>
      <c r="P20" s="31">
        <v>292</v>
      </c>
      <c r="Q20" s="31">
        <v>45</v>
      </c>
      <c r="R20" s="31">
        <v>38</v>
      </c>
      <c r="S20" s="31">
        <v>2</v>
      </c>
      <c r="T20" s="31">
        <v>0</v>
      </c>
    </row>
    <row r="21" spans="1:20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1250</v>
      </c>
      <c r="E21" s="19">
        <v>621</v>
      </c>
      <c r="F21" s="19">
        <v>629</v>
      </c>
      <c r="G21" s="19">
        <v>0</v>
      </c>
      <c r="H21" s="19">
        <v>0</v>
      </c>
      <c r="I21" s="19">
        <v>1</v>
      </c>
      <c r="J21" s="19">
        <v>0</v>
      </c>
      <c r="K21" s="19">
        <v>491</v>
      </c>
      <c r="L21" s="19">
        <v>289</v>
      </c>
      <c r="M21" s="19">
        <v>36</v>
      </c>
      <c r="N21" s="19">
        <v>29</v>
      </c>
      <c r="O21" s="19">
        <v>51</v>
      </c>
      <c r="P21" s="19">
        <v>277</v>
      </c>
      <c r="Q21" s="19">
        <v>40</v>
      </c>
      <c r="R21" s="19">
        <v>34</v>
      </c>
      <c r="S21" s="19">
        <v>2</v>
      </c>
      <c r="T21" s="19">
        <v>0</v>
      </c>
    </row>
    <row r="22" spans="1:20" s="32" customFormat="1" ht="14.25" customHeight="1" x14ac:dyDescent="0.2">
      <c r="A22" s="108"/>
      <c r="B22" s="36" t="s">
        <v>39</v>
      </c>
      <c r="C22" s="37" t="s">
        <v>163</v>
      </c>
      <c r="D22" s="19">
        <v>77</v>
      </c>
      <c r="E22" s="19">
        <v>42</v>
      </c>
      <c r="F22" s="19">
        <v>35</v>
      </c>
      <c r="G22" s="19">
        <v>0</v>
      </c>
      <c r="H22" s="19">
        <v>0</v>
      </c>
      <c r="I22" s="19">
        <v>1</v>
      </c>
      <c r="J22" s="19">
        <v>0</v>
      </c>
      <c r="K22" s="19">
        <v>28</v>
      </c>
      <c r="L22" s="19">
        <v>15</v>
      </c>
      <c r="M22" s="19">
        <v>2</v>
      </c>
      <c r="N22" s="19">
        <v>1</v>
      </c>
      <c r="O22" s="19">
        <v>6</v>
      </c>
      <c r="P22" s="19">
        <v>15</v>
      </c>
      <c r="Q22" s="19">
        <v>5</v>
      </c>
      <c r="R22" s="19">
        <v>4</v>
      </c>
      <c r="S22" s="19">
        <v>0</v>
      </c>
      <c r="T22" s="19">
        <v>0</v>
      </c>
    </row>
    <row r="23" spans="1:20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532</v>
      </c>
      <c r="E23" s="31">
        <v>263</v>
      </c>
      <c r="F23" s="31">
        <v>269</v>
      </c>
      <c r="G23" s="31">
        <v>0</v>
      </c>
      <c r="H23" s="31">
        <v>1</v>
      </c>
      <c r="I23" s="31">
        <v>1</v>
      </c>
      <c r="J23" s="31">
        <v>0</v>
      </c>
      <c r="K23" s="31">
        <v>156</v>
      </c>
      <c r="L23" s="31">
        <v>83</v>
      </c>
      <c r="M23" s="31">
        <v>8</v>
      </c>
      <c r="N23" s="31">
        <v>18</v>
      </c>
      <c r="O23" s="31">
        <v>26</v>
      </c>
      <c r="P23" s="31">
        <v>124</v>
      </c>
      <c r="Q23" s="31">
        <v>69</v>
      </c>
      <c r="R23" s="31">
        <v>42</v>
      </c>
      <c r="S23" s="31">
        <v>3</v>
      </c>
      <c r="T23" s="31">
        <v>1</v>
      </c>
    </row>
    <row r="24" spans="1:20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510</v>
      </c>
      <c r="E24" s="19">
        <v>249</v>
      </c>
      <c r="F24" s="19">
        <v>261</v>
      </c>
      <c r="G24" s="19">
        <v>0</v>
      </c>
      <c r="H24" s="19">
        <v>1</v>
      </c>
      <c r="I24" s="19">
        <v>1</v>
      </c>
      <c r="J24" s="19">
        <v>0</v>
      </c>
      <c r="K24" s="19">
        <v>148</v>
      </c>
      <c r="L24" s="19">
        <v>80</v>
      </c>
      <c r="M24" s="19">
        <v>8</v>
      </c>
      <c r="N24" s="19">
        <v>18</v>
      </c>
      <c r="O24" s="19">
        <v>26</v>
      </c>
      <c r="P24" s="19">
        <v>119</v>
      </c>
      <c r="Q24" s="19">
        <v>63</v>
      </c>
      <c r="R24" s="19">
        <v>42</v>
      </c>
      <c r="S24" s="19">
        <v>3</v>
      </c>
      <c r="T24" s="19">
        <v>1</v>
      </c>
    </row>
    <row r="25" spans="1:20" s="32" customFormat="1" ht="14.25" customHeight="1" x14ac:dyDescent="0.2">
      <c r="A25" s="108"/>
      <c r="B25" s="36" t="s">
        <v>39</v>
      </c>
      <c r="C25" s="37" t="s">
        <v>163</v>
      </c>
      <c r="D25" s="19">
        <v>22</v>
      </c>
      <c r="E25" s="19">
        <v>14</v>
      </c>
      <c r="F25" s="19">
        <v>8</v>
      </c>
      <c r="G25" s="19">
        <v>0</v>
      </c>
      <c r="H25" s="19">
        <v>0</v>
      </c>
      <c r="I25" s="19">
        <v>0</v>
      </c>
      <c r="J25" s="19">
        <v>0</v>
      </c>
      <c r="K25" s="19">
        <v>8</v>
      </c>
      <c r="L25" s="19">
        <v>3</v>
      </c>
      <c r="M25" s="19">
        <v>0</v>
      </c>
      <c r="N25" s="19">
        <v>0</v>
      </c>
      <c r="O25" s="19">
        <v>0</v>
      </c>
      <c r="P25" s="19">
        <v>5</v>
      </c>
      <c r="Q25" s="19">
        <v>6</v>
      </c>
      <c r="R25" s="19">
        <v>0</v>
      </c>
      <c r="S25" s="19">
        <v>0</v>
      </c>
      <c r="T25" s="19">
        <v>0</v>
      </c>
    </row>
    <row r="26" spans="1:20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1283</v>
      </c>
      <c r="E26" s="31">
        <v>606</v>
      </c>
      <c r="F26" s="31">
        <v>677</v>
      </c>
      <c r="G26" s="31">
        <v>0</v>
      </c>
      <c r="H26" s="31">
        <v>0</v>
      </c>
      <c r="I26" s="31">
        <v>0</v>
      </c>
      <c r="J26" s="31">
        <v>0</v>
      </c>
      <c r="K26" s="31">
        <v>440</v>
      </c>
      <c r="L26" s="31">
        <v>289</v>
      </c>
      <c r="M26" s="31">
        <v>23</v>
      </c>
      <c r="N26" s="31">
        <v>27</v>
      </c>
      <c r="O26" s="31">
        <v>29</v>
      </c>
      <c r="P26" s="31">
        <v>281</v>
      </c>
      <c r="Q26" s="31">
        <v>110</v>
      </c>
      <c r="R26" s="31">
        <v>72</v>
      </c>
      <c r="S26" s="31">
        <v>4</v>
      </c>
      <c r="T26" s="31">
        <v>8</v>
      </c>
    </row>
    <row r="27" spans="1:20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1191</v>
      </c>
      <c r="E27" s="19">
        <v>569</v>
      </c>
      <c r="F27" s="19">
        <v>622</v>
      </c>
      <c r="G27" s="19">
        <v>0</v>
      </c>
      <c r="H27" s="19">
        <v>0</v>
      </c>
      <c r="I27" s="19">
        <v>0</v>
      </c>
      <c r="J27" s="19">
        <v>0</v>
      </c>
      <c r="K27" s="19">
        <v>411</v>
      </c>
      <c r="L27" s="19">
        <v>265</v>
      </c>
      <c r="M27" s="19">
        <v>22</v>
      </c>
      <c r="N27" s="19">
        <v>27</v>
      </c>
      <c r="O27" s="19">
        <v>28</v>
      </c>
      <c r="P27" s="19">
        <v>257</v>
      </c>
      <c r="Q27" s="19">
        <v>104</v>
      </c>
      <c r="R27" s="19">
        <v>65</v>
      </c>
      <c r="S27" s="19">
        <v>4</v>
      </c>
      <c r="T27" s="19">
        <v>8</v>
      </c>
    </row>
    <row r="28" spans="1:20" s="32" customFormat="1" ht="14.25" customHeight="1" x14ac:dyDescent="0.2">
      <c r="A28" s="108"/>
      <c r="B28" s="36" t="s">
        <v>39</v>
      </c>
      <c r="C28" s="37" t="s">
        <v>163</v>
      </c>
      <c r="D28" s="19">
        <v>92</v>
      </c>
      <c r="E28" s="19">
        <v>37</v>
      </c>
      <c r="F28" s="19">
        <v>55</v>
      </c>
      <c r="G28" s="19">
        <v>0</v>
      </c>
      <c r="H28" s="19">
        <v>0</v>
      </c>
      <c r="I28" s="19">
        <v>0</v>
      </c>
      <c r="J28" s="19">
        <v>0</v>
      </c>
      <c r="K28" s="19">
        <v>29</v>
      </c>
      <c r="L28" s="19">
        <v>24</v>
      </c>
      <c r="M28" s="19">
        <v>1</v>
      </c>
      <c r="N28" s="19">
        <v>0</v>
      </c>
      <c r="O28" s="19">
        <v>1</v>
      </c>
      <c r="P28" s="19">
        <v>24</v>
      </c>
      <c r="Q28" s="19">
        <v>6</v>
      </c>
      <c r="R28" s="19">
        <v>7</v>
      </c>
      <c r="S28" s="19">
        <v>0</v>
      </c>
      <c r="T28" s="19">
        <v>0</v>
      </c>
    </row>
    <row r="29" spans="1:20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65</v>
      </c>
      <c r="E29" s="31">
        <v>10</v>
      </c>
      <c r="F29" s="31">
        <v>55</v>
      </c>
      <c r="G29" s="31">
        <v>0</v>
      </c>
      <c r="H29" s="31">
        <v>0</v>
      </c>
      <c r="I29" s="31">
        <v>0</v>
      </c>
      <c r="J29" s="31">
        <v>0</v>
      </c>
      <c r="K29" s="31">
        <v>6</v>
      </c>
      <c r="L29" s="31">
        <v>20</v>
      </c>
      <c r="M29" s="31">
        <v>0</v>
      </c>
      <c r="N29" s="31">
        <v>0</v>
      </c>
      <c r="O29" s="31">
        <v>2</v>
      </c>
      <c r="P29" s="31">
        <v>30</v>
      </c>
      <c r="Q29" s="31">
        <v>2</v>
      </c>
      <c r="R29" s="31">
        <v>5</v>
      </c>
      <c r="S29" s="31">
        <v>0</v>
      </c>
      <c r="T29" s="31">
        <v>0</v>
      </c>
    </row>
    <row r="30" spans="1:20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61</v>
      </c>
      <c r="E30" s="19">
        <v>10</v>
      </c>
      <c r="F30" s="19">
        <v>51</v>
      </c>
      <c r="G30" s="19">
        <v>0</v>
      </c>
      <c r="H30" s="19">
        <v>0</v>
      </c>
      <c r="I30" s="19">
        <v>0</v>
      </c>
      <c r="J30" s="19">
        <v>0</v>
      </c>
      <c r="K30" s="19">
        <v>6</v>
      </c>
      <c r="L30" s="19">
        <v>20</v>
      </c>
      <c r="M30" s="19">
        <v>0</v>
      </c>
      <c r="N30" s="19">
        <v>0</v>
      </c>
      <c r="O30" s="19">
        <v>2</v>
      </c>
      <c r="P30" s="19">
        <v>26</v>
      </c>
      <c r="Q30" s="19">
        <v>2</v>
      </c>
      <c r="R30" s="19">
        <v>5</v>
      </c>
      <c r="S30" s="19">
        <v>0</v>
      </c>
      <c r="T30" s="19">
        <v>0</v>
      </c>
    </row>
    <row r="31" spans="1:20" s="32" customFormat="1" ht="14.25" customHeight="1" x14ac:dyDescent="0.2">
      <c r="A31" s="108"/>
      <c r="B31" s="36" t="s">
        <v>39</v>
      </c>
      <c r="C31" s="37" t="s">
        <v>163</v>
      </c>
      <c r="D31" s="19">
        <v>4</v>
      </c>
      <c r="E31" s="19">
        <v>0</v>
      </c>
      <c r="F31" s="19">
        <v>4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4</v>
      </c>
      <c r="Q31" s="19">
        <v>0</v>
      </c>
      <c r="R31" s="19">
        <v>0</v>
      </c>
      <c r="S31" s="19">
        <v>0</v>
      </c>
      <c r="T31" s="19">
        <v>0</v>
      </c>
    </row>
    <row r="32" spans="1:20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362</v>
      </c>
      <c r="E32" s="31">
        <v>163</v>
      </c>
      <c r="F32" s="31">
        <v>199</v>
      </c>
      <c r="G32" s="31">
        <v>0</v>
      </c>
      <c r="H32" s="31">
        <v>0</v>
      </c>
      <c r="I32" s="31">
        <v>0</v>
      </c>
      <c r="J32" s="31">
        <v>0</v>
      </c>
      <c r="K32" s="31">
        <v>98</v>
      </c>
      <c r="L32" s="31">
        <v>76</v>
      </c>
      <c r="M32" s="31">
        <v>17</v>
      </c>
      <c r="N32" s="31">
        <v>21</v>
      </c>
      <c r="O32" s="31">
        <v>12</v>
      </c>
      <c r="P32" s="31">
        <v>66</v>
      </c>
      <c r="Q32" s="31">
        <v>35</v>
      </c>
      <c r="R32" s="31">
        <v>36</v>
      </c>
      <c r="S32" s="31">
        <v>1</v>
      </c>
      <c r="T32" s="31">
        <v>0</v>
      </c>
    </row>
    <row r="33" spans="1:20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303</v>
      </c>
      <c r="E33" s="19">
        <v>142</v>
      </c>
      <c r="F33" s="19">
        <v>161</v>
      </c>
      <c r="G33" s="19">
        <v>0</v>
      </c>
      <c r="H33" s="19">
        <v>0</v>
      </c>
      <c r="I33" s="19">
        <v>0</v>
      </c>
      <c r="J33" s="19">
        <v>0</v>
      </c>
      <c r="K33" s="19">
        <v>88</v>
      </c>
      <c r="L33" s="19">
        <v>63</v>
      </c>
      <c r="M33" s="19">
        <v>15</v>
      </c>
      <c r="N33" s="19">
        <v>19</v>
      </c>
      <c r="O33" s="19">
        <v>11</v>
      </c>
      <c r="P33" s="19">
        <v>53</v>
      </c>
      <c r="Q33" s="19">
        <v>27</v>
      </c>
      <c r="R33" s="19">
        <v>26</v>
      </c>
      <c r="S33" s="19">
        <v>1</v>
      </c>
      <c r="T33" s="19">
        <v>0</v>
      </c>
    </row>
    <row r="34" spans="1:20" s="32" customFormat="1" ht="14.25" customHeight="1" x14ac:dyDescent="0.2">
      <c r="A34" s="108"/>
      <c r="B34" s="36" t="s">
        <v>39</v>
      </c>
      <c r="C34" s="37" t="s">
        <v>163</v>
      </c>
      <c r="D34" s="19">
        <v>59</v>
      </c>
      <c r="E34" s="19">
        <v>21</v>
      </c>
      <c r="F34" s="19">
        <v>38</v>
      </c>
      <c r="G34" s="19">
        <v>0</v>
      </c>
      <c r="H34" s="19">
        <v>0</v>
      </c>
      <c r="I34" s="19">
        <v>0</v>
      </c>
      <c r="J34" s="19">
        <v>0</v>
      </c>
      <c r="K34" s="19">
        <v>10</v>
      </c>
      <c r="L34" s="19">
        <v>13</v>
      </c>
      <c r="M34" s="19">
        <v>2</v>
      </c>
      <c r="N34" s="19">
        <v>2</v>
      </c>
      <c r="O34" s="19">
        <v>1</v>
      </c>
      <c r="P34" s="19">
        <v>13</v>
      </c>
      <c r="Q34" s="19">
        <v>8</v>
      </c>
      <c r="R34" s="19">
        <v>10</v>
      </c>
      <c r="S34" s="19">
        <v>0</v>
      </c>
      <c r="T34" s="19">
        <v>0</v>
      </c>
    </row>
    <row r="35" spans="1:20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182</v>
      </c>
      <c r="E35" s="31">
        <v>49</v>
      </c>
      <c r="F35" s="31">
        <v>133</v>
      </c>
      <c r="G35" s="31">
        <v>0</v>
      </c>
      <c r="H35" s="31">
        <v>0</v>
      </c>
      <c r="I35" s="31">
        <v>1</v>
      </c>
      <c r="J35" s="31">
        <v>0</v>
      </c>
      <c r="K35" s="31">
        <v>28</v>
      </c>
      <c r="L35" s="31">
        <v>35</v>
      </c>
      <c r="M35" s="31">
        <v>5</v>
      </c>
      <c r="N35" s="31">
        <v>7</v>
      </c>
      <c r="O35" s="31">
        <v>5</v>
      </c>
      <c r="P35" s="31">
        <v>78</v>
      </c>
      <c r="Q35" s="31">
        <v>10</v>
      </c>
      <c r="R35" s="31">
        <v>13</v>
      </c>
      <c r="S35" s="31">
        <v>0</v>
      </c>
      <c r="T35" s="31">
        <v>0</v>
      </c>
    </row>
    <row r="36" spans="1:20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163</v>
      </c>
      <c r="E36" s="19">
        <v>45</v>
      </c>
      <c r="F36" s="19">
        <v>118</v>
      </c>
      <c r="G36" s="19">
        <v>0</v>
      </c>
      <c r="H36" s="19">
        <v>0</v>
      </c>
      <c r="I36" s="19">
        <v>1</v>
      </c>
      <c r="J36" s="19">
        <v>0</v>
      </c>
      <c r="K36" s="19">
        <v>27</v>
      </c>
      <c r="L36" s="19">
        <v>32</v>
      </c>
      <c r="M36" s="19">
        <v>4</v>
      </c>
      <c r="N36" s="19">
        <v>6</v>
      </c>
      <c r="O36" s="19">
        <v>4</v>
      </c>
      <c r="P36" s="19">
        <v>68</v>
      </c>
      <c r="Q36" s="19">
        <v>9</v>
      </c>
      <c r="R36" s="19">
        <v>12</v>
      </c>
      <c r="S36" s="19">
        <v>0</v>
      </c>
      <c r="T36" s="19">
        <v>0</v>
      </c>
    </row>
    <row r="37" spans="1:20" s="32" customFormat="1" ht="14.25" customHeight="1" x14ac:dyDescent="0.2">
      <c r="A37" s="108"/>
      <c r="B37" s="36" t="s">
        <v>39</v>
      </c>
      <c r="C37" s="37" t="s">
        <v>163</v>
      </c>
      <c r="D37" s="19">
        <v>19</v>
      </c>
      <c r="E37" s="19">
        <v>4</v>
      </c>
      <c r="F37" s="19">
        <v>15</v>
      </c>
      <c r="G37" s="19">
        <v>0</v>
      </c>
      <c r="H37" s="19">
        <v>0</v>
      </c>
      <c r="I37" s="19">
        <v>0</v>
      </c>
      <c r="J37" s="19">
        <v>0</v>
      </c>
      <c r="K37" s="19">
        <v>1</v>
      </c>
      <c r="L37" s="19">
        <v>3</v>
      </c>
      <c r="M37" s="19">
        <v>1</v>
      </c>
      <c r="N37" s="19">
        <v>1</v>
      </c>
      <c r="O37" s="19">
        <v>1</v>
      </c>
      <c r="P37" s="19">
        <v>10</v>
      </c>
      <c r="Q37" s="19">
        <v>1</v>
      </c>
      <c r="R37" s="19">
        <v>1</v>
      </c>
      <c r="S37" s="19">
        <v>0</v>
      </c>
      <c r="T37" s="19">
        <v>0</v>
      </c>
    </row>
    <row r="38" spans="1:20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373</v>
      </c>
      <c r="E38" s="31">
        <v>161</v>
      </c>
      <c r="F38" s="31">
        <v>212</v>
      </c>
      <c r="G38" s="31">
        <v>1</v>
      </c>
      <c r="H38" s="31">
        <v>1</v>
      </c>
      <c r="I38" s="31">
        <v>0</v>
      </c>
      <c r="J38" s="31">
        <v>0</v>
      </c>
      <c r="K38" s="31">
        <v>105</v>
      </c>
      <c r="L38" s="31">
        <v>65</v>
      </c>
      <c r="M38" s="31">
        <v>10</v>
      </c>
      <c r="N38" s="31">
        <v>13</v>
      </c>
      <c r="O38" s="31">
        <v>26</v>
      </c>
      <c r="P38" s="31">
        <v>112</v>
      </c>
      <c r="Q38" s="31">
        <v>17</v>
      </c>
      <c r="R38" s="31">
        <v>20</v>
      </c>
      <c r="S38" s="31">
        <v>2</v>
      </c>
      <c r="T38" s="31">
        <v>1</v>
      </c>
    </row>
    <row r="39" spans="1:20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357</v>
      </c>
      <c r="E39" s="19">
        <v>156</v>
      </c>
      <c r="F39" s="19">
        <v>201</v>
      </c>
      <c r="G39" s="19">
        <v>1</v>
      </c>
      <c r="H39" s="19">
        <v>1</v>
      </c>
      <c r="I39" s="19">
        <v>0</v>
      </c>
      <c r="J39" s="19">
        <v>0</v>
      </c>
      <c r="K39" s="19">
        <v>102</v>
      </c>
      <c r="L39" s="19">
        <v>64</v>
      </c>
      <c r="M39" s="19">
        <v>9</v>
      </c>
      <c r="N39" s="19">
        <v>12</v>
      </c>
      <c r="O39" s="19">
        <v>25</v>
      </c>
      <c r="P39" s="19">
        <v>105</v>
      </c>
      <c r="Q39" s="19">
        <v>17</v>
      </c>
      <c r="R39" s="19">
        <v>18</v>
      </c>
      <c r="S39" s="19">
        <v>2</v>
      </c>
      <c r="T39" s="19">
        <v>1</v>
      </c>
    </row>
    <row r="40" spans="1:20" s="32" customFormat="1" ht="14.25" customHeight="1" x14ac:dyDescent="0.2">
      <c r="A40" s="108"/>
      <c r="B40" s="36" t="s">
        <v>39</v>
      </c>
      <c r="C40" s="37" t="s">
        <v>163</v>
      </c>
      <c r="D40" s="19">
        <v>16</v>
      </c>
      <c r="E40" s="19">
        <v>5</v>
      </c>
      <c r="F40" s="19">
        <v>11</v>
      </c>
      <c r="G40" s="19">
        <v>0</v>
      </c>
      <c r="H40" s="19">
        <v>0</v>
      </c>
      <c r="I40" s="19">
        <v>0</v>
      </c>
      <c r="J40" s="19">
        <v>0</v>
      </c>
      <c r="K40" s="19">
        <v>3</v>
      </c>
      <c r="L40" s="19">
        <v>1</v>
      </c>
      <c r="M40" s="19">
        <v>1</v>
      </c>
      <c r="N40" s="19">
        <v>1</v>
      </c>
      <c r="O40" s="19">
        <v>1</v>
      </c>
      <c r="P40" s="19">
        <v>7</v>
      </c>
      <c r="Q40" s="19">
        <v>0</v>
      </c>
      <c r="R40" s="19">
        <v>2</v>
      </c>
      <c r="S40" s="19">
        <v>0</v>
      </c>
      <c r="T40" s="19">
        <v>0</v>
      </c>
    </row>
    <row r="41" spans="1:20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195</v>
      </c>
      <c r="E41" s="31">
        <v>72</v>
      </c>
      <c r="F41" s="31">
        <v>123</v>
      </c>
      <c r="G41" s="31">
        <v>0</v>
      </c>
      <c r="H41" s="31">
        <v>0</v>
      </c>
      <c r="I41" s="31">
        <v>0</v>
      </c>
      <c r="J41" s="31">
        <v>0</v>
      </c>
      <c r="K41" s="31">
        <v>37</v>
      </c>
      <c r="L41" s="31">
        <v>49</v>
      </c>
      <c r="M41" s="31">
        <v>0</v>
      </c>
      <c r="N41" s="31">
        <v>2</v>
      </c>
      <c r="O41" s="31">
        <v>8</v>
      </c>
      <c r="P41" s="31">
        <v>52</v>
      </c>
      <c r="Q41" s="31">
        <v>26</v>
      </c>
      <c r="R41" s="31">
        <v>17</v>
      </c>
      <c r="S41" s="31">
        <v>1</v>
      </c>
      <c r="T41" s="31">
        <v>3</v>
      </c>
    </row>
    <row r="42" spans="1:20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148</v>
      </c>
      <c r="E42" s="19">
        <v>59</v>
      </c>
      <c r="F42" s="19">
        <v>89</v>
      </c>
      <c r="G42" s="19">
        <v>0</v>
      </c>
      <c r="H42" s="19">
        <v>0</v>
      </c>
      <c r="I42" s="19">
        <v>0</v>
      </c>
      <c r="J42" s="19">
        <v>0</v>
      </c>
      <c r="K42" s="19">
        <v>33</v>
      </c>
      <c r="L42" s="19">
        <v>36</v>
      </c>
      <c r="M42" s="19">
        <v>0</v>
      </c>
      <c r="N42" s="19">
        <v>2</v>
      </c>
      <c r="O42" s="19">
        <v>5</v>
      </c>
      <c r="P42" s="19">
        <v>37</v>
      </c>
      <c r="Q42" s="19">
        <v>20</v>
      </c>
      <c r="R42" s="19">
        <v>13</v>
      </c>
      <c r="S42" s="19">
        <v>1</v>
      </c>
      <c r="T42" s="19">
        <v>1</v>
      </c>
    </row>
    <row r="43" spans="1:20" s="32" customFormat="1" ht="14.25" customHeight="1" x14ac:dyDescent="0.2">
      <c r="A43" s="108"/>
      <c r="B43" s="36" t="s">
        <v>39</v>
      </c>
      <c r="C43" s="37" t="s">
        <v>163</v>
      </c>
      <c r="D43" s="19">
        <v>47</v>
      </c>
      <c r="E43" s="19">
        <v>13</v>
      </c>
      <c r="F43" s="19">
        <v>34</v>
      </c>
      <c r="G43" s="19">
        <v>0</v>
      </c>
      <c r="H43" s="19">
        <v>0</v>
      </c>
      <c r="I43" s="19">
        <v>0</v>
      </c>
      <c r="J43" s="19">
        <v>0</v>
      </c>
      <c r="K43" s="19">
        <v>4</v>
      </c>
      <c r="L43" s="19">
        <v>13</v>
      </c>
      <c r="M43" s="19">
        <v>0</v>
      </c>
      <c r="N43" s="19">
        <v>0</v>
      </c>
      <c r="O43" s="19">
        <v>3</v>
      </c>
      <c r="P43" s="19">
        <v>15</v>
      </c>
      <c r="Q43" s="19">
        <v>6</v>
      </c>
      <c r="R43" s="19">
        <v>4</v>
      </c>
      <c r="S43" s="19">
        <v>0</v>
      </c>
      <c r="T43" s="19">
        <v>2</v>
      </c>
    </row>
    <row r="44" spans="1:20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304</v>
      </c>
      <c r="E44" s="31">
        <v>124</v>
      </c>
      <c r="F44" s="31">
        <v>180</v>
      </c>
      <c r="G44" s="31">
        <v>0</v>
      </c>
      <c r="H44" s="31">
        <v>0</v>
      </c>
      <c r="I44" s="31">
        <v>0</v>
      </c>
      <c r="J44" s="31">
        <v>0</v>
      </c>
      <c r="K44" s="31">
        <v>72</v>
      </c>
      <c r="L44" s="31">
        <v>59</v>
      </c>
      <c r="M44" s="31">
        <v>4</v>
      </c>
      <c r="N44" s="31">
        <v>7</v>
      </c>
      <c r="O44" s="31">
        <v>18</v>
      </c>
      <c r="P44" s="31">
        <v>96</v>
      </c>
      <c r="Q44" s="31">
        <v>29</v>
      </c>
      <c r="R44" s="31">
        <v>18</v>
      </c>
      <c r="S44" s="31">
        <v>1</v>
      </c>
      <c r="T44" s="31">
        <v>0</v>
      </c>
    </row>
    <row r="45" spans="1:20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298</v>
      </c>
      <c r="E45" s="19">
        <v>123</v>
      </c>
      <c r="F45" s="19">
        <v>175</v>
      </c>
      <c r="G45" s="19">
        <v>0</v>
      </c>
      <c r="H45" s="19">
        <v>0</v>
      </c>
      <c r="I45" s="19">
        <v>0</v>
      </c>
      <c r="J45" s="19">
        <v>0</v>
      </c>
      <c r="K45" s="19">
        <v>71</v>
      </c>
      <c r="L45" s="19">
        <v>57</v>
      </c>
      <c r="M45" s="19">
        <v>4</v>
      </c>
      <c r="N45" s="19">
        <v>7</v>
      </c>
      <c r="O45" s="19">
        <v>18</v>
      </c>
      <c r="P45" s="19">
        <v>94</v>
      </c>
      <c r="Q45" s="19">
        <v>29</v>
      </c>
      <c r="R45" s="19">
        <v>17</v>
      </c>
      <c r="S45" s="19">
        <v>1</v>
      </c>
      <c r="T45" s="19">
        <v>0</v>
      </c>
    </row>
    <row r="46" spans="1:20" s="32" customFormat="1" ht="14.25" customHeight="1" x14ac:dyDescent="0.2">
      <c r="A46" s="108"/>
      <c r="B46" s="36" t="s">
        <v>39</v>
      </c>
      <c r="C46" s="37" t="s">
        <v>163</v>
      </c>
      <c r="D46" s="19">
        <v>6</v>
      </c>
      <c r="E46" s="19">
        <v>1</v>
      </c>
      <c r="F46" s="19">
        <v>5</v>
      </c>
      <c r="G46" s="19">
        <v>0</v>
      </c>
      <c r="H46" s="19">
        <v>0</v>
      </c>
      <c r="I46" s="19">
        <v>0</v>
      </c>
      <c r="J46" s="19">
        <v>0</v>
      </c>
      <c r="K46" s="19">
        <v>1</v>
      </c>
      <c r="L46" s="19">
        <v>2</v>
      </c>
      <c r="M46" s="19">
        <v>0</v>
      </c>
      <c r="N46" s="19">
        <v>0</v>
      </c>
      <c r="O46" s="19">
        <v>0</v>
      </c>
      <c r="P46" s="19">
        <v>2</v>
      </c>
      <c r="Q46" s="19">
        <v>0</v>
      </c>
      <c r="R46" s="19">
        <v>1</v>
      </c>
      <c r="S46" s="19">
        <v>0</v>
      </c>
      <c r="T46" s="19">
        <v>0</v>
      </c>
    </row>
    <row r="47" spans="1:20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178</v>
      </c>
      <c r="E47" s="31">
        <v>81</v>
      </c>
      <c r="F47" s="31">
        <v>97</v>
      </c>
      <c r="G47" s="31">
        <v>1</v>
      </c>
      <c r="H47" s="31">
        <v>0</v>
      </c>
      <c r="I47" s="31">
        <v>0</v>
      </c>
      <c r="J47" s="31">
        <v>0</v>
      </c>
      <c r="K47" s="31">
        <v>49</v>
      </c>
      <c r="L47" s="31">
        <v>30</v>
      </c>
      <c r="M47" s="31">
        <v>5</v>
      </c>
      <c r="N47" s="31">
        <v>7</v>
      </c>
      <c r="O47" s="31">
        <v>9</v>
      </c>
      <c r="P47" s="31">
        <v>46</v>
      </c>
      <c r="Q47" s="31">
        <v>17</v>
      </c>
      <c r="R47" s="31">
        <v>14</v>
      </c>
      <c r="S47" s="31">
        <v>0</v>
      </c>
      <c r="T47" s="31">
        <v>0</v>
      </c>
    </row>
    <row r="48" spans="1:20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169</v>
      </c>
      <c r="E48" s="19">
        <v>74</v>
      </c>
      <c r="F48" s="19">
        <v>95</v>
      </c>
      <c r="G48" s="19">
        <v>1</v>
      </c>
      <c r="H48" s="19">
        <v>0</v>
      </c>
      <c r="I48" s="19">
        <v>0</v>
      </c>
      <c r="J48" s="19">
        <v>0</v>
      </c>
      <c r="K48" s="19">
        <v>46</v>
      </c>
      <c r="L48" s="19">
        <v>30</v>
      </c>
      <c r="M48" s="19">
        <v>5</v>
      </c>
      <c r="N48" s="19">
        <v>7</v>
      </c>
      <c r="O48" s="19">
        <v>5</v>
      </c>
      <c r="P48" s="19">
        <v>44</v>
      </c>
      <c r="Q48" s="19">
        <v>17</v>
      </c>
      <c r="R48" s="19">
        <v>14</v>
      </c>
      <c r="S48" s="19">
        <v>0</v>
      </c>
      <c r="T48" s="19">
        <v>0</v>
      </c>
    </row>
    <row r="49" spans="1:20" s="32" customFormat="1" ht="14.25" customHeight="1" x14ac:dyDescent="0.2">
      <c r="A49" s="108"/>
      <c r="B49" s="36" t="s">
        <v>39</v>
      </c>
      <c r="C49" s="37" t="s">
        <v>163</v>
      </c>
      <c r="D49" s="19">
        <v>9</v>
      </c>
      <c r="E49" s="19">
        <v>7</v>
      </c>
      <c r="F49" s="19">
        <v>2</v>
      </c>
      <c r="G49" s="19">
        <v>0</v>
      </c>
      <c r="H49" s="19">
        <v>0</v>
      </c>
      <c r="I49" s="19">
        <v>0</v>
      </c>
      <c r="J49" s="19">
        <v>0</v>
      </c>
      <c r="K49" s="19">
        <v>3</v>
      </c>
      <c r="L49" s="19">
        <v>0</v>
      </c>
      <c r="M49" s="19">
        <v>0</v>
      </c>
      <c r="N49" s="19">
        <v>0</v>
      </c>
      <c r="O49" s="19">
        <v>4</v>
      </c>
      <c r="P49" s="19">
        <v>2</v>
      </c>
      <c r="Q49" s="19">
        <v>0</v>
      </c>
      <c r="R49" s="19">
        <v>0</v>
      </c>
      <c r="S49" s="19">
        <v>0</v>
      </c>
      <c r="T49" s="19">
        <v>0</v>
      </c>
    </row>
    <row r="50" spans="1:20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355</v>
      </c>
      <c r="E50" s="31">
        <v>148</v>
      </c>
      <c r="F50" s="31">
        <v>207</v>
      </c>
      <c r="G50" s="31">
        <v>1</v>
      </c>
      <c r="H50" s="31">
        <v>0</v>
      </c>
      <c r="I50" s="31">
        <v>4</v>
      </c>
      <c r="J50" s="31">
        <v>0</v>
      </c>
      <c r="K50" s="31">
        <v>99</v>
      </c>
      <c r="L50" s="31">
        <v>72</v>
      </c>
      <c r="M50" s="31">
        <v>8</v>
      </c>
      <c r="N50" s="31">
        <v>5</v>
      </c>
      <c r="O50" s="31">
        <v>21</v>
      </c>
      <c r="P50" s="31">
        <v>115</v>
      </c>
      <c r="Q50" s="31">
        <v>13</v>
      </c>
      <c r="R50" s="31">
        <v>14</v>
      </c>
      <c r="S50" s="31">
        <v>2</v>
      </c>
      <c r="T50" s="31">
        <v>1</v>
      </c>
    </row>
    <row r="51" spans="1:20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299</v>
      </c>
      <c r="E51" s="19">
        <v>129</v>
      </c>
      <c r="F51" s="19">
        <v>170</v>
      </c>
      <c r="G51" s="19">
        <v>1</v>
      </c>
      <c r="H51" s="19">
        <v>0</v>
      </c>
      <c r="I51" s="19">
        <v>4</v>
      </c>
      <c r="J51" s="19">
        <v>0</v>
      </c>
      <c r="K51" s="19">
        <v>84</v>
      </c>
      <c r="L51" s="19">
        <v>65</v>
      </c>
      <c r="M51" s="19">
        <v>7</v>
      </c>
      <c r="N51" s="19">
        <v>5</v>
      </c>
      <c r="O51" s="19">
        <v>20</v>
      </c>
      <c r="P51" s="19">
        <v>85</v>
      </c>
      <c r="Q51" s="19">
        <v>11</v>
      </c>
      <c r="R51" s="19">
        <v>14</v>
      </c>
      <c r="S51" s="19">
        <v>2</v>
      </c>
      <c r="T51" s="19">
        <v>1</v>
      </c>
    </row>
    <row r="52" spans="1:20" s="32" customFormat="1" ht="14.25" customHeight="1" x14ac:dyDescent="0.2">
      <c r="A52" s="108"/>
      <c r="B52" s="36" t="s">
        <v>39</v>
      </c>
      <c r="C52" s="37" t="s">
        <v>163</v>
      </c>
      <c r="D52" s="19">
        <v>56</v>
      </c>
      <c r="E52" s="19">
        <v>19</v>
      </c>
      <c r="F52" s="19">
        <v>37</v>
      </c>
      <c r="G52" s="19">
        <v>0</v>
      </c>
      <c r="H52" s="19">
        <v>0</v>
      </c>
      <c r="I52" s="19">
        <v>0</v>
      </c>
      <c r="J52" s="19">
        <v>0</v>
      </c>
      <c r="K52" s="19">
        <v>15</v>
      </c>
      <c r="L52" s="19">
        <v>7</v>
      </c>
      <c r="M52" s="19">
        <v>1</v>
      </c>
      <c r="N52" s="19">
        <v>0</v>
      </c>
      <c r="O52" s="19">
        <v>1</v>
      </c>
      <c r="P52" s="19">
        <v>30</v>
      </c>
      <c r="Q52" s="19">
        <v>2</v>
      </c>
      <c r="R52" s="19">
        <v>0</v>
      </c>
      <c r="S52" s="19">
        <v>0</v>
      </c>
      <c r="T52" s="19">
        <v>0</v>
      </c>
    </row>
    <row r="53" spans="1:20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76</v>
      </c>
      <c r="E53" s="31">
        <v>20</v>
      </c>
      <c r="F53" s="31">
        <v>56</v>
      </c>
      <c r="G53" s="31">
        <v>0</v>
      </c>
      <c r="H53" s="31">
        <v>0</v>
      </c>
      <c r="I53" s="31">
        <v>0</v>
      </c>
      <c r="J53" s="31">
        <v>0</v>
      </c>
      <c r="K53" s="31">
        <v>8</v>
      </c>
      <c r="L53" s="31">
        <v>8</v>
      </c>
      <c r="M53" s="31">
        <v>0</v>
      </c>
      <c r="N53" s="31">
        <v>0</v>
      </c>
      <c r="O53" s="31">
        <v>9</v>
      </c>
      <c r="P53" s="31">
        <v>48</v>
      </c>
      <c r="Q53" s="31">
        <v>2</v>
      </c>
      <c r="R53" s="31">
        <v>0</v>
      </c>
      <c r="S53" s="31">
        <v>1</v>
      </c>
      <c r="T53" s="31">
        <v>0</v>
      </c>
    </row>
    <row r="54" spans="1:20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32</v>
      </c>
      <c r="E54" s="19">
        <v>11</v>
      </c>
      <c r="F54" s="19">
        <v>21</v>
      </c>
      <c r="G54" s="19">
        <v>0</v>
      </c>
      <c r="H54" s="19">
        <v>0</v>
      </c>
      <c r="I54" s="19">
        <v>0</v>
      </c>
      <c r="J54" s="19">
        <v>0</v>
      </c>
      <c r="K54" s="19">
        <v>3</v>
      </c>
      <c r="L54" s="19">
        <v>0</v>
      </c>
      <c r="M54" s="19">
        <v>0</v>
      </c>
      <c r="N54" s="19">
        <v>0</v>
      </c>
      <c r="O54" s="19">
        <v>5</v>
      </c>
      <c r="P54" s="19">
        <v>21</v>
      </c>
      <c r="Q54" s="19">
        <v>2</v>
      </c>
      <c r="R54" s="19">
        <v>0</v>
      </c>
      <c r="S54" s="19">
        <v>1</v>
      </c>
      <c r="T54" s="19">
        <v>0</v>
      </c>
    </row>
    <row r="55" spans="1:20" s="32" customFormat="1" ht="14.25" customHeight="1" x14ac:dyDescent="0.2">
      <c r="A55" s="108"/>
      <c r="B55" s="36" t="s">
        <v>39</v>
      </c>
      <c r="C55" s="37" t="s">
        <v>163</v>
      </c>
      <c r="D55" s="19">
        <v>44</v>
      </c>
      <c r="E55" s="19">
        <v>9</v>
      </c>
      <c r="F55" s="19">
        <v>35</v>
      </c>
      <c r="G55" s="19">
        <v>0</v>
      </c>
      <c r="H55" s="19">
        <v>0</v>
      </c>
      <c r="I55" s="19">
        <v>0</v>
      </c>
      <c r="J55" s="19">
        <v>0</v>
      </c>
      <c r="K55" s="19">
        <v>5</v>
      </c>
      <c r="L55" s="19">
        <v>8</v>
      </c>
      <c r="M55" s="19">
        <v>0</v>
      </c>
      <c r="N55" s="19">
        <v>0</v>
      </c>
      <c r="O55" s="19">
        <v>4</v>
      </c>
      <c r="P55" s="19">
        <v>27</v>
      </c>
      <c r="Q55" s="19">
        <v>0</v>
      </c>
      <c r="R55" s="19">
        <v>0</v>
      </c>
      <c r="S55" s="19">
        <v>0</v>
      </c>
      <c r="T55" s="19">
        <v>0</v>
      </c>
    </row>
    <row r="56" spans="1:20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285</v>
      </c>
      <c r="E56" s="31">
        <v>123</v>
      </c>
      <c r="F56" s="31">
        <v>162</v>
      </c>
      <c r="G56" s="31">
        <v>0</v>
      </c>
      <c r="H56" s="31">
        <v>0</v>
      </c>
      <c r="I56" s="31">
        <v>0</v>
      </c>
      <c r="J56" s="31">
        <v>1</v>
      </c>
      <c r="K56" s="31">
        <v>75</v>
      </c>
      <c r="L56" s="31">
        <v>37</v>
      </c>
      <c r="M56" s="31">
        <v>8</v>
      </c>
      <c r="N56" s="31">
        <v>1</v>
      </c>
      <c r="O56" s="31">
        <v>15</v>
      </c>
      <c r="P56" s="31">
        <v>93</v>
      </c>
      <c r="Q56" s="31">
        <v>25</v>
      </c>
      <c r="R56" s="31">
        <v>29</v>
      </c>
      <c r="S56" s="31">
        <v>0</v>
      </c>
      <c r="T56" s="31">
        <v>1</v>
      </c>
    </row>
    <row r="57" spans="1:20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119</v>
      </c>
      <c r="E57" s="19">
        <v>51</v>
      </c>
      <c r="F57" s="19">
        <v>68</v>
      </c>
      <c r="G57" s="19">
        <v>0</v>
      </c>
      <c r="H57" s="19">
        <v>0</v>
      </c>
      <c r="I57" s="19">
        <v>0</v>
      </c>
      <c r="J57" s="19">
        <v>1</v>
      </c>
      <c r="K57" s="19">
        <v>34</v>
      </c>
      <c r="L57" s="19">
        <v>18</v>
      </c>
      <c r="M57" s="19">
        <v>1</v>
      </c>
      <c r="N57" s="19">
        <v>0</v>
      </c>
      <c r="O57" s="19">
        <v>4</v>
      </c>
      <c r="P57" s="19">
        <v>35</v>
      </c>
      <c r="Q57" s="19">
        <v>12</v>
      </c>
      <c r="R57" s="19">
        <v>14</v>
      </c>
      <c r="S57" s="19">
        <v>0</v>
      </c>
      <c r="T57" s="19">
        <v>0</v>
      </c>
    </row>
    <row r="58" spans="1:20" s="32" customFormat="1" ht="14.25" customHeight="1" x14ac:dyDescent="0.2">
      <c r="A58" s="108"/>
      <c r="B58" s="36" t="s">
        <v>39</v>
      </c>
      <c r="C58" s="37" t="s">
        <v>163</v>
      </c>
      <c r="D58" s="19">
        <v>166</v>
      </c>
      <c r="E58" s="19">
        <v>72</v>
      </c>
      <c r="F58" s="19">
        <v>94</v>
      </c>
      <c r="G58" s="19">
        <v>0</v>
      </c>
      <c r="H58" s="19">
        <v>0</v>
      </c>
      <c r="I58" s="19">
        <v>0</v>
      </c>
      <c r="J58" s="19">
        <v>0</v>
      </c>
      <c r="K58" s="19">
        <v>41</v>
      </c>
      <c r="L58" s="19">
        <v>19</v>
      </c>
      <c r="M58" s="19">
        <v>7</v>
      </c>
      <c r="N58" s="19">
        <v>1</v>
      </c>
      <c r="O58" s="19">
        <v>11</v>
      </c>
      <c r="P58" s="19">
        <v>58</v>
      </c>
      <c r="Q58" s="19">
        <v>13</v>
      </c>
      <c r="R58" s="19">
        <v>15</v>
      </c>
      <c r="S58" s="19">
        <v>0</v>
      </c>
      <c r="T58" s="19">
        <v>1</v>
      </c>
    </row>
    <row r="59" spans="1:20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17</v>
      </c>
      <c r="E59" s="31">
        <v>8</v>
      </c>
      <c r="F59" s="31">
        <v>9</v>
      </c>
      <c r="G59" s="31">
        <v>1</v>
      </c>
      <c r="H59" s="31">
        <v>0</v>
      </c>
      <c r="I59" s="31">
        <v>0</v>
      </c>
      <c r="J59" s="31">
        <v>0</v>
      </c>
      <c r="K59" s="31">
        <v>2</v>
      </c>
      <c r="L59" s="31">
        <v>2</v>
      </c>
      <c r="M59" s="31">
        <v>0</v>
      </c>
      <c r="N59" s="31">
        <v>0</v>
      </c>
      <c r="O59" s="31">
        <v>4</v>
      </c>
      <c r="P59" s="31">
        <v>7</v>
      </c>
      <c r="Q59" s="31">
        <v>1</v>
      </c>
      <c r="R59" s="31">
        <v>0</v>
      </c>
      <c r="S59" s="31">
        <v>0</v>
      </c>
      <c r="T59" s="31">
        <v>0</v>
      </c>
    </row>
    <row r="60" spans="1:20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17</v>
      </c>
      <c r="E60" s="19">
        <v>8</v>
      </c>
      <c r="F60" s="19">
        <v>9</v>
      </c>
      <c r="G60" s="19">
        <v>1</v>
      </c>
      <c r="H60" s="19">
        <v>0</v>
      </c>
      <c r="I60" s="19">
        <v>0</v>
      </c>
      <c r="J60" s="19">
        <v>0</v>
      </c>
      <c r="K60" s="19">
        <v>2</v>
      </c>
      <c r="L60" s="19">
        <v>2</v>
      </c>
      <c r="M60" s="19">
        <v>0</v>
      </c>
      <c r="N60" s="19">
        <v>0</v>
      </c>
      <c r="O60" s="19">
        <v>4</v>
      </c>
      <c r="P60" s="19">
        <v>7</v>
      </c>
      <c r="Q60" s="19">
        <v>1</v>
      </c>
      <c r="R60" s="19">
        <v>0</v>
      </c>
      <c r="S60" s="19">
        <v>0</v>
      </c>
      <c r="T60" s="19">
        <v>0</v>
      </c>
    </row>
    <row r="61" spans="1:20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</row>
    <row r="62" spans="1:20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208</v>
      </c>
      <c r="E62" s="31">
        <v>84</v>
      </c>
      <c r="F62" s="31">
        <v>124</v>
      </c>
      <c r="G62" s="31">
        <v>0</v>
      </c>
      <c r="H62" s="31">
        <v>0</v>
      </c>
      <c r="I62" s="31">
        <v>0</v>
      </c>
      <c r="J62" s="31">
        <v>0</v>
      </c>
      <c r="K62" s="31">
        <v>61</v>
      </c>
      <c r="L62" s="31">
        <v>38</v>
      </c>
      <c r="M62" s="31">
        <v>0</v>
      </c>
      <c r="N62" s="31">
        <v>4</v>
      </c>
      <c r="O62" s="31">
        <v>18</v>
      </c>
      <c r="P62" s="31">
        <v>76</v>
      </c>
      <c r="Q62" s="31">
        <v>5</v>
      </c>
      <c r="R62" s="31">
        <v>6</v>
      </c>
      <c r="S62" s="31">
        <v>0</v>
      </c>
      <c r="T62" s="31">
        <v>0</v>
      </c>
    </row>
    <row r="63" spans="1:20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191</v>
      </c>
      <c r="E63" s="19">
        <v>78</v>
      </c>
      <c r="F63" s="19">
        <v>113</v>
      </c>
      <c r="G63" s="19">
        <v>0</v>
      </c>
      <c r="H63" s="19">
        <v>0</v>
      </c>
      <c r="I63" s="19">
        <v>0</v>
      </c>
      <c r="J63" s="19">
        <v>0</v>
      </c>
      <c r="K63" s="19">
        <v>57</v>
      </c>
      <c r="L63" s="19">
        <v>35</v>
      </c>
      <c r="M63" s="19">
        <v>0</v>
      </c>
      <c r="N63" s="19">
        <v>4</v>
      </c>
      <c r="O63" s="19">
        <v>17</v>
      </c>
      <c r="P63" s="19">
        <v>68</v>
      </c>
      <c r="Q63" s="19">
        <v>4</v>
      </c>
      <c r="R63" s="19">
        <v>6</v>
      </c>
      <c r="S63" s="19">
        <v>0</v>
      </c>
      <c r="T63" s="19">
        <v>0</v>
      </c>
    </row>
    <row r="64" spans="1:20" s="32" customFormat="1" ht="14.25" customHeight="1" x14ac:dyDescent="0.2">
      <c r="A64" s="108"/>
      <c r="B64" s="36" t="s">
        <v>39</v>
      </c>
      <c r="C64" s="37" t="s">
        <v>163</v>
      </c>
      <c r="D64" s="19">
        <v>17</v>
      </c>
      <c r="E64" s="19">
        <v>6</v>
      </c>
      <c r="F64" s="19">
        <v>11</v>
      </c>
      <c r="G64" s="19">
        <v>0</v>
      </c>
      <c r="H64" s="19">
        <v>0</v>
      </c>
      <c r="I64" s="19">
        <v>0</v>
      </c>
      <c r="J64" s="19">
        <v>0</v>
      </c>
      <c r="K64" s="19">
        <v>4</v>
      </c>
      <c r="L64" s="19">
        <v>3</v>
      </c>
      <c r="M64" s="19">
        <v>0</v>
      </c>
      <c r="N64" s="19">
        <v>0</v>
      </c>
      <c r="O64" s="19">
        <v>1</v>
      </c>
      <c r="P64" s="19">
        <v>8</v>
      </c>
      <c r="Q64" s="19">
        <v>1</v>
      </c>
      <c r="R64" s="19">
        <v>0</v>
      </c>
      <c r="S64" s="19">
        <v>0</v>
      </c>
      <c r="T64" s="19">
        <v>0</v>
      </c>
    </row>
    <row r="65" spans="1:20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175</v>
      </c>
      <c r="E65" s="31">
        <v>70</v>
      </c>
      <c r="F65" s="31">
        <v>105</v>
      </c>
      <c r="G65" s="31">
        <v>0</v>
      </c>
      <c r="H65" s="31">
        <v>0</v>
      </c>
      <c r="I65" s="31">
        <v>0</v>
      </c>
      <c r="J65" s="31">
        <v>0</v>
      </c>
      <c r="K65" s="31">
        <v>34</v>
      </c>
      <c r="L65" s="31">
        <v>27</v>
      </c>
      <c r="M65" s="31">
        <v>0</v>
      </c>
      <c r="N65" s="31">
        <v>1</v>
      </c>
      <c r="O65" s="31">
        <v>24</v>
      </c>
      <c r="P65" s="31">
        <v>62</v>
      </c>
      <c r="Q65" s="31">
        <v>12</v>
      </c>
      <c r="R65" s="31">
        <v>15</v>
      </c>
      <c r="S65" s="31">
        <v>0</v>
      </c>
      <c r="T65" s="31">
        <v>0</v>
      </c>
    </row>
    <row r="66" spans="1:20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157</v>
      </c>
      <c r="E66" s="19">
        <v>66</v>
      </c>
      <c r="F66" s="19">
        <v>91</v>
      </c>
      <c r="G66" s="19">
        <v>0</v>
      </c>
      <c r="H66" s="19">
        <v>0</v>
      </c>
      <c r="I66" s="19">
        <v>0</v>
      </c>
      <c r="J66" s="19">
        <v>0</v>
      </c>
      <c r="K66" s="19">
        <v>32</v>
      </c>
      <c r="L66" s="19">
        <v>25</v>
      </c>
      <c r="M66" s="19">
        <v>0</v>
      </c>
      <c r="N66" s="19">
        <v>1</v>
      </c>
      <c r="O66" s="19">
        <v>23</v>
      </c>
      <c r="P66" s="19">
        <v>52</v>
      </c>
      <c r="Q66" s="19">
        <v>11</v>
      </c>
      <c r="R66" s="19">
        <v>13</v>
      </c>
      <c r="S66" s="19">
        <v>0</v>
      </c>
      <c r="T66" s="19">
        <v>0</v>
      </c>
    </row>
    <row r="67" spans="1:20" s="32" customFormat="1" ht="14.25" customHeight="1" x14ac:dyDescent="0.2">
      <c r="A67" s="108"/>
      <c r="B67" s="36" t="s">
        <v>39</v>
      </c>
      <c r="C67" s="37" t="s">
        <v>163</v>
      </c>
      <c r="D67" s="19">
        <v>18</v>
      </c>
      <c r="E67" s="19">
        <v>4</v>
      </c>
      <c r="F67" s="19">
        <v>14</v>
      </c>
      <c r="G67" s="19">
        <v>0</v>
      </c>
      <c r="H67" s="19">
        <v>0</v>
      </c>
      <c r="I67" s="19">
        <v>0</v>
      </c>
      <c r="J67" s="19">
        <v>0</v>
      </c>
      <c r="K67" s="19">
        <v>2</v>
      </c>
      <c r="L67" s="19">
        <v>2</v>
      </c>
      <c r="M67" s="19">
        <v>0</v>
      </c>
      <c r="N67" s="19">
        <v>0</v>
      </c>
      <c r="O67" s="19">
        <v>1</v>
      </c>
      <c r="P67" s="19">
        <v>10</v>
      </c>
      <c r="Q67" s="19">
        <v>1</v>
      </c>
      <c r="R67" s="19">
        <v>2</v>
      </c>
      <c r="S67" s="19">
        <v>0</v>
      </c>
      <c r="T67" s="19">
        <v>0</v>
      </c>
    </row>
    <row r="68" spans="1:20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123</v>
      </c>
      <c r="E68" s="31">
        <v>55</v>
      </c>
      <c r="F68" s="31">
        <v>68</v>
      </c>
      <c r="G68" s="31">
        <v>0</v>
      </c>
      <c r="H68" s="31">
        <v>0</v>
      </c>
      <c r="I68" s="31">
        <v>0</v>
      </c>
      <c r="J68" s="31">
        <v>0</v>
      </c>
      <c r="K68" s="31">
        <v>32</v>
      </c>
      <c r="L68" s="31">
        <v>16</v>
      </c>
      <c r="M68" s="31">
        <v>0</v>
      </c>
      <c r="N68" s="31">
        <v>0</v>
      </c>
      <c r="O68" s="31">
        <v>6</v>
      </c>
      <c r="P68" s="31">
        <v>23</v>
      </c>
      <c r="Q68" s="31">
        <v>17</v>
      </c>
      <c r="R68" s="31">
        <v>29</v>
      </c>
      <c r="S68" s="31">
        <v>0</v>
      </c>
      <c r="T68" s="31">
        <v>0</v>
      </c>
    </row>
    <row r="69" spans="1:20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123</v>
      </c>
      <c r="E69" s="19">
        <v>55</v>
      </c>
      <c r="F69" s="19">
        <v>68</v>
      </c>
      <c r="G69" s="19">
        <v>0</v>
      </c>
      <c r="H69" s="19">
        <v>0</v>
      </c>
      <c r="I69" s="19">
        <v>0</v>
      </c>
      <c r="J69" s="19">
        <v>0</v>
      </c>
      <c r="K69" s="19">
        <v>32</v>
      </c>
      <c r="L69" s="19">
        <v>16</v>
      </c>
      <c r="M69" s="19">
        <v>0</v>
      </c>
      <c r="N69" s="19">
        <v>0</v>
      </c>
      <c r="O69" s="19">
        <v>6</v>
      </c>
      <c r="P69" s="19">
        <v>23</v>
      </c>
      <c r="Q69" s="19">
        <v>17</v>
      </c>
      <c r="R69" s="19">
        <v>29</v>
      </c>
      <c r="S69" s="19">
        <v>0</v>
      </c>
      <c r="T69" s="19">
        <v>0</v>
      </c>
    </row>
    <row r="70" spans="1:20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</row>
    <row r="71" spans="1:20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36</v>
      </c>
      <c r="E71" s="31">
        <v>21</v>
      </c>
      <c r="F71" s="31">
        <v>15</v>
      </c>
      <c r="G71" s="31">
        <v>0</v>
      </c>
      <c r="H71" s="31">
        <v>0</v>
      </c>
      <c r="I71" s="31">
        <v>0</v>
      </c>
      <c r="J71" s="31">
        <v>0</v>
      </c>
      <c r="K71" s="31">
        <v>14</v>
      </c>
      <c r="L71" s="31">
        <v>5</v>
      </c>
      <c r="M71" s="31">
        <v>1</v>
      </c>
      <c r="N71" s="31">
        <v>0</v>
      </c>
      <c r="O71" s="31">
        <v>0</v>
      </c>
      <c r="P71" s="31">
        <v>7</v>
      </c>
      <c r="Q71" s="31">
        <v>6</v>
      </c>
      <c r="R71" s="31">
        <v>3</v>
      </c>
      <c r="S71" s="31">
        <v>0</v>
      </c>
      <c r="T71" s="31">
        <v>0</v>
      </c>
    </row>
    <row r="72" spans="1:20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32</v>
      </c>
      <c r="E72" s="19">
        <v>21</v>
      </c>
      <c r="F72" s="19">
        <v>11</v>
      </c>
      <c r="G72" s="19">
        <v>0</v>
      </c>
      <c r="H72" s="19">
        <v>0</v>
      </c>
      <c r="I72" s="19">
        <v>0</v>
      </c>
      <c r="J72" s="19">
        <v>0</v>
      </c>
      <c r="K72" s="19">
        <v>14</v>
      </c>
      <c r="L72" s="19">
        <v>5</v>
      </c>
      <c r="M72" s="19">
        <v>1</v>
      </c>
      <c r="N72" s="19">
        <v>0</v>
      </c>
      <c r="O72" s="19">
        <v>0</v>
      </c>
      <c r="P72" s="19">
        <v>6</v>
      </c>
      <c r="Q72" s="19">
        <v>6</v>
      </c>
      <c r="R72" s="19">
        <v>0</v>
      </c>
      <c r="S72" s="19">
        <v>0</v>
      </c>
      <c r="T72" s="19">
        <v>0</v>
      </c>
    </row>
    <row r="73" spans="1:20" s="32" customFormat="1" ht="14.25" customHeight="1" x14ac:dyDescent="0.2">
      <c r="A73" s="108"/>
      <c r="B73" s="36" t="s">
        <v>39</v>
      </c>
      <c r="C73" s="37" t="s">
        <v>163</v>
      </c>
      <c r="D73" s="19">
        <v>4</v>
      </c>
      <c r="E73" s="19">
        <v>0</v>
      </c>
      <c r="F73" s="19">
        <v>4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1</v>
      </c>
      <c r="Q73" s="19">
        <v>0</v>
      </c>
      <c r="R73" s="19">
        <v>3</v>
      </c>
      <c r="S73" s="19">
        <v>0</v>
      </c>
      <c r="T73" s="19">
        <v>0</v>
      </c>
    </row>
    <row r="74" spans="1:20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4</v>
      </c>
      <c r="E74" s="31">
        <v>2</v>
      </c>
      <c r="F74" s="31">
        <v>2</v>
      </c>
      <c r="G74" s="31">
        <v>0</v>
      </c>
      <c r="H74" s="31">
        <v>0</v>
      </c>
      <c r="I74" s="31">
        <v>0</v>
      </c>
      <c r="J74" s="31">
        <v>0</v>
      </c>
      <c r="K74" s="31">
        <v>2</v>
      </c>
      <c r="L74" s="31">
        <v>0</v>
      </c>
      <c r="M74" s="31">
        <v>0</v>
      </c>
      <c r="N74" s="31">
        <v>1</v>
      </c>
      <c r="O74" s="31">
        <v>0</v>
      </c>
      <c r="P74" s="31">
        <v>1</v>
      </c>
      <c r="Q74" s="31">
        <v>0</v>
      </c>
      <c r="R74" s="31">
        <v>0</v>
      </c>
      <c r="S74" s="31">
        <v>0</v>
      </c>
      <c r="T74" s="31">
        <v>0</v>
      </c>
    </row>
    <row r="75" spans="1:20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4</v>
      </c>
      <c r="E75" s="19">
        <v>2</v>
      </c>
      <c r="F75" s="19">
        <v>2</v>
      </c>
      <c r="G75" s="19">
        <v>0</v>
      </c>
      <c r="H75" s="19">
        <v>0</v>
      </c>
      <c r="I75" s="19">
        <v>0</v>
      </c>
      <c r="J75" s="19">
        <v>0</v>
      </c>
      <c r="K75" s="19">
        <v>2</v>
      </c>
      <c r="L75" s="19">
        <v>0</v>
      </c>
      <c r="M75" s="19">
        <v>0</v>
      </c>
      <c r="N75" s="19">
        <v>1</v>
      </c>
      <c r="O75" s="19">
        <v>0</v>
      </c>
      <c r="P75" s="19">
        <v>1</v>
      </c>
      <c r="Q75" s="19">
        <v>0</v>
      </c>
      <c r="R75" s="19">
        <v>0</v>
      </c>
      <c r="S75" s="19">
        <v>0</v>
      </c>
      <c r="T75" s="19">
        <v>0</v>
      </c>
    </row>
    <row r="76" spans="1:20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</row>
    <row r="77" spans="1:20" ht="14.25" customHeight="1" x14ac:dyDescent="0.2">
      <c r="A77" s="6" t="s">
        <v>28</v>
      </c>
    </row>
    <row r="78" spans="1:20" ht="14.25" customHeight="1" x14ac:dyDescent="0.2">
      <c r="A78" s="23" t="s">
        <v>29</v>
      </c>
    </row>
    <row r="79" spans="1:20" ht="14.25" customHeight="1" x14ac:dyDescent="0.2">
      <c r="A79" s="66" t="s">
        <v>176</v>
      </c>
    </row>
    <row r="80" spans="1:20" ht="14.25" customHeight="1" x14ac:dyDescent="0.2"/>
  </sheetData>
  <mergeCells count="35">
    <mergeCell ref="A15:A16"/>
    <mergeCell ref="A4:C7"/>
    <mergeCell ref="D4:T4"/>
    <mergeCell ref="D5:F6"/>
    <mergeCell ref="G5:J5"/>
    <mergeCell ref="K5:R5"/>
    <mergeCell ref="S5:T6"/>
    <mergeCell ref="G6:H6"/>
    <mergeCell ref="I6:J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0"/>
  <sheetViews>
    <sheetView workbookViewId="0">
      <pane xSplit="4" ySplit="8" topLeftCell="E9" activePane="bottomRight" state="frozen"/>
      <selection activeCell="A79" sqref="A79"/>
      <selection pane="topRight" activeCell="A79" sqref="A79"/>
      <selection pane="bottomLeft" activeCell="A79" sqref="A79"/>
      <selection pane="bottomRight" activeCell="A3" sqref="A3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4" width="10.1640625" style="3" customWidth="1"/>
    <col min="25" max="16384" width="5.5" style="3"/>
  </cols>
  <sheetData>
    <row r="1" spans="1:20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0" s="6" customFormat="1" ht="12.75" customHeight="1" x14ac:dyDescent="0.2">
      <c r="A3" s="85" t="s">
        <v>168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T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</row>
    <row r="4" spans="1:20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0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10"/>
    </row>
    <row r="6" spans="1:20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10"/>
    </row>
    <row r="7" spans="1:20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</row>
    <row r="8" spans="1:20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4546</v>
      </c>
      <c r="E8" s="78">
        <v>2030</v>
      </c>
      <c r="F8" s="78">
        <v>2516</v>
      </c>
      <c r="G8" s="78">
        <v>4</v>
      </c>
      <c r="H8" s="78">
        <v>0</v>
      </c>
      <c r="I8" s="78">
        <v>7</v>
      </c>
      <c r="J8" s="78">
        <v>1</v>
      </c>
      <c r="K8" s="78">
        <v>1411</v>
      </c>
      <c r="L8" s="78">
        <v>933</v>
      </c>
      <c r="M8" s="78">
        <v>113</v>
      </c>
      <c r="N8" s="78">
        <v>120</v>
      </c>
      <c r="O8" s="78">
        <v>178</v>
      </c>
      <c r="P8" s="78">
        <v>1203</v>
      </c>
      <c r="Q8" s="78">
        <v>303</v>
      </c>
      <c r="R8" s="78">
        <v>249</v>
      </c>
      <c r="S8" s="78">
        <v>14</v>
      </c>
      <c r="T8" s="78">
        <v>10</v>
      </c>
    </row>
    <row r="9" spans="1:20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4085</v>
      </c>
      <c r="E9" s="82">
        <v>1858</v>
      </c>
      <c r="F9" s="82">
        <v>2227</v>
      </c>
      <c r="G9" s="82">
        <v>4</v>
      </c>
      <c r="H9" s="82">
        <v>0</v>
      </c>
      <c r="I9" s="82">
        <v>6</v>
      </c>
      <c r="J9" s="82">
        <v>1</v>
      </c>
      <c r="K9" s="82">
        <v>1294</v>
      </c>
      <c r="L9" s="82">
        <v>826</v>
      </c>
      <c r="M9" s="82">
        <v>103</v>
      </c>
      <c r="N9" s="82">
        <v>111</v>
      </c>
      <c r="O9" s="82">
        <v>159</v>
      </c>
      <c r="P9" s="82">
        <v>1064</v>
      </c>
      <c r="Q9" s="82">
        <v>278</v>
      </c>
      <c r="R9" s="82">
        <v>216</v>
      </c>
      <c r="S9" s="82">
        <v>14</v>
      </c>
      <c r="T9" s="82">
        <v>9</v>
      </c>
    </row>
    <row r="10" spans="1:20" s="79" customFormat="1" ht="14.25" customHeight="1" x14ac:dyDescent="0.2">
      <c r="A10" s="111"/>
      <c r="B10" s="80" t="s">
        <v>152</v>
      </c>
      <c r="C10" s="81" t="s">
        <v>163</v>
      </c>
      <c r="D10" s="82">
        <v>461</v>
      </c>
      <c r="E10" s="82">
        <v>172</v>
      </c>
      <c r="F10" s="82">
        <v>289</v>
      </c>
      <c r="G10" s="82">
        <v>0</v>
      </c>
      <c r="H10" s="82">
        <v>0</v>
      </c>
      <c r="I10" s="82">
        <v>1</v>
      </c>
      <c r="J10" s="82">
        <v>0</v>
      </c>
      <c r="K10" s="82">
        <v>117</v>
      </c>
      <c r="L10" s="82">
        <v>107</v>
      </c>
      <c r="M10" s="82">
        <v>10</v>
      </c>
      <c r="N10" s="82">
        <v>9</v>
      </c>
      <c r="O10" s="82">
        <v>19</v>
      </c>
      <c r="P10" s="82">
        <v>139</v>
      </c>
      <c r="Q10" s="82">
        <v>25</v>
      </c>
      <c r="R10" s="82">
        <v>33</v>
      </c>
      <c r="S10" s="82">
        <v>0</v>
      </c>
      <c r="T10" s="82">
        <v>1</v>
      </c>
    </row>
    <row r="11" spans="1:20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996</v>
      </c>
      <c r="E11" s="31">
        <v>451</v>
      </c>
      <c r="F11" s="31">
        <v>545</v>
      </c>
      <c r="G11" s="31">
        <v>0</v>
      </c>
      <c r="H11" s="31">
        <v>0</v>
      </c>
      <c r="I11" s="31">
        <v>0</v>
      </c>
      <c r="J11" s="31">
        <v>0</v>
      </c>
      <c r="K11" s="31">
        <v>336</v>
      </c>
      <c r="L11" s="31">
        <v>210</v>
      </c>
      <c r="M11" s="31">
        <v>36</v>
      </c>
      <c r="N11" s="31">
        <v>34</v>
      </c>
      <c r="O11" s="31">
        <v>34</v>
      </c>
      <c r="P11" s="31">
        <v>273</v>
      </c>
      <c r="Q11" s="31">
        <v>41</v>
      </c>
      <c r="R11" s="31">
        <v>24</v>
      </c>
      <c r="S11" s="31">
        <v>4</v>
      </c>
      <c r="T11" s="31">
        <v>4</v>
      </c>
    </row>
    <row r="12" spans="1:20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914</v>
      </c>
      <c r="E12" s="19">
        <v>422</v>
      </c>
      <c r="F12" s="19">
        <v>492</v>
      </c>
      <c r="G12" s="19">
        <v>0</v>
      </c>
      <c r="H12" s="19">
        <v>0</v>
      </c>
      <c r="I12" s="19">
        <v>0</v>
      </c>
      <c r="J12" s="19">
        <v>0</v>
      </c>
      <c r="K12" s="19">
        <v>312</v>
      </c>
      <c r="L12" s="19">
        <v>182</v>
      </c>
      <c r="M12" s="19">
        <v>35</v>
      </c>
      <c r="N12" s="19">
        <v>28</v>
      </c>
      <c r="O12" s="19">
        <v>32</v>
      </c>
      <c r="P12" s="19">
        <v>258</v>
      </c>
      <c r="Q12" s="19">
        <v>39</v>
      </c>
      <c r="R12" s="19">
        <v>21</v>
      </c>
      <c r="S12" s="19">
        <v>4</v>
      </c>
      <c r="T12" s="19">
        <v>3</v>
      </c>
    </row>
    <row r="13" spans="1:20" s="32" customFormat="1" ht="14.25" customHeight="1" x14ac:dyDescent="0.2">
      <c r="A13" s="108"/>
      <c r="B13" s="33" t="s">
        <v>39</v>
      </c>
      <c r="C13" s="34" t="s">
        <v>163</v>
      </c>
      <c r="D13" s="19">
        <v>82</v>
      </c>
      <c r="E13" s="19">
        <v>29</v>
      </c>
      <c r="F13" s="19">
        <v>53</v>
      </c>
      <c r="G13" s="19">
        <v>0</v>
      </c>
      <c r="H13" s="19">
        <v>0</v>
      </c>
      <c r="I13" s="19">
        <v>0</v>
      </c>
      <c r="J13" s="19">
        <v>0</v>
      </c>
      <c r="K13" s="19">
        <v>24</v>
      </c>
      <c r="L13" s="19">
        <v>28</v>
      </c>
      <c r="M13" s="19">
        <v>1</v>
      </c>
      <c r="N13" s="19">
        <v>6</v>
      </c>
      <c r="O13" s="19">
        <v>2</v>
      </c>
      <c r="P13" s="19">
        <v>15</v>
      </c>
      <c r="Q13" s="19">
        <v>2</v>
      </c>
      <c r="R13" s="19">
        <v>3</v>
      </c>
      <c r="S13" s="19">
        <v>0</v>
      </c>
      <c r="T13" s="19">
        <v>1</v>
      </c>
    </row>
    <row r="14" spans="1:20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375</v>
      </c>
      <c r="E14" s="31">
        <v>161</v>
      </c>
      <c r="F14" s="31">
        <v>214</v>
      </c>
      <c r="G14" s="31">
        <v>1</v>
      </c>
      <c r="H14" s="31">
        <v>0</v>
      </c>
      <c r="I14" s="31">
        <v>0</v>
      </c>
      <c r="J14" s="31">
        <v>0</v>
      </c>
      <c r="K14" s="31">
        <v>102</v>
      </c>
      <c r="L14" s="31">
        <v>62</v>
      </c>
      <c r="M14" s="31">
        <v>7</v>
      </c>
      <c r="N14" s="31">
        <v>7</v>
      </c>
      <c r="O14" s="31">
        <v>17</v>
      </c>
      <c r="P14" s="31">
        <v>111</v>
      </c>
      <c r="Q14" s="31">
        <v>33</v>
      </c>
      <c r="R14" s="31">
        <v>33</v>
      </c>
      <c r="S14" s="31">
        <v>1</v>
      </c>
      <c r="T14" s="31">
        <v>1</v>
      </c>
    </row>
    <row r="15" spans="1:20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364</v>
      </c>
      <c r="E15" s="19">
        <v>155</v>
      </c>
      <c r="F15" s="19">
        <v>209</v>
      </c>
      <c r="G15" s="19">
        <v>1</v>
      </c>
      <c r="H15" s="19">
        <v>0</v>
      </c>
      <c r="I15" s="19">
        <v>0</v>
      </c>
      <c r="J15" s="19">
        <v>0</v>
      </c>
      <c r="K15" s="19">
        <v>98</v>
      </c>
      <c r="L15" s="19">
        <v>61</v>
      </c>
      <c r="M15" s="19">
        <v>7</v>
      </c>
      <c r="N15" s="19">
        <v>7</v>
      </c>
      <c r="O15" s="19">
        <v>17</v>
      </c>
      <c r="P15" s="19">
        <v>108</v>
      </c>
      <c r="Q15" s="19">
        <v>31</v>
      </c>
      <c r="R15" s="19">
        <v>32</v>
      </c>
      <c r="S15" s="19">
        <v>1</v>
      </c>
      <c r="T15" s="19">
        <v>1</v>
      </c>
    </row>
    <row r="16" spans="1:20" s="32" customFormat="1" ht="14.25" customHeight="1" x14ac:dyDescent="0.2">
      <c r="A16" s="108"/>
      <c r="B16" s="36" t="s">
        <v>39</v>
      </c>
      <c r="C16" s="37" t="s">
        <v>163</v>
      </c>
      <c r="D16" s="19">
        <v>11</v>
      </c>
      <c r="E16" s="19">
        <v>6</v>
      </c>
      <c r="F16" s="19">
        <v>5</v>
      </c>
      <c r="G16" s="19">
        <v>0</v>
      </c>
      <c r="H16" s="19">
        <v>0</v>
      </c>
      <c r="I16" s="19">
        <v>0</v>
      </c>
      <c r="J16" s="19">
        <v>0</v>
      </c>
      <c r="K16" s="19">
        <v>4</v>
      </c>
      <c r="L16" s="19">
        <v>1</v>
      </c>
      <c r="M16" s="19">
        <v>0</v>
      </c>
      <c r="N16" s="19">
        <v>0</v>
      </c>
      <c r="O16" s="19">
        <v>0</v>
      </c>
      <c r="P16" s="19">
        <v>3</v>
      </c>
      <c r="Q16" s="19">
        <v>2</v>
      </c>
      <c r="R16" s="19">
        <v>1</v>
      </c>
      <c r="S16" s="19">
        <v>0</v>
      </c>
      <c r="T16" s="19">
        <v>0</v>
      </c>
    </row>
    <row r="17" spans="1:20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353</v>
      </c>
      <c r="E17" s="31">
        <v>153</v>
      </c>
      <c r="F17" s="31">
        <v>200</v>
      </c>
      <c r="G17" s="31">
        <v>1</v>
      </c>
      <c r="H17" s="31">
        <v>0</v>
      </c>
      <c r="I17" s="31">
        <v>0</v>
      </c>
      <c r="J17" s="31">
        <v>0</v>
      </c>
      <c r="K17" s="31">
        <v>141</v>
      </c>
      <c r="L17" s="31">
        <v>82</v>
      </c>
      <c r="M17" s="31">
        <v>0</v>
      </c>
      <c r="N17" s="31">
        <v>2</v>
      </c>
      <c r="O17" s="31">
        <v>6</v>
      </c>
      <c r="P17" s="31">
        <v>111</v>
      </c>
      <c r="Q17" s="31">
        <v>5</v>
      </c>
      <c r="R17" s="31">
        <v>5</v>
      </c>
      <c r="S17" s="31">
        <v>0</v>
      </c>
      <c r="T17" s="31">
        <v>0</v>
      </c>
    </row>
    <row r="18" spans="1:20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282</v>
      </c>
      <c r="E18" s="19">
        <v>124</v>
      </c>
      <c r="F18" s="19">
        <v>158</v>
      </c>
      <c r="G18" s="19">
        <v>1</v>
      </c>
      <c r="H18" s="19">
        <v>0</v>
      </c>
      <c r="I18" s="19">
        <v>0</v>
      </c>
      <c r="J18" s="19">
        <v>0</v>
      </c>
      <c r="K18" s="19">
        <v>112</v>
      </c>
      <c r="L18" s="19">
        <v>63</v>
      </c>
      <c r="M18" s="19">
        <v>0</v>
      </c>
      <c r="N18" s="19">
        <v>2</v>
      </c>
      <c r="O18" s="19">
        <v>6</v>
      </c>
      <c r="P18" s="19">
        <v>91</v>
      </c>
      <c r="Q18" s="19">
        <v>5</v>
      </c>
      <c r="R18" s="19">
        <v>2</v>
      </c>
      <c r="S18" s="19">
        <v>0</v>
      </c>
      <c r="T18" s="19">
        <v>0</v>
      </c>
    </row>
    <row r="19" spans="1:20" s="32" customFormat="1" ht="14.25" customHeight="1" x14ac:dyDescent="0.2">
      <c r="A19" s="108"/>
      <c r="B19" s="36" t="s">
        <v>39</v>
      </c>
      <c r="C19" s="37" t="s">
        <v>163</v>
      </c>
      <c r="D19" s="19">
        <v>71</v>
      </c>
      <c r="E19" s="19">
        <v>29</v>
      </c>
      <c r="F19" s="19">
        <v>42</v>
      </c>
      <c r="G19" s="19">
        <v>0</v>
      </c>
      <c r="H19" s="19">
        <v>0</v>
      </c>
      <c r="I19" s="19">
        <v>0</v>
      </c>
      <c r="J19" s="19">
        <v>0</v>
      </c>
      <c r="K19" s="19">
        <v>29</v>
      </c>
      <c r="L19" s="19">
        <v>19</v>
      </c>
      <c r="M19" s="19">
        <v>0</v>
      </c>
      <c r="N19" s="19">
        <v>0</v>
      </c>
      <c r="O19" s="19">
        <v>0</v>
      </c>
      <c r="P19" s="19">
        <v>20</v>
      </c>
      <c r="Q19" s="19">
        <v>0</v>
      </c>
      <c r="R19" s="19">
        <v>3</v>
      </c>
      <c r="S19" s="19">
        <v>0</v>
      </c>
      <c r="T19" s="19">
        <v>0</v>
      </c>
    </row>
    <row r="20" spans="1:20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618</v>
      </c>
      <c r="E20" s="31">
        <v>305</v>
      </c>
      <c r="F20" s="31">
        <v>313</v>
      </c>
      <c r="G20" s="31">
        <v>0</v>
      </c>
      <c r="H20" s="31">
        <v>0</v>
      </c>
      <c r="I20" s="31">
        <v>2</v>
      </c>
      <c r="J20" s="31">
        <v>0</v>
      </c>
      <c r="K20" s="31">
        <v>230</v>
      </c>
      <c r="L20" s="31">
        <v>141</v>
      </c>
      <c r="M20" s="31">
        <v>23</v>
      </c>
      <c r="N20" s="31">
        <v>23</v>
      </c>
      <c r="O20" s="31">
        <v>23</v>
      </c>
      <c r="P20" s="31">
        <v>127</v>
      </c>
      <c r="Q20" s="31">
        <v>26</v>
      </c>
      <c r="R20" s="31">
        <v>22</v>
      </c>
      <c r="S20" s="31">
        <v>1</v>
      </c>
      <c r="T20" s="31">
        <v>0</v>
      </c>
    </row>
    <row r="21" spans="1:20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592</v>
      </c>
      <c r="E21" s="19">
        <v>291</v>
      </c>
      <c r="F21" s="19">
        <v>301</v>
      </c>
      <c r="G21" s="19">
        <v>0</v>
      </c>
      <c r="H21" s="19">
        <v>0</v>
      </c>
      <c r="I21" s="19">
        <v>1</v>
      </c>
      <c r="J21" s="19">
        <v>0</v>
      </c>
      <c r="K21" s="19">
        <v>219</v>
      </c>
      <c r="L21" s="19">
        <v>135</v>
      </c>
      <c r="M21" s="19">
        <v>22</v>
      </c>
      <c r="N21" s="19">
        <v>23</v>
      </c>
      <c r="O21" s="19">
        <v>22</v>
      </c>
      <c r="P21" s="19">
        <v>122</v>
      </c>
      <c r="Q21" s="19">
        <v>26</v>
      </c>
      <c r="R21" s="19">
        <v>21</v>
      </c>
      <c r="S21" s="19">
        <v>1</v>
      </c>
      <c r="T21" s="19">
        <v>0</v>
      </c>
    </row>
    <row r="22" spans="1:20" s="32" customFormat="1" ht="14.25" customHeight="1" x14ac:dyDescent="0.2">
      <c r="A22" s="108"/>
      <c r="B22" s="36" t="s">
        <v>39</v>
      </c>
      <c r="C22" s="37" t="s">
        <v>163</v>
      </c>
      <c r="D22" s="19">
        <v>26</v>
      </c>
      <c r="E22" s="19">
        <v>14</v>
      </c>
      <c r="F22" s="19">
        <v>12</v>
      </c>
      <c r="G22" s="19">
        <v>0</v>
      </c>
      <c r="H22" s="19">
        <v>0</v>
      </c>
      <c r="I22" s="19">
        <v>1</v>
      </c>
      <c r="J22" s="19">
        <v>0</v>
      </c>
      <c r="K22" s="19">
        <v>11</v>
      </c>
      <c r="L22" s="19">
        <v>6</v>
      </c>
      <c r="M22" s="19">
        <v>1</v>
      </c>
      <c r="N22" s="19">
        <v>0</v>
      </c>
      <c r="O22" s="19">
        <v>1</v>
      </c>
      <c r="P22" s="19">
        <v>5</v>
      </c>
      <c r="Q22" s="19">
        <v>0</v>
      </c>
      <c r="R22" s="19">
        <v>1</v>
      </c>
      <c r="S22" s="19">
        <v>0</v>
      </c>
      <c r="T22" s="19">
        <v>0</v>
      </c>
    </row>
    <row r="23" spans="1:20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213</v>
      </c>
      <c r="E23" s="31">
        <v>99</v>
      </c>
      <c r="F23" s="31">
        <v>114</v>
      </c>
      <c r="G23" s="31">
        <v>0</v>
      </c>
      <c r="H23" s="31">
        <v>0</v>
      </c>
      <c r="I23" s="31">
        <v>0</v>
      </c>
      <c r="J23" s="31">
        <v>0</v>
      </c>
      <c r="K23" s="31">
        <v>59</v>
      </c>
      <c r="L23" s="31">
        <v>36</v>
      </c>
      <c r="M23" s="31">
        <v>2</v>
      </c>
      <c r="N23" s="31">
        <v>3</v>
      </c>
      <c r="O23" s="31">
        <v>10</v>
      </c>
      <c r="P23" s="31">
        <v>58</v>
      </c>
      <c r="Q23" s="31">
        <v>26</v>
      </c>
      <c r="R23" s="31">
        <v>16</v>
      </c>
      <c r="S23" s="31">
        <v>2</v>
      </c>
      <c r="T23" s="31">
        <v>1</v>
      </c>
    </row>
    <row r="24" spans="1:20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206</v>
      </c>
      <c r="E24" s="19">
        <v>96</v>
      </c>
      <c r="F24" s="19">
        <v>110</v>
      </c>
      <c r="G24" s="19">
        <v>0</v>
      </c>
      <c r="H24" s="19">
        <v>0</v>
      </c>
      <c r="I24" s="19">
        <v>0</v>
      </c>
      <c r="J24" s="19">
        <v>0</v>
      </c>
      <c r="K24" s="19">
        <v>56</v>
      </c>
      <c r="L24" s="19">
        <v>35</v>
      </c>
      <c r="M24" s="19">
        <v>2</v>
      </c>
      <c r="N24" s="19">
        <v>3</v>
      </c>
      <c r="O24" s="19">
        <v>10</v>
      </c>
      <c r="P24" s="19">
        <v>55</v>
      </c>
      <c r="Q24" s="19">
        <v>26</v>
      </c>
      <c r="R24" s="19">
        <v>16</v>
      </c>
      <c r="S24" s="19">
        <v>2</v>
      </c>
      <c r="T24" s="19">
        <v>1</v>
      </c>
    </row>
    <row r="25" spans="1:20" s="32" customFormat="1" ht="14.25" customHeight="1" x14ac:dyDescent="0.2">
      <c r="A25" s="108"/>
      <c r="B25" s="36" t="s">
        <v>39</v>
      </c>
      <c r="C25" s="37" t="s">
        <v>163</v>
      </c>
      <c r="D25" s="19">
        <v>7</v>
      </c>
      <c r="E25" s="19">
        <v>3</v>
      </c>
      <c r="F25" s="19">
        <v>4</v>
      </c>
      <c r="G25" s="19">
        <v>0</v>
      </c>
      <c r="H25" s="19">
        <v>0</v>
      </c>
      <c r="I25" s="19">
        <v>0</v>
      </c>
      <c r="J25" s="19">
        <v>0</v>
      </c>
      <c r="K25" s="19">
        <v>3</v>
      </c>
      <c r="L25" s="19">
        <v>1</v>
      </c>
      <c r="M25" s="19">
        <v>0</v>
      </c>
      <c r="N25" s="19">
        <v>0</v>
      </c>
      <c r="O25" s="19">
        <v>0</v>
      </c>
      <c r="P25" s="19">
        <v>3</v>
      </c>
      <c r="Q25" s="19">
        <v>0</v>
      </c>
      <c r="R25" s="19">
        <v>0</v>
      </c>
      <c r="S25" s="19">
        <v>0</v>
      </c>
      <c r="T25" s="19">
        <v>0</v>
      </c>
    </row>
    <row r="26" spans="1:20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601</v>
      </c>
      <c r="E26" s="31">
        <v>290</v>
      </c>
      <c r="F26" s="31">
        <v>311</v>
      </c>
      <c r="G26" s="31">
        <v>0</v>
      </c>
      <c r="H26" s="31">
        <v>0</v>
      </c>
      <c r="I26" s="31">
        <v>0</v>
      </c>
      <c r="J26" s="31">
        <v>0</v>
      </c>
      <c r="K26" s="31">
        <v>210</v>
      </c>
      <c r="L26" s="31">
        <v>145</v>
      </c>
      <c r="M26" s="31">
        <v>10</v>
      </c>
      <c r="N26" s="31">
        <v>16</v>
      </c>
      <c r="O26" s="31">
        <v>14</v>
      </c>
      <c r="P26" s="31">
        <v>107</v>
      </c>
      <c r="Q26" s="31">
        <v>54</v>
      </c>
      <c r="R26" s="31">
        <v>40</v>
      </c>
      <c r="S26" s="31">
        <v>2</v>
      </c>
      <c r="T26" s="31">
        <v>3</v>
      </c>
    </row>
    <row r="27" spans="1:20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555</v>
      </c>
      <c r="E27" s="19">
        <v>272</v>
      </c>
      <c r="F27" s="19">
        <v>283</v>
      </c>
      <c r="G27" s="19">
        <v>0</v>
      </c>
      <c r="H27" s="19">
        <v>0</v>
      </c>
      <c r="I27" s="19">
        <v>0</v>
      </c>
      <c r="J27" s="19">
        <v>0</v>
      </c>
      <c r="K27" s="19">
        <v>197</v>
      </c>
      <c r="L27" s="19">
        <v>130</v>
      </c>
      <c r="M27" s="19">
        <v>10</v>
      </c>
      <c r="N27" s="19">
        <v>16</v>
      </c>
      <c r="O27" s="19">
        <v>13</v>
      </c>
      <c r="P27" s="19">
        <v>98</v>
      </c>
      <c r="Q27" s="19">
        <v>50</v>
      </c>
      <c r="R27" s="19">
        <v>36</v>
      </c>
      <c r="S27" s="19">
        <v>2</v>
      </c>
      <c r="T27" s="19">
        <v>3</v>
      </c>
    </row>
    <row r="28" spans="1:20" s="32" customFormat="1" ht="14.25" customHeight="1" x14ac:dyDescent="0.2">
      <c r="A28" s="108"/>
      <c r="B28" s="36" t="s">
        <v>39</v>
      </c>
      <c r="C28" s="37" t="s">
        <v>163</v>
      </c>
      <c r="D28" s="19">
        <v>46</v>
      </c>
      <c r="E28" s="19">
        <v>18</v>
      </c>
      <c r="F28" s="19">
        <v>28</v>
      </c>
      <c r="G28" s="19">
        <v>0</v>
      </c>
      <c r="H28" s="19">
        <v>0</v>
      </c>
      <c r="I28" s="19">
        <v>0</v>
      </c>
      <c r="J28" s="19">
        <v>0</v>
      </c>
      <c r="K28" s="19">
        <v>13</v>
      </c>
      <c r="L28" s="19">
        <v>15</v>
      </c>
      <c r="M28" s="19">
        <v>0</v>
      </c>
      <c r="N28" s="19">
        <v>0</v>
      </c>
      <c r="O28" s="19">
        <v>1</v>
      </c>
      <c r="P28" s="19">
        <v>9</v>
      </c>
      <c r="Q28" s="19">
        <v>4</v>
      </c>
      <c r="R28" s="19">
        <v>4</v>
      </c>
      <c r="S28" s="19">
        <v>0</v>
      </c>
      <c r="T28" s="19">
        <v>0</v>
      </c>
    </row>
    <row r="29" spans="1:20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30</v>
      </c>
      <c r="E29" s="31">
        <v>3</v>
      </c>
      <c r="F29" s="31">
        <v>27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10</v>
      </c>
      <c r="M29" s="31">
        <v>0</v>
      </c>
      <c r="N29" s="31">
        <v>0</v>
      </c>
      <c r="O29" s="31">
        <v>1</v>
      </c>
      <c r="P29" s="31">
        <v>13</v>
      </c>
      <c r="Q29" s="31">
        <v>2</v>
      </c>
      <c r="R29" s="31">
        <v>4</v>
      </c>
      <c r="S29" s="31">
        <v>0</v>
      </c>
      <c r="T29" s="31">
        <v>0</v>
      </c>
    </row>
    <row r="30" spans="1:20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28</v>
      </c>
      <c r="E30" s="19">
        <v>3</v>
      </c>
      <c r="F30" s="19">
        <v>25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10</v>
      </c>
      <c r="M30" s="19">
        <v>0</v>
      </c>
      <c r="N30" s="19">
        <v>0</v>
      </c>
      <c r="O30" s="19">
        <v>1</v>
      </c>
      <c r="P30" s="19">
        <v>11</v>
      </c>
      <c r="Q30" s="19">
        <v>2</v>
      </c>
      <c r="R30" s="19">
        <v>4</v>
      </c>
      <c r="S30" s="19">
        <v>0</v>
      </c>
      <c r="T30" s="19">
        <v>0</v>
      </c>
    </row>
    <row r="31" spans="1:20" s="32" customFormat="1" ht="14.25" customHeight="1" x14ac:dyDescent="0.2">
      <c r="A31" s="108"/>
      <c r="B31" s="36" t="s">
        <v>39</v>
      </c>
      <c r="C31" s="37" t="s">
        <v>163</v>
      </c>
      <c r="D31" s="19">
        <v>2</v>
      </c>
      <c r="E31" s="19">
        <v>0</v>
      </c>
      <c r="F31" s="19">
        <v>2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2</v>
      </c>
      <c r="Q31" s="19">
        <v>0</v>
      </c>
      <c r="R31" s="19">
        <v>0</v>
      </c>
      <c r="S31" s="19">
        <v>0</v>
      </c>
      <c r="T31" s="19">
        <v>0</v>
      </c>
    </row>
    <row r="32" spans="1:20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178</v>
      </c>
      <c r="E32" s="31">
        <v>83</v>
      </c>
      <c r="F32" s="31">
        <v>95</v>
      </c>
      <c r="G32" s="31">
        <v>0</v>
      </c>
      <c r="H32" s="31">
        <v>0</v>
      </c>
      <c r="I32" s="31">
        <v>0</v>
      </c>
      <c r="J32" s="31">
        <v>0</v>
      </c>
      <c r="K32" s="31">
        <v>47</v>
      </c>
      <c r="L32" s="31">
        <v>35</v>
      </c>
      <c r="M32" s="31">
        <v>9</v>
      </c>
      <c r="N32" s="31">
        <v>10</v>
      </c>
      <c r="O32" s="31">
        <v>8</v>
      </c>
      <c r="P32" s="31">
        <v>33</v>
      </c>
      <c r="Q32" s="31">
        <v>19</v>
      </c>
      <c r="R32" s="31">
        <v>17</v>
      </c>
      <c r="S32" s="31">
        <v>0</v>
      </c>
      <c r="T32" s="31">
        <v>0</v>
      </c>
    </row>
    <row r="33" spans="1:20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155</v>
      </c>
      <c r="E33" s="19">
        <v>71</v>
      </c>
      <c r="F33" s="19">
        <v>84</v>
      </c>
      <c r="G33" s="19">
        <v>0</v>
      </c>
      <c r="H33" s="19">
        <v>0</v>
      </c>
      <c r="I33" s="19">
        <v>0</v>
      </c>
      <c r="J33" s="19">
        <v>0</v>
      </c>
      <c r="K33" s="19">
        <v>42</v>
      </c>
      <c r="L33" s="19">
        <v>32</v>
      </c>
      <c r="M33" s="19">
        <v>8</v>
      </c>
      <c r="N33" s="19">
        <v>9</v>
      </c>
      <c r="O33" s="19">
        <v>7</v>
      </c>
      <c r="P33" s="19">
        <v>29</v>
      </c>
      <c r="Q33" s="19">
        <v>14</v>
      </c>
      <c r="R33" s="19">
        <v>14</v>
      </c>
      <c r="S33" s="19">
        <v>0</v>
      </c>
      <c r="T33" s="19">
        <v>0</v>
      </c>
    </row>
    <row r="34" spans="1:20" s="32" customFormat="1" ht="14.25" customHeight="1" x14ac:dyDescent="0.2">
      <c r="A34" s="108"/>
      <c r="B34" s="36" t="s">
        <v>39</v>
      </c>
      <c r="C34" s="37" t="s">
        <v>163</v>
      </c>
      <c r="D34" s="19">
        <v>23</v>
      </c>
      <c r="E34" s="19">
        <v>12</v>
      </c>
      <c r="F34" s="19">
        <v>11</v>
      </c>
      <c r="G34" s="19">
        <v>0</v>
      </c>
      <c r="H34" s="19">
        <v>0</v>
      </c>
      <c r="I34" s="19">
        <v>0</v>
      </c>
      <c r="J34" s="19">
        <v>0</v>
      </c>
      <c r="K34" s="19">
        <v>5</v>
      </c>
      <c r="L34" s="19">
        <v>3</v>
      </c>
      <c r="M34" s="19">
        <v>1</v>
      </c>
      <c r="N34" s="19">
        <v>1</v>
      </c>
      <c r="O34" s="19">
        <v>1</v>
      </c>
      <c r="P34" s="19">
        <v>4</v>
      </c>
      <c r="Q34" s="19">
        <v>5</v>
      </c>
      <c r="R34" s="19">
        <v>3</v>
      </c>
      <c r="S34" s="19">
        <v>0</v>
      </c>
      <c r="T34" s="19">
        <v>0</v>
      </c>
    </row>
    <row r="35" spans="1:20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91</v>
      </c>
      <c r="E35" s="31">
        <v>26</v>
      </c>
      <c r="F35" s="31">
        <v>65</v>
      </c>
      <c r="G35" s="31">
        <v>0</v>
      </c>
      <c r="H35" s="31">
        <v>0</v>
      </c>
      <c r="I35" s="31">
        <v>1</v>
      </c>
      <c r="J35" s="31">
        <v>0</v>
      </c>
      <c r="K35" s="31">
        <v>15</v>
      </c>
      <c r="L35" s="31">
        <v>22</v>
      </c>
      <c r="M35" s="31">
        <v>3</v>
      </c>
      <c r="N35" s="31">
        <v>4</v>
      </c>
      <c r="O35" s="31">
        <v>2</v>
      </c>
      <c r="P35" s="31">
        <v>34</v>
      </c>
      <c r="Q35" s="31">
        <v>5</v>
      </c>
      <c r="R35" s="31">
        <v>5</v>
      </c>
      <c r="S35" s="31">
        <v>0</v>
      </c>
      <c r="T35" s="31">
        <v>0</v>
      </c>
    </row>
    <row r="36" spans="1:20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83</v>
      </c>
      <c r="E36" s="19">
        <v>24</v>
      </c>
      <c r="F36" s="19">
        <v>59</v>
      </c>
      <c r="G36" s="19">
        <v>0</v>
      </c>
      <c r="H36" s="19">
        <v>0</v>
      </c>
      <c r="I36" s="19">
        <v>1</v>
      </c>
      <c r="J36" s="19">
        <v>0</v>
      </c>
      <c r="K36" s="19">
        <v>15</v>
      </c>
      <c r="L36" s="19">
        <v>21</v>
      </c>
      <c r="M36" s="19">
        <v>2</v>
      </c>
      <c r="N36" s="19">
        <v>3</v>
      </c>
      <c r="O36" s="19">
        <v>2</v>
      </c>
      <c r="P36" s="19">
        <v>31</v>
      </c>
      <c r="Q36" s="19">
        <v>4</v>
      </c>
      <c r="R36" s="19">
        <v>4</v>
      </c>
      <c r="S36" s="19">
        <v>0</v>
      </c>
      <c r="T36" s="19">
        <v>0</v>
      </c>
    </row>
    <row r="37" spans="1:20" s="32" customFormat="1" ht="14.25" customHeight="1" x14ac:dyDescent="0.2">
      <c r="A37" s="108"/>
      <c r="B37" s="36" t="s">
        <v>39</v>
      </c>
      <c r="C37" s="37" t="s">
        <v>163</v>
      </c>
      <c r="D37" s="19">
        <v>8</v>
      </c>
      <c r="E37" s="19">
        <v>2</v>
      </c>
      <c r="F37" s="19">
        <v>6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1</v>
      </c>
      <c r="M37" s="19">
        <v>1</v>
      </c>
      <c r="N37" s="19">
        <v>1</v>
      </c>
      <c r="O37" s="19">
        <v>0</v>
      </c>
      <c r="P37" s="19">
        <v>3</v>
      </c>
      <c r="Q37" s="19">
        <v>1</v>
      </c>
      <c r="R37" s="19">
        <v>1</v>
      </c>
      <c r="S37" s="19">
        <v>0</v>
      </c>
      <c r="T37" s="19">
        <v>0</v>
      </c>
    </row>
    <row r="38" spans="1:20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150</v>
      </c>
      <c r="E38" s="31">
        <v>61</v>
      </c>
      <c r="F38" s="31">
        <v>89</v>
      </c>
      <c r="G38" s="31">
        <v>0</v>
      </c>
      <c r="H38" s="31">
        <v>0</v>
      </c>
      <c r="I38" s="31">
        <v>0</v>
      </c>
      <c r="J38" s="31">
        <v>0</v>
      </c>
      <c r="K38" s="31">
        <v>38</v>
      </c>
      <c r="L38" s="31">
        <v>30</v>
      </c>
      <c r="M38" s="31">
        <v>3</v>
      </c>
      <c r="N38" s="31">
        <v>3</v>
      </c>
      <c r="O38" s="31">
        <v>9</v>
      </c>
      <c r="P38" s="31">
        <v>45</v>
      </c>
      <c r="Q38" s="31">
        <v>11</v>
      </c>
      <c r="R38" s="31">
        <v>11</v>
      </c>
      <c r="S38" s="31">
        <v>0</v>
      </c>
      <c r="T38" s="31">
        <v>0</v>
      </c>
    </row>
    <row r="39" spans="1:20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140</v>
      </c>
      <c r="E39" s="19">
        <v>57</v>
      </c>
      <c r="F39" s="19">
        <v>83</v>
      </c>
      <c r="G39" s="19">
        <v>0</v>
      </c>
      <c r="H39" s="19">
        <v>0</v>
      </c>
      <c r="I39" s="19">
        <v>0</v>
      </c>
      <c r="J39" s="19">
        <v>0</v>
      </c>
      <c r="K39" s="19">
        <v>36</v>
      </c>
      <c r="L39" s="19">
        <v>30</v>
      </c>
      <c r="M39" s="19">
        <v>2</v>
      </c>
      <c r="N39" s="19">
        <v>3</v>
      </c>
      <c r="O39" s="19">
        <v>8</v>
      </c>
      <c r="P39" s="19">
        <v>40</v>
      </c>
      <c r="Q39" s="19">
        <v>11</v>
      </c>
      <c r="R39" s="19">
        <v>10</v>
      </c>
      <c r="S39" s="19">
        <v>0</v>
      </c>
      <c r="T39" s="19">
        <v>0</v>
      </c>
    </row>
    <row r="40" spans="1:20" s="32" customFormat="1" ht="14.25" customHeight="1" x14ac:dyDescent="0.2">
      <c r="A40" s="108"/>
      <c r="B40" s="36" t="s">
        <v>39</v>
      </c>
      <c r="C40" s="37" t="s">
        <v>163</v>
      </c>
      <c r="D40" s="19">
        <v>10</v>
      </c>
      <c r="E40" s="19">
        <v>4</v>
      </c>
      <c r="F40" s="19">
        <v>6</v>
      </c>
      <c r="G40" s="19">
        <v>0</v>
      </c>
      <c r="H40" s="19">
        <v>0</v>
      </c>
      <c r="I40" s="19">
        <v>0</v>
      </c>
      <c r="J40" s="19">
        <v>0</v>
      </c>
      <c r="K40" s="19">
        <v>2</v>
      </c>
      <c r="L40" s="19">
        <v>0</v>
      </c>
      <c r="M40" s="19">
        <v>1</v>
      </c>
      <c r="N40" s="19">
        <v>0</v>
      </c>
      <c r="O40" s="19">
        <v>1</v>
      </c>
      <c r="P40" s="19">
        <v>5</v>
      </c>
      <c r="Q40" s="19">
        <v>0</v>
      </c>
      <c r="R40" s="19">
        <v>1</v>
      </c>
      <c r="S40" s="19">
        <v>0</v>
      </c>
      <c r="T40" s="19">
        <v>0</v>
      </c>
    </row>
    <row r="41" spans="1:20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83</v>
      </c>
      <c r="E41" s="31">
        <v>30</v>
      </c>
      <c r="F41" s="31">
        <v>53</v>
      </c>
      <c r="G41" s="31">
        <v>0</v>
      </c>
      <c r="H41" s="31">
        <v>0</v>
      </c>
      <c r="I41" s="31">
        <v>0</v>
      </c>
      <c r="J41" s="31">
        <v>0</v>
      </c>
      <c r="K41" s="31">
        <v>15</v>
      </c>
      <c r="L41" s="31">
        <v>20</v>
      </c>
      <c r="M41" s="31">
        <v>0</v>
      </c>
      <c r="N41" s="31">
        <v>0</v>
      </c>
      <c r="O41" s="31">
        <v>4</v>
      </c>
      <c r="P41" s="31">
        <v>25</v>
      </c>
      <c r="Q41" s="31">
        <v>10</v>
      </c>
      <c r="R41" s="31">
        <v>7</v>
      </c>
      <c r="S41" s="31">
        <v>1</v>
      </c>
      <c r="T41" s="31">
        <v>1</v>
      </c>
    </row>
    <row r="42" spans="1:20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62</v>
      </c>
      <c r="E42" s="19">
        <v>24</v>
      </c>
      <c r="F42" s="19">
        <v>38</v>
      </c>
      <c r="G42" s="19">
        <v>0</v>
      </c>
      <c r="H42" s="19">
        <v>0</v>
      </c>
      <c r="I42" s="19">
        <v>0</v>
      </c>
      <c r="J42" s="19">
        <v>0</v>
      </c>
      <c r="K42" s="19">
        <v>13</v>
      </c>
      <c r="L42" s="19">
        <v>12</v>
      </c>
      <c r="M42" s="19">
        <v>0</v>
      </c>
      <c r="N42" s="19">
        <v>0</v>
      </c>
      <c r="O42" s="19">
        <v>2</v>
      </c>
      <c r="P42" s="19">
        <v>20</v>
      </c>
      <c r="Q42" s="19">
        <v>8</v>
      </c>
      <c r="R42" s="19">
        <v>5</v>
      </c>
      <c r="S42" s="19">
        <v>1</v>
      </c>
      <c r="T42" s="19">
        <v>1</v>
      </c>
    </row>
    <row r="43" spans="1:20" s="32" customFormat="1" ht="14.25" customHeight="1" x14ac:dyDescent="0.2">
      <c r="A43" s="108"/>
      <c r="B43" s="36" t="s">
        <v>39</v>
      </c>
      <c r="C43" s="37" t="s">
        <v>163</v>
      </c>
      <c r="D43" s="19">
        <v>21</v>
      </c>
      <c r="E43" s="19">
        <v>6</v>
      </c>
      <c r="F43" s="19">
        <v>15</v>
      </c>
      <c r="G43" s="19">
        <v>0</v>
      </c>
      <c r="H43" s="19">
        <v>0</v>
      </c>
      <c r="I43" s="19">
        <v>0</v>
      </c>
      <c r="J43" s="19">
        <v>0</v>
      </c>
      <c r="K43" s="19">
        <v>2</v>
      </c>
      <c r="L43" s="19">
        <v>8</v>
      </c>
      <c r="M43" s="19">
        <v>0</v>
      </c>
      <c r="N43" s="19">
        <v>0</v>
      </c>
      <c r="O43" s="19">
        <v>2</v>
      </c>
      <c r="P43" s="19">
        <v>5</v>
      </c>
      <c r="Q43" s="19">
        <v>2</v>
      </c>
      <c r="R43" s="19">
        <v>2</v>
      </c>
      <c r="S43" s="19">
        <v>0</v>
      </c>
      <c r="T43" s="19">
        <v>0</v>
      </c>
    </row>
    <row r="44" spans="1:20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159</v>
      </c>
      <c r="E44" s="31">
        <v>68</v>
      </c>
      <c r="F44" s="31">
        <v>91</v>
      </c>
      <c r="G44" s="31">
        <v>0</v>
      </c>
      <c r="H44" s="31">
        <v>0</v>
      </c>
      <c r="I44" s="31">
        <v>0</v>
      </c>
      <c r="J44" s="31">
        <v>0</v>
      </c>
      <c r="K44" s="31">
        <v>40</v>
      </c>
      <c r="L44" s="31">
        <v>30</v>
      </c>
      <c r="M44" s="31">
        <v>2</v>
      </c>
      <c r="N44" s="31">
        <v>5</v>
      </c>
      <c r="O44" s="31">
        <v>6</v>
      </c>
      <c r="P44" s="31">
        <v>47</v>
      </c>
      <c r="Q44" s="31">
        <v>19</v>
      </c>
      <c r="R44" s="31">
        <v>9</v>
      </c>
      <c r="S44" s="31">
        <v>1</v>
      </c>
      <c r="T44" s="31">
        <v>0</v>
      </c>
    </row>
    <row r="45" spans="1:20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157</v>
      </c>
      <c r="E45" s="19">
        <v>68</v>
      </c>
      <c r="F45" s="19">
        <v>89</v>
      </c>
      <c r="G45" s="19">
        <v>0</v>
      </c>
      <c r="H45" s="19">
        <v>0</v>
      </c>
      <c r="I45" s="19">
        <v>0</v>
      </c>
      <c r="J45" s="19">
        <v>0</v>
      </c>
      <c r="K45" s="19">
        <v>40</v>
      </c>
      <c r="L45" s="19">
        <v>29</v>
      </c>
      <c r="M45" s="19">
        <v>2</v>
      </c>
      <c r="N45" s="19">
        <v>5</v>
      </c>
      <c r="O45" s="19">
        <v>6</v>
      </c>
      <c r="P45" s="19">
        <v>47</v>
      </c>
      <c r="Q45" s="19">
        <v>19</v>
      </c>
      <c r="R45" s="19">
        <v>8</v>
      </c>
      <c r="S45" s="19">
        <v>1</v>
      </c>
      <c r="T45" s="19">
        <v>0</v>
      </c>
    </row>
    <row r="46" spans="1:20" s="32" customFormat="1" ht="14.25" customHeight="1" x14ac:dyDescent="0.2">
      <c r="A46" s="108"/>
      <c r="B46" s="36" t="s">
        <v>39</v>
      </c>
      <c r="C46" s="37" t="s">
        <v>163</v>
      </c>
      <c r="D46" s="19">
        <v>2</v>
      </c>
      <c r="E46" s="19">
        <v>0</v>
      </c>
      <c r="F46" s="19">
        <v>2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1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1</v>
      </c>
      <c r="S46" s="19">
        <v>0</v>
      </c>
      <c r="T46" s="19">
        <v>0</v>
      </c>
    </row>
    <row r="47" spans="1:20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88</v>
      </c>
      <c r="E47" s="31">
        <v>44</v>
      </c>
      <c r="F47" s="31">
        <v>44</v>
      </c>
      <c r="G47" s="31">
        <v>0</v>
      </c>
      <c r="H47" s="31">
        <v>0</v>
      </c>
      <c r="I47" s="31">
        <v>0</v>
      </c>
      <c r="J47" s="31">
        <v>0</v>
      </c>
      <c r="K47" s="31">
        <v>29</v>
      </c>
      <c r="L47" s="31">
        <v>7</v>
      </c>
      <c r="M47" s="31">
        <v>5</v>
      </c>
      <c r="N47" s="31">
        <v>6</v>
      </c>
      <c r="O47" s="31">
        <v>3</v>
      </c>
      <c r="P47" s="31">
        <v>23</v>
      </c>
      <c r="Q47" s="31">
        <v>7</v>
      </c>
      <c r="R47" s="31">
        <v>8</v>
      </c>
      <c r="S47" s="31">
        <v>0</v>
      </c>
      <c r="T47" s="31">
        <v>0</v>
      </c>
    </row>
    <row r="48" spans="1:20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83</v>
      </c>
      <c r="E48" s="19">
        <v>41</v>
      </c>
      <c r="F48" s="19">
        <v>42</v>
      </c>
      <c r="G48" s="19">
        <v>0</v>
      </c>
      <c r="H48" s="19">
        <v>0</v>
      </c>
      <c r="I48" s="19">
        <v>0</v>
      </c>
      <c r="J48" s="19">
        <v>0</v>
      </c>
      <c r="K48" s="19">
        <v>28</v>
      </c>
      <c r="L48" s="19">
        <v>7</v>
      </c>
      <c r="M48" s="19">
        <v>5</v>
      </c>
      <c r="N48" s="19">
        <v>6</v>
      </c>
      <c r="O48" s="19">
        <v>1</v>
      </c>
      <c r="P48" s="19">
        <v>21</v>
      </c>
      <c r="Q48" s="19">
        <v>7</v>
      </c>
      <c r="R48" s="19">
        <v>8</v>
      </c>
      <c r="S48" s="19">
        <v>0</v>
      </c>
      <c r="T48" s="19">
        <v>0</v>
      </c>
    </row>
    <row r="49" spans="1:20" s="32" customFormat="1" ht="14.25" customHeight="1" x14ac:dyDescent="0.2">
      <c r="A49" s="108"/>
      <c r="B49" s="36" t="s">
        <v>39</v>
      </c>
      <c r="C49" s="37" t="s">
        <v>163</v>
      </c>
      <c r="D49" s="19">
        <v>5</v>
      </c>
      <c r="E49" s="19">
        <v>3</v>
      </c>
      <c r="F49" s="19">
        <v>2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0</v>
      </c>
      <c r="M49" s="19">
        <v>0</v>
      </c>
      <c r="N49" s="19">
        <v>0</v>
      </c>
      <c r="O49" s="19">
        <v>2</v>
      </c>
      <c r="P49" s="19">
        <v>2</v>
      </c>
      <c r="Q49" s="19">
        <v>0</v>
      </c>
      <c r="R49" s="19">
        <v>0</v>
      </c>
      <c r="S49" s="19">
        <v>0</v>
      </c>
      <c r="T49" s="19">
        <v>0</v>
      </c>
    </row>
    <row r="50" spans="1:20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176</v>
      </c>
      <c r="E50" s="31">
        <v>90</v>
      </c>
      <c r="F50" s="31">
        <v>86</v>
      </c>
      <c r="G50" s="31">
        <v>1</v>
      </c>
      <c r="H50" s="31">
        <v>0</v>
      </c>
      <c r="I50" s="31">
        <v>4</v>
      </c>
      <c r="J50" s="31">
        <v>0</v>
      </c>
      <c r="K50" s="31">
        <v>62</v>
      </c>
      <c r="L50" s="31">
        <v>34</v>
      </c>
      <c r="M50" s="31">
        <v>7</v>
      </c>
      <c r="N50" s="31">
        <v>5</v>
      </c>
      <c r="O50" s="31">
        <v>8</v>
      </c>
      <c r="P50" s="31">
        <v>41</v>
      </c>
      <c r="Q50" s="31">
        <v>7</v>
      </c>
      <c r="R50" s="31">
        <v>6</v>
      </c>
      <c r="S50" s="31">
        <v>1</v>
      </c>
      <c r="T50" s="31">
        <v>0</v>
      </c>
    </row>
    <row r="51" spans="1:20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155</v>
      </c>
      <c r="E51" s="19">
        <v>80</v>
      </c>
      <c r="F51" s="19">
        <v>75</v>
      </c>
      <c r="G51" s="19">
        <v>1</v>
      </c>
      <c r="H51" s="19">
        <v>0</v>
      </c>
      <c r="I51" s="19">
        <v>4</v>
      </c>
      <c r="J51" s="19">
        <v>0</v>
      </c>
      <c r="K51" s="19">
        <v>55</v>
      </c>
      <c r="L51" s="19">
        <v>30</v>
      </c>
      <c r="M51" s="19">
        <v>6</v>
      </c>
      <c r="N51" s="19">
        <v>5</v>
      </c>
      <c r="O51" s="19">
        <v>8</v>
      </c>
      <c r="P51" s="19">
        <v>34</v>
      </c>
      <c r="Q51" s="19">
        <v>5</v>
      </c>
      <c r="R51" s="19">
        <v>6</v>
      </c>
      <c r="S51" s="19">
        <v>1</v>
      </c>
      <c r="T51" s="19">
        <v>0</v>
      </c>
    </row>
    <row r="52" spans="1:20" s="32" customFormat="1" ht="14.25" customHeight="1" x14ac:dyDescent="0.2">
      <c r="A52" s="108"/>
      <c r="B52" s="36" t="s">
        <v>39</v>
      </c>
      <c r="C52" s="37" t="s">
        <v>163</v>
      </c>
      <c r="D52" s="19">
        <v>21</v>
      </c>
      <c r="E52" s="19">
        <v>10</v>
      </c>
      <c r="F52" s="19">
        <v>11</v>
      </c>
      <c r="G52" s="19">
        <v>0</v>
      </c>
      <c r="H52" s="19">
        <v>0</v>
      </c>
      <c r="I52" s="19">
        <v>0</v>
      </c>
      <c r="J52" s="19">
        <v>0</v>
      </c>
      <c r="K52" s="19">
        <v>7</v>
      </c>
      <c r="L52" s="19">
        <v>4</v>
      </c>
      <c r="M52" s="19">
        <v>1</v>
      </c>
      <c r="N52" s="19">
        <v>0</v>
      </c>
      <c r="O52" s="19">
        <v>0</v>
      </c>
      <c r="P52" s="19">
        <v>7</v>
      </c>
      <c r="Q52" s="19">
        <v>2</v>
      </c>
      <c r="R52" s="19">
        <v>0</v>
      </c>
      <c r="S52" s="19">
        <v>0</v>
      </c>
      <c r="T52" s="19">
        <v>0</v>
      </c>
    </row>
    <row r="53" spans="1:20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42</v>
      </c>
      <c r="E53" s="31">
        <v>12</v>
      </c>
      <c r="F53" s="31">
        <v>30</v>
      </c>
      <c r="G53" s="31">
        <v>0</v>
      </c>
      <c r="H53" s="31">
        <v>0</v>
      </c>
      <c r="I53" s="31">
        <v>0</v>
      </c>
      <c r="J53" s="31">
        <v>0</v>
      </c>
      <c r="K53" s="31">
        <v>4</v>
      </c>
      <c r="L53" s="31">
        <v>4</v>
      </c>
      <c r="M53" s="31">
        <v>0</v>
      </c>
      <c r="N53" s="31">
        <v>0</v>
      </c>
      <c r="O53" s="31">
        <v>5</v>
      </c>
      <c r="P53" s="31">
        <v>26</v>
      </c>
      <c r="Q53" s="31">
        <v>2</v>
      </c>
      <c r="R53" s="31">
        <v>0</v>
      </c>
      <c r="S53" s="31">
        <v>1</v>
      </c>
      <c r="T53" s="31">
        <v>0</v>
      </c>
    </row>
    <row r="54" spans="1:20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19</v>
      </c>
      <c r="E54" s="19">
        <v>8</v>
      </c>
      <c r="F54" s="19">
        <v>11</v>
      </c>
      <c r="G54" s="19">
        <v>0</v>
      </c>
      <c r="H54" s="19">
        <v>0</v>
      </c>
      <c r="I54" s="19">
        <v>0</v>
      </c>
      <c r="J54" s="19">
        <v>0</v>
      </c>
      <c r="K54" s="19">
        <v>3</v>
      </c>
      <c r="L54" s="19">
        <v>0</v>
      </c>
      <c r="M54" s="19">
        <v>0</v>
      </c>
      <c r="N54" s="19">
        <v>0</v>
      </c>
      <c r="O54" s="19">
        <v>2</v>
      </c>
      <c r="P54" s="19">
        <v>11</v>
      </c>
      <c r="Q54" s="19">
        <v>2</v>
      </c>
      <c r="R54" s="19">
        <v>0</v>
      </c>
      <c r="S54" s="19">
        <v>1</v>
      </c>
      <c r="T54" s="19">
        <v>0</v>
      </c>
    </row>
    <row r="55" spans="1:20" s="32" customFormat="1" ht="14.25" customHeight="1" x14ac:dyDescent="0.2">
      <c r="A55" s="108"/>
      <c r="B55" s="36" t="s">
        <v>39</v>
      </c>
      <c r="C55" s="37" t="s">
        <v>163</v>
      </c>
      <c r="D55" s="19">
        <v>23</v>
      </c>
      <c r="E55" s="19">
        <v>4</v>
      </c>
      <c r="F55" s="19">
        <v>19</v>
      </c>
      <c r="G55" s="19">
        <v>0</v>
      </c>
      <c r="H55" s="19">
        <v>0</v>
      </c>
      <c r="I55" s="19">
        <v>0</v>
      </c>
      <c r="J55" s="19">
        <v>0</v>
      </c>
      <c r="K55" s="19">
        <v>1</v>
      </c>
      <c r="L55" s="19">
        <v>4</v>
      </c>
      <c r="M55" s="19">
        <v>0</v>
      </c>
      <c r="N55" s="19">
        <v>0</v>
      </c>
      <c r="O55" s="19">
        <v>3</v>
      </c>
      <c r="P55" s="19">
        <v>15</v>
      </c>
      <c r="Q55" s="19">
        <v>0</v>
      </c>
      <c r="R55" s="19">
        <v>0</v>
      </c>
      <c r="S55" s="19">
        <v>0</v>
      </c>
      <c r="T55" s="19">
        <v>0</v>
      </c>
    </row>
    <row r="56" spans="1:20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135</v>
      </c>
      <c r="E56" s="31">
        <v>49</v>
      </c>
      <c r="F56" s="31">
        <v>86</v>
      </c>
      <c r="G56" s="31">
        <v>0</v>
      </c>
      <c r="H56" s="31">
        <v>0</v>
      </c>
      <c r="I56" s="31">
        <v>0</v>
      </c>
      <c r="J56" s="31">
        <v>1</v>
      </c>
      <c r="K56" s="31">
        <v>29</v>
      </c>
      <c r="L56" s="31">
        <v>24</v>
      </c>
      <c r="M56" s="31">
        <v>5</v>
      </c>
      <c r="N56" s="31">
        <v>1</v>
      </c>
      <c r="O56" s="31">
        <v>6</v>
      </c>
      <c r="P56" s="31">
        <v>48</v>
      </c>
      <c r="Q56" s="31">
        <v>9</v>
      </c>
      <c r="R56" s="31">
        <v>12</v>
      </c>
      <c r="S56" s="31">
        <v>0</v>
      </c>
      <c r="T56" s="31">
        <v>0</v>
      </c>
    </row>
    <row r="57" spans="1:20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50</v>
      </c>
      <c r="E57" s="19">
        <v>21</v>
      </c>
      <c r="F57" s="19">
        <v>29</v>
      </c>
      <c r="G57" s="19">
        <v>0</v>
      </c>
      <c r="H57" s="19">
        <v>0</v>
      </c>
      <c r="I57" s="19">
        <v>0</v>
      </c>
      <c r="J57" s="19">
        <v>1</v>
      </c>
      <c r="K57" s="19">
        <v>16</v>
      </c>
      <c r="L57" s="19">
        <v>10</v>
      </c>
      <c r="M57" s="19">
        <v>1</v>
      </c>
      <c r="N57" s="19">
        <v>0</v>
      </c>
      <c r="O57" s="19">
        <v>1</v>
      </c>
      <c r="P57" s="19">
        <v>15</v>
      </c>
      <c r="Q57" s="19">
        <v>3</v>
      </c>
      <c r="R57" s="19">
        <v>3</v>
      </c>
      <c r="S57" s="19">
        <v>0</v>
      </c>
      <c r="T57" s="19">
        <v>0</v>
      </c>
    </row>
    <row r="58" spans="1:20" s="32" customFormat="1" ht="14.25" customHeight="1" x14ac:dyDescent="0.2">
      <c r="A58" s="108"/>
      <c r="B58" s="36" t="s">
        <v>39</v>
      </c>
      <c r="C58" s="37" t="s">
        <v>163</v>
      </c>
      <c r="D58" s="19">
        <v>85</v>
      </c>
      <c r="E58" s="19">
        <v>28</v>
      </c>
      <c r="F58" s="19">
        <v>57</v>
      </c>
      <c r="G58" s="19">
        <v>0</v>
      </c>
      <c r="H58" s="19">
        <v>0</v>
      </c>
      <c r="I58" s="19">
        <v>0</v>
      </c>
      <c r="J58" s="19">
        <v>0</v>
      </c>
      <c r="K58" s="19">
        <v>13</v>
      </c>
      <c r="L58" s="19">
        <v>14</v>
      </c>
      <c r="M58" s="19">
        <v>4</v>
      </c>
      <c r="N58" s="19">
        <v>1</v>
      </c>
      <c r="O58" s="19">
        <v>5</v>
      </c>
      <c r="P58" s="19">
        <v>33</v>
      </c>
      <c r="Q58" s="19">
        <v>6</v>
      </c>
      <c r="R58" s="19">
        <v>9</v>
      </c>
      <c r="S58" s="19">
        <v>0</v>
      </c>
      <c r="T58" s="19">
        <v>0</v>
      </c>
    </row>
    <row r="59" spans="1:20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7</v>
      </c>
      <c r="E59" s="31">
        <v>4</v>
      </c>
      <c r="F59" s="31">
        <v>3</v>
      </c>
      <c r="G59" s="31">
        <v>1</v>
      </c>
      <c r="H59" s="31">
        <v>0</v>
      </c>
      <c r="I59" s="31">
        <v>0</v>
      </c>
      <c r="J59" s="31">
        <v>0</v>
      </c>
      <c r="K59" s="31">
        <v>1</v>
      </c>
      <c r="L59" s="31">
        <v>0</v>
      </c>
      <c r="M59" s="31">
        <v>0</v>
      </c>
      <c r="N59" s="31">
        <v>0</v>
      </c>
      <c r="O59" s="31">
        <v>2</v>
      </c>
      <c r="P59" s="31">
        <v>3</v>
      </c>
      <c r="Q59" s="31">
        <v>0</v>
      </c>
      <c r="R59" s="31">
        <v>0</v>
      </c>
      <c r="S59" s="31">
        <v>0</v>
      </c>
      <c r="T59" s="31">
        <v>0</v>
      </c>
    </row>
    <row r="60" spans="1:20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7</v>
      </c>
      <c r="E60" s="19">
        <v>4</v>
      </c>
      <c r="F60" s="19">
        <v>3</v>
      </c>
      <c r="G60" s="19">
        <v>1</v>
      </c>
      <c r="H60" s="19">
        <v>0</v>
      </c>
      <c r="I60" s="19">
        <v>0</v>
      </c>
      <c r="J60" s="19">
        <v>0</v>
      </c>
      <c r="K60" s="19">
        <v>1</v>
      </c>
      <c r="L60" s="19">
        <v>0</v>
      </c>
      <c r="M60" s="19">
        <v>0</v>
      </c>
      <c r="N60" s="19">
        <v>0</v>
      </c>
      <c r="O60" s="19">
        <v>2</v>
      </c>
      <c r="P60" s="19">
        <v>3</v>
      </c>
      <c r="Q60" s="19">
        <v>0</v>
      </c>
      <c r="R60" s="19">
        <v>0</v>
      </c>
      <c r="S60" s="19">
        <v>0</v>
      </c>
      <c r="T60" s="19">
        <v>0</v>
      </c>
    </row>
    <row r="61" spans="1:20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</row>
    <row r="62" spans="1:20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96</v>
      </c>
      <c r="E62" s="31">
        <v>39</v>
      </c>
      <c r="F62" s="31">
        <v>57</v>
      </c>
      <c r="G62" s="31">
        <v>0</v>
      </c>
      <c r="H62" s="31">
        <v>0</v>
      </c>
      <c r="I62" s="31">
        <v>0</v>
      </c>
      <c r="J62" s="31">
        <v>0</v>
      </c>
      <c r="K62" s="31">
        <v>29</v>
      </c>
      <c r="L62" s="31">
        <v>19</v>
      </c>
      <c r="M62" s="31">
        <v>0</v>
      </c>
      <c r="N62" s="31">
        <v>1</v>
      </c>
      <c r="O62" s="31">
        <v>6</v>
      </c>
      <c r="P62" s="31">
        <v>36</v>
      </c>
      <c r="Q62" s="31">
        <v>4</v>
      </c>
      <c r="R62" s="31">
        <v>1</v>
      </c>
      <c r="S62" s="31">
        <v>0</v>
      </c>
      <c r="T62" s="31">
        <v>0</v>
      </c>
    </row>
    <row r="63" spans="1:20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88</v>
      </c>
      <c r="E63" s="19">
        <v>36</v>
      </c>
      <c r="F63" s="19">
        <v>52</v>
      </c>
      <c r="G63" s="19">
        <v>0</v>
      </c>
      <c r="H63" s="19">
        <v>0</v>
      </c>
      <c r="I63" s="19">
        <v>0</v>
      </c>
      <c r="J63" s="19">
        <v>0</v>
      </c>
      <c r="K63" s="19">
        <v>28</v>
      </c>
      <c r="L63" s="19">
        <v>18</v>
      </c>
      <c r="M63" s="19">
        <v>0</v>
      </c>
      <c r="N63" s="19">
        <v>1</v>
      </c>
      <c r="O63" s="19">
        <v>5</v>
      </c>
      <c r="P63" s="19">
        <v>32</v>
      </c>
      <c r="Q63" s="19">
        <v>3</v>
      </c>
      <c r="R63" s="19">
        <v>1</v>
      </c>
      <c r="S63" s="19">
        <v>0</v>
      </c>
      <c r="T63" s="19">
        <v>0</v>
      </c>
    </row>
    <row r="64" spans="1:20" s="32" customFormat="1" ht="14.25" customHeight="1" x14ac:dyDescent="0.2">
      <c r="A64" s="108"/>
      <c r="B64" s="36" t="s">
        <v>39</v>
      </c>
      <c r="C64" s="37" t="s">
        <v>163</v>
      </c>
      <c r="D64" s="19">
        <v>8</v>
      </c>
      <c r="E64" s="19">
        <v>3</v>
      </c>
      <c r="F64" s="19">
        <v>5</v>
      </c>
      <c r="G64" s="19">
        <v>0</v>
      </c>
      <c r="H64" s="19">
        <v>0</v>
      </c>
      <c r="I64" s="19">
        <v>0</v>
      </c>
      <c r="J64" s="19">
        <v>0</v>
      </c>
      <c r="K64" s="19">
        <v>1</v>
      </c>
      <c r="L64" s="19">
        <v>1</v>
      </c>
      <c r="M64" s="19">
        <v>0</v>
      </c>
      <c r="N64" s="19">
        <v>0</v>
      </c>
      <c r="O64" s="19">
        <v>1</v>
      </c>
      <c r="P64" s="19">
        <v>4</v>
      </c>
      <c r="Q64" s="19">
        <v>1</v>
      </c>
      <c r="R64" s="19">
        <v>0</v>
      </c>
      <c r="S64" s="19">
        <v>0</v>
      </c>
      <c r="T64" s="19">
        <v>0</v>
      </c>
    </row>
    <row r="65" spans="1:20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71</v>
      </c>
      <c r="E65" s="31">
        <v>25</v>
      </c>
      <c r="F65" s="31">
        <v>46</v>
      </c>
      <c r="G65" s="31">
        <v>0</v>
      </c>
      <c r="H65" s="31">
        <v>0</v>
      </c>
      <c r="I65" s="31">
        <v>0</v>
      </c>
      <c r="J65" s="31">
        <v>0</v>
      </c>
      <c r="K65" s="31">
        <v>6</v>
      </c>
      <c r="L65" s="31">
        <v>9</v>
      </c>
      <c r="M65" s="31">
        <v>0</v>
      </c>
      <c r="N65" s="31">
        <v>0</v>
      </c>
      <c r="O65" s="31">
        <v>11</v>
      </c>
      <c r="P65" s="31">
        <v>28</v>
      </c>
      <c r="Q65" s="31">
        <v>8</v>
      </c>
      <c r="R65" s="31">
        <v>9</v>
      </c>
      <c r="S65" s="31">
        <v>0</v>
      </c>
      <c r="T65" s="31">
        <v>0</v>
      </c>
    </row>
    <row r="66" spans="1:20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65</v>
      </c>
      <c r="E66" s="19">
        <v>24</v>
      </c>
      <c r="F66" s="19">
        <v>41</v>
      </c>
      <c r="G66" s="19">
        <v>0</v>
      </c>
      <c r="H66" s="19">
        <v>0</v>
      </c>
      <c r="I66" s="19">
        <v>0</v>
      </c>
      <c r="J66" s="19">
        <v>0</v>
      </c>
      <c r="K66" s="19">
        <v>5</v>
      </c>
      <c r="L66" s="19">
        <v>8</v>
      </c>
      <c r="M66" s="19">
        <v>0</v>
      </c>
      <c r="N66" s="19">
        <v>0</v>
      </c>
      <c r="O66" s="19">
        <v>11</v>
      </c>
      <c r="P66" s="19">
        <v>25</v>
      </c>
      <c r="Q66" s="19">
        <v>8</v>
      </c>
      <c r="R66" s="19">
        <v>8</v>
      </c>
      <c r="S66" s="19">
        <v>0</v>
      </c>
      <c r="T66" s="19">
        <v>0</v>
      </c>
    </row>
    <row r="67" spans="1:20" s="32" customFormat="1" ht="14.25" customHeight="1" x14ac:dyDescent="0.2">
      <c r="A67" s="108"/>
      <c r="B67" s="36" t="s">
        <v>39</v>
      </c>
      <c r="C67" s="37" t="s">
        <v>163</v>
      </c>
      <c r="D67" s="19">
        <v>6</v>
      </c>
      <c r="E67" s="19">
        <v>1</v>
      </c>
      <c r="F67" s="19">
        <v>5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1</v>
      </c>
      <c r="M67" s="19">
        <v>0</v>
      </c>
      <c r="N67" s="19">
        <v>0</v>
      </c>
      <c r="O67" s="19">
        <v>0</v>
      </c>
      <c r="P67" s="19">
        <v>3</v>
      </c>
      <c r="Q67" s="19">
        <v>0</v>
      </c>
      <c r="R67" s="19">
        <v>1</v>
      </c>
      <c r="S67" s="19">
        <v>0</v>
      </c>
      <c r="T67" s="19">
        <v>0</v>
      </c>
    </row>
    <row r="68" spans="1:20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65</v>
      </c>
      <c r="E68" s="31">
        <v>28</v>
      </c>
      <c r="F68" s="31">
        <v>37</v>
      </c>
      <c r="G68" s="31">
        <v>0</v>
      </c>
      <c r="H68" s="31">
        <v>0</v>
      </c>
      <c r="I68" s="31">
        <v>0</v>
      </c>
      <c r="J68" s="31">
        <v>0</v>
      </c>
      <c r="K68" s="31">
        <v>15</v>
      </c>
      <c r="L68" s="31">
        <v>10</v>
      </c>
      <c r="M68" s="31">
        <v>0</v>
      </c>
      <c r="N68" s="31">
        <v>0</v>
      </c>
      <c r="O68" s="31">
        <v>3</v>
      </c>
      <c r="P68" s="31">
        <v>10</v>
      </c>
      <c r="Q68" s="31">
        <v>10</v>
      </c>
      <c r="R68" s="31">
        <v>17</v>
      </c>
      <c r="S68" s="31">
        <v>0</v>
      </c>
      <c r="T68" s="31">
        <v>0</v>
      </c>
    </row>
    <row r="69" spans="1:20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65</v>
      </c>
      <c r="E69" s="19">
        <v>28</v>
      </c>
      <c r="F69" s="19">
        <v>37</v>
      </c>
      <c r="G69" s="19">
        <v>0</v>
      </c>
      <c r="H69" s="19">
        <v>0</v>
      </c>
      <c r="I69" s="19">
        <v>0</v>
      </c>
      <c r="J69" s="19">
        <v>0</v>
      </c>
      <c r="K69" s="19">
        <v>15</v>
      </c>
      <c r="L69" s="19">
        <v>10</v>
      </c>
      <c r="M69" s="19">
        <v>0</v>
      </c>
      <c r="N69" s="19">
        <v>0</v>
      </c>
      <c r="O69" s="19">
        <v>3</v>
      </c>
      <c r="P69" s="19">
        <v>10</v>
      </c>
      <c r="Q69" s="19">
        <v>10</v>
      </c>
      <c r="R69" s="19">
        <v>17</v>
      </c>
      <c r="S69" s="19">
        <v>0</v>
      </c>
      <c r="T69" s="19">
        <v>0</v>
      </c>
    </row>
    <row r="70" spans="1:20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</row>
    <row r="71" spans="1:20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18</v>
      </c>
      <c r="E71" s="31">
        <v>9</v>
      </c>
      <c r="F71" s="31">
        <v>9</v>
      </c>
      <c r="G71" s="31">
        <v>0</v>
      </c>
      <c r="H71" s="31">
        <v>0</v>
      </c>
      <c r="I71" s="31">
        <v>0</v>
      </c>
      <c r="J71" s="31">
        <v>0</v>
      </c>
      <c r="K71" s="31">
        <v>3</v>
      </c>
      <c r="L71" s="31">
        <v>3</v>
      </c>
      <c r="M71" s="31">
        <v>1</v>
      </c>
      <c r="N71" s="31">
        <v>0</v>
      </c>
      <c r="O71" s="31">
        <v>0</v>
      </c>
      <c r="P71" s="31">
        <v>3</v>
      </c>
      <c r="Q71" s="31">
        <v>5</v>
      </c>
      <c r="R71" s="31">
        <v>3</v>
      </c>
      <c r="S71" s="31">
        <v>0</v>
      </c>
      <c r="T71" s="31">
        <v>0</v>
      </c>
    </row>
    <row r="72" spans="1:20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14</v>
      </c>
      <c r="E72" s="19">
        <v>9</v>
      </c>
      <c r="F72" s="19">
        <v>5</v>
      </c>
      <c r="G72" s="19">
        <v>0</v>
      </c>
      <c r="H72" s="19">
        <v>0</v>
      </c>
      <c r="I72" s="19">
        <v>0</v>
      </c>
      <c r="J72" s="19">
        <v>0</v>
      </c>
      <c r="K72" s="19">
        <v>3</v>
      </c>
      <c r="L72" s="19">
        <v>3</v>
      </c>
      <c r="M72" s="19">
        <v>1</v>
      </c>
      <c r="N72" s="19">
        <v>0</v>
      </c>
      <c r="O72" s="19">
        <v>0</v>
      </c>
      <c r="P72" s="19">
        <v>2</v>
      </c>
      <c r="Q72" s="19">
        <v>5</v>
      </c>
      <c r="R72" s="19">
        <v>0</v>
      </c>
      <c r="S72" s="19">
        <v>0</v>
      </c>
      <c r="T72" s="19">
        <v>0</v>
      </c>
    </row>
    <row r="73" spans="1:20" s="32" customFormat="1" ht="14.25" customHeight="1" x14ac:dyDescent="0.2">
      <c r="A73" s="108"/>
      <c r="B73" s="36" t="s">
        <v>39</v>
      </c>
      <c r="C73" s="37" t="s">
        <v>163</v>
      </c>
      <c r="D73" s="19">
        <v>4</v>
      </c>
      <c r="E73" s="19">
        <v>0</v>
      </c>
      <c r="F73" s="19">
        <v>4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1</v>
      </c>
      <c r="Q73" s="19">
        <v>0</v>
      </c>
      <c r="R73" s="19">
        <v>3</v>
      </c>
      <c r="S73" s="19">
        <v>0</v>
      </c>
      <c r="T73" s="19">
        <v>0</v>
      </c>
    </row>
    <row r="74" spans="1:20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1</v>
      </c>
      <c r="E74" s="31">
        <v>0</v>
      </c>
      <c r="F74" s="31">
        <v>1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1</v>
      </c>
      <c r="Q74" s="31">
        <v>0</v>
      </c>
      <c r="R74" s="31">
        <v>0</v>
      </c>
      <c r="S74" s="31">
        <v>0</v>
      </c>
      <c r="T74" s="31">
        <v>0</v>
      </c>
    </row>
    <row r="75" spans="1:20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1</v>
      </c>
      <c r="E75" s="19">
        <v>0</v>
      </c>
      <c r="F75" s="19">
        <v>1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1</v>
      </c>
      <c r="Q75" s="19">
        <v>0</v>
      </c>
      <c r="R75" s="19">
        <v>0</v>
      </c>
      <c r="S75" s="19">
        <v>0</v>
      </c>
      <c r="T75" s="19">
        <v>0</v>
      </c>
    </row>
    <row r="76" spans="1:20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</row>
    <row r="77" spans="1:20" ht="14.25" customHeight="1" x14ac:dyDescent="0.2">
      <c r="A77" s="6" t="s">
        <v>28</v>
      </c>
    </row>
    <row r="78" spans="1:20" ht="14.25" customHeight="1" x14ac:dyDescent="0.2">
      <c r="A78" s="23" t="s">
        <v>29</v>
      </c>
    </row>
    <row r="79" spans="1:20" ht="14.25" customHeight="1" x14ac:dyDescent="0.2">
      <c r="A79" s="66" t="s">
        <v>176</v>
      </c>
    </row>
    <row r="80" spans="1:20" ht="14.25" customHeight="1" x14ac:dyDescent="0.2"/>
  </sheetData>
  <mergeCells count="35">
    <mergeCell ref="G6:H6"/>
    <mergeCell ref="I6:J6"/>
    <mergeCell ref="A15:A16"/>
    <mergeCell ref="A4:C7"/>
    <mergeCell ref="D4:T4"/>
    <mergeCell ref="D5:F6"/>
    <mergeCell ref="G5:J5"/>
    <mergeCell ref="K5:R5"/>
    <mergeCell ref="S5:T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9"/>
  <sheetViews>
    <sheetView workbookViewId="0">
      <pane xSplit="4" ySplit="8" topLeftCell="E9" activePane="bottomRight" state="frozen"/>
      <selection activeCell="D8" sqref="D8:V76"/>
      <selection pane="topRight" activeCell="D8" sqref="D8:V76"/>
      <selection pane="bottomLeft" activeCell="D8" sqref="D8:V76"/>
      <selection pane="bottomRight" activeCell="B219" sqref="A81:XFD219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4" width="10.1640625" style="3" customWidth="1"/>
    <col min="25" max="16384" width="5.5" style="3"/>
  </cols>
  <sheetData>
    <row r="1" spans="1:23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3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3" s="6" customFormat="1" ht="12.75" customHeight="1" x14ac:dyDescent="0.2">
      <c r="A3" s="67" t="s">
        <v>167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T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</row>
    <row r="4" spans="1:23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3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10"/>
    </row>
    <row r="6" spans="1:23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10"/>
    </row>
    <row r="7" spans="1:23" s="11" customFormat="1" ht="30.75" customHeight="1" x14ac:dyDescent="0.25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V7" s="72"/>
    </row>
    <row r="8" spans="1:23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5352</v>
      </c>
      <c r="E8" s="78">
        <v>2421</v>
      </c>
      <c r="F8" s="78">
        <v>2931</v>
      </c>
      <c r="G8" s="78">
        <v>2</v>
      </c>
      <c r="H8" s="78">
        <v>4</v>
      </c>
      <c r="I8" s="78">
        <v>2</v>
      </c>
      <c r="J8" s="78">
        <v>0</v>
      </c>
      <c r="K8" s="78">
        <v>1714</v>
      </c>
      <c r="L8" s="78">
        <v>1112</v>
      </c>
      <c r="M8" s="78">
        <v>96</v>
      </c>
      <c r="N8" s="78">
        <v>107</v>
      </c>
      <c r="O8" s="78">
        <v>274</v>
      </c>
      <c r="P8" s="78">
        <v>1454</v>
      </c>
      <c r="Q8" s="78">
        <v>317</v>
      </c>
      <c r="R8" s="78">
        <v>237</v>
      </c>
      <c r="S8" s="78">
        <v>16</v>
      </c>
      <c r="T8" s="78">
        <v>17</v>
      </c>
      <c r="V8" s="83"/>
      <c r="W8" s="83"/>
    </row>
    <row r="9" spans="1:23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4867</v>
      </c>
      <c r="E9" s="82">
        <v>2222</v>
      </c>
      <c r="F9" s="82">
        <v>2645</v>
      </c>
      <c r="G9" s="82">
        <v>2</v>
      </c>
      <c r="H9" s="82">
        <v>4</v>
      </c>
      <c r="I9" s="82">
        <v>2</v>
      </c>
      <c r="J9" s="82">
        <v>0</v>
      </c>
      <c r="K9" s="82">
        <v>1579</v>
      </c>
      <c r="L9" s="82">
        <v>1024</v>
      </c>
      <c r="M9" s="82">
        <v>89</v>
      </c>
      <c r="N9" s="82">
        <v>101</v>
      </c>
      <c r="O9" s="82">
        <v>251</v>
      </c>
      <c r="P9" s="82">
        <v>1291</v>
      </c>
      <c r="Q9" s="82">
        <v>283</v>
      </c>
      <c r="R9" s="82">
        <v>211</v>
      </c>
      <c r="S9" s="82">
        <v>16</v>
      </c>
      <c r="T9" s="82">
        <v>14</v>
      </c>
      <c r="V9" s="83"/>
    </row>
    <row r="10" spans="1:23" s="79" customFormat="1" ht="14.25" customHeight="1" x14ac:dyDescent="0.2">
      <c r="A10" s="111"/>
      <c r="B10" s="80" t="s">
        <v>152</v>
      </c>
      <c r="C10" s="81" t="s">
        <v>163</v>
      </c>
      <c r="D10" s="82">
        <v>485</v>
      </c>
      <c r="E10" s="82">
        <v>199</v>
      </c>
      <c r="F10" s="82">
        <v>286</v>
      </c>
      <c r="G10" s="82">
        <v>0</v>
      </c>
      <c r="H10" s="82">
        <v>0</v>
      </c>
      <c r="I10" s="82">
        <v>0</v>
      </c>
      <c r="J10" s="82">
        <v>0</v>
      </c>
      <c r="K10" s="82">
        <v>135</v>
      </c>
      <c r="L10" s="82">
        <v>88</v>
      </c>
      <c r="M10" s="82">
        <v>7</v>
      </c>
      <c r="N10" s="82">
        <v>6</v>
      </c>
      <c r="O10" s="82">
        <v>23</v>
      </c>
      <c r="P10" s="82">
        <v>163</v>
      </c>
      <c r="Q10" s="82">
        <v>34</v>
      </c>
      <c r="R10" s="82">
        <v>26</v>
      </c>
      <c r="S10" s="82">
        <v>0</v>
      </c>
      <c r="T10" s="82">
        <v>3</v>
      </c>
      <c r="V10" s="83"/>
    </row>
    <row r="11" spans="1:23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1151</v>
      </c>
      <c r="E11" s="31">
        <v>500</v>
      </c>
      <c r="F11" s="31">
        <v>651</v>
      </c>
      <c r="G11" s="31">
        <v>0</v>
      </c>
      <c r="H11" s="31">
        <v>0</v>
      </c>
      <c r="I11" s="31">
        <v>1</v>
      </c>
      <c r="J11" s="31">
        <v>0</v>
      </c>
      <c r="K11" s="31">
        <v>368</v>
      </c>
      <c r="L11" s="31">
        <v>270</v>
      </c>
      <c r="M11" s="31">
        <v>34</v>
      </c>
      <c r="N11" s="31">
        <v>32</v>
      </c>
      <c r="O11" s="31">
        <v>51</v>
      </c>
      <c r="P11" s="31">
        <v>320</v>
      </c>
      <c r="Q11" s="31">
        <v>40</v>
      </c>
      <c r="R11" s="31">
        <v>25</v>
      </c>
      <c r="S11" s="31">
        <v>6</v>
      </c>
      <c r="T11" s="31">
        <v>4</v>
      </c>
      <c r="V11" s="71"/>
    </row>
    <row r="12" spans="1:23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1095</v>
      </c>
      <c r="E12" s="19">
        <v>480</v>
      </c>
      <c r="F12" s="19">
        <v>615</v>
      </c>
      <c r="G12" s="19">
        <v>0</v>
      </c>
      <c r="H12" s="19">
        <v>0</v>
      </c>
      <c r="I12" s="19">
        <v>1</v>
      </c>
      <c r="J12" s="19">
        <v>0</v>
      </c>
      <c r="K12" s="19">
        <v>353</v>
      </c>
      <c r="L12" s="19">
        <v>249</v>
      </c>
      <c r="M12" s="19">
        <v>33</v>
      </c>
      <c r="N12" s="19">
        <v>29</v>
      </c>
      <c r="O12" s="19">
        <v>48</v>
      </c>
      <c r="P12" s="19">
        <v>309</v>
      </c>
      <c r="Q12" s="19">
        <v>39</v>
      </c>
      <c r="R12" s="19">
        <v>24</v>
      </c>
      <c r="S12" s="19">
        <v>6</v>
      </c>
      <c r="T12" s="19">
        <v>4</v>
      </c>
      <c r="V12" s="71"/>
    </row>
    <row r="13" spans="1:23" s="32" customFormat="1" ht="14.25" customHeight="1" x14ac:dyDescent="0.2">
      <c r="A13" s="108"/>
      <c r="B13" s="33" t="s">
        <v>39</v>
      </c>
      <c r="C13" s="34" t="s">
        <v>163</v>
      </c>
      <c r="D13" s="19">
        <v>56</v>
      </c>
      <c r="E13" s="19">
        <v>20</v>
      </c>
      <c r="F13" s="19">
        <v>36</v>
      </c>
      <c r="G13" s="19">
        <v>0</v>
      </c>
      <c r="H13" s="19">
        <v>0</v>
      </c>
      <c r="I13" s="19">
        <v>0</v>
      </c>
      <c r="J13" s="19">
        <v>0</v>
      </c>
      <c r="K13" s="19">
        <v>15</v>
      </c>
      <c r="L13" s="19">
        <v>21</v>
      </c>
      <c r="M13" s="19">
        <v>1</v>
      </c>
      <c r="N13" s="19">
        <v>3</v>
      </c>
      <c r="O13" s="19">
        <v>3</v>
      </c>
      <c r="P13" s="19">
        <v>11</v>
      </c>
      <c r="Q13" s="19">
        <v>1</v>
      </c>
      <c r="R13" s="19">
        <v>1</v>
      </c>
      <c r="S13" s="19">
        <v>0</v>
      </c>
      <c r="T13" s="19">
        <v>0</v>
      </c>
      <c r="V13" s="71"/>
    </row>
    <row r="14" spans="1:23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519</v>
      </c>
      <c r="E14" s="31">
        <v>263</v>
      </c>
      <c r="F14" s="31">
        <v>256</v>
      </c>
      <c r="G14" s="31">
        <v>0</v>
      </c>
      <c r="H14" s="31">
        <v>1</v>
      </c>
      <c r="I14" s="31">
        <v>0</v>
      </c>
      <c r="J14" s="31">
        <v>0</v>
      </c>
      <c r="K14" s="31">
        <v>177</v>
      </c>
      <c r="L14" s="31">
        <v>105</v>
      </c>
      <c r="M14" s="31">
        <v>4</v>
      </c>
      <c r="N14" s="31">
        <v>8</v>
      </c>
      <c r="O14" s="31">
        <v>37</v>
      </c>
      <c r="P14" s="31">
        <v>119</v>
      </c>
      <c r="Q14" s="31">
        <v>43</v>
      </c>
      <c r="R14" s="31">
        <v>20</v>
      </c>
      <c r="S14" s="31">
        <v>2</v>
      </c>
      <c r="T14" s="31">
        <v>3</v>
      </c>
      <c r="V14" s="71"/>
    </row>
    <row r="15" spans="1:23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510</v>
      </c>
      <c r="E15" s="19">
        <v>258</v>
      </c>
      <c r="F15" s="19">
        <v>252</v>
      </c>
      <c r="G15" s="19">
        <v>0</v>
      </c>
      <c r="H15" s="19">
        <v>1</v>
      </c>
      <c r="I15" s="19">
        <v>0</v>
      </c>
      <c r="J15" s="19">
        <v>0</v>
      </c>
      <c r="K15" s="19">
        <v>173</v>
      </c>
      <c r="L15" s="19">
        <v>104</v>
      </c>
      <c r="M15" s="19">
        <v>4</v>
      </c>
      <c r="N15" s="19">
        <v>8</v>
      </c>
      <c r="O15" s="19">
        <v>37</v>
      </c>
      <c r="P15" s="19">
        <v>117</v>
      </c>
      <c r="Q15" s="19">
        <v>42</v>
      </c>
      <c r="R15" s="19">
        <v>19</v>
      </c>
      <c r="S15" s="19">
        <v>2</v>
      </c>
      <c r="T15" s="19">
        <v>3</v>
      </c>
      <c r="V15" s="71"/>
    </row>
    <row r="16" spans="1:23" s="32" customFormat="1" ht="14.25" customHeight="1" x14ac:dyDescent="0.2">
      <c r="A16" s="108"/>
      <c r="B16" s="36" t="s">
        <v>39</v>
      </c>
      <c r="C16" s="37" t="s">
        <v>163</v>
      </c>
      <c r="D16" s="19">
        <v>9</v>
      </c>
      <c r="E16" s="19">
        <v>5</v>
      </c>
      <c r="F16" s="19">
        <v>4</v>
      </c>
      <c r="G16" s="19">
        <v>0</v>
      </c>
      <c r="H16" s="19">
        <v>0</v>
      </c>
      <c r="I16" s="19">
        <v>0</v>
      </c>
      <c r="J16" s="19">
        <v>0</v>
      </c>
      <c r="K16" s="19">
        <v>4</v>
      </c>
      <c r="L16" s="19">
        <v>1</v>
      </c>
      <c r="M16" s="19">
        <v>0</v>
      </c>
      <c r="N16" s="19">
        <v>0</v>
      </c>
      <c r="O16" s="19">
        <v>0</v>
      </c>
      <c r="P16" s="19">
        <v>2</v>
      </c>
      <c r="Q16" s="19">
        <v>1</v>
      </c>
      <c r="R16" s="19">
        <v>1</v>
      </c>
      <c r="S16" s="19">
        <v>0</v>
      </c>
      <c r="T16" s="19">
        <v>0</v>
      </c>
      <c r="V16" s="71"/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424</v>
      </c>
      <c r="E17" s="31">
        <v>200</v>
      </c>
      <c r="F17" s="31">
        <v>224</v>
      </c>
      <c r="G17" s="31">
        <v>0</v>
      </c>
      <c r="H17" s="31">
        <v>1</v>
      </c>
      <c r="I17" s="31">
        <v>0</v>
      </c>
      <c r="J17" s="31">
        <v>0</v>
      </c>
      <c r="K17" s="31">
        <v>164</v>
      </c>
      <c r="L17" s="31">
        <v>101</v>
      </c>
      <c r="M17" s="31">
        <v>1</v>
      </c>
      <c r="N17" s="31">
        <v>0</v>
      </c>
      <c r="O17" s="31">
        <v>18</v>
      </c>
      <c r="P17" s="31">
        <v>114</v>
      </c>
      <c r="Q17" s="31">
        <v>17</v>
      </c>
      <c r="R17" s="31">
        <v>8</v>
      </c>
      <c r="S17" s="31">
        <v>0</v>
      </c>
      <c r="T17" s="31">
        <v>0</v>
      </c>
      <c r="V17" s="71"/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363</v>
      </c>
      <c r="E18" s="19">
        <v>172</v>
      </c>
      <c r="F18" s="19">
        <v>191</v>
      </c>
      <c r="G18" s="19">
        <v>0</v>
      </c>
      <c r="H18" s="19">
        <v>1</v>
      </c>
      <c r="I18" s="19">
        <v>0</v>
      </c>
      <c r="J18" s="19">
        <v>0</v>
      </c>
      <c r="K18" s="19">
        <v>142</v>
      </c>
      <c r="L18" s="19">
        <v>89</v>
      </c>
      <c r="M18" s="19">
        <v>1</v>
      </c>
      <c r="N18" s="19">
        <v>0</v>
      </c>
      <c r="O18" s="19">
        <v>16</v>
      </c>
      <c r="P18" s="19">
        <v>94</v>
      </c>
      <c r="Q18" s="19">
        <v>13</v>
      </c>
      <c r="R18" s="19">
        <v>7</v>
      </c>
      <c r="S18" s="19">
        <v>0</v>
      </c>
      <c r="T18" s="19">
        <v>0</v>
      </c>
      <c r="V18" s="71"/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61</v>
      </c>
      <c r="E19" s="19">
        <v>28</v>
      </c>
      <c r="F19" s="19">
        <v>33</v>
      </c>
      <c r="G19" s="19">
        <v>0</v>
      </c>
      <c r="H19" s="19">
        <v>0</v>
      </c>
      <c r="I19" s="19">
        <v>0</v>
      </c>
      <c r="J19" s="19">
        <v>0</v>
      </c>
      <c r="K19" s="19">
        <v>22</v>
      </c>
      <c r="L19" s="19">
        <v>12</v>
      </c>
      <c r="M19" s="19">
        <v>0</v>
      </c>
      <c r="N19" s="19">
        <v>0</v>
      </c>
      <c r="O19" s="19">
        <v>2</v>
      </c>
      <c r="P19" s="19">
        <v>20</v>
      </c>
      <c r="Q19" s="19">
        <v>4</v>
      </c>
      <c r="R19" s="19">
        <v>1</v>
      </c>
      <c r="S19" s="19">
        <v>0</v>
      </c>
      <c r="T19" s="19">
        <v>0</v>
      </c>
      <c r="V19" s="71"/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709</v>
      </c>
      <c r="E20" s="31">
        <v>358</v>
      </c>
      <c r="F20" s="31">
        <v>351</v>
      </c>
      <c r="G20" s="31">
        <v>0</v>
      </c>
      <c r="H20" s="31">
        <v>0</v>
      </c>
      <c r="I20" s="31">
        <v>0</v>
      </c>
      <c r="J20" s="31">
        <v>0</v>
      </c>
      <c r="K20" s="31">
        <v>289</v>
      </c>
      <c r="L20" s="31">
        <v>163</v>
      </c>
      <c r="M20" s="31">
        <v>15</v>
      </c>
      <c r="N20" s="31">
        <v>7</v>
      </c>
      <c r="O20" s="31">
        <v>34</v>
      </c>
      <c r="P20" s="31">
        <v>165</v>
      </c>
      <c r="Q20" s="31">
        <v>19</v>
      </c>
      <c r="R20" s="31">
        <v>16</v>
      </c>
      <c r="S20" s="31">
        <v>1</v>
      </c>
      <c r="T20" s="31">
        <v>0</v>
      </c>
      <c r="V20" s="71"/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658</v>
      </c>
      <c r="E21" s="19">
        <v>330</v>
      </c>
      <c r="F21" s="19">
        <v>328</v>
      </c>
      <c r="G21" s="19">
        <v>0</v>
      </c>
      <c r="H21" s="19">
        <v>0</v>
      </c>
      <c r="I21" s="19">
        <v>0</v>
      </c>
      <c r="J21" s="19">
        <v>0</v>
      </c>
      <c r="K21" s="19">
        <v>272</v>
      </c>
      <c r="L21" s="19">
        <v>154</v>
      </c>
      <c r="M21" s="19">
        <v>14</v>
      </c>
      <c r="N21" s="19">
        <v>6</v>
      </c>
      <c r="O21" s="19">
        <v>29</v>
      </c>
      <c r="P21" s="19">
        <v>155</v>
      </c>
      <c r="Q21" s="19">
        <v>14</v>
      </c>
      <c r="R21" s="19">
        <v>13</v>
      </c>
      <c r="S21" s="19">
        <v>1</v>
      </c>
      <c r="T21" s="19">
        <v>0</v>
      </c>
      <c r="V21" s="71"/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51</v>
      </c>
      <c r="E22" s="19">
        <v>28</v>
      </c>
      <c r="F22" s="19">
        <v>23</v>
      </c>
      <c r="G22" s="19">
        <v>0</v>
      </c>
      <c r="H22" s="19">
        <v>0</v>
      </c>
      <c r="I22" s="19">
        <v>0</v>
      </c>
      <c r="J22" s="19">
        <v>0</v>
      </c>
      <c r="K22" s="19">
        <v>17</v>
      </c>
      <c r="L22" s="19">
        <v>9</v>
      </c>
      <c r="M22" s="19">
        <v>1</v>
      </c>
      <c r="N22" s="19">
        <v>1</v>
      </c>
      <c r="O22" s="19">
        <v>5</v>
      </c>
      <c r="P22" s="19">
        <v>10</v>
      </c>
      <c r="Q22" s="19">
        <v>5</v>
      </c>
      <c r="R22" s="19">
        <v>3</v>
      </c>
      <c r="S22" s="19">
        <v>0</v>
      </c>
      <c r="T22" s="19">
        <v>0</v>
      </c>
      <c r="V22" s="71"/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319</v>
      </c>
      <c r="E23" s="31">
        <v>164</v>
      </c>
      <c r="F23" s="31">
        <v>155</v>
      </c>
      <c r="G23" s="31">
        <v>0</v>
      </c>
      <c r="H23" s="31">
        <v>1</v>
      </c>
      <c r="I23" s="31">
        <v>1</v>
      </c>
      <c r="J23" s="31">
        <v>0</v>
      </c>
      <c r="K23" s="31">
        <v>97</v>
      </c>
      <c r="L23" s="31">
        <v>47</v>
      </c>
      <c r="M23" s="31">
        <v>6</v>
      </c>
      <c r="N23" s="31">
        <v>15</v>
      </c>
      <c r="O23" s="31">
        <v>16</v>
      </c>
      <c r="P23" s="31">
        <v>66</v>
      </c>
      <c r="Q23" s="31">
        <v>43</v>
      </c>
      <c r="R23" s="31">
        <v>26</v>
      </c>
      <c r="S23" s="31">
        <v>1</v>
      </c>
      <c r="T23" s="31">
        <v>0</v>
      </c>
      <c r="V23" s="71"/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304</v>
      </c>
      <c r="E24" s="19">
        <v>153</v>
      </c>
      <c r="F24" s="19">
        <v>151</v>
      </c>
      <c r="G24" s="19">
        <v>0</v>
      </c>
      <c r="H24" s="19">
        <v>1</v>
      </c>
      <c r="I24" s="19">
        <v>1</v>
      </c>
      <c r="J24" s="19">
        <v>0</v>
      </c>
      <c r="K24" s="19">
        <v>92</v>
      </c>
      <c r="L24" s="19">
        <v>45</v>
      </c>
      <c r="M24" s="19">
        <v>6</v>
      </c>
      <c r="N24" s="19">
        <v>15</v>
      </c>
      <c r="O24" s="19">
        <v>16</v>
      </c>
      <c r="P24" s="19">
        <v>64</v>
      </c>
      <c r="Q24" s="19">
        <v>37</v>
      </c>
      <c r="R24" s="19">
        <v>26</v>
      </c>
      <c r="S24" s="19">
        <v>1</v>
      </c>
      <c r="T24" s="19">
        <v>0</v>
      </c>
      <c r="V24" s="71"/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15</v>
      </c>
      <c r="E25" s="19">
        <v>11</v>
      </c>
      <c r="F25" s="19">
        <v>4</v>
      </c>
      <c r="G25" s="19">
        <v>0</v>
      </c>
      <c r="H25" s="19">
        <v>0</v>
      </c>
      <c r="I25" s="19">
        <v>0</v>
      </c>
      <c r="J25" s="19">
        <v>0</v>
      </c>
      <c r="K25" s="19">
        <v>5</v>
      </c>
      <c r="L25" s="19">
        <v>2</v>
      </c>
      <c r="M25" s="19">
        <v>0</v>
      </c>
      <c r="N25" s="19">
        <v>0</v>
      </c>
      <c r="O25" s="19">
        <v>0</v>
      </c>
      <c r="P25" s="19">
        <v>2</v>
      </c>
      <c r="Q25" s="19">
        <v>6</v>
      </c>
      <c r="R25" s="19">
        <v>0</v>
      </c>
      <c r="S25" s="19">
        <v>0</v>
      </c>
      <c r="T25" s="19">
        <v>0</v>
      </c>
      <c r="V25" s="71"/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682</v>
      </c>
      <c r="E26" s="31">
        <v>316</v>
      </c>
      <c r="F26" s="31">
        <v>366</v>
      </c>
      <c r="G26" s="31">
        <v>0</v>
      </c>
      <c r="H26" s="31">
        <v>0</v>
      </c>
      <c r="I26" s="31">
        <v>0</v>
      </c>
      <c r="J26" s="31">
        <v>0</v>
      </c>
      <c r="K26" s="31">
        <v>230</v>
      </c>
      <c r="L26" s="31">
        <v>144</v>
      </c>
      <c r="M26" s="31">
        <v>13</v>
      </c>
      <c r="N26" s="31">
        <v>11</v>
      </c>
      <c r="O26" s="31">
        <v>15</v>
      </c>
      <c r="P26" s="31">
        <v>174</v>
      </c>
      <c r="Q26" s="31">
        <v>56</v>
      </c>
      <c r="R26" s="31">
        <v>32</v>
      </c>
      <c r="S26" s="31">
        <v>2</v>
      </c>
      <c r="T26" s="31">
        <v>5</v>
      </c>
      <c r="V26" s="71"/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636</v>
      </c>
      <c r="E27" s="19">
        <v>297</v>
      </c>
      <c r="F27" s="19">
        <v>339</v>
      </c>
      <c r="G27" s="19">
        <v>0</v>
      </c>
      <c r="H27" s="19">
        <v>0</v>
      </c>
      <c r="I27" s="19">
        <v>0</v>
      </c>
      <c r="J27" s="19">
        <v>0</v>
      </c>
      <c r="K27" s="19">
        <v>214</v>
      </c>
      <c r="L27" s="19">
        <v>135</v>
      </c>
      <c r="M27" s="19">
        <v>12</v>
      </c>
      <c r="N27" s="19">
        <v>11</v>
      </c>
      <c r="O27" s="19">
        <v>15</v>
      </c>
      <c r="P27" s="19">
        <v>159</v>
      </c>
      <c r="Q27" s="19">
        <v>54</v>
      </c>
      <c r="R27" s="19">
        <v>29</v>
      </c>
      <c r="S27" s="19">
        <v>2</v>
      </c>
      <c r="T27" s="19">
        <v>5</v>
      </c>
      <c r="V27" s="71"/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46</v>
      </c>
      <c r="E28" s="19">
        <v>19</v>
      </c>
      <c r="F28" s="19">
        <v>27</v>
      </c>
      <c r="G28" s="19">
        <v>0</v>
      </c>
      <c r="H28" s="19">
        <v>0</v>
      </c>
      <c r="I28" s="19">
        <v>0</v>
      </c>
      <c r="J28" s="19">
        <v>0</v>
      </c>
      <c r="K28" s="19">
        <v>16</v>
      </c>
      <c r="L28" s="19">
        <v>9</v>
      </c>
      <c r="M28" s="19">
        <v>1</v>
      </c>
      <c r="N28" s="19">
        <v>0</v>
      </c>
      <c r="O28" s="19">
        <v>0</v>
      </c>
      <c r="P28" s="19">
        <v>15</v>
      </c>
      <c r="Q28" s="19">
        <v>2</v>
      </c>
      <c r="R28" s="19">
        <v>3</v>
      </c>
      <c r="S28" s="19">
        <v>0</v>
      </c>
      <c r="T28" s="19">
        <v>0</v>
      </c>
      <c r="V28" s="71"/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35</v>
      </c>
      <c r="E29" s="31">
        <v>7</v>
      </c>
      <c r="F29" s="31">
        <v>28</v>
      </c>
      <c r="G29" s="31">
        <v>0</v>
      </c>
      <c r="H29" s="31">
        <v>0</v>
      </c>
      <c r="I29" s="31">
        <v>0</v>
      </c>
      <c r="J29" s="31">
        <v>0</v>
      </c>
      <c r="K29" s="31">
        <v>6</v>
      </c>
      <c r="L29" s="31">
        <v>10</v>
      </c>
      <c r="M29" s="31">
        <v>0</v>
      </c>
      <c r="N29" s="31">
        <v>0</v>
      </c>
      <c r="O29" s="31">
        <v>1</v>
      </c>
      <c r="P29" s="31">
        <v>17</v>
      </c>
      <c r="Q29" s="31">
        <v>0</v>
      </c>
      <c r="R29" s="31">
        <v>1</v>
      </c>
      <c r="S29" s="31">
        <v>0</v>
      </c>
      <c r="T29" s="31">
        <v>0</v>
      </c>
      <c r="V29" s="71"/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33</v>
      </c>
      <c r="E30" s="19">
        <v>7</v>
      </c>
      <c r="F30" s="19">
        <v>26</v>
      </c>
      <c r="G30" s="19">
        <v>0</v>
      </c>
      <c r="H30" s="19">
        <v>0</v>
      </c>
      <c r="I30" s="19">
        <v>0</v>
      </c>
      <c r="J30" s="19">
        <v>0</v>
      </c>
      <c r="K30" s="19">
        <v>6</v>
      </c>
      <c r="L30" s="19">
        <v>10</v>
      </c>
      <c r="M30" s="19">
        <v>0</v>
      </c>
      <c r="N30" s="19">
        <v>0</v>
      </c>
      <c r="O30" s="19">
        <v>1</v>
      </c>
      <c r="P30" s="19">
        <v>15</v>
      </c>
      <c r="Q30" s="19">
        <v>0</v>
      </c>
      <c r="R30" s="19">
        <v>1</v>
      </c>
      <c r="S30" s="19">
        <v>0</v>
      </c>
      <c r="T30" s="19">
        <v>0</v>
      </c>
      <c r="V30" s="71"/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2</v>
      </c>
      <c r="E31" s="19">
        <v>0</v>
      </c>
      <c r="F31" s="19">
        <v>2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2</v>
      </c>
      <c r="Q31" s="19">
        <v>0</v>
      </c>
      <c r="R31" s="19">
        <v>0</v>
      </c>
      <c r="S31" s="19">
        <v>0</v>
      </c>
      <c r="T31" s="19">
        <v>0</v>
      </c>
      <c r="V31" s="71"/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184</v>
      </c>
      <c r="E32" s="31">
        <v>80</v>
      </c>
      <c r="F32" s="31">
        <v>104</v>
      </c>
      <c r="G32" s="31">
        <v>0</v>
      </c>
      <c r="H32" s="31">
        <v>0</v>
      </c>
      <c r="I32" s="31">
        <v>0</v>
      </c>
      <c r="J32" s="31">
        <v>0</v>
      </c>
      <c r="K32" s="31">
        <v>51</v>
      </c>
      <c r="L32" s="31">
        <v>41</v>
      </c>
      <c r="M32" s="31">
        <v>8</v>
      </c>
      <c r="N32" s="31">
        <v>11</v>
      </c>
      <c r="O32" s="31">
        <v>4</v>
      </c>
      <c r="P32" s="31">
        <v>33</v>
      </c>
      <c r="Q32" s="31">
        <v>16</v>
      </c>
      <c r="R32" s="31">
        <v>19</v>
      </c>
      <c r="S32" s="31">
        <v>1</v>
      </c>
      <c r="T32" s="31">
        <v>0</v>
      </c>
      <c r="V32" s="71"/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148</v>
      </c>
      <c r="E33" s="19">
        <v>71</v>
      </c>
      <c r="F33" s="19">
        <v>77</v>
      </c>
      <c r="G33" s="19">
        <v>0</v>
      </c>
      <c r="H33" s="19">
        <v>0</v>
      </c>
      <c r="I33" s="19">
        <v>0</v>
      </c>
      <c r="J33" s="19">
        <v>0</v>
      </c>
      <c r="K33" s="19">
        <v>46</v>
      </c>
      <c r="L33" s="19">
        <v>31</v>
      </c>
      <c r="M33" s="19">
        <v>7</v>
      </c>
      <c r="N33" s="19">
        <v>10</v>
      </c>
      <c r="O33" s="19">
        <v>4</v>
      </c>
      <c r="P33" s="19">
        <v>24</v>
      </c>
      <c r="Q33" s="19">
        <v>13</v>
      </c>
      <c r="R33" s="19">
        <v>12</v>
      </c>
      <c r="S33" s="19">
        <v>1</v>
      </c>
      <c r="T33" s="19">
        <v>0</v>
      </c>
      <c r="V33" s="71"/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36</v>
      </c>
      <c r="E34" s="19">
        <v>9</v>
      </c>
      <c r="F34" s="19">
        <v>27</v>
      </c>
      <c r="G34" s="19">
        <v>0</v>
      </c>
      <c r="H34" s="19">
        <v>0</v>
      </c>
      <c r="I34" s="19">
        <v>0</v>
      </c>
      <c r="J34" s="19">
        <v>0</v>
      </c>
      <c r="K34" s="19">
        <v>5</v>
      </c>
      <c r="L34" s="19">
        <v>10</v>
      </c>
      <c r="M34" s="19">
        <v>1</v>
      </c>
      <c r="N34" s="19">
        <v>1</v>
      </c>
      <c r="O34" s="19">
        <v>0</v>
      </c>
      <c r="P34" s="19">
        <v>9</v>
      </c>
      <c r="Q34" s="19">
        <v>3</v>
      </c>
      <c r="R34" s="19">
        <v>7</v>
      </c>
      <c r="S34" s="19">
        <v>0</v>
      </c>
      <c r="T34" s="19">
        <v>0</v>
      </c>
      <c r="V34" s="71"/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91</v>
      </c>
      <c r="E35" s="31">
        <v>23</v>
      </c>
      <c r="F35" s="31">
        <v>68</v>
      </c>
      <c r="G35" s="31">
        <v>0</v>
      </c>
      <c r="H35" s="31">
        <v>0</v>
      </c>
      <c r="I35" s="31">
        <v>0</v>
      </c>
      <c r="J35" s="31">
        <v>0</v>
      </c>
      <c r="K35" s="31">
        <v>13</v>
      </c>
      <c r="L35" s="31">
        <v>13</v>
      </c>
      <c r="M35" s="31">
        <v>2</v>
      </c>
      <c r="N35" s="31">
        <v>3</v>
      </c>
      <c r="O35" s="31">
        <v>3</v>
      </c>
      <c r="P35" s="31">
        <v>44</v>
      </c>
      <c r="Q35" s="31">
        <v>5</v>
      </c>
      <c r="R35" s="31">
        <v>8</v>
      </c>
      <c r="S35" s="31">
        <v>0</v>
      </c>
      <c r="T35" s="31">
        <v>0</v>
      </c>
      <c r="V35" s="71"/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80</v>
      </c>
      <c r="E36" s="19">
        <v>21</v>
      </c>
      <c r="F36" s="19">
        <v>59</v>
      </c>
      <c r="G36" s="19">
        <v>0</v>
      </c>
      <c r="H36" s="19">
        <v>0</v>
      </c>
      <c r="I36" s="19">
        <v>0</v>
      </c>
      <c r="J36" s="19">
        <v>0</v>
      </c>
      <c r="K36" s="19">
        <v>12</v>
      </c>
      <c r="L36" s="19">
        <v>11</v>
      </c>
      <c r="M36" s="19">
        <v>2</v>
      </c>
      <c r="N36" s="19">
        <v>3</v>
      </c>
      <c r="O36" s="19">
        <v>2</v>
      </c>
      <c r="P36" s="19">
        <v>37</v>
      </c>
      <c r="Q36" s="19">
        <v>5</v>
      </c>
      <c r="R36" s="19">
        <v>8</v>
      </c>
      <c r="S36" s="19">
        <v>0</v>
      </c>
      <c r="T36" s="19">
        <v>0</v>
      </c>
      <c r="V36" s="71"/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11</v>
      </c>
      <c r="E37" s="19">
        <v>2</v>
      </c>
      <c r="F37" s="19">
        <v>9</v>
      </c>
      <c r="G37" s="19">
        <v>0</v>
      </c>
      <c r="H37" s="19">
        <v>0</v>
      </c>
      <c r="I37" s="19">
        <v>0</v>
      </c>
      <c r="J37" s="19">
        <v>0</v>
      </c>
      <c r="K37" s="19">
        <v>1</v>
      </c>
      <c r="L37" s="19">
        <v>2</v>
      </c>
      <c r="M37" s="19">
        <v>0</v>
      </c>
      <c r="N37" s="19">
        <v>0</v>
      </c>
      <c r="O37" s="19">
        <v>1</v>
      </c>
      <c r="P37" s="19">
        <v>7</v>
      </c>
      <c r="Q37" s="19">
        <v>0</v>
      </c>
      <c r="R37" s="19">
        <v>0</v>
      </c>
      <c r="S37" s="19">
        <v>0</v>
      </c>
      <c r="T37" s="19">
        <v>0</v>
      </c>
      <c r="V37" s="71"/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223</v>
      </c>
      <c r="E38" s="31">
        <v>100</v>
      </c>
      <c r="F38" s="31">
        <v>123</v>
      </c>
      <c r="G38" s="31">
        <v>1</v>
      </c>
      <c r="H38" s="31">
        <v>1</v>
      </c>
      <c r="I38" s="31">
        <v>0</v>
      </c>
      <c r="J38" s="31">
        <v>0</v>
      </c>
      <c r="K38" s="31">
        <v>67</v>
      </c>
      <c r="L38" s="31">
        <v>35</v>
      </c>
      <c r="M38" s="31">
        <v>7</v>
      </c>
      <c r="N38" s="31">
        <v>10</v>
      </c>
      <c r="O38" s="31">
        <v>17</v>
      </c>
      <c r="P38" s="31">
        <v>67</v>
      </c>
      <c r="Q38" s="31">
        <v>6</v>
      </c>
      <c r="R38" s="31">
        <v>9</v>
      </c>
      <c r="S38" s="31">
        <v>2</v>
      </c>
      <c r="T38" s="31">
        <v>1</v>
      </c>
      <c r="V38" s="71"/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217</v>
      </c>
      <c r="E39" s="19">
        <v>99</v>
      </c>
      <c r="F39" s="19">
        <v>118</v>
      </c>
      <c r="G39" s="19">
        <v>1</v>
      </c>
      <c r="H39" s="19">
        <v>1</v>
      </c>
      <c r="I39" s="19">
        <v>0</v>
      </c>
      <c r="J39" s="19">
        <v>0</v>
      </c>
      <c r="K39" s="19">
        <v>66</v>
      </c>
      <c r="L39" s="19">
        <v>34</v>
      </c>
      <c r="M39" s="19">
        <v>7</v>
      </c>
      <c r="N39" s="19">
        <v>9</v>
      </c>
      <c r="O39" s="19">
        <v>17</v>
      </c>
      <c r="P39" s="19">
        <v>65</v>
      </c>
      <c r="Q39" s="19">
        <v>6</v>
      </c>
      <c r="R39" s="19">
        <v>8</v>
      </c>
      <c r="S39" s="19">
        <v>2</v>
      </c>
      <c r="T39" s="19">
        <v>1</v>
      </c>
      <c r="V39" s="71"/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6</v>
      </c>
      <c r="E40" s="19">
        <v>1</v>
      </c>
      <c r="F40" s="19">
        <v>5</v>
      </c>
      <c r="G40" s="19">
        <v>0</v>
      </c>
      <c r="H40" s="19">
        <v>0</v>
      </c>
      <c r="I40" s="19">
        <v>0</v>
      </c>
      <c r="J40" s="19">
        <v>0</v>
      </c>
      <c r="K40" s="19">
        <v>1</v>
      </c>
      <c r="L40" s="19">
        <v>1</v>
      </c>
      <c r="M40" s="19">
        <v>0</v>
      </c>
      <c r="N40" s="19">
        <v>1</v>
      </c>
      <c r="O40" s="19">
        <v>0</v>
      </c>
      <c r="P40" s="19">
        <v>2</v>
      </c>
      <c r="Q40" s="19">
        <v>0</v>
      </c>
      <c r="R40" s="19">
        <v>1</v>
      </c>
      <c r="S40" s="19">
        <v>0</v>
      </c>
      <c r="T40" s="19">
        <v>0</v>
      </c>
      <c r="V40" s="71"/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112</v>
      </c>
      <c r="E41" s="31">
        <v>42</v>
      </c>
      <c r="F41" s="31">
        <v>70</v>
      </c>
      <c r="G41" s="31">
        <v>0</v>
      </c>
      <c r="H41" s="31">
        <v>0</v>
      </c>
      <c r="I41" s="31">
        <v>0</v>
      </c>
      <c r="J41" s="31">
        <v>0</v>
      </c>
      <c r="K41" s="31">
        <v>22</v>
      </c>
      <c r="L41" s="31">
        <v>29</v>
      </c>
      <c r="M41" s="31">
        <v>0</v>
      </c>
      <c r="N41" s="31">
        <v>2</v>
      </c>
      <c r="O41" s="31">
        <v>4</v>
      </c>
      <c r="P41" s="31">
        <v>27</v>
      </c>
      <c r="Q41" s="31">
        <v>16</v>
      </c>
      <c r="R41" s="31">
        <v>10</v>
      </c>
      <c r="S41" s="31">
        <v>0</v>
      </c>
      <c r="T41" s="31">
        <v>2</v>
      </c>
      <c r="V41" s="71"/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86</v>
      </c>
      <c r="E42" s="19">
        <v>35</v>
      </c>
      <c r="F42" s="19">
        <v>51</v>
      </c>
      <c r="G42" s="19">
        <v>0</v>
      </c>
      <c r="H42" s="19">
        <v>0</v>
      </c>
      <c r="I42" s="19">
        <v>0</v>
      </c>
      <c r="J42" s="19">
        <v>0</v>
      </c>
      <c r="K42" s="19">
        <v>20</v>
      </c>
      <c r="L42" s="19">
        <v>24</v>
      </c>
      <c r="M42" s="19">
        <v>0</v>
      </c>
      <c r="N42" s="19">
        <v>2</v>
      </c>
      <c r="O42" s="19">
        <v>3</v>
      </c>
      <c r="P42" s="19">
        <v>17</v>
      </c>
      <c r="Q42" s="19">
        <v>12</v>
      </c>
      <c r="R42" s="19">
        <v>8</v>
      </c>
      <c r="S42" s="19">
        <v>0</v>
      </c>
      <c r="T42" s="19">
        <v>0</v>
      </c>
      <c r="V42" s="71"/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26</v>
      </c>
      <c r="E43" s="19">
        <v>7</v>
      </c>
      <c r="F43" s="19">
        <v>19</v>
      </c>
      <c r="G43" s="19">
        <v>0</v>
      </c>
      <c r="H43" s="19">
        <v>0</v>
      </c>
      <c r="I43" s="19">
        <v>0</v>
      </c>
      <c r="J43" s="19">
        <v>0</v>
      </c>
      <c r="K43" s="19">
        <v>2</v>
      </c>
      <c r="L43" s="19">
        <v>5</v>
      </c>
      <c r="M43" s="19">
        <v>0</v>
      </c>
      <c r="N43" s="19">
        <v>0</v>
      </c>
      <c r="O43" s="19">
        <v>1</v>
      </c>
      <c r="P43" s="19">
        <v>10</v>
      </c>
      <c r="Q43" s="19">
        <v>4</v>
      </c>
      <c r="R43" s="19">
        <v>2</v>
      </c>
      <c r="S43" s="19">
        <v>0</v>
      </c>
      <c r="T43" s="19">
        <v>2</v>
      </c>
      <c r="V43" s="71"/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145</v>
      </c>
      <c r="E44" s="31">
        <v>56</v>
      </c>
      <c r="F44" s="31">
        <v>89</v>
      </c>
      <c r="G44" s="31">
        <v>0</v>
      </c>
      <c r="H44" s="31">
        <v>0</v>
      </c>
      <c r="I44" s="31">
        <v>0</v>
      </c>
      <c r="J44" s="31">
        <v>0</v>
      </c>
      <c r="K44" s="31">
        <v>32</v>
      </c>
      <c r="L44" s="31">
        <v>29</v>
      </c>
      <c r="M44" s="31">
        <v>2</v>
      </c>
      <c r="N44" s="31">
        <v>2</v>
      </c>
      <c r="O44" s="31">
        <v>12</v>
      </c>
      <c r="P44" s="31">
        <v>49</v>
      </c>
      <c r="Q44" s="31">
        <v>10</v>
      </c>
      <c r="R44" s="31">
        <v>9</v>
      </c>
      <c r="S44" s="31">
        <v>0</v>
      </c>
      <c r="T44" s="31">
        <v>0</v>
      </c>
      <c r="V44" s="71"/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141</v>
      </c>
      <c r="E45" s="19">
        <v>55</v>
      </c>
      <c r="F45" s="19">
        <v>86</v>
      </c>
      <c r="G45" s="19">
        <v>0</v>
      </c>
      <c r="H45" s="19">
        <v>0</v>
      </c>
      <c r="I45" s="19">
        <v>0</v>
      </c>
      <c r="J45" s="19">
        <v>0</v>
      </c>
      <c r="K45" s="19">
        <v>31</v>
      </c>
      <c r="L45" s="19">
        <v>28</v>
      </c>
      <c r="M45" s="19">
        <v>2</v>
      </c>
      <c r="N45" s="19">
        <v>2</v>
      </c>
      <c r="O45" s="19">
        <v>12</v>
      </c>
      <c r="P45" s="19">
        <v>47</v>
      </c>
      <c r="Q45" s="19">
        <v>10</v>
      </c>
      <c r="R45" s="19">
        <v>9</v>
      </c>
      <c r="S45" s="19">
        <v>0</v>
      </c>
      <c r="T45" s="19">
        <v>0</v>
      </c>
      <c r="V45" s="71"/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4</v>
      </c>
      <c r="E46" s="19">
        <v>1</v>
      </c>
      <c r="F46" s="19">
        <v>3</v>
      </c>
      <c r="G46" s="19">
        <v>0</v>
      </c>
      <c r="H46" s="19">
        <v>0</v>
      </c>
      <c r="I46" s="19">
        <v>0</v>
      </c>
      <c r="J46" s="19">
        <v>0</v>
      </c>
      <c r="K46" s="19">
        <v>1</v>
      </c>
      <c r="L46" s="19">
        <v>1</v>
      </c>
      <c r="M46" s="19">
        <v>0</v>
      </c>
      <c r="N46" s="19">
        <v>0</v>
      </c>
      <c r="O46" s="19">
        <v>0</v>
      </c>
      <c r="P46" s="19">
        <v>2</v>
      </c>
      <c r="Q46" s="19">
        <v>0</v>
      </c>
      <c r="R46" s="19">
        <v>0</v>
      </c>
      <c r="S46" s="19">
        <v>0</v>
      </c>
      <c r="T46" s="19">
        <v>0</v>
      </c>
      <c r="V46" s="71"/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90</v>
      </c>
      <c r="E47" s="31">
        <v>37</v>
      </c>
      <c r="F47" s="31">
        <v>53</v>
      </c>
      <c r="G47" s="31">
        <v>1</v>
      </c>
      <c r="H47" s="31">
        <v>0</v>
      </c>
      <c r="I47" s="31">
        <v>0</v>
      </c>
      <c r="J47" s="31">
        <v>0</v>
      </c>
      <c r="K47" s="31">
        <v>20</v>
      </c>
      <c r="L47" s="31">
        <v>23</v>
      </c>
      <c r="M47" s="31">
        <v>0</v>
      </c>
      <c r="N47" s="31">
        <v>1</v>
      </c>
      <c r="O47" s="31">
        <v>6</v>
      </c>
      <c r="P47" s="31">
        <v>23</v>
      </c>
      <c r="Q47" s="31">
        <v>10</v>
      </c>
      <c r="R47" s="31">
        <v>6</v>
      </c>
      <c r="S47" s="31">
        <v>0</v>
      </c>
      <c r="T47" s="31">
        <v>0</v>
      </c>
      <c r="V47" s="71"/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86</v>
      </c>
      <c r="E48" s="19">
        <v>33</v>
      </c>
      <c r="F48" s="19">
        <v>53</v>
      </c>
      <c r="G48" s="19">
        <v>1</v>
      </c>
      <c r="H48" s="19">
        <v>0</v>
      </c>
      <c r="I48" s="19">
        <v>0</v>
      </c>
      <c r="J48" s="19">
        <v>0</v>
      </c>
      <c r="K48" s="19">
        <v>18</v>
      </c>
      <c r="L48" s="19">
        <v>23</v>
      </c>
      <c r="M48" s="19">
        <v>0</v>
      </c>
      <c r="N48" s="19">
        <v>1</v>
      </c>
      <c r="O48" s="19">
        <v>4</v>
      </c>
      <c r="P48" s="19">
        <v>23</v>
      </c>
      <c r="Q48" s="19">
        <v>10</v>
      </c>
      <c r="R48" s="19">
        <v>6</v>
      </c>
      <c r="S48" s="19">
        <v>0</v>
      </c>
      <c r="T48" s="19">
        <v>0</v>
      </c>
      <c r="V48" s="71"/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4</v>
      </c>
      <c r="E49" s="19">
        <v>4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2</v>
      </c>
      <c r="L49" s="19">
        <v>0</v>
      </c>
      <c r="M49" s="19">
        <v>0</v>
      </c>
      <c r="N49" s="19">
        <v>0</v>
      </c>
      <c r="O49" s="19">
        <v>2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V49" s="71"/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179</v>
      </c>
      <c r="E50" s="31">
        <v>58</v>
      </c>
      <c r="F50" s="31">
        <v>121</v>
      </c>
      <c r="G50" s="31">
        <v>0</v>
      </c>
      <c r="H50" s="31">
        <v>0</v>
      </c>
      <c r="I50" s="31">
        <v>0</v>
      </c>
      <c r="J50" s="31">
        <v>0</v>
      </c>
      <c r="K50" s="31">
        <v>37</v>
      </c>
      <c r="L50" s="31">
        <v>38</v>
      </c>
      <c r="M50" s="31">
        <v>1</v>
      </c>
      <c r="N50" s="31">
        <v>0</v>
      </c>
      <c r="O50" s="31">
        <v>13</v>
      </c>
      <c r="P50" s="31">
        <v>74</v>
      </c>
      <c r="Q50" s="31">
        <v>6</v>
      </c>
      <c r="R50" s="31">
        <v>8</v>
      </c>
      <c r="S50" s="31">
        <v>1</v>
      </c>
      <c r="T50" s="31">
        <v>1</v>
      </c>
      <c r="V50" s="71"/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144</v>
      </c>
      <c r="E51" s="19">
        <v>49</v>
      </c>
      <c r="F51" s="19">
        <v>95</v>
      </c>
      <c r="G51" s="19">
        <v>0</v>
      </c>
      <c r="H51" s="19">
        <v>0</v>
      </c>
      <c r="I51" s="19">
        <v>0</v>
      </c>
      <c r="J51" s="19">
        <v>0</v>
      </c>
      <c r="K51" s="19">
        <v>29</v>
      </c>
      <c r="L51" s="19">
        <v>35</v>
      </c>
      <c r="M51" s="19">
        <v>1</v>
      </c>
      <c r="N51" s="19">
        <v>0</v>
      </c>
      <c r="O51" s="19">
        <v>12</v>
      </c>
      <c r="P51" s="19">
        <v>51</v>
      </c>
      <c r="Q51" s="19">
        <v>6</v>
      </c>
      <c r="R51" s="19">
        <v>8</v>
      </c>
      <c r="S51" s="19">
        <v>1</v>
      </c>
      <c r="T51" s="19">
        <v>1</v>
      </c>
      <c r="V51" s="71"/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35</v>
      </c>
      <c r="E52" s="19">
        <v>9</v>
      </c>
      <c r="F52" s="19">
        <v>26</v>
      </c>
      <c r="G52" s="19">
        <v>0</v>
      </c>
      <c r="H52" s="19">
        <v>0</v>
      </c>
      <c r="I52" s="19">
        <v>0</v>
      </c>
      <c r="J52" s="19">
        <v>0</v>
      </c>
      <c r="K52" s="19">
        <v>8</v>
      </c>
      <c r="L52" s="19">
        <v>3</v>
      </c>
      <c r="M52" s="19">
        <v>0</v>
      </c>
      <c r="N52" s="19">
        <v>0</v>
      </c>
      <c r="O52" s="19">
        <v>1</v>
      </c>
      <c r="P52" s="19">
        <v>23</v>
      </c>
      <c r="Q52" s="19">
        <v>0</v>
      </c>
      <c r="R52" s="19">
        <v>0</v>
      </c>
      <c r="S52" s="19">
        <v>0</v>
      </c>
      <c r="T52" s="19">
        <v>0</v>
      </c>
      <c r="V52" s="71"/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34</v>
      </c>
      <c r="E53" s="31">
        <v>8</v>
      </c>
      <c r="F53" s="31">
        <v>26</v>
      </c>
      <c r="G53" s="31">
        <v>0</v>
      </c>
      <c r="H53" s="31">
        <v>0</v>
      </c>
      <c r="I53" s="31">
        <v>0</v>
      </c>
      <c r="J53" s="31">
        <v>0</v>
      </c>
      <c r="K53" s="31">
        <v>4</v>
      </c>
      <c r="L53" s="31">
        <v>4</v>
      </c>
      <c r="M53" s="31">
        <v>0</v>
      </c>
      <c r="N53" s="31">
        <v>0</v>
      </c>
      <c r="O53" s="31">
        <v>4</v>
      </c>
      <c r="P53" s="31">
        <v>22</v>
      </c>
      <c r="Q53" s="31">
        <v>0</v>
      </c>
      <c r="R53" s="31">
        <v>0</v>
      </c>
      <c r="S53" s="31">
        <v>0</v>
      </c>
      <c r="T53" s="31">
        <v>0</v>
      </c>
      <c r="V53" s="71"/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13</v>
      </c>
      <c r="E54" s="19">
        <v>3</v>
      </c>
      <c r="F54" s="19">
        <v>10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3</v>
      </c>
      <c r="P54" s="19">
        <v>10</v>
      </c>
      <c r="Q54" s="19">
        <v>0</v>
      </c>
      <c r="R54" s="19">
        <v>0</v>
      </c>
      <c r="S54" s="19">
        <v>0</v>
      </c>
      <c r="T54" s="19">
        <v>0</v>
      </c>
      <c r="V54" s="71"/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21</v>
      </c>
      <c r="E55" s="19">
        <v>5</v>
      </c>
      <c r="F55" s="19">
        <v>16</v>
      </c>
      <c r="G55" s="19">
        <v>0</v>
      </c>
      <c r="H55" s="19">
        <v>0</v>
      </c>
      <c r="I55" s="19">
        <v>0</v>
      </c>
      <c r="J55" s="19">
        <v>0</v>
      </c>
      <c r="K55" s="19">
        <v>4</v>
      </c>
      <c r="L55" s="19">
        <v>4</v>
      </c>
      <c r="M55" s="19">
        <v>0</v>
      </c>
      <c r="N55" s="19">
        <v>0</v>
      </c>
      <c r="O55" s="19">
        <v>1</v>
      </c>
      <c r="P55" s="19">
        <v>12</v>
      </c>
      <c r="Q55" s="19">
        <v>0</v>
      </c>
      <c r="R55" s="19">
        <v>0</v>
      </c>
      <c r="S55" s="19">
        <v>0</v>
      </c>
      <c r="T55" s="19">
        <v>0</v>
      </c>
      <c r="V55" s="71"/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150</v>
      </c>
      <c r="E56" s="31">
        <v>74</v>
      </c>
      <c r="F56" s="31">
        <v>76</v>
      </c>
      <c r="G56" s="31">
        <v>0</v>
      </c>
      <c r="H56" s="31">
        <v>0</v>
      </c>
      <c r="I56" s="31">
        <v>0</v>
      </c>
      <c r="J56" s="31">
        <v>0</v>
      </c>
      <c r="K56" s="31">
        <v>46</v>
      </c>
      <c r="L56" s="31">
        <v>13</v>
      </c>
      <c r="M56" s="31">
        <v>3</v>
      </c>
      <c r="N56" s="31">
        <v>0</v>
      </c>
      <c r="O56" s="31">
        <v>9</v>
      </c>
      <c r="P56" s="31">
        <v>45</v>
      </c>
      <c r="Q56" s="31">
        <v>16</v>
      </c>
      <c r="R56" s="31">
        <v>17</v>
      </c>
      <c r="S56" s="31">
        <v>0</v>
      </c>
      <c r="T56" s="31">
        <v>1</v>
      </c>
      <c r="V56" s="71"/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69</v>
      </c>
      <c r="E57" s="19">
        <v>30</v>
      </c>
      <c r="F57" s="19">
        <v>39</v>
      </c>
      <c r="G57" s="19">
        <v>0</v>
      </c>
      <c r="H57" s="19">
        <v>0</v>
      </c>
      <c r="I57" s="19">
        <v>0</v>
      </c>
      <c r="J57" s="19">
        <v>0</v>
      </c>
      <c r="K57" s="19">
        <v>18</v>
      </c>
      <c r="L57" s="19">
        <v>8</v>
      </c>
      <c r="M57" s="19">
        <v>0</v>
      </c>
      <c r="N57" s="19">
        <v>0</v>
      </c>
      <c r="O57" s="19">
        <v>3</v>
      </c>
      <c r="P57" s="19">
        <v>20</v>
      </c>
      <c r="Q57" s="19">
        <v>9</v>
      </c>
      <c r="R57" s="19">
        <v>11</v>
      </c>
      <c r="S57" s="19">
        <v>0</v>
      </c>
      <c r="T57" s="19">
        <v>0</v>
      </c>
      <c r="V57" s="71"/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81</v>
      </c>
      <c r="E58" s="19">
        <v>44</v>
      </c>
      <c r="F58" s="19">
        <v>37</v>
      </c>
      <c r="G58" s="19">
        <v>0</v>
      </c>
      <c r="H58" s="19">
        <v>0</v>
      </c>
      <c r="I58" s="19">
        <v>0</v>
      </c>
      <c r="J58" s="19">
        <v>0</v>
      </c>
      <c r="K58" s="19">
        <v>28</v>
      </c>
      <c r="L58" s="19">
        <v>5</v>
      </c>
      <c r="M58" s="19">
        <v>3</v>
      </c>
      <c r="N58" s="19">
        <v>0</v>
      </c>
      <c r="O58" s="19">
        <v>6</v>
      </c>
      <c r="P58" s="19">
        <v>25</v>
      </c>
      <c r="Q58" s="19">
        <v>7</v>
      </c>
      <c r="R58" s="19">
        <v>6</v>
      </c>
      <c r="S58" s="19">
        <v>0</v>
      </c>
      <c r="T58" s="19">
        <v>1</v>
      </c>
      <c r="V58" s="71"/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10</v>
      </c>
      <c r="E59" s="31">
        <v>4</v>
      </c>
      <c r="F59" s="31">
        <v>6</v>
      </c>
      <c r="G59" s="31">
        <v>0</v>
      </c>
      <c r="H59" s="31">
        <v>0</v>
      </c>
      <c r="I59" s="31">
        <v>0</v>
      </c>
      <c r="J59" s="31">
        <v>0</v>
      </c>
      <c r="K59" s="31">
        <v>1</v>
      </c>
      <c r="L59" s="31">
        <v>2</v>
      </c>
      <c r="M59" s="31">
        <v>0</v>
      </c>
      <c r="N59" s="31">
        <v>0</v>
      </c>
      <c r="O59" s="31">
        <v>2</v>
      </c>
      <c r="P59" s="31">
        <v>4</v>
      </c>
      <c r="Q59" s="31">
        <v>1</v>
      </c>
      <c r="R59" s="31">
        <v>0</v>
      </c>
      <c r="S59" s="31">
        <v>0</v>
      </c>
      <c r="T59" s="31">
        <v>0</v>
      </c>
      <c r="V59" s="71"/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10</v>
      </c>
      <c r="E60" s="19">
        <v>4</v>
      </c>
      <c r="F60" s="19">
        <v>6</v>
      </c>
      <c r="G60" s="19">
        <v>0</v>
      </c>
      <c r="H60" s="19">
        <v>0</v>
      </c>
      <c r="I60" s="19">
        <v>0</v>
      </c>
      <c r="J60" s="19">
        <v>0</v>
      </c>
      <c r="K60" s="19">
        <v>1</v>
      </c>
      <c r="L60" s="19">
        <v>2</v>
      </c>
      <c r="M60" s="19">
        <v>0</v>
      </c>
      <c r="N60" s="19">
        <v>0</v>
      </c>
      <c r="O60" s="19">
        <v>2</v>
      </c>
      <c r="P60" s="19">
        <v>4</v>
      </c>
      <c r="Q60" s="19">
        <v>1</v>
      </c>
      <c r="R60" s="19">
        <v>0</v>
      </c>
      <c r="S60" s="19">
        <v>0</v>
      </c>
      <c r="T60" s="19">
        <v>0</v>
      </c>
      <c r="V60" s="71"/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V61" s="71"/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112</v>
      </c>
      <c r="E62" s="31">
        <v>45</v>
      </c>
      <c r="F62" s="31">
        <v>67</v>
      </c>
      <c r="G62" s="31">
        <v>0</v>
      </c>
      <c r="H62" s="31">
        <v>0</v>
      </c>
      <c r="I62" s="31">
        <v>0</v>
      </c>
      <c r="J62" s="31">
        <v>0</v>
      </c>
      <c r="K62" s="31">
        <v>32</v>
      </c>
      <c r="L62" s="31">
        <v>19</v>
      </c>
      <c r="M62" s="31">
        <v>0</v>
      </c>
      <c r="N62" s="31">
        <v>3</v>
      </c>
      <c r="O62" s="31">
        <v>12</v>
      </c>
      <c r="P62" s="31">
        <v>40</v>
      </c>
      <c r="Q62" s="31">
        <v>1</v>
      </c>
      <c r="R62" s="31">
        <v>5</v>
      </c>
      <c r="S62" s="31">
        <v>0</v>
      </c>
      <c r="T62" s="31">
        <v>0</v>
      </c>
      <c r="V62" s="71"/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103</v>
      </c>
      <c r="E63" s="19">
        <v>42</v>
      </c>
      <c r="F63" s="19">
        <v>61</v>
      </c>
      <c r="G63" s="19">
        <v>0</v>
      </c>
      <c r="H63" s="19">
        <v>0</v>
      </c>
      <c r="I63" s="19">
        <v>0</v>
      </c>
      <c r="J63" s="19">
        <v>0</v>
      </c>
      <c r="K63" s="19">
        <v>29</v>
      </c>
      <c r="L63" s="19">
        <v>17</v>
      </c>
      <c r="M63" s="19">
        <v>0</v>
      </c>
      <c r="N63" s="19">
        <v>3</v>
      </c>
      <c r="O63" s="19">
        <v>12</v>
      </c>
      <c r="P63" s="19">
        <v>36</v>
      </c>
      <c r="Q63" s="19">
        <v>1</v>
      </c>
      <c r="R63" s="19">
        <v>5</v>
      </c>
      <c r="S63" s="19">
        <v>0</v>
      </c>
      <c r="T63" s="19">
        <v>0</v>
      </c>
      <c r="V63" s="71"/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9</v>
      </c>
      <c r="E64" s="19">
        <v>3</v>
      </c>
      <c r="F64" s="19">
        <v>6</v>
      </c>
      <c r="G64" s="19">
        <v>0</v>
      </c>
      <c r="H64" s="19">
        <v>0</v>
      </c>
      <c r="I64" s="19">
        <v>0</v>
      </c>
      <c r="J64" s="19">
        <v>0</v>
      </c>
      <c r="K64" s="19">
        <v>3</v>
      </c>
      <c r="L64" s="19">
        <v>2</v>
      </c>
      <c r="M64" s="19">
        <v>0</v>
      </c>
      <c r="N64" s="19">
        <v>0</v>
      </c>
      <c r="O64" s="19">
        <v>0</v>
      </c>
      <c r="P64" s="19">
        <v>4</v>
      </c>
      <c r="Q64" s="19">
        <v>0</v>
      </c>
      <c r="R64" s="19">
        <v>0</v>
      </c>
      <c r="S64" s="19">
        <v>0</v>
      </c>
      <c r="T64" s="19">
        <v>0</v>
      </c>
      <c r="V64" s="71"/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104</v>
      </c>
      <c r="E65" s="31">
        <v>45</v>
      </c>
      <c r="F65" s="31">
        <v>59</v>
      </c>
      <c r="G65" s="31">
        <v>0</v>
      </c>
      <c r="H65" s="31">
        <v>0</v>
      </c>
      <c r="I65" s="31">
        <v>0</v>
      </c>
      <c r="J65" s="31">
        <v>0</v>
      </c>
      <c r="K65" s="31">
        <v>28</v>
      </c>
      <c r="L65" s="31">
        <v>18</v>
      </c>
      <c r="M65" s="31">
        <v>0</v>
      </c>
      <c r="N65" s="31">
        <v>1</v>
      </c>
      <c r="O65" s="31">
        <v>13</v>
      </c>
      <c r="P65" s="31">
        <v>34</v>
      </c>
      <c r="Q65" s="31">
        <v>4</v>
      </c>
      <c r="R65" s="31">
        <v>6</v>
      </c>
      <c r="S65" s="31">
        <v>0</v>
      </c>
      <c r="T65" s="31">
        <v>0</v>
      </c>
      <c r="V65" s="71"/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92</v>
      </c>
      <c r="E66" s="19">
        <v>42</v>
      </c>
      <c r="F66" s="19">
        <v>50</v>
      </c>
      <c r="G66" s="19">
        <v>0</v>
      </c>
      <c r="H66" s="19">
        <v>0</v>
      </c>
      <c r="I66" s="19">
        <v>0</v>
      </c>
      <c r="J66" s="19">
        <v>0</v>
      </c>
      <c r="K66" s="19">
        <v>27</v>
      </c>
      <c r="L66" s="19">
        <v>17</v>
      </c>
      <c r="M66" s="19">
        <v>0</v>
      </c>
      <c r="N66" s="19">
        <v>1</v>
      </c>
      <c r="O66" s="19">
        <v>12</v>
      </c>
      <c r="P66" s="19">
        <v>27</v>
      </c>
      <c r="Q66" s="19">
        <v>3</v>
      </c>
      <c r="R66" s="19">
        <v>5</v>
      </c>
      <c r="S66" s="19">
        <v>0</v>
      </c>
      <c r="T66" s="19">
        <v>0</v>
      </c>
      <c r="V66" s="71"/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12</v>
      </c>
      <c r="E67" s="19">
        <v>3</v>
      </c>
      <c r="F67" s="19">
        <v>9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1</v>
      </c>
      <c r="M67" s="19">
        <v>0</v>
      </c>
      <c r="N67" s="19">
        <v>0</v>
      </c>
      <c r="O67" s="19">
        <v>1</v>
      </c>
      <c r="P67" s="19">
        <v>7</v>
      </c>
      <c r="Q67" s="19">
        <v>1</v>
      </c>
      <c r="R67" s="19">
        <v>1</v>
      </c>
      <c r="S67" s="19">
        <v>0</v>
      </c>
      <c r="T67" s="19">
        <v>0</v>
      </c>
      <c r="V67" s="71"/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58</v>
      </c>
      <c r="E68" s="31">
        <v>27</v>
      </c>
      <c r="F68" s="31">
        <v>31</v>
      </c>
      <c r="G68" s="31">
        <v>0</v>
      </c>
      <c r="H68" s="31">
        <v>0</v>
      </c>
      <c r="I68" s="31">
        <v>0</v>
      </c>
      <c r="J68" s="31">
        <v>0</v>
      </c>
      <c r="K68" s="31">
        <v>17</v>
      </c>
      <c r="L68" s="31">
        <v>6</v>
      </c>
      <c r="M68" s="31">
        <v>0</v>
      </c>
      <c r="N68" s="31">
        <v>0</v>
      </c>
      <c r="O68" s="31">
        <v>3</v>
      </c>
      <c r="P68" s="31">
        <v>13</v>
      </c>
      <c r="Q68" s="31">
        <v>7</v>
      </c>
      <c r="R68" s="31">
        <v>12</v>
      </c>
      <c r="S68" s="31">
        <v>0</v>
      </c>
      <c r="T68" s="31">
        <v>0</v>
      </c>
      <c r="V68" s="71"/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58</v>
      </c>
      <c r="E69" s="19">
        <v>27</v>
      </c>
      <c r="F69" s="19">
        <v>31</v>
      </c>
      <c r="G69" s="19">
        <v>0</v>
      </c>
      <c r="H69" s="19">
        <v>0</v>
      </c>
      <c r="I69" s="19">
        <v>0</v>
      </c>
      <c r="J69" s="19">
        <v>0</v>
      </c>
      <c r="K69" s="19">
        <v>17</v>
      </c>
      <c r="L69" s="19">
        <v>6</v>
      </c>
      <c r="M69" s="19">
        <v>0</v>
      </c>
      <c r="N69" s="19">
        <v>0</v>
      </c>
      <c r="O69" s="19">
        <v>3</v>
      </c>
      <c r="P69" s="19">
        <v>13</v>
      </c>
      <c r="Q69" s="19">
        <v>7</v>
      </c>
      <c r="R69" s="19">
        <v>12</v>
      </c>
      <c r="S69" s="19">
        <v>0</v>
      </c>
      <c r="T69" s="19">
        <v>0</v>
      </c>
      <c r="V69" s="71"/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V70" s="71"/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18</v>
      </c>
      <c r="E71" s="31">
        <v>12</v>
      </c>
      <c r="F71" s="31">
        <v>6</v>
      </c>
      <c r="G71" s="31">
        <v>0</v>
      </c>
      <c r="H71" s="31">
        <v>0</v>
      </c>
      <c r="I71" s="31">
        <v>0</v>
      </c>
      <c r="J71" s="31">
        <v>0</v>
      </c>
      <c r="K71" s="31">
        <v>11</v>
      </c>
      <c r="L71" s="31">
        <v>2</v>
      </c>
      <c r="M71" s="31">
        <v>0</v>
      </c>
      <c r="N71" s="31">
        <v>0</v>
      </c>
      <c r="O71" s="31">
        <v>0</v>
      </c>
      <c r="P71" s="31">
        <v>4</v>
      </c>
      <c r="Q71" s="31">
        <v>1</v>
      </c>
      <c r="R71" s="31">
        <v>0</v>
      </c>
      <c r="S71" s="31">
        <v>0</v>
      </c>
      <c r="T71" s="31">
        <v>0</v>
      </c>
      <c r="V71" s="71"/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18</v>
      </c>
      <c r="E72" s="19">
        <v>12</v>
      </c>
      <c r="F72" s="19">
        <v>6</v>
      </c>
      <c r="G72" s="19">
        <v>0</v>
      </c>
      <c r="H72" s="19">
        <v>0</v>
      </c>
      <c r="I72" s="19">
        <v>0</v>
      </c>
      <c r="J72" s="19">
        <v>0</v>
      </c>
      <c r="K72" s="19">
        <v>11</v>
      </c>
      <c r="L72" s="19">
        <v>2</v>
      </c>
      <c r="M72" s="19">
        <v>0</v>
      </c>
      <c r="N72" s="19">
        <v>0</v>
      </c>
      <c r="O72" s="19">
        <v>0</v>
      </c>
      <c r="P72" s="19">
        <v>4</v>
      </c>
      <c r="Q72" s="19">
        <v>1</v>
      </c>
      <c r="R72" s="19">
        <v>0</v>
      </c>
      <c r="S72" s="19">
        <v>0</v>
      </c>
      <c r="T72" s="19">
        <v>0</v>
      </c>
      <c r="V72" s="71"/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V73" s="71"/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3</v>
      </c>
      <c r="E74" s="31">
        <v>2</v>
      </c>
      <c r="F74" s="31">
        <v>1</v>
      </c>
      <c r="G74" s="31">
        <v>0</v>
      </c>
      <c r="H74" s="31">
        <v>0</v>
      </c>
      <c r="I74" s="31">
        <v>0</v>
      </c>
      <c r="J74" s="31">
        <v>0</v>
      </c>
      <c r="K74" s="31">
        <v>2</v>
      </c>
      <c r="L74" s="31">
        <v>0</v>
      </c>
      <c r="M74" s="31">
        <v>0</v>
      </c>
      <c r="N74" s="31">
        <v>1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V74" s="71"/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3</v>
      </c>
      <c r="E75" s="19">
        <v>2</v>
      </c>
      <c r="F75" s="19">
        <v>1</v>
      </c>
      <c r="G75" s="19">
        <v>0</v>
      </c>
      <c r="H75" s="19">
        <v>0</v>
      </c>
      <c r="I75" s="19">
        <v>0</v>
      </c>
      <c r="J75" s="19">
        <v>0</v>
      </c>
      <c r="K75" s="19">
        <v>2</v>
      </c>
      <c r="L75" s="19">
        <v>0</v>
      </c>
      <c r="M75" s="19">
        <v>0</v>
      </c>
      <c r="N75" s="19">
        <v>1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V75" s="71"/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V76" s="71"/>
    </row>
    <row r="77" spans="1:22" ht="14.25" customHeight="1" x14ac:dyDescent="0.2">
      <c r="A77" s="6" t="s">
        <v>28</v>
      </c>
    </row>
    <row r="78" spans="1:22" ht="14.25" customHeight="1" x14ac:dyDescent="0.2">
      <c r="A78" s="40" t="s">
        <v>29</v>
      </c>
    </row>
    <row r="79" spans="1:22" ht="14.25" customHeight="1" x14ac:dyDescent="0.2">
      <c r="A79" s="66" t="s">
        <v>173</v>
      </c>
    </row>
    <row r="81" spans="1:23" s="79" customFormat="1" ht="18" hidden="1" customHeight="1" x14ac:dyDescent="0.2">
      <c r="A81" s="75" t="s">
        <v>149</v>
      </c>
      <c r="B81" s="76" t="s">
        <v>150</v>
      </c>
      <c r="C81" s="77" t="s">
        <v>36</v>
      </c>
      <c r="D81" s="78">
        <v>5352</v>
      </c>
      <c r="E81" s="78">
        <v>2421</v>
      </c>
      <c r="F81" s="78">
        <v>2931</v>
      </c>
      <c r="G81" s="78">
        <v>2</v>
      </c>
      <c r="H81" s="78">
        <v>4</v>
      </c>
      <c r="I81" s="78">
        <v>2</v>
      </c>
      <c r="J81" s="78">
        <v>0</v>
      </c>
      <c r="K81" s="78">
        <v>1714</v>
      </c>
      <c r="L81" s="78">
        <v>1112</v>
      </c>
      <c r="M81" s="78">
        <v>96</v>
      </c>
      <c r="N81" s="78">
        <v>107</v>
      </c>
      <c r="O81" s="78">
        <v>274</v>
      </c>
      <c r="P81" s="78">
        <v>1454</v>
      </c>
      <c r="Q81" s="78">
        <v>317</v>
      </c>
      <c r="R81" s="78">
        <v>237</v>
      </c>
      <c r="S81" s="78">
        <v>16</v>
      </c>
      <c r="T81" s="78">
        <v>17</v>
      </c>
      <c r="V81" s="83"/>
      <c r="W81" s="83"/>
    </row>
    <row r="82" spans="1:23" s="79" customFormat="1" ht="14.25" hidden="1" customHeight="1" x14ac:dyDescent="0.2">
      <c r="A82" s="111" t="s">
        <v>36</v>
      </c>
      <c r="B82" s="80" t="s">
        <v>151</v>
      </c>
      <c r="C82" s="81" t="s">
        <v>38</v>
      </c>
      <c r="D82" s="82">
        <v>4867</v>
      </c>
      <c r="E82" s="82">
        <v>2222</v>
      </c>
      <c r="F82" s="82">
        <v>2645</v>
      </c>
      <c r="G82" s="82">
        <v>2</v>
      </c>
      <c r="H82" s="82">
        <v>4</v>
      </c>
      <c r="I82" s="82">
        <v>2</v>
      </c>
      <c r="J82" s="82">
        <v>0</v>
      </c>
      <c r="K82" s="82">
        <v>1579</v>
      </c>
      <c r="L82" s="82">
        <v>1024</v>
      </c>
      <c r="M82" s="82">
        <v>89</v>
      </c>
      <c r="N82" s="82">
        <v>101</v>
      </c>
      <c r="O82" s="82">
        <v>251</v>
      </c>
      <c r="P82" s="82">
        <v>1291</v>
      </c>
      <c r="Q82" s="82">
        <v>283</v>
      </c>
      <c r="R82" s="82">
        <v>211</v>
      </c>
      <c r="S82" s="82">
        <v>16</v>
      </c>
      <c r="T82" s="82">
        <v>14</v>
      </c>
      <c r="V82" s="83"/>
    </row>
    <row r="83" spans="1:23" s="79" customFormat="1" ht="14.25" hidden="1" customHeight="1" x14ac:dyDescent="0.2">
      <c r="A83" s="111"/>
      <c r="B83" s="80" t="s">
        <v>152</v>
      </c>
      <c r="C83" s="81" t="s">
        <v>163</v>
      </c>
      <c r="D83" s="82">
        <v>485</v>
      </c>
      <c r="E83" s="82">
        <v>199</v>
      </c>
      <c r="F83" s="82">
        <v>286</v>
      </c>
      <c r="G83" s="82">
        <v>0</v>
      </c>
      <c r="H83" s="82">
        <v>0</v>
      </c>
      <c r="I83" s="82">
        <v>0</v>
      </c>
      <c r="J83" s="82">
        <v>0</v>
      </c>
      <c r="K83" s="82">
        <v>135</v>
      </c>
      <c r="L83" s="82">
        <v>88</v>
      </c>
      <c r="M83" s="82">
        <v>7</v>
      </c>
      <c r="N83" s="82">
        <v>6</v>
      </c>
      <c r="O83" s="82">
        <v>23</v>
      </c>
      <c r="P83" s="82">
        <v>163</v>
      </c>
      <c r="Q83" s="82">
        <v>34</v>
      </c>
      <c r="R83" s="82">
        <v>26</v>
      </c>
      <c r="S83" s="82">
        <v>0</v>
      </c>
      <c r="T83" s="82">
        <v>3</v>
      </c>
      <c r="V83" s="83"/>
    </row>
    <row r="84" spans="1:23" s="32" customFormat="1" ht="14.25" hidden="1" customHeight="1" x14ac:dyDescent="0.2">
      <c r="A84" s="35" t="s">
        <v>40</v>
      </c>
      <c r="B84" s="29" t="s">
        <v>35</v>
      </c>
      <c r="C84" s="30" t="s">
        <v>36</v>
      </c>
      <c r="D84" s="31">
        <v>1151</v>
      </c>
      <c r="E84" s="31">
        <v>500</v>
      </c>
      <c r="F84" s="31">
        <v>651</v>
      </c>
      <c r="G84" s="31">
        <v>0</v>
      </c>
      <c r="H84" s="31">
        <v>0</v>
      </c>
      <c r="I84" s="31">
        <v>1</v>
      </c>
      <c r="J84" s="31">
        <v>0</v>
      </c>
      <c r="K84" s="31">
        <v>368</v>
      </c>
      <c r="L84" s="31">
        <v>270</v>
      </c>
      <c r="M84" s="31">
        <v>34</v>
      </c>
      <c r="N84" s="31">
        <v>32</v>
      </c>
      <c r="O84" s="31">
        <v>51</v>
      </c>
      <c r="P84" s="31">
        <v>320</v>
      </c>
      <c r="Q84" s="31">
        <v>40</v>
      </c>
      <c r="R84" s="31">
        <v>25</v>
      </c>
      <c r="S84" s="31">
        <v>6</v>
      </c>
      <c r="T84" s="31">
        <v>4</v>
      </c>
      <c r="V84" s="71"/>
    </row>
    <row r="85" spans="1:23" s="32" customFormat="1" ht="14.25" hidden="1" customHeight="1" x14ac:dyDescent="0.2">
      <c r="A85" s="108" t="s">
        <v>41</v>
      </c>
      <c r="B85" s="33" t="s">
        <v>37</v>
      </c>
      <c r="C85" s="34" t="s">
        <v>38</v>
      </c>
      <c r="D85" s="19">
        <v>1095</v>
      </c>
      <c r="E85" s="19">
        <v>480</v>
      </c>
      <c r="F85" s="19">
        <v>615</v>
      </c>
      <c r="G85" s="19">
        <v>0</v>
      </c>
      <c r="H85" s="19">
        <v>0</v>
      </c>
      <c r="I85" s="19">
        <v>1</v>
      </c>
      <c r="J85" s="19">
        <v>0</v>
      </c>
      <c r="K85" s="19">
        <v>353</v>
      </c>
      <c r="L85" s="19">
        <v>249</v>
      </c>
      <c r="M85" s="19">
        <v>33</v>
      </c>
      <c r="N85" s="19">
        <v>29</v>
      </c>
      <c r="O85" s="19">
        <v>48</v>
      </c>
      <c r="P85" s="19">
        <v>309</v>
      </c>
      <c r="Q85" s="19">
        <v>39</v>
      </c>
      <c r="R85" s="19">
        <v>24</v>
      </c>
      <c r="S85" s="19">
        <v>6</v>
      </c>
      <c r="T85" s="19">
        <v>4</v>
      </c>
      <c r="V85" s="71"/>
    </row>
    <row r="86" spans="1:23" s="32" customFormat="1" ht="14.25" hidden="1" customHeight="1" x14ac:dyDescent="0.2">
      <c r="A86" s="108"/>
      <c r="B86" s="33" t="s">
        <v>39</v>
      </c>
      <c r="C86" s="34" t="s">
        <v>163</v>
      </c>
      <c r="D86" s="19">
        <v>56</v>
      </c>
      <c r="E86" s="19">
        <v>20</v>
      </c>
      <c r="F86" s="19">
        <v>36</v>
      </c>
      <c r="G86" s="19">
        <v>0</v>
      </c>
      <c r="H86" s="19">
        <v>0</v>
      </c>
      <c r="I86" s="19">
        <v>0</v>
      </c>
      <c r="J86" s="19">
        <v>0</v>
      </c>
      <c r="K86" s="19">
        <v>15</v>
      </c>
      <c r="L86" s="19">
        <v>21</v>
      </c>
      <c r="M86" s="19">
        <v>1</v>
      </c>
      <c r="N86" s="19">
        <v>3</v>
      </c>
      <c r="O86" s="19">
        <v>3</v>
      </c>
      <c r="P86" s="19">
        <v>11</v>
      </c>
      <c r="Q86" s="19">
        <v>1</v>
      </c>
      <c r="R86" s="19">
        <v>1</v>
      </c>
      <c r="S86" s="19">
        <v>0</v>
      </c>
      <c r="T86" s="19">
        <v>0</v>
      </c>
      <c r="V86" s="71"/>
    </row>
    <row r="87" spans="1:23" s="32" customFormat="1" ht="14.25" hidden="1" customHeight="1" x14ac:dyDescent="0.2">
      <c r="A87" s="35" t="s">
        <v>42</v>
      </c>
      <c r="B87" s="29" t="s">
        <v>35</v>
      </c>
      <c r="C87" s="30" t="s">
        <v>36</v>
      </c>
      <c r="D87" s="31">
        <v>519</v>
      </c>
      <c r="E87" s="31">
        <v>263</v>
      </c>
      <c r="F87" s="31">
        <v>256</v>
      </c>
      <c r="G87" s="31">
        <v>0</v>
      </c>
      <c r="H87" s="31">
        <v>1</v>
      </c>
      <c r="I87" s="31">
        <v>0</v>
      </c>
      <c r="J87" s="31">
        <v>0</v>
      </c>
      <c r="K87" s="31">
        <v>177</v>
      </c>
      <c r="L87" s="31">
        <v>105</v>
      </c>
      <c r="M87" s="31">
        <v>4</v>
      </c>
      <c r="N87" s="31">
        <v>8</v>
      </c>
      <c r="O87" s="31">
        <v>37</v>
      </c>
      <c r="P87" s="31">
        <v>119</v>
      </c>
      <c r="Q87" s="31">
        <v>43</v>
      </c>
      <c r="R87" s="31">
        <v>20</v>
      </c>
      <c r="S87" s="31">
        <v>2</v>
      </c>
      <c r="T87" s="31">
        <v>3</v>
      </c>
      <c r="V87" s="71"/>
    </row>
    <row r="88" spans="1:23" s="32" customFormat="1" ht="14.25" hidden="1" customHeight="1" x14ac:dyDescent="0.2">
      <c r="A88" s="108" t="s">
        <v>43</v>
      </c>
      <c r="B88" s="33" t="s">
        <v>37</v>
      </c>
      <c r="C88" s="34" t="s">
        <v>38</v>
      </c>
      <c r="D88" s="19">
        <v>510</v>
      </c>
      <c r="E88" s="19">
        <v>258</v>
      </c>
      <c r="F88" s="19">
        <v>252</v>
      </c>
      <c r="G88" s="19">
        <v>0</v>
      </c>
      <c r="H88" s="19">
        <v>1</v>
      </c>
      <c r="I88" s="19">
        <v>0</v>
      </c>
      <c r="J88" s="19">
        <v>0</v>
      </c>
      <c r="K88" s="19">
        <v>173</v>
      </c>
      <c r="L88" s="19">
        <v>104</v>
      </c>
      <c r="M88" s="19">
        <v>4</v>
      </c>
      <c r="N88" s="19">
        <v>8</v>
      </c>
      <c r="O88" s="19">
        <v>37</v>
      </c>
      <c r="P88" s="19">
        <v>117</v>
      </c>
      <c r="Q88" s="19">
        <v>42</v>
      </c>
      <c r="R88" s="19">
        <v>19</v>
      </c>
      <c r="S88" s="19">
        <v>2</v>
      </c>
      <c r="T88" s="19">
        <v>3</v>
      </c>
      <c r="V88" s="71"/>
    </row>
    <row r="89" spans="1:23" s="32" customFormat="1" ht="14.25" hidden="1" customHeight="1" x14ac:dyDescent="0.2">
      <c r="A89" s="108"/>
      <c r="B89" s="36" t="s">
        <v>39</v>
      </c>
      <c r="C89" s="37" t="s">
        <v>163</v>
      </c>
      <c r="D89" s="19">
        <v>9</v>
      </c>
      <c r="E89" s="19">
        <v>5</v>
      </c>
      <c r="F89" s="19">
        <v>4</v>
      </c>
      <c r="G89" s="19">
        <v>0</v>
      </c>
      <c r="H89" s="19">
        <v>0</v>
      </c>
      <c r="I89" s="19">
        <v>0</v>
      </c>
      <c r="J89" s="19">
        <v>0</v>
      </c>
      <c r="K89" s="19">
        <v>4</v>
      </c>
      <c r="L89" s="19">
        <v>1</v>
      </c>
      <c r="M89" s="19">
        <v>0</v>
      </c>
      <c r="N89" s="19">
        <v>0</v>
      </c>
      <c r="O89" s="19">
        <v>0</v>
      </c>
      <c r="P89" s="19">
        <v>2</v>
      </c>
      <c r="Q89" s="19">
        <v>1</v>
      </c>
      <c r="R89" s="19">
        <v>1</v>
      </c>
      <c r="S89" s="19">
        <v>0</v>
      </c>
      <c r="T89" s="19">
        <v>0</v>
      </c>
      <c r="V89" s="71"/>
    </row>
    <row r="90" spans="1:23" s="32" customFormat="1" ht="14.25" hidden="1" customHeight="1" x14ac:dyDescent="0.2">
      <c r="A90" s="35" t="s">
        <v>44</v>
      </c>
      <c r="B90" s="29" t="s">
        <v>35</v>
      </c>
      <c r="C90" s="30" t="s">
        <v>36</v>
      </c>
      <c r="D90" s="31">
        <v>424</v>
      </c>
      <c r="E90" s="31">
        <v>200</v>
      </c>
      <c r="F90" s="31">
        <v>224</v>
      </c>
      <c r="G90" s="31">
        <v>0</v>
      </c>
      <c r="H90" s="31">
        <v>1</v>
      </c>
      <c r="I90" s="31">
        <v>0</v>
      </c>
      <c r="J90" s="31">
        <v>0</v>
      </c>
      <c r="K90" s="31">
        <v>164</v>
      </c>
      <c r="L90" s="31">
        <v>101</v>
      </c>
      <c r="M90" s="31">
        <v>1</v>
      </c>
      <c r="N90" s="31">
        <v>0</v>
      </c>
      <c r="O90" s="31">
        <v>18</v>
      </c>
      <c r="P90" s="31">
        <v>114</v>
      </c>
      <c r="Q90" s="31">
        <v>17</v>
      </c>
      <c r="R90" s="31">
        <v>8</v>
      </c>
      <c r="S90" s="31">
        <v>0</v>
      </c>
      <c r="T90" s="31">
        <v>0</v>
      </c>
      <c r="V90" s="71"/>
    </row>
    <row r="91" spans="1:23" s="32" customFormat="1" ht="14.25" hidden="1" customHeight="1" x14ac:dyDescent="0.2">
      <c r="A91" s="108" t="s">
        <v>45</v>
      </c>
      <c r="B91" s="33" t="s">
        <v>37</v>
      </c>
      <c r="C91" s="34" t="s">
        <v>38</v>
      </c>
      <c r="D91" s="19">
        <v>363</v>
      </c>
      <c r="E91" s="19">
        <v>172</v>
      </c>
      <c r="F91" s="19">
        <v>191</v>
      </c>
      <c r="G91" s="19">
        <v>0</v>
      </c>
      <c r="H91" s="19">
        <v>1</v>
      </c>
      <c r="I91" s="19">
        <v>0</v>
      </c>
      <c r="J91" s="19">
        <v>0</v>
      </c>
      <c r="K91" s="19">
        <v>142</v>
      </c>
      <c r="L91" s="19">
        <v>89</v>
      </c>
      <c r="M91" s="19">
        <v>1</v>
      </c>
      <c r="N91" s="19">
        <v>0</v>
      </c>
      <c r="O91" s="19">
        <v>16</v>
      </c>
      <c r="P91" s="19">
        <v>94</v>
      </c>
      <c r="Q91" s="19">
        <v>13</v>
      </c>
      <c r="R91" s="19">
        <v>7</v>
      </c>
      <c r="S91" s="19">
        <v>0</v>
      </c>
      <c r="T91" s="19">
        <v>0</v>
      </c>
      <c r="V91" s="71"/>
    </row>
    <row r="92" spans="1:23" s="32" customFormat="1" ht="14.25" hidden="1" customHeight="1" x14ac:dyDescent="0.2">
      <c r="A92" s="108"/>
      <c r="B92" s="36" t="s">
        <v>39</v>
      </c>
      <c r="C92" s="37" t="s">
        <v>163</v>
      </c>
      <c r="D92" s="19">
        <v>61</v>
      </c>
      <c r="E92" s="19">
        <v>28</v>
      </c>
      <c r="F92" s="19">
        <v>33</v>
      </c>
      <c r="G92" s="19">
        <v>0</v>
      </c>
      <c r="H92" s="19">
        <v>0</v>
      </c>
      <c r="I92" s="19">
        <v>0</v>
      </c>
      <c r="J92" s="19">
        <v>0</v>
      </c>
      <c r="K92" s="19">
        <v>22</v>
      </c>
      <c r="L92" s="19">
        <v>12</v>
      </c>
      <c r="M92" s="19">
        <v>0</v>
      </c>
      <c r="N92" s="19">
        <v>0</v>
      </c>
      <c r="O92" s="19">
        <v>2</v>
      </c>
      <c r="P92" s="19">
        <v>20</v>
      </c>
      <c r="Q92" s="19">
        <v>4</v>
      </c>
      <c r="R92" s="19">
        <v>1</v>
      </c>
      <c r="S92" s="19">
        <v>0</v>
      </c>
      <c r="T92" s="19">
        <v>0</v>
      </c>
      <c r="V92" s="71"/>
    </row>
    <row r="93" spans="1:23" s="32" customFormat="1" ht="14.25" hidden="1" customHeight="1" x14ac:dyDescent="0.2">
      <c r="A93" s="35" t="s">
        <v>46</v>
      </c>
      <c r="B93" s="29" t="s">
        <v>35</v>
      </c>
      <c r="C93" s="30" t="s">
        <v>36</v>
      </c>
      <c r="D93" s="31">
        <v>709</v>
      </c>
      <c r="E93" s="31">
        <v>358</v>
      </c>
      <c r="F93" s="31">
        <v>351</v>
      </c>
      <c r="G93" s="31">
        <v>0</v>
      </c>
      <c r="H93" s="31">
        <v>0</v>
      </c>
      <c r="I93" s="31">
        <v>0</v>
      </c>
      <c r="J93" s="31">
        <v>0</v>
      </c>
      <c r="K93" s="31">
        <v>289</v>
      </c>
      <c r="L93" s="31">
        <v>163</v>
      </c>
      <c r="M93" s="31">
        <v>15</v>
      </c>
      <c r="N93" s="31">
        <v>7</v>
      </c>
      <c r="O93" s="31">
        <v>34</v>
      </c>
      <c r="P93" s="31">
        <v>165</v>
      </c>
      <c r="Q93" s="31">
        <v>19</v>
      </c>
      <c r="R93" s="31">
        <v>16</v>
      </c>
      <c r="S93" s="31">
        <v>1</v>
      </c>
      <c r="T93" s="31">
        <v>0</v>
      </c>
      <c r="V93" s="71"/>
    </row>
    <row r="94" spans="1:23" s="32" customFormat="1" ht="14.25" hidden="1" customHeight="1" x14ac:dyDescent="0.2">
      <c r="A94" s="108" t="s">
        <v>47</v>
      </c>
      <c r="B94" s="33" t="s">
        <v>37</v>
      </c>
      <c r="C94" s="34" t="s">
        <v>38</v>
      </c>
      <c r="D94" s="19">
        <v>658</v>
      </c>
      <c r="E94" s="19">
        <v>330</v>
      </c>
      <c r="F94" s="19">
        <v>328</v>
      </c>
      <c r="G94" s="19">
        <v>0</v>
      </c>
      <c r="H94" s="19">
        <v>0</v>
      </c>
      <c r="I94" s="19">
        <v>0</v>
      </c>
      <c r="J94" s="19">
        <v>0</v>
      </c>
      <c r="K94" s="19">
        <v>272</v>
      </c>
      <c r="L94" s="19">
        <v>154</v>
      </c>
      <c r="M94" s="19">
        <v>14</v>
      </c>
      <c r="N94" s="19">
        <v>6</v>
      </c>
      <c r="O94" s="19">
        <v>29</v>
      </c>
      <c r="P94" s="19">
        <v>155</v>
      </c>
      <c r="Q94" s="19">
        <v>14</v>
      </c>
      <c r="R94" s="19">
        <v>13</v>
      </c>
      <c r="S94" s="19">
        <v>1</v>
      </c>
      <c r="T94" s="19">
        <v>0</v>
      </c>
      <c r="V94" s="71"/>
    </row>
    <row r="95" spans="1:23" s="32" customFormat="1" ht="14.25" hidden="1" customHeight="1" x14ac:dyDescent="0.2">
      <c r="A95" s="108"/>
      <c r="B95" s="36" t="s">
        <v>39</v>
      </c>
      <c r="C95" s="37" t="s">
        <v>163</v>
      </c>
      <c r="D95" s="19">
        <v>51</v>
      </c>
      <c r="E95" s="19">
        <v>28</v>
      </c>
      <c r="F95" s="19">
        <v>23</v>
      </c>
      <c r="G95" s="19">
        <v>0</v>
      </c>
      <c r="H95" s="19">
        <v>0</v>
      </c>
      <c r="I95" s="19">
        <v>0</v>
      </c>
      <c r="J95" s="19">
        <v>0</v>
      </c>
      <c r="K95" s="19">
        <v>17</v>
      </c>
      <c r="L95" s="19">
        <v>9</v>
      </c>
      <c r="M95" s="19">
        <v>1</v>
      </c>
      <c r="N95" s="19">
        <v>1</v>
      </c>
      <c r="O95" s="19">
        <v>5</v>
      </c>
      <c r="P95" s="19">
        <v>10</v>
      </c>
      <c r="Q95" s="19">
        <v>5</v>
      </c>
      <c r="R95" s="19">
        <v>3</v>
      </c>
      <c r="S95" s="19">
        <v>0</v>
      </c>
      <c r="T95" s="19">
        <v>0</v>
      </c>
      <c r="V95" s="71"/>
    </row>
    <row r="96" spans="1:23" s="32" customFormat="1" ht="14.25" hidden="1" customHeight="1" x14ac:dyDescent="0.2">
      <c r="A96" s="35" t="s">
        <v>48</v>
      </c>
      <c r="B96" s="29" t="s">
        <v>35</v>
      </c>
      <c r="C96" s="30" t="s">
        <v>36</v>
      </c>
      <c r="D96" s="31">
        <v>319</v>
      </c>
      <c r="E96" s="31">
        <v>164</v>
      </c>
      <c r="F96" s="31">
        <v>155</v>
      </c>
      <c r="G96" s="31">
        <v>0</v>
      </c>
      <c r="H96" s="31">
        <v>1</v>
      </c>
      <c r="I96" s="31">
        <v>1</v>
      </c>
      <c r="J96" s="31">
        <v>0</v>
      </c>
      <c r="K96" s="31">
        <v>97</v>
      </c>
      <c r="L96" s="31">
        <v>47</v>
      </c>
      <c r="M96" s="31">
        <v>6</v>
      </c>
      <c r="N96" s="31">
        <v>15</v>
      </c>
      <c r="O96" s="31">
        <v>16</v>
      </c>
      <c r="P96" s="31">
        <v>66</v>
      </c>
      <c r="Q96" s="31">
        <v>43</v>
      </c>
      <c r="R96" s="31">
        <v>26</v>
      </c>
      <c r="S96" s="31">
        <v>1</v>
      </c>
      <c r="T96" s="31">
        <v>0</v>
      </c>
      <c r="V96" s="71"/>
    </row>
    <row r="97" spans="1:22" s="32" customFormat="1" ht="14.25" hidden="1" customHeight="1" x14ac:dyDescent="0.2">
      <c r="A97" s="108" t="s">
        <v>49</v>
      </c>
      <c r="B97" s="33" t="s">
        <v>37</v>
      </c>
      <c r="C97" s="34" t="s">
        <v>38</v>
      </c>
      <c r="D97" s="19">
        <v>304</v>
      </c>
      <c r="E97" s="19">
        <v>153</v>
      </c>
      <c r="F97" s="19">
        <v>151</v>
      </c>
      <c r="G97" s="19">
        <v>0</v>
      </c>
      <c r="H97" s="19">
        <v>1</v>
      </c>
      <c r="I97" s="19">
        <v>1</v>
      </c>
      <c r="J97" s="19">
        <v>0</v>
      </c>
      <c r="K97" s="19">
        <v>92</v>
      </c>
      <c r="L97" s="19">
        <v>45</v>
      </c>
      <c r="M97" s="19">
        <v>6</v>
      </c>
      <c r="N97" s="19">
        <v>15</v>
      </c>
      <c r="O97" s="19">
        <v>16</v>
      </c>
      <c r="P97" s="19">
        <v>64</v>
      </c>
      <c r="Q97" s="19">
        <v>37</v>
      </c>
      <c r="R97" s="19">
        <v>26</v>
      </c>
      <c r="S97" s="19">
        <v>1</v>
      </c>
      <c r="T97" s="19">
        <v>0</v>
      </c>
      <c r="V97" s="71"/>
    </row>
    <row r="98" spans="1:22" s="32" customFormat="1" ht="14.25" hidden="1" customHeight="1" x14ac:dyDescent="0.2">
      <c r="A98" s="108"/>
      <c r="B98" s="36" t="s">
        <v>39</v>
      </c>
      <c r="C98" s="37" t="s">
        <v>163</v>
      </c>
      <c r="D98" s="19">
        <v>15</v>
      </c>
      <c r="E98" s="19">
        <v>11</v>
      </c>
      <c r="F98" s="19">
        <v>4</v>
      </c>
      <c r="G98" s="19">
        <v>0</v>
      </c>
      <c r="H98" s="19">
        <v>0</v>
      </c>
      <c r="I98" s="19">
        <v>0</v>
      </c>
      <c r="J98" s="19">
        <v>0</v>
      </c>
      <c r="K98" s="19">
        <v>5</v>
      </c>
      <c r="L98" s="19">
        <v>2</v>
      </c>
      <c r="M98" s="19">
        <v>0</v>
      </c>
      <c r="N98" s="19">
        <v>0</v>
      </c>
      <c r="O98" s="19">
        <v>0</v>
      </c>
      <c r="P98" s="19">
        <v>2</v>
      </c>
      <c r="Q98" s="19">
        <v>6</v>
      </c>
      <c r="R98" s="19">
        <v>0</v>
      </c>
      <c r="S98" s="19">
        <v>0</v>
      </c>
      <c r="T98" s="19">
        <v>0</v>
      </c>
      <c r="V98" s="71"/>
    </row>
    <row r="99" spans="1:22" s="32" customFormat="1" ht="14.25" hidden="1" customHeight="1" x14ac:dyDescent="0.2">
      <c r="A99" s="35" t="s">
        <v>50</v>
      </c>
      <c r="B99" s="29" t="s">
        <v>35</v>
      </c>
      <c r="C99" s="30" t="s">
        <v>36</v>
      </c>
      <c r="D99" s="31">
        <v>682</v>
      </c>
      <c r="E99" s="31">
        <v>316</v>
      </c>
      <c r="F99" s="31">
        <v>366</v>
      </c>
      <c r="G99" s="31">
        <v>0</v>
      </c>
      <c r="H99" s="31">
        <v>0</v>
      </c>
      <c r="I99" s="31">
        <v>0</v>
      </c>
      <c r="J99" s="31">
        <v>0</v>
      </c>
      <c r="K99" s="31">
        <v>230</v>
      </c>
      <c r="L99" s="31">
        <v>144</v>
      </c>
      <c r="M99" s="31">
        <v>13</v>
      </c>
      <c r="N99" s="31">
        <v>11</v>
      </c>
      <c r="O99" s="31">
        <v>15</v>
      </c>
      <c r="P99" s="31">
        <v>174</v>
      </c>
      <c r="Q99" s="31">
        <v>56</v>
      </c>
      <c r="R99" s="31">
        <v>32</v>
      </c>
      <c r="S99" s="31">
        <v>2</v>
      </c>
      <c r="T99" s="31">
        <v>5</v>
      </c>
      <c r="V99" s="71"/>
    </row>
    <row r="100" spans="1:22" s="32" customFormat="1" ht="14.25" hidden="1" customHeight="1" x14ac:dyDescent="0.2">
      <c r="A100" s="108" t="s">
        <v>51</v>
      </c>
      <c r="B100" s="33" t="s">
        <v>37</v>
      </c>
      <c r="C100" s="34" t="s">
        <v>38</v>
      </c>
      <c r="D100" s="19">
        <v>636</v>
      </c>
      <c r="E100" s="19">
        <v>297</v>
      </c>
      <c r="F100" s="19">
        <v>339</v>
      </c>
      <c r="G100" s="19">
        <v>0</v>
      </c>
      <c r="H100" s="19">
        <v>0</v>
      </c>
      <c r="I100" s="19">
        <v>0</v>
      </c>
      <c r="J100" s="19">
        <v>0</v>
      </c>
      <c r="K100" s="19">
        <v>214</v>
      </c>
      <c r="L100" s="19">
        <v>135</v>
      </c>
      <c r="M100" s="19">
        <v>12</v>
      </c>
      <c r="N100" s="19">
        <v>11</v>
      </c>
      <c r="O100" s="19">
        <v>15</v>
      </c>
      <c r="P100" s="19">
        <v>159</v>
      </c>
      <c r="Q100" s="19">
        <v>54</v>
      </c>
      <c r="R100" s="19">
        <v>29</v>
      </c>
      <c r="S100" s="19">
        <v>2</v>
      </c>
      <c r="T100" s="19">
        <v>5</v>
      </c>
      <c r="V100" s="71"/>
    </row>
    <row r="101" spans="1:22" s="32" customFormat="1" ht="14.25" hidden="1" customHeight="1" x14ac:dyDescent="0.2">
      <c r="A101" s="108"/>
      <c r="B101" s="36" t="s">
        <v>39</v>
      </c>
      <c r="C101" s="37" t="s">
        <v>163</v>
      </c>
      <c r="D101" s="19">
        <v>46</v>
      </c>
      <c r="E101" s="19">
        <v>19</v>
      </c>
      <c r="F101" s="19">
        <v>27</v>
      </c>
      <c r="G101" s="19">
        <v>0</v>
      </c>
      <c r="H101" s="19">
        <v>0</v>
      </c>
      <c r="I101" s="19">
        <v>0</v>
      </c>
      <c r="J101" s="19">
        <v>0</v>
      </c>
      <c r="K101" s="19">
        <v>16</v>
      </c>
      <c r="L101" s="19">
        <v>9</v>
      </c>
      <c r="M101" s="19">
        <v>1</v>
      </c>
      <c r="N101" s="19">
        <v>0</v>
      </c>
      <c r="O101" s="19">
        <v>0</v>
      </c>
      <c r="P101" s="19">
        <v>15</v>
      </c>
      <c r="Q101" s="19">
        <v>2</v>
      </c>
      <c r="R101" s="19">
        <v>3</v>
      </c>
      <c r="S101" s="19">
        <v>0</v>
      </c>
      <c r="T101" s="19">
        <v>0</v>
      </c>
      <c r="V101" s="71"/>
    </row>
    <row r="102" spans="1:22" s="32" customFormat="1" ht="14.25" hidden="1" customHeight="1" x14ac:dyDescent="0.2">
      <c r="A102" s="38" t="s">
        <v>52</v>
      </c>
      <c r="B102" s="29" t="s">
        <v>35</v>
      </c>
      <c r="C102" s="30" t="s">
        <v>36</v>
      </c>
      <c r="D102" s="31">
        <v>35</v>
      </c>
      <c r="E102" s="31">
        <v>7</v>
      </c>
      <c r="F102" s="31">
        <v>28</v>
      </c>
      <c r="G102" s="31">
        <v>0</v>
      </c>
      <c r="H102" s="31">
        <v>0</v>
      </c>
      <c r="I102" s="31">
        <v>0</v>
      </c>
      <c r="J102" s="31">
        <v>0</v>
      </c>
      <c r="K102" s="31">
        <v>6</v>
      </c>
      <c r="L102" s="31">
        <v>10</v>
      </c>
      <c r="M102" s="31">
        <v>0</v>
      </c>
      <c r="N102" s="31">
        <v>0</v>
      </c>
      <c r="O102" s="31">
        <v>1</v>
      </c>
      <c r="P102" s="31">
        <v>17</v>
      </c>
      <c r="Q102" s="31">
        <v>0</v>
      </c>
      <c r="R102" s="31">
        <v>1</v>
      </c>
      <c r="S102" s="31">
        <v>0</v>
      </c>
      <c r="T102" s="31">
        <v>0</v>
      </c>
      <c r="V102" s="71"/>
    </row>
    <row r="103" spans="1:22" s="32" customFormat="1" ht="14.25" hidden="1" customHeight="1" x14ac:dyDescent="0.2">
      <c r="A103" s="108" t="s">
        <v>53</v>
      </c>
      <c r="B103" s="33" t="s">
        <v>37</v>
      </c>
      <c r="C103" s="34" t="s">
        <v>38</v>
      </c>
      <c r="D103" s="19">
        <v>33</v>
      </c>
      <c r="E103" s="19">
        <v>7</v>
      </c>
      <c r="F103" s="19">
        <v>26</v>
      </c>
      <c r="G103" s="19">
        <v>0</v>
      </c>
      <c r="H103" s="19">
        <v>0</v>
      </c>
      <c r="I103" s="19">
        <v>0</v>
      </c>
      <c r="J103" s="19">
        <v>0</v>
      </c>
      <c r="K103" s="19">
        <v>6</v>
      </c>
      <c r="L103" s="19">
        <v>10</v>
      </c>
      <c r="M103" s="19">
        <v>0</v>
      </c>
      <c r="N103" s="19">
        <v>0</v>
      </c>
      <c r="O103" s="19">
        <v>1</v>
      </c>
      <c r="P103" s="19">
        <v>15</v>
      </c>
      <c r="Q103" s="19">
        <v>0</v>
      </c>
      <c r="R103" s="19">
        <v>1</v>
      </c>
      <c r="S103" s="19">
        <v>0</v>
      </c>
      <c r="T103" s="19">
        <v>0</v>
      </c>
      <c r="V103" s="71"/>
    </row>
    <row r="104" spans="1:22" s="32" customFormat="1" ht="14.25" hidden="1" customHeight="1" x14ac:dyDescent="0.2">
      <c r="A104" s="108"/>
      <c r="B104" s="36" t="s">
        <v>39</v>
      </c>
      <c r="C104" s="37" t="s">
        <v>163</v>
      </c>
      <c r="D104" s="19">
        <v>2</v>
      </c>
      <c r="E104" s="19">
        <v>0</v>
      </c>
      <c r="F104" s="19">
        <v>2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2</v>
      </c>
      <c r="Q104" s="19">
        <v>0</v>
      </c>
      <c r="R104" s="19">
        <v>0</v>
      </c>
      <c r="S104" s="19">
        <v>0</v>
      </c>
      <c r="T104" s="19">
        <v>0</v>
      </c>
      <c r="V104" s="71"/>
    </row>
    <row r="105" spans="1:22" s="32" customFormat="1" ht="14.25" hidden="1" customHeight="1" x14ac:dyDescent="0.2">
      <c r="A105" s="38" t="s">
        <v>54</v>
      </c>
      <c r="B105" s="29" t="s">
        <v>35</v>
      </c>
      <c r="C105" s="30" t="s">
        <v>36</v>
      </c>
      <c r="D105" s="31">
        <v>184</v>
      </c>
      <c r="E105" s="31">
        <v>80</v>
      </c>
      <c r="F105" s="31">
        <v>104</v>
      </c>
      <c r="G105" s="31">
        <v>0</v>
      </c>
      <c r="H105" s="31">
        <v>0</v>
      </c>
      <c r="I105" s="31">
        <v>0</v>
      </c>
      <c r="J105" s="31">
        <v>0</v>
      </c>
      <c r="K105" s="31">
        <v>51</v>
      </c>
      <c r="L105" s="31">
        <v>41</v>
      </c>
      <c r="M105" s="31">
        <v>8</v>
      </c>
      <c r="N105" s="31">
        <v>11</v>
      </c>
      <c r="O105" s="31">
        <v>4</v>
      </c>
      <c r="P105" s="31">
        <v>33</v>
      </c>
      <c r="Q105" s="31">
        <v>16</v>
      </c>
      <c r="R105" s="31">
        <v>19</v>
      </c>
      <c r="S105" s="31">
        <v>1</v>
      </c>
      <c r="T105" s="31">
        <v>0</v>
      </c>
      <c r="V105" s="71"/>
    </row>
    <row r="106" spans="1:22" s="32" customFormat="1" ht="14.25" hidden="1" customHeight="1" x14ac:dyDescent="0.2">
      <c r="A106" s="108" t="s">
        <v>55</v>
      </c>
      <c r="B106" s="33" t="s">
        <v>37</v>
      </c>
      <c r="C106" s="34" t="s">
        <v>38</v>
      </c>
      <c r="D106" s="19">
        <v>148</v>
      </c>
      <c r="E106" s="19">
        <v>71</v>
      </c>
      <c r="F106" s="19">
        <v>77</v>
      </c>
      <c r="G106" s="19">
        <v>0</v>
      </c>
      <c r="H106" s="19">
        <v>0</v>
      </c>
      <c r="I106" s="19">
        <v>0</v>
      </c>
      <c r="J106" s="19">
        <v>0</v>
      </c>
      <c r="K106" s="19">
        <v>46</v>
      </c>
      <c r="L106" s="19">
        <v>31</v>
      </c>
      <c r="M106" s="19">
        <v>7</v>
      </c>
      <c r="N106" s="19">
        <v>10</v>
      </c>
      <c r="O106" s="19">
        <v>4</v>
      </c>
      <c r="P106" s="19">
        <v>24</v>
      </c>
      <c r="Q106" s="19">
        <v>13</v>
      </c>
      <c r="R106" s="19">
        <v>12</v>
      </c>
      <c r="S106" s="19">
        <v>1</v>
      </c>
      <c r="T106" s="19">
        <v>0</v>
      </c>
      <c r="V106" s="71"/>
    </row>
    <row r="107" spans="1:22" s="32" customFormat="1" ht="14.25" hidden="1" customHeight="1" x14ac:dyDescent="0.2">
      <c r="A107" s="108"/>
      <c r="B107" s="36" t="s">
        <v>39</v>
      </c>
      <c r="C107" s="37" t="s">
        <v>163</v>
      </c>
      <c r="D107" s="19">
        <v>36</v>
      </c>
      <c r="E107" s="19">
        <v>9</v>
      </c>
      <c r="F107" s="19">
        <v>27</v>
      </c>
      <c r="G107" s="19">
        <v>0</v>
      </c>
      <c r="H107" s="19">
        <v>0</v>
      </c>
      <c r="I107" s="19">
        <v>0</v>
      </c>
      <c r="J107" s="19">
        <v>0</v>
      </c>
      <c r="K107" s="19">
        <v>5</v>
      </c>
      <c r="L107" s="19">
        <v>10</v>
      </c>
      <c r="M107" s="19">
        <v>1</v>
      </c>
      <c r="N107" s="19">
        <v>1</v>
      </c>
      <c r="O107" s="19">
        <v>0</v>
      </c>
      <c r="P107" s="19">
        <v>9</v>
      </c>
      <c r="Q107" s="19">
        <v>3</v>
      </c>
      <c r="R107" s="19">
        <v>7</v>
      </c>
      <c r="S107" s="19">
        <v>0</v>
      </c>
      <c r="T107" s="19">
        <v>0</v>
      </c>
      <c r="V107" s="71"/>
    </row>
    <row r="108" spans="1:22" s="32" customFormat="1" ht="14.25" hidden="1" customHeight="1" x14ac:dyDescent="0.2">
      <c r="A108" s="38" t="s">
        <v>56</v>
      </c>
      <c r="B108" s="29" t="s">
        <v>35</v>
      </c>
      <c r="C108" s="30" t="s">
        <v>36</v>
      </c>
      <c r="D108" s="31">
        <v>91</v>
      </c>
      <c r="E108" s="31">
        <v>23</v>
      </c>
      <c r="F108" s="31">
        <v>68</v>
      </c>
      <c r="G108" s="31">
        <v>0</v>
      </c>
      <c r="H108" s="31">
        <v>0</v>
      </c>
      <c r="I108" s="31">
        <v>0</v>
      </c>
      <c r="J108" s="31">
        <v>0</v>
      </c>
      <c r="K108" s="31">
        <v>13</v>
      </c>
      <c r="L108" s="31">
        <v>13</v>
      </c>
      <c r="M108" s="31">
        <v>2</v>
      </c>
      <c r="N108" s="31">
        <v>3</v>
      </c>
      <c r="O108" s="31">
        <v>3</v>
      </c>
      <c r="P108" s="31">
        <v>44</v>
      </c>
      <c r="Q108" s="31">
        <v>5</v>
      </c>
      <c r="R108" s="31">
        <v>8</v>
      </c>
      <c r="S108" s="31">
        <v>0</v>
      </c>
      <c r="T108" s="31">
        <v>0</v>
      </c>
      <c r="V108" s="71"/>
    </row>
    <row r="109" spans="1:22" s="32" customFormat="1" ht="14.25" hidden="1" customHeight="1" x14ac:dyDescent="0.2">
      <c r="A109" s="108" t="s">
        <v>57</v>
      </c>
      <c r="B109" s="33" t="s">
        <v>37</v>
      </c>
      <c r="C109" s="34" t="s">
        <v>38</v>
      </c>
      <c r="D109" s="19">
        <v>80</v>
      </c>
      <c r="E109" s="19">
        <v>21</v>
      </c>
      <c r="F109" s="19">
        <v>59</v>
      </c>
      <c r="G109" s="19">
        <v>0</v>
      </c>
      <c r="H109" s="19">
        <v>0</v>
      </c>
      <c r="I109" s="19">
        <v>0</v>
      </c>
      <c r="J109" s="19">
        <v>0</v>
      </c>
      <c r="K109" s="19">
        <v>12</v>
      </c>
      <c r="L109" s="19">
        <v>11</v>
      </c>
      <c r="M109" s="19">
        <v>2</v>
      </c>
      <c r="N109" s="19">
        <v>3</v>
      </c>
      <c r="O109" s="19">
        <v>2</v>
      </c>
      <c r="P109" s="19">
        <v>37</v>
      </c>
      <c r="Q109" s="19">
        <v>5</v>
      </c>
      <c r="R109" s="19">
        <v>8</v>
      </c>
      <c r="S109" s="19">
        <v>0</v>
      </c>
      <c r="T109" s="19">
        <v>0</v>
      </c>
      <c r="V109" s="71"/>
    </row>
    <row r="110" spans="1:22" s="32" customFormat="1" ht="14.25" hidden="1" customHeight="1" x14ac:dyDescent="0.2">
      <c r="A110" s="108"/>
      <c r="B110" s="36" t="s">
        <v>39</v>
      </c>
      <c r="C110" s="37" t="s">
        <v>163</v>
      </c>
      <c r="D110" s="19">
        <v>11</v>
      </c>
      <c r="E110" s="19">
        <v>2</v>
      </c>
      <c r="F110" s="19">
        <v>9</v>
      </c>
      <c r="G110" s="19">
        <v>0</v>
      </c>
      <c r="H110" s="19">
        <v>0</v>
      </c>
      <c r="I110" s="19">
        <v>0</v>
      </c>
      <c r="J110" s="19">
        <v>0</v>
      </c>
      <c r="K110" s="19">
        <v>1</v>
      </c>
      <c r="L110" s="19">
        <v>2</v>
      </c>
      <c r="M110" s="19">
        <v>0</v>
      </c>
      <c r="N110" s="19">
        <v>0</v>
      </c>
      <c r="O110" s="19">
        <v>1</v>
      </c>
      <c r="P110" s="19">
        <v>7</v>
      </c>
      <c r="Q110" s="19">
        <v>0</v>
      </c>
      <c r="R110" s="19">
        <v>0</v>
      </c>
      <c r="S110" s="19">
        <v>0</v>
      </c>
      <c r="T110" s="19">
        <v>0</v>
      </c>
      <c r="V110" s="71"/>
    </row>
    <row r="111" spans="1:22" s="32" customFormat="1" ht="14.25" hidden="1" customHeight="1" x14ac:dyDescent="0.2">
      <c r="A111" s="38" t="s">
        <v>58</v>
      </c>
      <c r="B111" s="29" t="s">
        <v>35</v>
      </c>
      <c r="C111" s="30" t="s">
        <v>36</v>
      </c>
      <c r="D111" s="31">
        <v>223</v>
      </c>
      <c r="E111" s="31">
        <v>100</v>
      </c>
      <c r="F111" s="31">
        <v>123</v>
      </c>
      <c r="G111" s="31">
        <v>1</v>
      </c>
      <c r="H111" s="31">
        <v>1</v>
      </c>
      <c r="I111" s="31">
        <v>0</v>
      </c>
      <c r="J111" s="31">
        <v>0</v>
      </c>
      <c r="K111" s="31">
        <v>67</v>
      </c>
      <c r="L111" s="31">
        <v>35</v>
      </c>
      <c r="M111" s="31">
        <v>7</v>
      </c>
      <c r="N111" s="31">
        <v>10</v>
      </c>
      <c r="O111" s="31">
        <v>17</v>
      </c>
      <c r="P111" s="31">
        <v>67</v>
      </c>
      <c r="Q111" s="31">
        <v>6</v>
      </c>
      <c r="R111" s="31">
        <v>9</v>
      </c>
      <c r="S111" s="31">
        <v>2</v>
      </c>
      <c r="T111" s="31">
        <v>1</v>
      </c>
      <c r="V111" s="71"/>
    </row>
    <row r="112" spans="1:22" s="32" customFormat="1" ht="14.25" hidden="1" customHeight="1" x14ac:dyDescent="0.2">
      <c r="A112" s="108" t="s">
        <v>59</v>
      </c>
      <c r="B112" s="33" t="s">
        <v>37</v>
      </c>
      <c r="C112" s="34" t="s">
        <v>38</v>
      </c>
      <c r="D112" s="19">
        <v>217</v>
      </c>
      <c r="E112" s="19">
        <v>99</v>
      </c>
      <c r="F112" s="19">
        <v>118</v>
      </c>
      <c r="G112" s="19">
        <v>1</v>
      </c>
      <c r="H112" s="19">
        <v>1</v>
      </c>
      <c r="I112" s="19">
        <v>0</v>
      </c>
      <c r="J112" s="19">
        <v>0</v>
      </c>
      <c r="K112" s="19">
        <v>66</v>
      </c>
      <c r="L112" s="19">
        <v>34</v>
      </c>
      <c r="M112" s="19">
        <v>7</v>
      </c>
      <c r="N112" s="19">
        <v>9</v>
      </c>
      <c r="O112" s="19">
        <v>17</v>
      </c>
      <c r="P112" s="19">
        <v>65</v>
      </c>
      <c r="Q112" s="19">
        <v>6</v>
      </c>
      <c r="R112" s="19">
        <v>8</v>
      </c>
      <c r="S112" s="19">
        <v>2</v>
      </c>
      <c r="T112" s="19">
        <v>1</v>
      </c>
      <c r="V112" s="71"/>
    </row>
    <row r="113" spans="1:22" s="32" customFormat="1" ht="14.25" hidden="1" customHeight="1" x14ac:dyDescent="0.2">
      <c r="A113" s="108"/>
      <c r="B113" s="36" t="s">
        <v>39</v>
      </c>
      <c r="C113" s="37" t="s">
        <v>163</v>
      </c>
      <c r="D113" s="19">
        <v>6</v>
      </c>
      <c r="E113" s="19">
        <v>1</v>
      </c>
      <c r="F113" s="19">
        <v>5</v>
      </c>
      <c r="G113" s="19">
        <v>0</v>
      </c>
      <c r="H113" s="19">
        <v>0</v>
      </c>
      <c r="I113" s="19">
        <v>0</v>
      </c>
      <c r="J113" s="19">
        <v>0</v>
      </c>
      <c r="K113" s="19">
        <v>1</v>
      </c>
      <c r="L113" s="19">
        <v>1</v>
      </c>
      <c r="M113" s="19">
        <v>0</v>
      </c>
      <c r="N113" s="19">
        <v>1</v>
      </c>
      <c r="O113" s="19">
        <v>0</v>
      </c>
      <c r="P113" s="19">
        <v>2</v>
      </c>
      <c r="Q113" s="19">
        <v>0</v>
      </c>
      <c r="R113" s="19">
        <v>1</v>
      </c>
      <c r="S113" s="19">
        <v>0</v>
      </c>
      <c r="T113" s="19">
        <v>0</v>
      </c>
      <c r="V113" s="71"/>
    </row>
    <row r="114" spans="1:22" s="32" customFormat="1" ht="14.25" hidden="1" customHeight="1" x14ac:dyDescent="0.2">
      <c r="A114" s="38" t="s">
        <v>60</v>
      </c>
      <c r="B114" s="29" t="s">
        <v>35</v>
      </c>
      <c r="C114" s="30" t="s">
        <v>36</v>
      </c>
      <c r="D114" s="31">
        <v>112</v>
      </c>
      <c r="E114" s="31">
        <v>42</v>
      </c>
      <c r="F114" s="31">
        <v>70</v>
      </c>
      <c r="G114" s="31">
        <v>0</v>
      </c>
      <c r="H114" s="31">
        <v>0</v>
      </c>
      <c r="I114" s="31">
        <v>0</v>
      </c>
      <c r="J114" s="31">
        <v>0</v>
      </c>
      <c r="K114" s="31">
        <v>22</v>
      </c>
      <c r="L114" s="31">
        <v>29</v>
      </c>
      <c r="M114" s="31">
        <v>0</v>
      </c>
      <c r="N114" s="31">
        <v>2</v>
      </c>
      <c r="O114" s="31">
        <v>4</v>
      </c>
      <c r="P114" s="31">
        <v>27</v>
      </c>
      <c r="Q114" s="31">
        <v>16</v>
      </c>
      <c r="R114" s="31">
        <v>10</v>
      </c>
      <c r="S114" s="31">
        <v>0</v>
      </c>
      <c r="T114" s="31">
        <v>2</v>
      </c>
      <c r="V114" s="71"/>
    </row>
    <row r="115" spans="1:22" s="32" customFormat="1" ht="14.25" hidden="1" customHeight="1" x14ac:dyDescent="0.2">
      <c r="A115" s="108" t="s">
        <v>61</v>
      </c>
      <c r="B115" s="33" t="s">
        <v>37</v>
      </c>
      <c r="C115" s="34" t="s">
        <v>38</v>
      </c>
      <c r="D115" s="19">
        <v>86</v>
      </c>
      <c r="E115" s="19">
        <v>35</v>
      </c>
      <c r="F115" s="19">
        <v>51</v>
      </c>
      <c r="G115" s="19">
        <v>0</v>
      </c>
      <c r="H115" s="19">
        <v>0</v>
      </c>
      <c r="I115" s="19">
        <v>0</v>
      </c>
      <c r="J115" s="19">
        <v>0</v>
      </c>
      <c r="K115" s="19">
        <v>20</v>
      </c>
      <c r="L115" s="19">
        <v>24</v>
      </c>
      <c r="M115" s="19">
        <v>0</v>
      </c>
      <c r="N115" s="19">
        <v>2</v>
      </c>
      <c r="O115" s="19">
        <v>3</v>
      </c>
      <c r="P115" s="19">
        <v>17</v>
      </c>
      <c r="Q115" s="19">
        <v>12</v>
      </c>
      <c r="R115" s="19">
        <v>8</v>
      </c>
      <c r="S115" s="19">
        <v>0</v>
      </c>
      <c r="T115" s="19">
        <v>0</v>
      </c>
      <c r="V115" s="71"/>
    </row>
    <row r="116" spans="1:22" s="32" customFormat="1" ht="14.25" hidden="1" customHeight="1" x14ac:dyDescent="0.2">
      <c r="A116" s="108"/>
      <c r="B116" s="36" t="s">
        <v>39</v>
      </c>
      <c r="C116" s="37" t="s">
        <v>163</v>
      </c>
      <c r="D116" s="19">
        <v>26</v>
      </c>
      <c r="E116" s="19">
        <v>7</v>
      </c>
      <c r="F116" s="19">
        <v>19</v>
      </c>
      <c r="G116" s="19">
        <v>0</v>
      </c>
      <c r="H116" s="19">
        <v>0</v>
      </c>
      <c r="I116" s="19">
        <v>0</v>
      </c>
      <c r="J116" s="19">
        <v>0</v>
      </c>
      <c r="K116" s="19">
        <v>2</v>
      </c>
      <c r="L116" s="19">
        <v>5</v>
      </c>
      <c r="M116" s="19">
        <v>0</v>
      </c>
      <c r="N116" s="19">
        <v>0</v>
      </c>
      <c r="O116" s="19">
        <v>1</v>
      </c>
      <c r="P116" s="19">
        <v>10</v>
      </c>
      <c r="Q116" s="19">
        <v>4</v>
      </c>
      <c r="R116" s="19">
        <v>2</v>
      </c>
      <c r="S116" s="19">
        <v>0</v>
      </c>
      <c r="T116" s="19">
        <v>2</v>
      </c>
      <c r="V116" s="71"/>
    </row>
    <row r="117" spans="1:22" s="32" customFormat="1" ht="14.25" hidden="1" customHeight="1" x14ac:dyDescent="0.2">
      <c r="A117" s="38" t="s">
        <v>62</v>
      </c>
      <c r="B117" s="29" t="s">
        <v>35</v>
      </c>
      <c r="C117" s="30" t="s">
        <v>36</v>
      </c>
      <c r="D117" s="31">
        <v>145</v>
      </c>
      <c r="E117" s="31">
        <v>56</v>
      </c>
      <c r="F117" s="31">
        <v>89</v>
      </c>
      <c r="G117" s="31">
        <v>0</v>
      </c>
      <c r="H117" s="31">
        <v>0</v>
      </c>
      <c r="I117" s="31">
        <v>0</v>
      </c>
      <c r="J117" s="31">
        <v>0</v>
      </c>
      <c r="K117" s="31">
        <v>32</v>
      </c>
      <c r="L117" s="31">
        <v>29</v>
      </c>
      <c r="M117" s="31">
        <v>2</v>
      </c>
      <c r="N117" s="31">
        <v>2</v>
      </c>
      <c r="O117" s="31">
        <v>12</v>
      </c>
      <c r="P117" s="31">
        <v>49</v>
      </c>
      <c r="Q117" s="31">
        <v>10</v>
      </c>
      <c r="R117" s="31">
        <v>9</v>
      </c>
      <c r="S117" s="31">
        <v>0</v>
      </c>
      <c r="T117" s="31">
        <v>0</v>
      </c>
      <c r="V117" s="71"/>
    </row>
    <row r="118" spans="1:22" s="32" customFormat="1" ht="14.25" hidden="1" customHeight="1" x14ac:dyDescent="0.2">
      <c r="A118" s="108" t="s">
        <v>63</v>
      </c>
      <c r="B118" s="33" t="s">
        <v>37</v>
      </c>
      <c r="C118" s="34" t="s">
        <v>38</v>
      </c>
      <c r="D118" s="19">
        <v>141</v>
      </c>
      <c r="E118" s="19">
        <v>55</v>
      </c>
      <c r="F118" s="19">
        <v>86</v>
      </c>
      <c r="G118" s="19">
        <v>0</v>
      </c>
      <c r="H118" s="19">
        <v>0</v>
      </c>
      <c r="I118" s="19">
        <v>0</v>
      </c>
      <c r="J118" s="19">
        <v>0</v>
      </c>
      <c r="K118" s="19">
        <v>31</v>
      </c>
      <c r="L118" s="19">
        <v>28</v>
      </c>
      <c r="M118" s="19">
        <v>2</v>
      </c>
      <c r="N118" s="19">
        <v>2</v>
      </c>
      <c r="O118" s="19">
        <v>12</v>
      </c>
      <c r="P118" s="19">
        <v>47</v>
      </c>
      <c r="Q118" s="19">
        <v>10</v>
      </c>
      <c r="R118" s="19">
        <v>9</v>
      </c>
      <c r="S118" s="19">
        <v>0</v>
      </c>
      <c r="T118" s="19">
        <v>0</v>
      </c>
      <c r="V118" s="71"/>
    </row>
    <row r="119" spans="1:22" s="32" customFormat="1" ht="14.25" hidden="1" customHeight="1" x14ac:dyDescent="0.2">
      <c r="A119" s="108"/>
      <c r="B119" s="36" t="s">
        <v>39</v>
      </c>
      <c r="C119" s="37" t="s">
        <v>163</v>
      </c>
      <c r="D119" s="19">
        <v>4</v>
      </c>
      <c r="E119" s="19">
        <v>1</v>
      </c>
      <c r="F119" s="19">
        <v>3</v>
      </c>
      <c r="G119" s="19">
        <v>0</v>
      </c>
      <c r="H119" s="19">
        <v>0</v>
      </c>
      <c r="I119" s="19">
        <v>0</v>
      </c>
      <c r="J119" s="19">
        <v>0</v>
      </c>
      <c r="K119" s="19">
        <v>1</v>
      </c>
      <c r="L119" s="19">
        <v>1</v>
      </c>
      <c r="M119" s="19">
        <v>0</v>
      </c>
      <c r="N119" s="19">
        <v>0</v>
      </c>
      <c r="O119" s="19">
        <v>0</v>
      </c>
      <c r="P119" s="19">
        <v>2</v>
      </c>
      <c r="Q119" s="19">
        <v>0</v>
      </c>
      <c r="R119" s="19">
        <v>0</v>
      </c>
      <c r="S119" s="19">
        <v>0</v>
      </c>
      <c r="T119" s="19">
        <v>0</v>
      </c>
      <c r="V119" s="71"/>
    </row>
    <row r="120" spans="1:22" s="32" customFormat="1" ht="14.25" hidden="1" customHeight="1" x14ac:dyDescent="0.2">
      <c r="A120" s="38" t="s">
        <v>64</v>
      </c>
      <c r="B120" s="29" t="s">
        <v>35</v>
      </c>
      <c r="C120" s="30" t="s">
        <v>36</v>
      </c>
      <c r="D120" s="31">
        <v>90</v>
      </c>
      <c r="E120" s="31">
        <v>37</v>
      </c>
      <c r="F120" s="31">
        <v>53</v>
      </c>
      <c r="G120" s="31">
        <v>1</v>
      </c>
      <c r="H120" s="31">
        <v>0</v>
      </c>
      <c r="I120" s="31">
        <v>0</v>
      </c>
      <c r="J120" s="31">
        <v>0</v>
      </c>
      <c r="K120" s="31">
        <v>20</v>
      </c>
      <c r="L120" s="31">
        <v>23</v>
      </c>
      <c r="M120" s="31">
        <v>0</v>
      </c>
      <c r="N120" s="31">
        <v>1</v>
      </c>
      <c r="O120" s="31">
        <v>6</v>
      </c>
      <c r="P120" s="31">
        <v>23</v>
      </c>
      <c r="Q120" s="31">
        <v>10</v>
      </c>
      <c r="R120" s="31">
        <v>6</v>
      </c>
      <c r="S120" s="31">
        <v>0</v>
      </c>
      <c r="T120" s="31">
        <v>0</v>
      </c>
      <c r="V120" s="71"/>
    </row>
    <row r="121" spans="1:22" s="32" customFormat="1" ht="14.25" hidden="1" customHeight="1" x14ac:dyDescent="0.2">
      <c r="A121" s="108" t="s">
        <v>65</v>
      </c>
      <c r="B121" s="33" t="s">
        <v>37</v>
      </c>
      <c r="C121" s="34" t="s">
        <v>38</v>
      </c>
      <c r="D121" s="19">
        <v>86</v>
      </c>
      <c r="E121" s="19">
        <v>33</v>
      </c>
      <c r="F121" s="19">
        <v>53</v>
      </c>
      <c r="G121" s="19">
        <v>1</v>
      </c>
      <c r="H121" s="19">
        <v>0</v>
      </c>
      <c r="I121" s="19">
        <v>0</v>
      </c>
      <c r="J121" s="19">
        <v>0</v>
      </c>
      <c r="K121" s="19">
        <v>18</v>
      </c>
      <c r="L121" s="19">
        <v>23</v>
      </c>
      <c r="M121" s="19">
        <v>0</v>
      </c>
      <c r="N121" s="19">
        <v>1</v>
      </c>
      <c r="O121" s="19">
        <v>4</v>
      </c>
      <c r="P121" s="19">
        <v>23</v>
      </c>
      <c r="Q121" s="19">
        <v>10</v>
      </c>
      <c r="R121" s="19">
        <v>6</v>
      </c>
      <c r="S121" s="19">
        <v>0</v>
      </c>
      <c r="T121" s="19">
        <v>0</v>
      </c>
      <c r="V121" s="71"/>
    </row>
    <row r="122" spans="1:22" s="32" customFormat="1" ht="14.25" hidden="1" customHeight="1" x14ac:dyDescent="0.2">
      <c r="A122" s="108"/>
      <c r="B122" s="36" t="s">
        <v>39</v>
      </c>
      <c r="C122" s="37" t="s">
        <v>163</v>
      </c>
      <c r="D122" s="19">
        <v>4</v>
      </c>
      <c r="E122" s="19">
        <v>4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2</v>
      </c>
      <c r="L122" s="19">
        <v>0</v>
      </c>
      <c r="M122" s="19">
        <v>0</v>
      </c>
      <c r="N122" s="19">
        <v>0</v>
      </c>
      <c r="O122" s="19">
        <v>2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V122" s="71"/>
    </row>
    <row r="123" spans="1:22" s="32" customFormat="1" ht="14.25" hidden="1" customHeight="1" x14ac:dyDescent="0.2">
      <c r="A123" s="38" t="s">
        <v>66</v>
      </c>
      <c r="B123" s="29" t="s">
        <v>35</v>
      </c>
      <c r="C123" s="30" t="s">
        <v>36</v>
      </c>
      <c r="D123" s="31">
        <v>179</v>
      </c>
      <c r="E123" s="31">
        <v>58</v>
      </c>
      <c r="F123" s="31">
        <v>121</v>
      </c>
      <c r="G123" s="31">
        <v>0</v>
      </c>
      <c r="H123" s="31">
        <v>0</v>
      </c>
      <c r="I123" s="31">
        <v>0</v>
      </c>
      <c r="J123" s="31">
        <v>0</v>
      </c>
      <c r="K123" s="31">
        <v>37</v>
      </c>
      <c r="L123" s="31">
        <v>38</v>
      </c>
      <c r="M123" s="31">
        <v>1</v>
      </c>
      <c r="N123" s="31">
        <v>0</v>
      </c>
      <c r="O123" s="31">
        <v>13</v>
      </c>
      <c r="P123" s="31">
        <v>74</v>
      </c>
      <c r="Q123" s="31">
        <v>6</v>
      </c>
      <c r="R123" s="31">
        <v>8</v>
      </c>
      <c r="S123" s="31">
        <v>1</v>
      </c>
      <c r="T123" s="31">
        <v>1</v>
      </c>
      <c r="V123" s="71"/>
    </row>
    <row r="124" spans="1:22" s="32" customFormat="1" ht="14.25" hidden="1" customHeight="1" x14ac:dyDescent="0.2">
      <c r="A124" s="108" t="s">
        <v>67</v>
      </c>
      <c r="B124" s="33" t="s">
        <v>37</v>
      </c>
      <c r="C124" s="34" t="s">
        <v>38</v>
      </c>
      <c r="D124" s="19">
        <v>144</v>
      </c>
      <c r="E124" s="19">
        <v>49</v>
      </c>
      <c r="F124" s="19">
        <v>95</v>
      </c>
      <c r="G124" s="19">
        <v>0</v>
      </c>
      <c r="H124" s="19">
        <v>0</v>
      </c>
      <c r="I124" s="19">
        <v>0</v>
      </c>
      <c r="J124" s="19">
        <v>0</v>
      </c>
      <c r="K124" s="19">
        <v>29</v>
      </c>
      <c r="L124" s="19">
        <v>35</v>
      </c>
      <c r="M124" s="19">
        <v>1</v>
      </c>
      <c r="N124" s="19">
        <v>0</v>
      </c>
      <c r="O124" s="19">
        <v>12</v>
      </c>
      <c r="P124" s="19">
        <v>51</v>
      </c>
      <c r="Q124" s="19">
        <v>6</v>
      </c>
      <c r="R124" s="19">
        <v>8</v>
      </c>
      <c r="S124" s="19">
        <v>1</v>
      </c>
      <c r="T124" s="19">
        <v>1</v>
      </c>
      <c r="V124" s="71"/>
    </row>
    <row r="125" spans="1:22" s="32" customFormat="1" ht="14.25" hidden="1" customHeight="1" x14ac:dyDescent="0.2">
      <c r="A125" s="108"/>
      <c r="B125" s="36" t="s">
        <v>39</v>
      </c>
      <c r="C125" s="37" t="s">
        <v>163</v>
      </c>
      <c r="D125" s="19">
        <v>35</v>
      </c>
      <c r="E125" s="19">
        <v>9</v>
      </c>
      <c r="F125" s="19">
        <v>26</v>
      </c>
      <c r="G125" s="19">
        <v>0</v>
      </c>
      <c r="H125" s="19">
        <v>0</v>
      </c>
      <c r="I125" s="19">
        <v>0</v>
      </c>
      <c r="J125" s="19">
        <v>0</v>
      </c>
      <c r="K125" s="19">
        <v>8</v>
      </c>
      <c r="L125" s="19">
        <v>3</v>
      </c>
      <c r="M125" s="19">
        <v>0</v>
      </c>
      <c r="N125" s="19">
        <v>0</v>
      </c>
      <c r="O125" s="19">
        <v>1</v>
      </c>
      <c r="P125" s="19">
        <v>23</v>
      </c>
      <c r="Q125" s="19">
        <v>0</v>
      </c>
      <c r="R125" s="19">
        <v>0</v>
      </c>
      <c r="S125" s="19">
        <v>0</v>
      </c>
      <c r="T125" s="19">
        <v>0</v>
      </c>
      <c r="V125" s="71"/>
    </row>
    <row r="126" spans="1:22" s="32" customFormat="1" ht="14.25" hidden="1" customHeight="1" x14ac:dyDescent="0.2">
      <c r="A126" s="38" t="s">
        <v>68</v>
      </c>
      <c r="B126" s="29" t="s">
        <v>35</v>
      </c>
      <c r="C126" s="30" t="s">
        <v>36</v>
      </c>
      <c r="D126" s="31">
        <v>34</v>
      </c>
      <c r="E126" s="31">
        <v>8</v>
      </c>
      <c r="F126" s="31">
        <v>26</v>
      </c>
      <c r="G126" s="31">
        <v>0</v>
      </c>
      <c r="H126" s="31">
        <v>0</v>
      </c>
      <c r="I126" s="31">
        <v>0</v>
      </c>
      <c r="J126" s="31">
        <v>0</v>
      </c>
      <c r="K126" s="31">
        <v>4</v>
      </c>
      <c r="L126" s="31">
        <v>4</v>
      </c>
      <c r="M126" s="31">
        <v>0</v>
      </c>
      <c r="N126" s="31">
        <v>0</v>
      </c>
      <c r="O126" s="31">
        <v>4</v>
      </c>
      <c r="P126" s="31">
        <v>22</v>
      </c>
      <c r="Q126" s="31">
        <v>0</v>
      </c>
      <c r="R126" s="31">
        <v>0</v>
      </c>
      <c r="S126" s="31">
        <v>0</v>
      </c>
      <c r="T126" s="31">
        <v>0</v>
      </c>
      <c r="V126" s="71"/>
    </row>
    <row r="127" spans="1:22" s="32" customFormat="1" ht="14.25" hidden="1" customHeight="1" x14ac:dyDescent="0.2">
      <c r="A127" s="108" t="s">
        <v>69</v>
      </c>
      <c r="B127" s="33" t="s">
        <v>37</v>
      </c>
      <c r="C127" s="34" t="s">
        <v>38</v>
      </c>
      <c r="D127" s="19">
        <v>13</v>
      </c>
      <c r="E127" s="19">
        <v>3</v>
      </c>
      <c r="F127" s="19">
        <v>10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3</v>
      </c>
      <c r="P127" s="19">
        <v>10</v>
      </c>
      <c r="Q127" s="19">
        <v>0</v>
      </c>
      <c r="R127" s="19">
        <v>0</v>
      </c>
      <c r="S127" s="19">
        <v>0</v>
      </c>
      <c r="T127" s="19">
        <v>0</v>
      </c>
      <c r="V127" s="71"/>
    </row>
    <row r="128" spans="1:22" s="32" customFormat="1" ht="14.25" hidden="1" customHeight="1" x14ac:dyDescent="0.2">
      <c r="A128" s="108"/>
      <c r="B128" s="36" t="s">
        <v>39</v>
      </c>
      <c r="C128" s="37" t="s">
        <v>163</v>
      </c>
      <c r="D128" s="19">
        <v>21</v>
      </c>
      <c r="E128" s="19">
        <v>5</v>
      </c>
      <c r="F128" s="19">
        <v>16</v>
      </c>
      <c r="G128" s="19">
        <v>0</v>
      </c>
      <c r="H128" s="19">
        <v>0</v>
      </c>
      <c r="I128" s="19">
        <v>0</v>
      </c>
      <c r="J128" s="19">
        <v>0</v>
      </c>
      <c r="K128" s="19">
        <v>4</v>
      </c>
      <c r="L128" s="19">
        <v>4</v>
      </c>
      <c r="M128" s="19">
        <v>0</v>
      </c>
      <c r="N128" s="19">
        <v>0</v>
      </c>
      <c r="O128" s="19">
        <v>1</v>
      </c>
      <c r="P128" s="19">
        <v>12</v>
      </c>
      <c r="Q128" s="19">
        <v>0</v>
      </c>
      <c r="R128" s="19">
        <v>0</v>
      </c>
      <c r="S128" s="19">
        <v>0</v>
      </c>
      <c r="T128" s="19">
        <v>0</v>
      </c>
      <c r="V128" s="71"/>
    </row>
    <row r="129" spans="1:22" s="32" customFormat="1" ht="14.25" hidden="1" customHeight="1" x14ac:dyDescent="0.2">
      <c r="A129" s="38" t="s">
        <v>70</v>
      </c>
      <c r="B129" s="29" t="s">
        <v>35</v>
      </c>
      <c r="C129" s="30" t="s">
        <v>36</v>
      </c>
      <c r="D129" s="31">
        <v>150</v>
      </c>
      <c r="E129" s="31">
        <v>74</v>
      </c>
      <c r="F129" s="31">
        <v>76</v>
      </c>
      <c r="G129" s="31">
        <v>0</v>
      </c>
      <c r="H129" s="31">
        <v>0</v>
      </c>
      <c r="I129" s="31">
        <v>0</v>
      </c>
      <c r="J129" s="31">
        <v>0</v>
      </c>
      <c r="K129" s="31">
        <v>46</v>
      </c>
      <c r="L129" s="31">
        <v>13</v>
      </c>
      <c r="M129" s="31">
        <v>3</v>
      </c>
      <c r="N129" s="31">
        <v>0</v>
      </c>
      <c r="O129" s="31">
        <v>9</v>
      </c>
      <c r="P129" s="31">
        <v>45</v>
      </c>
      <c r="Q129" s="31">
        <v>16</v>
      </c>
      <c r="R129" s="31">
        <v>17</v>
      </c>
      <c r="S129" s="31">
        <v>0</v>
      </c>
      <c r="T129" s="31">
        <v>1</v>
      </c>
      <c r="V129" s="71"/>
    </row>
    <row r="130" spans="1:22" s="32" customFormat="1" ht="14.25" hidden="1" customHeight="1" x14ac:dyDescent="0.2">
      <c r="A130" s="108" t="s">
        <v>71</v>
      </c>
      <c r="B130" s="33" t="s">
        <v>37</v>
      </c>
      <c r="C130" s="34" t="s">
        <v>38</v>
      </c>
      <c r="D130" s="19">
        <v>69</v>
      </c>
      <c r="E130" s="19">
        <v>30</v>
      </c>
      <c r="F130" s="19">
        <v>39</v>
      </c>
      <c r="G130" s="19">
        <v>0</v>
      </c>
      <c r="H130" s="19">
        <v>0</v>
      </c>
      <c r="I130" s="19">
        <v>0</v>
      </c>
      <c r="J130" s="19">
        <v>0</v>
      </c>
      <c r="K130" s="19">
        <v>18</v>
      </c>
      <c r="L130" s="19">
        <v>8</v>
      </c>
      <c r="M130" s="19">
        <v>0</v>
      </c>
      <c r="N130" s="19">
        <v>0</v>
      </c>
      <c r="O130" s="19">
        <v>3</v>
      </c>
      <c r="P130" s="19">
        <v>20</v>
      </c>
      <c r="Q130" s="19">
        <v>9</v>
      </c>
      <c r="R130" s="19">
        <v>11</v>
      </c>
      <c r="S130" s="19">
        <v>0</v>
      </c>
      <c r="T130" s="19">
        <v>0</v>
      </c>
      <c r="V130" s="71"/>
    </row>
    <row r="131" spans="1:22" s="32" customFormat="1" ht="14.25" hidden="1" customHeight="1" x14ac:dyDescent="0.2">
      <c r="A131" s="108"/>
      <c r="B131" s="36" t="s">
        <v>39</v>
      </c>
      <c r="C131" s="37" t="s">
        <v>163</v>
      </c>
      <c r="D131" s="19">
        <v>81</v>
      </c>
      <c r="E131" s="19">
        <v>44</v>
      </c>
      <c r="F131" s="19">
        <v>37</v>
      </c>
      <c r="G131" s="19">
        <v>0</v>
      </c>
      <c r="H131" s="19">
        <v>0</v>
      </c>
      <c r="I131" s="19">
        <v>0</v>
      </c>
      <c r="J131" s="19">
        <v>0</v>
      </c>
      <c r="K131" s="19">
        <v>28</v>
      </c>
      <c r="L131" s="19">
        <v>5</v>
      </c>
      <c r="M131" s="19">
        <v>3</v>
      </c>
      <c r="N131" s="19">
        <v>0</v>
      </c>
      <c r="O131" s="19">
        <v>6</v>
      </c>
      <c r="P131" s="19">
        <v>25</v>
      </c>
      <c r="Q131" s="19">
        <v>7</v>
      </c>
      <c r="R131" s="19">
        <v>6</v>
      </c>
      <c r="S131" s="19">
        <v>0</v>
      </c>
      <c r="T131" s="19">
        <v>1</v>
      </c>
      <c r="V131" s="71"/>
    </row>
    <row r="132" spans="1:22" s="32" customFormat="1" ht="14.25" hidden="1" customHeight="1" x14ac:dyDescent="0.2">
      <c r="A132" s="38" t="s">
        <v>72</v>
      </c>
      <c r="B132" s="29" t="s">
        <v>35</v>
      </c>
      <c r="C132" s="30" t="s">
        <v>36</v>
      </c>
      <c r="D132" s="31">
        <v>10</v>
      </c>
      <c r="E132" s="31">
        <v>4</v>
      </c>
      <c r="F132" s="31">
        <v>6</v>
      </c>
      <c r="G132" s="31">
        <v>0</v>
      </c>
      <c r="H132" s="31">
        <v>0</v>
      </c>
      <c r="I132" s="31">
        <v>0</v>
      </c>
      <c r="J132" s="31">
        <v>0</v>
      </c>
      <c r="K132" s="31">
        <v>1</v>
      </c>
      <c r="L132" s="31">
        <v>2</v>
      </c>
      <c r="M132" s="31">
        <v>0</v>
      </c>
      <c r="N132" s="31">
        <v>0</v>
      </c>
      <c r="O132" s="31">
        <v>2</v>
      </c>
      <c r="P132" s="31">
        <v>4</v>
      </c>
      <c r="Q132" s="31">
        <v>1</v>
      </c>
      <c r="R132" s="31">
        <v>0</v>
      </c>
      <c r="S132" s="31">
        <v>0</v>
      </c>
      <c r="T132" s="31">
        <v>0</v>
      </c>
      <c r="V132" s="71"/>
    </row>
    <row r="133" spans="1:22" s="32" customFormat="1" ht="14.25" hidden="1" customHeight="1" x14ac:dyDescent="0.2">
      <c r="A133" s="108" t="s">
        <v>73</v>
      </c>
      <c r="B133" s="33" t="s">
        <v>37</v>
      </c>
      <c r="C133" s="34" t="s">
        <v>38</v>
      </c>
      <c r="D133" s="19">
        <v>10</v>
      </c>
      <c r="E133" s="19">
        <v>4</v>
      </c>
      <c r="F133" s="19">
        <v>6</v>
      </c>
      <c r="G133" s="19">
        <v>0</v>
      </c>
      <c r="H133" s="19">
        <v>0</v>
      </c>
      <c r="I133" s="19">
        <v>0</v>
      </c>
      <c r="J133" s="19">
        <v>0</v>
      </c>
      <c r="K133" s="19">
        <v>1</v>
      </c>
      <c r="L133" s="19">
        <v>2</v>
      </c>
      <c r="M133" s="19">
        <v>0</v>
      </c>
      <c r="N133" s="19">
        <v>0</v>
      </c>
      <c r="O133" s="19">
        <v>2</v>
      </c>
      <c r="P133" s="19">
        <v>4</v>
      </c>
      <c r="Q133" s="19">
        <v>1</v>
      </c>
      <c r="R133" s="19">
        <v>0</v>
      </c>
      <c r="S133" s="19">
        <v>0</v>
      </c>
      <c r="T133" s="19">
        <v>0</v>
      </c>
      <c r="V133" s="71"/>
    </row>
    <row r="134" spans="1:22" s="32" customFormat="1" ht="14.25" hidden="1" customHeight="1" x14ac:dyDescent="0.2">
      <c r="A134" s="108"/>
      <c r="B134" s="36" t="s">
        <v>39</v>
      </c>
      <c r="C134" s="37" t="s">
        <v>163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V134" s="71"/>
    </row>
    <row r="135" spans="1:22" s="32" customFormat="1" ht="14.25" hidden="1" customHeight="1" x14ac:dyDescent="0.2">
      <c r="A135" s="38" t="s">
        <v>74</v>
      </c>
      <c r="B135" s="29" t="s">
        <v>35</v>
      </c>
      <c r="C135" s="30" t="s">
        <v>36</v>
      </c>
      <c r="D135" s="31">
        <v>112</v>
      </c>
      <c r="E135" s="31">
        <v>45</v>
      </c>
      <c r="F135" s="31">
        <v>67</v>
      </c>
      <c r="G135" s="31">
        <v>0</v>
      </c>
      <c r="H135" s="31">
        <v>0</v>
      </c>
      <c r="I135" s="31">
        <v>0</v>
      </c>
      <c r="J135" s="31">
        <v>0</v>
      </c>
      <c r="K135" s="31">
        <v>32</v>
      </c>
      <c r="L135" s="31">
        <v>19</v>
      </c>
      <c r="M135" s="31">
        <v>0</v>
      </c>
      <c r="N135" s="31">
        <v>3</v>
      </c>
      <c r="O135" s="31">
        <v>12</v>
      </c>
      <c r="P135" s="31">
        <v>40</v>
      </c>
      <c r="Q135" s="31">
        <v>1</v>
      </c>
      <c r="R135" s="31">
        <v>5</v>
      </c>
      <c r="S135" s="31">
        <v>0</v>
      </c>
      <c r="T135" s="31">
        <v>0</v>
      </c>
      <c r="V135" s="71"/>
    </row>
    <row r="136" spans="1:22" s="32" customFormat="1" ht="14.25" hidden="1" customHeight="1" x14ac:dyDescent="0.2">
      <c r="A136" s="108" t="s">
        <v>75</v>
      </c>
      <c r="B136" s="33" t="s">
        <v>37</v>
      </c>
      <c r="C136" s="34" t="s">
        <v>38</v>
      </c>
      <c r="D136" s="19">
        <v>103</v>
      </c>
      <c r="E136" s="19">
        <v>42</v>
      </c>
      <c r="F136" s="19">
        <v>61</v>
      </c>
      <c r="G136" s="19">
        <v>0</v>
      </c>
      <c r="H136" s="19">
        <v>0</v>
      </c>
      <c r="I136" s="19">
        <v>0</v>
      </c>
      <c r="J136" s="19">
        <v>0</v>
      </c>
      <c r="K136" s="19">
        <v>29</v>
      </c>
      <c r="L136" s="19">
        <v>17</v>
      </c>
      <c r="M136" s="19">
        <v>0</v>
      </c>
      <c r="N136" s="19">
        <v>3</v>
      </c>
      <c r="O136" s="19">
        <v>12</v>
      </c>
      <c r="P136" s="19">
        <v>36</v>
      </c>
      <c r="Q136" s="19">
        <v>1</v>
      </c>
      <c r="R136" s="19">
        <v>5</v>
      </c>
      <c r="S136" s="19">
        <v>0</v>
      </c>
      <c r="T136" s="19">
        <v>0</v>
      </c>
      <c r="V136" s="71"/>
    </row>
    <row r="137" spans="1:22" s="32" customFormat="1" ht="14.25" hidden="1" customHeight="1" x14ac:dyDescent="0.2">
      <c r="A137" s="108"/>
      <c r="B137" s="36" t="s">
        <v>39</v>
      </c>
      <c r="C137" s="37" t="s">
        <v>163</v>
      </c>
      <c r="D137" s="19">
        <v>9</v>
      </c>
      <c r="E137" s="19">
        <v>3</v>
      </c>
      <c r="F137" s="19">
        <v>6</v>
      </c>
      <c r="G137" s="19">
        <v>0</v>
      </c>
      <c r="H137" s="19">
        <v>0</v>
      </c>
      <c r="I137" s="19">
        <v>0</v>
      </c>
      <c r="J137" s="19">
        <v>0</v>
      </c>
      <c r="K137" s="19">
        <v>3</v>
      </c>
      <c r="L137" s="19">
        <v>2</v>
      </c>
      <c r="M137" s="19">
        <v>0</v>
      </c>
      <c r="N137" s="19">
        <v>0</v>
      </c>
      <c r="O137" s="19">
        <v>0</v>
      </c>
      <c r="P137" s="19">
        <v>4</v>
      </c>
      <c r="Q137" s="19">
        <v>0</v>
      </c>
      <c r="R137" s="19">
        <v>0</v>
      </c>
      <c r="S137" s="19">
        <v>0</v>
      </c>
      <c r="T137" s="19">
        <v>0</v>
      </c>
      <c r="V137" s="71"/>
    </row>
    <row r="138" spans="1:22" s="32" customFormat="1" ht="14.25" hidden="1" customHeight="1" x14ac:dyDescent="0.2">
      <c r="A138" s="38" t="s">
        <v>76</v>
      </c>
      <c r="B138" s="29" t="s">
        <v>35</v>
      </c>
      <c r="C138" s="30" t="s">
        <v>36</v>
      </c>
      <c r="D138" s="31">
        <v>104</v>
      </c>
      <c r="E138" s="31">
        <v>45</v>
      </c>
      <c r="F138" s="31">
        <v>59</v>
      </c>
      <c r="G138" s="31">
        <v>0</v>
      </c>
      <c r="H138" s="31">
        <v>0</v>
      </c>
      <c r="I138" s="31">
        <v>0</v>
      </c>
      <c r="J138" s="31">
        <v>0</v>
      </c>
      <c r="K138" s="31">
        <v>28</v>
      </c>
      <c r="L138" s="31">
        <v>18</v>
      </c>
      <c r="M138" s="31">
        <v>0</v>
      </c>
      <c r="N138" s="31">
        <v>1</v>
      </c>
      <c r="O138" s="31">
        <v>13</v>
      </c>
      <c r="P138" s="31">
        <v>34</v>
      </c>
      <c r="Q138" s="31">
        <v>4</v>
      </c>
      <c r="R138" s="31">
        <v>6</v>
      </c>
      <c r="S138" s="31">
        <v>0</v>
      </c>
      <c r="T138" s="31">
        <v>0</v>
      </c>
      <c r="V138" s="71"/>
    </row>
    <row r="139" spans="1:22" s="32" customFormat="1" ht="14.25" hidden="1" customHeight="1" x14ac:dyDescent="0.2">
      <c r="A139" s="108" t="s">
        <v>77</v>
      </c>
      <c r="B139" s="33" t="s">
        <v>37</v>
      </c>
      <c r="C139" s="34" t="s">
        <v>38</v>
      </c>
      <c r="D139" s="19">
        <v>92</v>
      </c>
      <c r="E139" s="19">
        <v>42</v>
      </c>
      <c r="F139" s="19">
        <v>50</v>
      </c>
      <c r="G139" s="19">
        <v>0</v>
      </c>
      <c r="H139" s="19">
        <v>0</v>
      </c>
      <c r="I139" s="19">
        <v>0</v>
      </c>
      <c r="J139" s="19">
        <v>0</v>
      </c>
      <c r="K139" s="19">
        <v>27</v>
      </c>
      <c r="L139" s="19">
        <v>17</v>
      </c>
      <c r="M139" s="19">
        <v>0</v>
      </c>
      <c r="N139" s="19">
        <v>1</v>
      </c>
      <c r="O139" s="19">
        <v>12</v>
      </c>
      <c r="P139" s="19">
        <v>27</v>
      </c>
      <c r="Q139" s="19">
        <v>3</v>
      </c>
      <c r="R139" s="19">
        <v>5</v>
      </c>
      <c r="S139" s="19">
        <v>0</v>
      </c>
      <c r="T139" s="19">
        <v>0</v>
      </c>
      <c r="V139" s="71"/>
    </row>
    <row r="140" spans="1:22" s="32" customFormat="1" ht="14.25" hidden="1" customHeight="1" x14ac:dyDescent="0.2">
      <c r="A140" s="108"/>
      <c r="B140" s="36" t="s">
        <v>39</v>
      </c>
      <c r="C140" s="37" t="s">
        <v>163</v>
      </c>
      <c r="D140" s="19">
        <v>12</v>
      </c>
      <c r="E140" s="19">
        <v>3</v>
      </c>
      <c r="F140" s="19">
        <v>9</v>
      </c>
      <c r="G140" s="19">
        <v>0</v>
      </c>
      <c r="H140" s="19">
        <v>0</v>
      </c>
      <c r="I140" s="19">
        <v>0</v>
      </c>
      <c r="J140" s="19">
        <v>0</v>
      </c>
      <c r="K140" s="19">
        <v>1</v>
      </c>
      <c r="L140" s="19">
        <v>1</v>
      </c>
      <c r="M140" s="19">
        <v>0</v>
      </c>
      <c r="N140" s="19">
        <v>0</v>
      </c>
      <c r="O140" s="19">
        <v>1</v>
      </c>
      <c r="P140" s="19">
        <v>7</v>
      </c>
      <c r="Q140" s="19">
        <v>1</v>
      </c>
      <c r="R140" s="19">
        <v>1</v>
      </c>
      <c r="S140" s="19">
        <v>0</v>
      </c>
      <c r="T140" s="19">
        <v>0</v>
      </c>
      <c r="V140" s="71"/>
    </row>
    <row r="141" spans="1:22" s="32" customFormat="1" ht="14.25" hidden="1" customHeight="1" x14ac:dyDescent="0.2">
      <c r="A141" s="38" t="s">
        <v>78</v>
      </c>
      <c r="B141" s="29" t="s">
        <v>35</v>
      </c>
      <c r="C141" s="30" t="s">
        <v>36</v>
      </c>
      <c r="D141" s="31">
        <v>58</v>
      </c>
      <c r="E141" s="31">
        <v>27</v>
      </c>
      <c r="F141" s="31">
        <v>31</v>
      </c>
      <c r="G141" s="31">
        <v>0</v>
      </c>
      <c r="H141" s="31">
        <v>0</v>
      </c>
      <c r="I141" s="31">
        <v>0</v>
      </c>
      <c r="J141" s="31">
        <v>0</v>
      </c>
      <c r="K141" s="31">
        <v>17</v>
      </c>
      <c r="L141" s="31">
        <v>6</v>
      </c>
      <c r="M141" s="31">
        <v>0</v>
      </c>
      <c r="N141" s="31">
        <v>0</v>
      </c>
      <c r="O141" s="31">
        <v>3</v>
      </c>
      <c r="P141" s="31">
        <v>13</v>
      </c>
      <c r="Q141" s="31">
        <v>7</v>
      </c>
      <c r="R141" s="31">
        <v>12</v>
      </c>
      <c r="S141" s="31">
        <v>0</v>
      </c>
      <c r="T141" s="31">
        <v>0</v>
      </c>
      <c r="V141" s="71"/>
    </row>
    <row r="142" spans="1:22" s="32" customFormat="1" ht="14.25" hidden="1" customHeight="1" x14ac:dyDescent="0.2">
      <c r="A142" s="108" t="s">
        <v>79</v>
      </c>
      <c r="B142" s="33" t="s">
        <v>37</v>
      </c>
      <c r="C142" s="34" t="s">
        <v>38</v>
      </c>
      <c r="D142" s="19">
        <v>58</v>
      </c>
      <c r="E142" s="19">
        <v>27</v>
      </c>
      <c r="F142" s="19">
        <v>31</v>
      </c>
      <c r="G142" s="19">
        <v>0</v>
      </c>
      <c r="H142" s="19">
        <v>0</v>
      </c>
      <c r="I142" s="19">
        <v>0</v>
      </c>
      <c r="J142" s="19">
        <v>0</v>
      </c>
      <c r="K142" s="19">
        <v>17</v>
      </c>
      <c r="L142" s="19">
        <v>6</v>
      </c>
      <c r="M142" s="19">
        <v>0</v>
      </c>
      <c r="N142" s="19">
        <v>0</v>
      </c>
      <c r="O142" s="19">
        <v>3</v>
      </c>
      <c r="P142" s="19">
        <v>13</v>
      </c>
      <c r="Q142" s="19">
        <v>7</v>
      </c>
      <c r="R142" s="19">
        <v>12</v>
      </c>
      <c r="S142" s="19">
        <v>0</v>
      </c>
      <c r="T142" s="19">
        <v>0</v>
      </c>
      <c r="V142" s="71"/>
    </row>
    <row r="143" spans="1:22" s="32" customFormat="1" ht="14.25" hidden="1" customHeight="1" x14ac:dyDescent="0.2">
      <c r="A143" s="108"/>
      <c r="B143" s="36" t="s">
        <v>39</v>
      </c>
      <c r="C143" s="37" t="s">
        <v>163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V143" s="71"/>
    </row>
    <row r="144" spans="1:22" s="32" customFormat="1" ht="14.25" hidden="1" customHeight="1" x14ac:dyDescent="0.2">
      <c r="A144" s="38" t="s">
        <v>80</v>
      </c>
      <c r="B144" s="29" t="s">
        <v>35</v>
      </c>
      <c r="C144" s="30" t="s">
        <v>36</v>
      </c>
      <c r="D144" s="31">
        <v>18</v>
      </c>
      <c r="E144" s="31">
        <v>12</v>
      </c>
      <c r="F144" s="31">
        <v>6</v>
      </c>
      <c r="G144" s="31">
        <v>0</v>
      </c>
      <c r="H144" s="31">
        <v>0</v>
      </c>
      <c r="I144" s="31">
        <v>0</v>
      </c>
      <c r="J144" s="31">
        <v>0</v>
      </c>
      <c r="K144" s="31">
        <v>11</v>
      </c>
      <c r="L144" s="31">
        <v>2</v>
      </c>
      <c r="M144" s="31">
        <v>0</v>
      </c>
      <c r="N144" s="31">
        <v>0</v>
      </c>
      <c r="O144" s="31">
        <v>0</v>
      </c>
      <c r="P144" s="31">
        <v>4</v>
      </c>
      <c r="Q144" s="31">
        <v>1</v>
      </c>
      <c r="R144" s="31">
        <v>0</v>
      </c>
      <c r="S144" s="31">
        <v>0</v>
      </c>
      <c r="T144" s="31">
        <v>0</v>
      </c>
      <c r="V144" s="71"/>
    </row>
    <row r="145" spans="1:23" s="32" customFormat="1" ht="14.25" hidden="1" customHeight="1" x14ac:dyDescent="0.2">
      <c r="A145" s="108" t="s">
        <v>81</v>
      </c>
      <c r="B145" s="33" t="s">
        <v>37</v>
      </c>
      <c r="C145" s="34" t="s">
        <v>38</v>
      </c>
      <c r="D145" s="19">
        <v>18</v>
      </c>
      <c r="E145" s="19">
        <v>12</v>
      </c>
      <c r="F145" s="19">
        <v>6</v>
      </c>
      <c r="G145" s="19">
        <v>0</v>
      </c>
      <c r="H145" s="19">
        <v>0</v>
      </c>
      <c r="I145" s="19">
        <v>0</v>
      </c>
      <c r="J145" s="19">
        <v>0</v>
      </c>
      <c r="K145" s="19">
        <v>11</v>
      </c>
      <c r="L145" s="19">
        <v>2</v>
      </c>
      <c r="M145" s="19">
        <v>0</v>
      </c>
      <c r="N145" s="19">
        <v>0</v>
      </c>
      <c r="O145" s="19">
        <v>0</v>
      </c>
      <c r="P145" s="19">
        <v>4</v>
      </c>
      <c r="Q145" s="19">
        <v>1</v>
      </c>
      <c r="R145" s="19">
        <v>0</v>
      </c>
      <c r="S145" s="19">
        <v>0</v>
      </c>
      <c r="T145" s="19">
        <v>0</v>
      </c>
      <c r="V145" s="71"/>
    </row>
    <row r="146" spans="1:23" s="32" customFormat="1" ht="14.25" hidden="1" customHeight="1" x14ac:dyDescent="0.2">
      <c r="A146" s="108"/>
      <c r="B146" s="36" t="s">
        <v>39</v>
      </c>
      <c r="C146" s="37" t="s">
        <v>163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V146" s="71"/>
    </row>
    <row r="147" spans="1:23" s="32" customFormat="1" ht="14.25" hidden="1" customHeight="1" x14ac:dyDescent="0.2">
      <c r="A147" s="38" t="s">
        <v>82</v>
      </c>
      <c r="B147" s="29" t="s">
        <v>35</v>
      </c>
      <c r="C147" s="30" t="s">
        <v>36</v>
      </c>
      <c r="D147" s="31">
        <v>3</v>
      </c>
      <c r="E147" s="31">
        <v>2</v>
      </c>
      <c r="F147" s="31">
        <v>1</v>
      </c>
      <c r="G147" s="31">
        <v>0</v>
      </c>
      <c r="H147" s="31">
        <v>0</v>
      </c>
      <c r="I147" s="31">
        <v>0</v>
      </c>
      <c r="J147" s="31">
        <v>0</v>
      </c>
      <c r="K147" s="31">
        <v>2</v>
      </c>
      <c r="L147" s="31">
        <v>0</v>
      </c>
      <c r="M147" s="31">
        <v>0</v>
      </c>
      <c r="N147" s="31">
        <v>1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V147" s="71"/>
    </row>
    <row r="148" spans="1:23" s="32" customFormat="1" ht="14.25" hidden="1" customHeight="1" x14ac:dyDescent="0.2">
      <c r="A148" s="108" t="s">
        <v>83</v>
      </c>
      <c r="B148" s="33" t="s">
        <v>37</v>
      </c>
      <c r="C148" s="34" t="s">
        <v>38</v>
      </c>
      <c r="D148" s="19">
        <v>3</v>
      </c>
      <c r="E148" s="19">
        <v>2</v>
      </c>
      <c r="F148" s="19">
        <v>1</v>
      </c>
      <c r="G148" s="19">
        <v>0</v>
      </c>
      <c r="H148" s="19">
        <v>0</v>
      </c>
      <c r="I148" s="19">
        <v>0</v>
      </c>
      <c r="J148" s="19">
        <v>0</v>
      </c>
      <c r="K148" s="19">
        <v>2</v>
      </c>
      <c r="L148" s="19">
        <v>0</v>
      </c>
      <c r="M148" s="19">
        <v>0</v>
      </c>
      <c r="N148" s="19">
        <v>1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V148" s="71"/>
    </row>
    <row r="149" spans="1:23" s="32" customFormat="1" ht="14.25" hidden="1" customHeight="1" x14ac:dyDescent="0.2">
      <c r="A149" s="108"/>
      <c r="B149" s="36" t="s">
        <v>39</v>
      </c>
      <c r="C149" s="37" t="s">
        <v>163</v>
      </c>
      <c r="D149" s="39">
        <v>0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39">
        <v>0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0</v>
      </c>
      <c r="T149" s="39">
        <v>0</v>
      </c>
      <c r="V149" s="71"/>
    </row>
    <row r="150" spans="1:23" ht="11.1" hidden="1" customHeight="1" x14ac:dyDescent="0.2"/>
    <row r="151" spans="1:23" s="32" customFormat="1" ht="18" hidden="1" customHeight="1" x14ac:dyDescent="0.2">
      <c r="A151" s="28" t="s">
        <v>34</v>
      </c>
      <c r="B151" s="29" t="s">
        <v>35</v>
      </c>
      <c r="C151" s="30" t="s">
        <v>36</v>
      </c>
      <c r="D151" s="31" t="str">
        <f t="shared" ref="D151:T151" si="2">IF(D81=D8,"","*")</f>
        <v/>
      </c>
      <c r="E151" s="31" t="str">
        <f t="shared" si="2"/>
        <v/>
      </c>
      <c r="F151" s="31" t="str">
        <f t="shared" si="2"/>
        <v/>
      </c>
      <c r="G151" s="31" t="str">
        <f t="shared" si="2"/>
        <v/>
      </c>
      <c r="H151" s="31" t="str">
        <f t="shared" si="2"/>
        <v/>
      </c>
      <c r="I151" s="31" t="str">
        <f t="shared" si="2"/>
        <v/>
      </c>
      <c r="J151" s="31" t="str">
        <f t="shared" si="2"/>
        <v/>
      </c>
      <c r="K151" s="31" t="str">
        <f t="shared" si="2"/>
        <v/>
      </c>
      <c r="L151" s="31" t="str">
        <f t="shared" si="2"/>
        <v/>
      </c>
      <c r="M151" s="31" t="str">
        <f t="shared" si="2"/>
        <v/>
      </c>
      <c r="N151" s="31" t="str">
        <f t="shared" si="2"/>
        <v/>
      </c>
      <c r="O151" s="31" t="str">
        <f t="shared" si="2"/>
        <v/>
      </c>
      <c r="P151" s="31" t="str">
        <f t="shared" si="2"/>
        <v/>
      </c>
      <c r="Q151" s="31" t="str">
        <f t="shared" si="2"/>
        <v/>
      </c>
      <c r="R151" s="31" t="str">
        <f t="shared" si="2"/>
        <v/>
      </c>
      <c r="S151" s="31" t="str">
        <f t="shared" si="2"/>
        <v/>
      </c>
      <c r="T151" s="31" t="str">
        <f t="shared" si="2"/>
        <v/>
      </c>
      <c r="V151" s="71"/>
      <c r="W151" s="71"/>
    </row>
    <row r="152" spans="1:23" s="32" customFormat="1" ht="14.25" hidden="1" customHeight="1" x14ac:dyDescent="0.2">
      <c r="A152" s="112" t="s">
        <v>36</v>
      </c>
      <c r="B152" s="33" t="s">
        <v>37</v>
      </c>
      <c r="C152" s="34" t="s">
        <v>38</v>
      </c>
      <c r="D152" s="19" t="str">
        <f t="shared" ref="D152:T152" si="3">IF(D82=D9,"","*")</f>
        <v/>
      </c>
      <c r="E152" s="19" t="str">
        <f t="shared" si="3"/>
        <v/>
      </c>
      <c r="F152" s="19" t="str">
        <f t="shared" si="3"/>
        <v/>
      </c>
      <c r="G152" s="19" t="str">
        <f t="shared" si="3"/>
        <v/>
      </c>
      <c r="H152" s="19" t="str">
        <f t="shared" si="3"/>
        <v/>
      </c>
      <c r="I152" s="19" t="str">
        <f t="shared" si="3"/>
        <v/>
      </c>
      <c r="J152" s="19" t="str">
        <f t="shared" si="3"/>
        <v/>
      </c>
      <c r="K152" s="19" t="str">
        <f t="shared" si="3"/>
        <v/>
      </c>
      <c r="L152" s="19" t="str">
        <f t="shared" si="3"/>
        <v/>
      </c>
      <c r="M152" s="19" t="str">
        <f t="shared" si="3"/>
        <v/>
      </c>
      <c r="N152" s="19" t="str">
        <f t="shared" si="3"/>
        <v/>
      </c>
      <c r="O152" s="19" t="str">
        <f t="shared" si="3"/>
        <v/>
      </c>
      <c r="P152" s="19" t="str">
        <f t="shared" si="3"/>
        <v/>
      </c>
      <c r="Q152" s="19" t="str">
        <f t="shared" si="3"/>
        <v/>
      </c>
      <c r="R152" s="19" t="str">
        <f t="shared" si="3"/>
        <v/>
      </c>
      <c r="S152" s="19" t="str">
        <f t="shared" si="3"/>
        <v/>
      </c>
      <c r="T152" s="19" t="str">
        <f t="shared" si="3"/>
        <v/>
      </c>
      <c r="V152" s="71"/>
    </row>
    <row r="153" spans="1:23" s="32" customFormat="1" ht="14.25" hidden="1" customHeight="1" x14ac:dyDescent="0.2">
      <c r="A153" s="112"/>
      <c r="B153" s="33" t="s">
        <v>39</v>
      </c>
      <c r="C153" s="34" t="s">
        <v>163</v>
      </c>
      <c r="D153" s="19" t="str">
        <f t="shared" ref="D153:T153" si="4">IF(D83=D10,"","*")</f>
        <v/>
      </c>
      <c r="E153" s="19" t="str">
        <f t="shared" si="4"/>
        <v/>
      </c>
      <c r="F153" s="19" t="str">
        <f t="shared" si="4"/>
        <v/>
      </c>
      <c r="G153" s="19" t="str">
        <f t="shared" si="4"/>
        <v/>
      </c>
      <c r="H153" s="19" t="str">
        <f t="shared" si="4"/>
        <v/>
      </c>
      <c r="I153" s="19" t="str">
        <f t="shared" si="4"/>
        <v/>
      </c>
      <c r="J153" s="19" t="str">
        <f t="shared" si="4"/>
        <v/>
      </c>
      <c r="K153" s="19" t="str">
        <f t="shared" si="4"/>
        <v/>
      </c>
      <c r="L153" s="19" t="str">
        <f t="shared" si="4"/>
        <v/>
      </c>
      <c r="M153" s="19" t="str">
        <f t="shared" si="4"/>
        <v/>
      </c>
      <c r="N153" s="19" t="str">
        <f t="shared" si="4"/>
        <v/>
      </c>
      <c r="O153" s="19" t="str">
        <f t="shared" si="4"/>
        <v/>
      </c>
      <c r="P153" s="19" t="str">
        <f t="shared" si="4"/>
        <v/>
      </c>
      <c r="Q153" s="19" t="str">
        <f t="shared" si="4"/>
        <v/>
      </c>
      <c r="R153" s="19" t="str">
        <f t="shared" si="4"/>
        <v/>
      </c>
      <c r="S153" s="19" t="str">
        <f t="shared" si="4"/>
        <v/>
      </c>
      <c r="T153" s="19" t="str">
        <f t="shared" si="4"/>
        <v/>
      </c>
      <c r="V153" s="71"/>
    </row>
    <row r="154" spans="1:23" s="32" customFormat="1" ht="14.25" hidden="1" customHeight="1" x14ac:dyDescent="0.2">
      <c r="A154" s="35" t="s">
        <v>40</v>
      </c>
      <c r="B154" s="29" t="s">
        <v>35</v>
      </c>
      <c r="C154" s="30" t="s">
        <v>36</v>
      </c>
      <c r="D154" s="31" t="str">
        <f t="shared" ref="D154:T154" si="5">IF(D84=D11,"","*")</f>
        <v/>
      </c>
      <c r="E154" s="31" t="str">
        <f t="shared" si="5"/>
        <v/>
      </c>
      <c r="F154" s="31" t="str">
        <f t="shared" si="5"/>
        <v/>
      </c>
      <c r="G154" s="31" t="str">
        <f t="shared" si="5"/>
        <v/>
      </c>
      <c r="H154" s="31" t="str">
        <f t="shared" si="5"/>
        <v/>
      </c>
      <c r="I154" s="31" t="str">
        <f t="shared" si="5"/>
        <v/>
      </c>
      <c r="J154" s="31" t="str">
        <f t="shared" si="5"/>
        <v/>
      </c>
      <c r="K154" s="31" t="str">
        <f t="shared" si="5"/>
        <v/>
      </c>
      <c r="L154" s="31" t="str">
        <f t="shared" si="5"/>
        <v/>
      </c>
      <c r="M154" s="31" t="str">
        <f t="shared" si="5"/>
        <v/>
      </c>
      <c r="N154" s="31" t="str">
        <f t="shared" si="5"/>
        <v/>
      </c>
      <c r="O154" s="31" t="str">
        <f t="shared" si="5"/>
        <v/>
      </c>
      <c r="P154" s="31" t="str">
        <f t="shared" si="5"/>
        <v/>
      </c>
      <c r="Q154" s="31" t="str">
        <f t="shared" si="5"/>
        <v/>
      </c>
      <c r="R154" s="31" t="str">
        <f t="shared" si="5"/>
        <v/>
      </c>
      <c r="S154" s="31" t="str">
        <f t="shared" si="5"/>
        <v/>
      </c>
      <c r="T154" s="31" t="str">
        <f t="shared" si="5"/>
        <v/>
      </c>
      <c r="V154" s="71"/>
    </row>
    <row r="155" spans="1:23" s="32" customFormat="1" ht="14.25" hidden="1" customHeight="1" x14ac:dyDescent="0.2">
      <c r="A155" s="108" t="s">
        <v>41</v>
      </c>
      <c r="B155" s="33" t="s">
        <v>37</v>
      </c>
      <c r="C155" s="34" t="s">
        <v>38</v>
      </c>
      <c r="D155" s="19" t="str">
        <f t="shared" ref="D155:T155" si="6">IF(D85=D12,"","*")</f>
        <v/>
      </c>
      <c r="E155" s="19" t="str">
        <f t="shared" si="6"/>
        <v/>
      </c>
      <c r="F155" s="19" t="str">
        <f t="shared" si="6"/>
        <v/>
      </c>
      <c r="G155" s="19" t="str">
        <f t="shared" si="6"/>
        <v/>
      </c>
      <c r="H155" s="19" t="str">
        <f t="shared" si="6"/>
        <v/>
      </c>
      <c r="I155" s="19" t="str">
        <f t="shared" si="6"/>
        <v/>
      </c>
      <c r="J155" s="19" t="str">
        <f t="shared" si="6"/>
        <v/>
      </c>
      <c r="K155" s="19" t="str">
        <f t="shared" si="6"/>
        <v/>
      </c>
      <c r="L155" s="19" t="str">
        <f t="shared" si="6"/>
        <v/>
      </c>
      <c r="M155" s="19" t="str">
        <f t="shared" si="6"/>
        <v/>
      </c>
      <c r="N155" s="19" t="str">
        <f t="shared" si="6"/>
        <v/>
      </c>
      <c r="O155" s="19" t="str">
        <f t="shared" si="6"/>
        <v/>
      </c>
      <c r="P155" s="19" t="str">
        <f t="shared" si="6"/>
        <v/>
      </c>
      <c r="Q155" s="19" t="str">
        <f t="shared" si="6"/>
        <v/>
      </c>
      <c r="R155" s="19" t="str">
        <f t="shared" si="6"/>
        <v/>
      </c>
      <c r="S155" s="19" t="str">
        <f t="shared" si="6"/>
        <v/>
      </c>
      <c r="T155" s="19" t="str">
        <f t="shared" si="6"/>
        <v/>
      </c>
      <c r="V155" s="71"/>
    </row>
    <row r="156" spans="1:23" s="32" customFormat="1" ht="14.25" hidden="1" customHeight="1" x14ac:dyDescent="0.2">
      <c r="A156" s="108"/>
      <c r="B156" s="33" t="s">
        <v>39</v>
      </c>
      <c r="C156" s="34" t="s">
        <v>163</v>
      </c>
      <c r="D156" s="19" t="str">
        <f t="shared" ref="D156:T156" si="7">IF(D86=D13,"","*")</f>
        <v/>
      </c>
      <c r="E156" s="19" t="str">
        <f t="shared" si="7"/>
        <v/>
      </c>
      <c r="F156" s="19" t="str">
        <f t="shared" si="7"/>
        <v/>
      </c>
      <c r="G156" s="19" t="str">
        <f t="shared" si="7"/>
        <v/>
      </c>
      <c r="H156" s="19" t="str">
        <f t="shared" si="7"/>
        <v/>
      </c>
      <c r="I156" s="19" t="str">
        <f t="shared" si="7"/>
        <v/>
      </c>
      <c r="J156" s="19" t="str">
        <f t="shared" si="7"/>
        <v/>
      </c>
      <c r="K156" s="19" t="str">
        <f t="shared" si="7"/>
        <v/>
      </c>
      <c r="L156" s="19" t="str">
        <f t="shared" si="7"/>
        <v/>
      </c>
      <c r="M156" s="19" t="str">
        <f t="shared" si="7"/>
        <v/>
      </c>
      <c r="N156" s="19" t="str">
        <f t="shared" si="7"/>
        <v/>
      </c>
      <c r="O156" s="19" t="str">
        <f t="shared" si="7"/>
        <v/>
      </c>
      <c r="P156" s="19" t="str">
        <f t="shared" si="7"/>
        <v/>
      </c>
      <c r="Q156" s="19" t="str">
        <f t="shared" si="7"/>
        <v/>
      </c>
      <c r="R156" s="19" t="str">
        <f t="shared" si="7"/>
        <v/>
      </c>
      <c r="S156" s="19" t="str">
        <f t="shared" si="7"/>
        <v/>
      </c>
      <c r="T156" s="19" t="str">
        <f t="shared" si="7"/>
        <v/>
      </c>
      <c r="V156" s="71"/>
    </row>
    <row r="157" spans="1:23" s="32" customFormat="1" ht="14.25" hidden="1" customHeight="1" x14ac:dyDescent="0.2">
      <c r="A157" s="35" t="s">
        <v>42</v>
      </c>
      <c r="B157" s="29" t="s">
        <v>35</v>
      </c>
      <c r="C157" s="30" t="s">
        <v>36</v>
      </c>
      <c r="D157" s="31" t="str">
        <f t="shared" ref="D157:T157" si="8">IF(D87=D14,"","*")</f>
        <v/>
      </c>
      <c r="E157" s="31" t="str">
        <f t="shared" si="8"/>
        <v/>
      </c>
      <c r="F157" s="31" t="str">
        <f t="shared" si="8"/>
        <v/>
      </c>
      <c r="G157" s="31" t="str">
        <f t="shared" si="8"/>
        <v/>
      </c>
      <c r="H157" s="31" t="str">
        <f t="shared" si="8"/>
        <v/>
      </c>
      <c r="I157" s="31" t="str">
        <f t="shared" si="8"/>
        <v/>
      </c>
      <c r="J157" s="31" t="str">
        <f t="shared" si="8"/>
        <v/>
      </c>
      <c r="K157" s="31" t="str">
        <f t="shared" si="8"/>
        <v/>
      </c>
      <c r="L157" s="31" t="str">
        <f t="shared" si="8"/>
        <v/>
      </c>
      <c r="M157" s="31" t="str">
        <f t="shared" si="8"/>
        <v/>
      </c>
      <c r="N157" s="31" t="str">
        <f t="shared" si="8"/>
        <v/>
      </c>
      <c r="O157" s="31" t="str">
        <f t="shared" si="8"/>
        <v/>
      </c>
      <c r="P157" s="31" t="str">
        <f t="shared" si="8"/>
        <v/>
      </c>
      <c r="Q157" s="31" t="str">
        <f t="shared" si="8"/>
        <v/>
      </c>
      <c r="R157" s="31" t="str">
        <f t="shared" si="8"/>
        <v/>
      </c>
      <c r="S157" s="31" t="str">
        <f t="shared" si="8"/>
        <v/>
      </c>
      <c r="T157" s="31" t="str">
        <f t="shared" si="8"/>
        <v/>
      </c>
      <c r="V157" s="71"/>
    </row>
    <row r="158" spans="1:23" s="32" customFormat="1" ht="14.25" hidden="1" customHeight="1" x14ac:dyDescent="0.2">
      <c r="A158" s="108" t="s">
        <v>43</v>
      </c>
      <c r="B158" s="33" t="s">
        <v>37</v>
      </c>
      <c r="C158" s="34" t="s">
        <v>38</v>
      </c>
      <c r="D158" s="19" t="str">
        <f t="shared" ref="D158:T158" si="9">IF(D88=D15,"","*")</f>
        <v/>
      </c>
      <c r="E158" s="19" t="str">
        <f t="shared" si="9"/>
        <v/>
      </c>
      <c r="F158" s="19" t="str">
        <f t="shared" si="9"/>
        <v/>
      </c>
      <c r="G158" s="19" t="str">
        <f t="shared" si="9"/>
        <v/>
      </c>
      <c r="H158" s="19" t="str">
        <f t="shared" si="9"/>
        <v/>
      </c>
      <c r="I158" s="19" t="str">
        <f t="shared" si="9"/>
        <v/>
      </c>
      <c r="J158" s="19" t="str">
        <f t="shared" si="9"/>
        <v/>
      </c>
      <c r="K158" s="19" t="str">
        <f t="shared" si="9"/>
        <v/>
      </c>
      <c r="L158" s="19" t="str">
        <f t="shared" si="9"/>
        <v/>
      </c>
      <c r="M158" s="19" t="str">
        <f t="shared" si="9"/>
        <v/>
      </c>
      <c r="N158" s="19" t="str">
        <f t="shared" si="9"/>
        <v/>
      </c>
      <c r="O158" s="19" t="str">
        <f t="shared" si="9"/>
        <v/>
      </c>
      <c r="P158" s="19" t="str">
        <f t="shared" si="9"/>
        <v/>
      </c>
      <c r="Q158" s="19" t="str">
        <f t="shared" si="9"/>
        <v/>
      </c>
      <c r="R158" s="19" t="str">
        <f t="shared" si="9"/>
        <v/>
      </c>
      <c r="S158" s="19" t="str">
        <f t="shared" si="9"/>
        <v/>
      </c>
      <c r="T158" s="19" t="str">
        <f t="shared" si="9"/>
        <v/>
      </c>
      <c r="V158" s="71"/>
    </row>
    <row r="159" spans="1:23" s="32" customFormat="1" ht="14.25" hidden="1" customHeight="1" x14ac:dyDescent="0.2">
      <c r="A159" s="108"/>
      <c r="B159" s="36" t="s">
        <v>39</v>
      </c>
      <c r="C159" s="37" t="s">
        <v>163</v>
      </c>
      <c r="D159" s="19" t="str">
        <f t="shared" ref="D159:T159" si="10">IF(D89=D16,"","*")</f>
        <v/>
      </c>
      <c r="E159" s="19" t="str">
        <f t="shared" si="10"/>
        <v/>
      </c>
      <c r="F159" s="19" t="str">
        <f t="shared" si="10"/>
        <v/>
      </c>
      <c r="G159" s="19" t="str">
        <f t="shared" si="10"/>
        <v/>
      </c>
      <c r="H159" s="19" t="str">
        <f t="shared" si="10"/>
        <v/>
      </c>
      <c r="I159" s="19" t="str">
        <f t="shared" si="10"/>
        <v/>
      </c>
      <c r="J159" s="19" t="str">
        <f t="shared" si="10"/>
        <v/>
      </c>
      <c r="K159" s="19" t="str">
        <f t="shared" si="10"/>
        <v/>
      </c>
      <c r="L159" s="19" t="str">
        <f t="shared" si="10"/>
        <v/>
      </c>
      <c r="M159" s="19" t="str">
        <f t="shared" si="10"/>
        <v/>
      </c>
      <c r="N159" s="19" t="str">
        <f t="shared" si="10"/>
        <v/>
      </c>
      <c r="O159" s="19" t="str">
        <f t="shared" si="10"/>
        <v/>
      </c>
      <c r="P159" s="19" t="str">
        <f t="shared" si="10"/>
        <v/>
      </c>
      <c r="Q159" s="19" t="str">
        <f t="shared" si="10"/>
        <v/>
      </c>
      <c r="R159" s="19" t="str">
        <f t="shared" si="10"/>
        <v/>
      </c>
      <c r="S159" s="19" t="str">
        <f t="shared" si="10"/>
        <v/>
      </c>
      <c r="T159" s="19" t="str">
        <f t="shared" si="10"/>
        <v/>
      </c>
      <c r="V159" s="71"/>
    </row>
    <row r="160" spans="1:23" s="32" customFormat="1" ht="14.25" hidden="1" customHeight="1" x14ac:dyDescent="0.2">
      <c r="A160" s="35" t="s">
        <v>44</v>
      </c>
      <c r="B160" s="29" t="s">
        <v>35</v>
      </c>
      <c r="C160" s="30" t="s">
        <v>36</v>
      </c>
      <c r="D160" s="31" t="str">
        <f t="shared" ref="D160:T160" si="11">IF(D90=D17,"","*")</f>
        <v/>
      </c>
      <c r="E160" s="31" t="str">
        <f t="shared" si="11"/>
        <v/>
      </c>
      <c r="F160" s="31" t="str">
        <f t="shared" si="11"/>
        <v/>
      </c>
      <c r="G160" s="31" t="str">
        <f t="shared" si="11"/>
        <v/>
      </c>
      <c r="H160" s="31" t="str">
        <f t="shared" si="11"/>
        <v/>
      </c>
      <c r="I160" s="31" t="str">
        <f t="shared" si="11"/>
        <v/>
      </c>
      <c r="J160" s="31" t="str">
        <f t="shared" si="11"/>
        <v/>
      </c>
      <c r="K160" s="31" t="str">
        <f t="shared" si="11"/>
        <v/>
      </c>
      <c r="L160" s="31" t="str">
        <f t="shared" si="11"/>
        <v/>
      </c>
      <c r="M160" s="31" t="str">
        <f t="shared" si="11"/>
        <v/>
      </c>
      <c r="N160" s="31" t="str">
        <f t="shared" si="11"/>
        <v/>
      </c>
      <c r="O160" s="31" t="str">
        <f t="shared" si="11"/>
        <v/>
      </c>
      <c r="P160" s="31" t="str">
        <f t="shared" si="11"/>
        <v/>
      </c>
      <c r="Q160" s="31" t="str">
        <f t="shared" si="11"/>
        <v/>
      </c>
      <c r="R160" s="31" t="str">
        <f t="shared" si="11"/>
        <v/>
      </c>
      <c r="S160" s="31" t="str">
        <f t="shared" si="11"/>
        <v/>
      </c>
      <c r="T160" s="31" t="str">
        <f t="shared" si="11"/>
        <v/>
      </c>
      <c r="V160" s="71"/>
    </row>
    <row r="161" spans="1:22" s="32" customFormat="1" ht="14.25" hidden="1" customHeight="1" x14ac:dyDescent="0.2">
      <c r="A161" s="108" t="s">
        <v>45</v>
      </c>
      <c r="B161" s="33" t="s">
        <v>37</v>
      </c>
      <c r="C161" s="34" t="s">
        <v>38</v>
      </c>
      <c r="D161" s="19" t="str">
        <f t="shared" ref="D161:T161" si="12">IF(D91=D18,"","*")</f>
        <v/>
      </c>
      <c r="E161" s="19" t="str">
        <f t="shared" si="12"/>
        <v/>
      </c>
      <c r="F161" s="19" t="str">
        <f t="shared" si="12"/>
        <v/>
      </c>
      <c r="G161" s="19" t="str">
        <f t="shared" si="12"/>
        <v/>
      </c>
      <c r="H161" s="19" t="str">
        <f t="shared" si="12"/>
        <v/>
      </c>
      <c r="I161" s="19" t="str">
        <f t="shared" si="12"/>
        <v/>
      </c>
      <c r="J161" s="19" t="str">
        <f t="shared" si="12"/>
        <v/>
      </c>
      <c r="K161" s="19" t="str">
        <f t="shared" si="12"/>
        <v/>
      </c>
      <c r="L161" s="19" t="str">
        <f t="shared" si="12"/>
        <v/>
      </c>
      <c r="M161" s="19" t="str">
        <f t="shared" si="12"/>
        <v/>
      </c>
      <c r="N161" s="19" t="str">
        <f t="shared" si="12"/>
        <v/>
      </c>
      <c r="O161" s="19" t="str">
        <f t="shared" si="12"/>
        <v/>
      </c>
      <c r="P161" s="19" t="str">
        <f t="shared" si="12"/>
        <v/>
      </c>
      <c r="Q161" s="19" t="str">
        <f t="shared" si="12"/>
        <v/>
      </c>
      <c r="R161" s="19" t="str">
        <f t="shared" si="12"/>
        <v/>
      </c>
      <c r="S161" s="19" t="str">
        <f t="shared" si="12"/>
        <v/>
      </c>
      <c r="T161" s="19" t="str">
        <f t="shared" si="12"/>
        <v/>
      </c>
      <c r="V161" s="71"/>
    </row>
    <row r="162" spans="1:22" s="32" customFormat="1" ht="14.25" hidden="1" customHeight="1" x14ac:dyDescent="0.2">
      <c r="A162" s="108"/>
      <c r="B162" s="36" t="s">
        <v>39</v>
      </c>
      <c r="C162" s="37" t="s">
        <v>163</v>
      </c>
      <c r="D162" s="19" t="str">
        <f t="shared" ref="D162:T162" si="13">IF(D92=D19,"","*")</f>
        <v/>
      </c>
      <c r="E162" s="19" t="str">
        <f t="shared" si="13"/>
        <v/>
      </c>
      <c r="F162" s="19" t="str">
        <f t="shared" si="13"/>
        <v/>
      </c>
      <c r="G162" s="19" t="str">
        <f t="shared" si="13"/>
        <v/>
      </c>
      <c r="H162" s="19" t="str">
        <f t="shared" si="13"/>
        <v/>
      </c>
      <c r="I162" s="19" t="str">
        <f t="shared" si="13"/>
        <v/>
      </c>
      <c r="J162" s="19" t="str">
        <f t="shared" si="13"/>
        <v/>
      </c>
      <c r="K162" s="19" t="str">
        <f t="shared" si="13"/>
        <v/>
      </c>
      <c r="L162" s="19" t="str">
        <f t="shared" si="13"/>
        <v/>
      </c>
      <c r="M162" s="19" t="str">
        <f t="shared" si="13"/>
        <v/>
      </c>
      <c r="N162" s="19" t="str">
        <f t="shared" si="13"/>
        <v/>
      </c>
      <c r="O162" s="19" t="str">
        <f t="shared" si="13"/>
        <v/>
      </c>
      <c r="P162" s="19" t="str">
        <f t="shared" si="13"/>
        <v/>
      </c>
      <c r="Q162" s="19" t="str">
        <f t="shared" si="13"/>
        <v/>
      </c>
      <c r="R162" s="19" t="str">
        <f t="shared" si="13"/>
        <v/>
      </c>
      <c r="S162" s="19" t="str">
        <f t="shared" si="13"/>
        <v/>
      </c>
      <c r="T162" s="19" t="str">
        <f t="shared" si="13"/>
        <v/>
      </c>
      <c r="V162" s="71"/>
    </row>
    <row r="163" spans="1:22" s="32" customFormat="1" ht="14.25" hidden="1" customHeight="1" x14ac:dyDescent="0.2">
      <c r="A163" s="35" t="s">
        <v>46</v>
      </c>
      <c r="B163" s="29" t="s">
        <v>35</v>
      </c>
      <c r="C163" s="30" t="s">
        <v>36</v>
      </c>
      <c r="D163" s="31" t="str">
        <f t="shared" ref="D163:T163" si="14">IF(D93=D20,"","*")</f>
        <v/>
      </c>
      <c r="E163" s="31" t="str">
        <f t="shared" si="14"/>
        <v/>
      </c>
      <c r="F163" s="31" t="str">
        <f t="shared" si="14"/>
        <v/>
      </c>
      <c r="G163" s="31" t="str">
        <f t="shared" si="14"/>
        <v/>
      </c>
      <c r="H163" s="31" t="str">
        <f t="shared" si="14"/>
        <v/>
      </c>
      <c r="I163" s="31" t="str">
        <f t="shared" si="14"/>
        <v/>
      </c>
      <c r="J163" s="31" t="str">
        <f t="shared" si="14"/>
        <v/>
      </c>
      <c r="K163" s="31" t="str">
        <f t="shared" si="14"/>
        <v/>
      </c>
      <c r="L163" s="31" t="str">
        <f t="shared" si="14"/>
        <v/>
      </c>
      <c r="M163" s="31" t="str">
        <f t="shared" si="14"/>
        <v/>
      </c>
      <c r="N163" s="31" t="str">
        <f t="shared" si="14"/>
        <v/>
      </c>
      <c r="O163" s="31" t="str">
        <f t="shared" si="14"/>
        <v/>
      </c>
      <c r="P163" s="31" t="str">
        <f t="shared" si="14"/>
        <v/>
      </c>
      <c r="Q163" s="31" t="str">
        <f t="shared" si="14"/>
        <v/>
      </c>
      <c r="R163" s="31" t="str">
        <f t="shared" si="14"/>
        <v/>
      </c>
      <c r="S163" s="31" t="str">
        <f t="shared" si="14"/>
        <v/>
      </c>
      <c r="T163" s="31" t="str">
        <f t="shared" si="14"/>
        <v/>
      </c>
      <c r="V163" s="71"/>
    </row>
    <row r="164" spans="1:22" s="32" customFormat="1" ht="14.25" hidden="1" customHeight="1" x14ac:dyDescent="0.2">
      <c r="A164" s="108" t="s">
        <v>47</v>
      </c>
      <c r="B164" s="33" t="s">
        <v>37</v>
      </c>
      <c r="C164" s="34" t="s">
        <v>38</v>
      </c>
      <c r="D164" s="19" t="str">
        <f t="shared" ref="D164:T164" si="15">IF(D94=D21,"","*")</f>
        <v/>
      </c>
      <c r="E164" s="19" t="str">
        <f t="shared" si="15"/>
        <v/>
      </c>
      <c r="F164" s="19" t="str">
        <f t="shared" si="15"/>
        <v/>
      </c>
      <c r="G164" s="19" t="str">
        <f t="shared" si="15"/>
        <v/>
      </c>
      <c r="H164" s="19" t="str">
        <f t="shared" si="15"/>
        <v/>
      </c>
      <c r="I164" s="19" t="str">
        <f t="shared" si="15"/>
        <v/>
      </c>
      <c r="J164" s="19" t="str">
        <f t="shared" si="15"/>
        <v/>
      </c>
      <c r="K164" s="19" t="str">
        <f t="shared" si="15"/>
        <v/>
      </c>
      <c r="L164" s="19" t="str">
        <f t="shared" si="15"/>
        <v/>
      </c>
      <c r="M164" s="19" t="str">
        <f t="shared" si="15"/>
        <v/>
      </c>
      <c r="N164" s="19" t="str">
        <f t="shared" si="15"/>
        <v/>
      </c>
      <c r="O164" s="19" t="str">
        <f t="shared" si="15"/>
        <v/>
      </c>
      <c r="P164" s="19" t="str">
        <f t="shared" si="15"/>
        <v/>
      </c>
      <c r="Q164" s="19" t="str">
        <f t="shared" si="15"/>
        <v/>
      </c>
      <c r="R164" s="19" t="str">
        <f t="shared" si="15"/>
        <v/>
      </c>
      <c r="S164" s="19" t="str">
        <f t="shared" si="15"/>
        <v/>
      </c>
      <c r="T164" s="19" t="str">
        <f t="shared" si="15"/>
        <v/>
      </c>
      <c r="V164" s="71"/>
    </row>
    <row r="165" spans="1:22" s="32" customFormat="1" ht="14.25" hidden="1" customHeight="1" x14ac:dyDescent="0.2">
      <c r="A165" s="108"/>
      <c r="B165" s="36" t="s">
        <v>39</v>
      </c>
      <c r="C165" s="37" t="s">
        <v>163</v>
      </c>
      <c r="D165" s="19" t="str">
        <f t="shared" ref="D165:T165" si="16">IF(D95=D22,"","*")</f>
        <v/>
      </c>
      <c r="E165" s="19" t="str">
        <f t="shared" si="16"/>
        <v/>
      </c>
      <c r="F165" s="19" t="str">
        <f t="shared" si="16"/>
        <v/>
      </c>
      <c r="G165" s="19" t="str">
        <f t="shared" si="16"/>
        <v/>
      </c>
      <c r="H165" s="19" t="str">
        <f t="shared" si="16"/>
        <v/>
      </c>
      <c r="I165" s="19" t="str">
        <f t="shared" si="16"/>
        <v/>
      </c>
      <c r="J165" s="19" t="str">
        <f t="shared" si="16"/>
        <v/>
      </c>
      <c r="K165" s="19" t="str">
        <f t="shared" si="16"/>
        <v/>
      </c>
      <c r="L165" s="19" t="str">
        <f t="shared" si="16"/>
        <v/>
      </c>
      <c r="M165" s="19" t="str">
        <f t="shared" si="16"/>
        <v/>
      </c>
      <c r="N165" s="19" t="str">
        <f t="shared" si="16"/>
        <v/>
      </c>
      <c r="O165" s="19" t="str">
        <f t="shared" si="16"/>
        <v/>
      </c>
      <c r="P165" s="19" t="str">
        <f t="shared" si="16"/>
        <v/>
      </c>
      <c r="Q165" s="19" t="str">
        <f t="shared" si="16"/>
        <v/>
      </c>
      <c r="R165" s="19" t="str">
        <f t="shared" si="16"/>
        <v/>
      </c>
      <c r="S165" s="19" t="str">
        <f t="shared" si="16"/>
        <v/>
      </c>
      <c r="T165" s="19" t="str">
        <f t="shared" si="16"/>
        <v/>
      </c>
      <c r="V165" s="71"/>
    </row>
    <row r="166" spans="1:22" s="32" customFormat="1" ht="14.25" hidden="1" customHeight="1" x14ac:dyDescent="0.2">
      <c r="A166" s="35" t="s">
        <v>48</v>
      </c>
      <c r="B166" s="29" t="s">
        <v>35</v>
      </c>
      <c r="C166" s="30" t="s">
        <v>36</v>
      </c>
      <c r="D166" s="31" t="str">
        <f t="shared" ref="D166:T166" si="17">IF(D96=D23,"","*")</f>
        <v/>
      </c>
      <c r="E166" s="31" t="str">
        <f t="shared" si="17"/>
        <v/>
      </c>
      <c r="F166" s="31" t="str">
        <f t="shared" si="17"/>
        <v/>
      </c>
      <c r="G166" s="31" t="str">
        <f t="shared" si="17"/>
        <v/>
      </c>
      <c r="H166" s="31" t="str">
        <f t="shared" si="17"/>
        <v/>
      </c>
      <c r="I166" s="31" t="str">
        <f t="shared" si="17"/>
        <v/>
      </c>
      <c r="J166" s="31" t="str">
        <f t="shared" si="17"/>
        <v/>
      </c>
      <c r="K166" s="31" t="str">
        <f t="shared" si="17"/>
        <v/>
      </c>
      <c r="L166" s="31" t="str">
        <f t="shared" si="17"/>
        <v/>
      </c>
      <c r="M166" s="31" t="str">
        <f t="shared" si="17"/>
        <v/>
      </c>
      <c r="N166" s="31" t="str">
        <f t="shared" si="17"/>
        <v/>
      </c>
      <c r="O166" s="31" t="str">
        <f t="shared" si="17"/>
        <v/>
      </c>
      <c r="P166" s="31" t="str">
        <f t="shared" si="17"/>
        <v/>
      </c>
      <c r="Q166" s="31" t="str">
        <f t="shared" si="17"/>
        <v/>
      </c>
      <c r="R166" s="31" t="str">
        <f t="shared" si="17"/>
        <v/>
      </c>
      <c r="S166" s="31" t="str">
        <f t="shared" si="17"/>
        <v/>
      </c>
      <c r="T166" s="31" t="str">
        <f t="shared" si="17"/>
        <v/>
      </c>
      <c r="V166" s="71"/>
    </row>
    <row r="167" spans="1:22" s="32" customFormat="1" ht="14.25" hidden="1" customHeight="1" x14ac:dyDescent="0.2">
      <c r="A167" s="108" t="s">
        <v>49</v>
      </c>
      <c r="B167" s="33" t="s">
        <v>37</v>
      </c>
      <c r="C167" s="34" t="s">
        <v>38</v>
      </c>
      <c r="D167" s="19" t="str">
        <f t="shared" ref="D167:T167" si="18">IF(D97=D24,"","*")</f>
        <v/>
      </c>
      <c r="E167" s="19" t="str">
        <f t="shared" si="18"/>
        <v/>
      </c>
      <c r="F167" s="19" t="str">
        <f t="shared" si="18"/>
        <v/>
      </c>
      <c r="G167" s="19" t="str">
        <f t="shared" si="18"/>
        <v/>
      </c>
      <c r="H167" s="19" t="str">
        <f t="shared" si="18"/>
        <v/>
      </c>
      <c r="I167" s="19" t="str">
        <f t="shared" si="18"/>
        <v/>
      </c>
      <c r="J167" s="19" t="str">
        <f t="shared" si="18"/>
        <v/>
      </c>
      <c r="K167" s="19" t="str">
        <f t="shared" si="18"/>
        <v/>
      </c>
      <c r="L167" s="19" t="str">
        <f t="shared" si="18"/>
        <v/>
      </c>
      <c r="M167" s="19" t="str">
        <f t="shared" si="18"/>
        <v/>
      </c>
      <c r="N167" s="19" t="str">
        <f t="shared" si="18"/>
        <v/>
      </c>
      <c r="O167" s="19" t="str">
        <f t="shared" si="18"/>
        <v/>
      </c>
      <c r="P167" s="19" t="str">
        <f t="shared" si="18"/>
        <v/>
      </c>
      <c r="Q167" s="19" t="str">
        <f t="shared" si="18"/>
        <v/>
      </c>
      <c r="R167" s="19" t="str">
        <f t="shared" si="18"/>
        <v/>
      </c>
      <c r="S167" s="19" t="str">
        <f t="shared" si="18"/>
        <v/>
      </c>
      <c r="T167" s="19" t="str">
        <f t="shared" si="18"/>
        <v/>
      </c>
      <c r="V167" s="71"/>
    </row>
    <row r="168" spans="1:22" s="32" customFormat="1" ht="14.25" hidden="1" customHeight="1" x14ac:dyDescent="0.2">
      <c r="A168" s="108"/>
      <c r="B168" s="36" t="s">
        <v>39</v>
      </c>
      <c r="C168" s="37" t="s">
        <v>163</v>
      </c>
      <c r="D168" s="19" t="str">
        <f t="shared" ref="D168:T168" si="19">IF(D98=D25,"","*")</f>
        <v/>
      </c>
      <c r="E168" s="19" t="str">
        <f t="shared" si="19"/>
        <v/>
      </c>
      <c r="F168" s="19" t="str">
        <f t="shared" si="19"/>
        <v/>
      </c>
      <c r="G168" s="19" t="str">
        <f t="shared" si="19"/>
        <v/>
      </c>
      <c r="H168" s="19" t="str">
        <f t="shared" si="19"/>
        <v/>
      </c>
      <c r="I168" s="19" t="str">
        <f t="shared" si="19"/>
        <v/>
      </c>
      <c r="J168" s="19" t="str">
        <f t="shared" si="19"/>
        <v/>
      </c>
      <c r="K168" s="19" t="str">
        <f t="shared" si="19"/>
        <v/>
      </c>
      <c r="L168" s="19" t="str">
        <f t="shared" si="19"/>
        <v/>
      </c>
      <c r="M168" s="19" t="str">
        <f t="shared" si="19"/>
        <v/>
      </c>
      <c r="N168" s="19" t="str">
        <f t="shared" si="19"/>
        <v/>
      </c>
      <c r="O168" s="19" t="str">
        <f t="shared" si="19"/>
        <v/>
      </c>
      <c r="P168" s="19" t="str">
        <f t="shared" si="19"/>
        <v/>
      </c>
      <c r="Q168" s="19" t="str">
        <f t="shared" si="19"/>
        <v/>
      </c>
      <c r="R168" s="19" t="str">
        <f t="shared" si="19"/>
        <v/>
      </c>
      <c r="S168" s="19" t="str">
        <f t="shared" si="19"/>
        <v/>
      </c>
      <c r="T168" s="19" t="str">
        <f t="shared" si="19"/>
        <v/>
      </c>
      <c r="V168" s="71"/>
    </row>
    <row r="169" spans="1:22" s="32" customFormat="1" ht="14.25" hidden="1" customHeight="1" x14ac:dyDescent="0.2">
      <c r="A169" s="35" t="s">
        <v>50</v>
      </c>
      <c r="B169" s="29" t="s">
        <v>35</v>
      </c>
      <c r="C169" s="30" t="s">
        <v>36</v>
      </c>
      <c r="D169" s="31" t="str">
        <f t="shared" ref="D169:T169" si="20">IF(D99=D26,"","*")</f>
        <v/>
      </c>
      <c r="E169" s="31" t="str">
        <f t="shared" si="20"/>
        <v/>
      </c>
      <c r="F169" s="31" t="str">
        <f t="shared" si="20"/>
        <v/>
      </c>
      <c r="G169" s="31" t="str">
        <f t="shared" si="20"/>
        <v/>
      </c>
      <c r="H169" s="31" t="str">
        <f t="shared" si="20"/>
        <v/>
      </c>
      <c r="I169" s="31" t="str">
        <f t="shared" si="20"/>
        <v/>
      </c>
      <c r="J169" s="31" t="str">
        <f t="shared" si="20"/>
        <v/>
      </c>
      <c r="K169" s="31" t="str">
        <f t="shared" si="20"/>
        <v/>
      </c>
      <c r="L169" s="31" t="str">
        <f t="shared" si="20"/>
        <v/>
      </c>
      <c r="M169" s="31" t="str">
        <f t="shared" si="20"/>
        <v/>
      </c>
      <c r="N169" s="31" t="str">
        <f t="shared" si="20"/>
        <v/>
      </c>
      <c r="O169" s="31" t="str">
        <f t="shared" si="20"/>
        <v/>
      </c>
      <c r="P169" s="31" t="str">
        <f t="shared" si="20"/>
        <v/>
      </c>
      <c r="Q169" s="31" t="str">
        <f t="shared" si="20"/>
        <v/>
      </c>
      <c r="R169" s="31" t="str">
        <f t="shared" si="20"/>
        <v/>
      </c>
      <c r="S169" s="31" t="str">
        <f t="shared" si="20"/>
        <v/>
      </c>
      <c r="T169" s="31" t="str">
        <f t="shared" si="20"/>
        <v/>
      </c>
      <c r="V169" s="71"/>
    </row>
    <row r="170" spans="1:22" s="32" customFormat="1" ht="14.25" hidden="1" customHeight="1" x14ac:dyDescent="0.2">
      <c r="A170" s="108" t="s">
        <v>51</v>
      </c>
      <c r="B170" s="33" t="s">
        <v>37</v>
      </c>
      <c r="C170" s="34" t="s">
        <v>38</v>
      </c>
      <c r="D170" s="19" t="str">
        <f t="shared" ref="D170:T170" si="21">IF(D100=D27,"","*")</f>
        <v/>
      </c>
      <c r="E170" s="19" t="str">
        <f t="shared" si="21"/>
        <v/>
      </c>
      <c r="F170" s="19" t="str">
        <f t="shared" si="21"/>
        <v/>
      </c>
      <c r="G170" s="19" t="str">
        <f t="shared" si="21"/>
        <v/>
      </c>
      <c r="H170" s="19" t="str">
        <f t="shared" si="21"/>
        <v/>
      </c>
      <c r="I170" s="19" t="str">
        <f t="shared" si="21"/>
        <v/>
      </c>
      <c r="J170" s="19" t="str">
        <f t="shared" si="21"/>
        <v/>
      </c>
      <c r="K170" s="19" t="str">
        <f t="shared" si="21"/>
        <v/>
      </c>
      <c r="L170" s="19" t="str">
        <f t="shared" si="21"/>
        <v/>
      </c>
      <c r="M170" s="19" t="str">
        <f t="shared" si="21"/>
        <v/>
      </c>
      <c r="N170" s="19" t="str">
        <f t="shared" si="21"/>
        <v/>
      </c>
      <c r="O170" s="19" t="str">
        <f t="shared" si="21"/>
        <v/>
      </c>
      <c r="P170" s="19" t="str">
        <f t="shared" si="21"/>
        <v/>
      </c>
      <c r="Q170" s="19" t="str">
        <f t="shared" si="21"/>
        <v/>
      </c>
      <c r="R170" s="19" t="str">
        <f t="shared" si="21"/>
        <v/>
      </c>
      <c r="S170" s="19" t="str">
        <f t="shared" si="21"/>
        <v/>
      </c>
      <c r="T170" s="19" t="str">
        <f t="shared" si="21"/>
        <v/>
      </c>
      <c r="V170" s="71"/>
    </row>
    <row r="171" spans="1:22" s="32" customFormat="1" ht="14.25" hidden="1" customHeight="1" x14ac:dyDescent="0.2">
      <c r="A171" s="108"/>
      <c r="B171" s="36" t="s">
        <v>39</v>
      </c>
      <c r="C171" s="37" t="s">
        <v>163</v>
      </c>
      <c r="D171" s="19" t="str">
        <f t="shared" ref="D171:T171" si="22">IF(D101=D28,"","*")</f>
        <v/>
      </c>
      <c r="E171" s="19" t="str">
        <f t="shared" si="22"/>
        <v/>
      </c>
      <c r="F171" s="19" t="str">
        <f t="shared" si="22"/>
        <v/>
      </c>
      <c r="G171" s="19" t="str">
        <f t="shared" si="22"/>
        <v/>
      </c>
      <c r="H171" s="19" t="str">
        <f t="shared" si="22"/>
        <v/>
      </c>
      <c r="I171" s="19" t="str">
        <f t="shared" si="22"/>
        <v/>
      </c>
      <c r="J171" s="19" t="str">
        <f t="shared" si="22"/>
        <v/>
      </c>
      <c r="K171" s="19" t="str">
        <f t="shared" si="22"/>
        <v/>
      </c>
      <c r="L171" s="19" t="str">
        <f t="shared" si="22"/>
        <v/>
      </c>
      <c r="M171" s="19" t="str">
        <f t="shared" si="22"/>
        <v/>
      </c>
      <c r="N171" s="19" t="str">
        <f t="shared" si="22"/>
        <v/>
      </c>
      <c r="O171" s="19" t="str">
        <f t="shared" si="22"/>
        <v/>
      </c>
      <c r="P171" s="19" t="str">
        <f t="shared" si="22"/>
        <v/>
      </c>
      <c r="Q171" s="19" t="str">
        <f t="shared" si="22"/>
        <v/>
      </c>
      <c r="R171" s="19" t="str">
        <f t="shared" si="22"/>
        <v/>
      </c>
      <c r="S171" s="19" t="str">
        <f t="shared" si="22"/>
        <v/>
      </c>
      <c r="T171" s="19" t="str">
        <f t="shared" si="22"/>
        <v/>
      </c>
      <c r="V171" s="71"/>
    </row>
    <row r="172" spans="1:22" s="32" customFormat="1" ht="14.25" hidden="1" customHeight="1" x14ac:dyDescent="0.2">
      <c r="A172" s="38" t="s">
        <v>52</v>
      </c>
      <c r="B172" s="29" t="s">
        <v>35</v>
      </c>
      <c r="C172" s="30" t="s">
        <v>36</v>
      </c>
      <c r="D172" s="31" t="str">
        <f t="shared" ref="D172:T172" si="23">IF(D102=D29,"","*")</f>
        <v/>
      </c>
      <c r="E172" s="31" t="str">
        <f t="shared" si="23"/>
        <v/>
      </c>
      <c r="F172" s="31" t="str">
        <f t="shared" si="23"/>
        <v/>
      </c>
      <c r="G172" s="31" t="str">
        <f t="shared" si="23"/>
        <v/>
      </c>
      <c r="H172" s="31" t="str">
        <f t="shared" si="23"/>
        <v/>
      </c>
      <c r="I172" s="31" t="str">
        <f t="shared" si="23"/>
        <v/>
      </c>
      <c r="J172" s="31" t="str">
        <f t="shared" si="23"/>
        <v/>
      </c>
      <c r="K172" s="31" t="str">
        <f t="shared" si="23"/>
        <v/>
      </c>
      <c r="L172" s="31" t="str">
        <f t="shared" si="23"/>
        <v/>
      </c>
      <c r="M172" s="31" t="str">
        <f t="shared" si="23"/>
        <v/>
      </c>
      <c r="N172" s="31" t="str">
        <f t="shared" si="23"/>
        <v/>
      </c>
      <c r="O172" s="31" t="str">
        <f t="shared" si="23"/>
        <v/>
      </c>
      <c r="P172" s="31" t="str">
        <f t="shared" si="23"/>
        <v/>
      </c>
      <c r="Q172" s="31" t="str">
        <f t="shared" si="23"/>
        <v/>
      </c>
      <c r="R172" s="31" t="str">
        <f t="shared" si="23"/>
        <v/>
      </c>
      <c r="S172" s="31" t="str">
        <f t="shared" si="23"/>
        <v/>
      </c>
      <c r="T172" s="31" t="str">
        <f t="shared" si="23"/>
        <v/>
      </c>
      <c r="V172" s="71"/>
    </row>
    <row r="173" spans="1:22" s="32" customFormat="1" ht="14.25" hidden="1" customHeight="1" x14ac:dyDescent="0.2">
      <c r="A173" s="108" t="s">
        <v>53</v>
      </c>
      <c r="B173" s="33" t="s">
        <v>37</v>
      </c>
      <c r="C173" s="34" t="s">
        <v>38</v>
      </c>
      <c r="D173" s="19" t="str">
        <f t="shared" ref="D173:T173" si="24">IF(D103=D30,"","*")</f>
        <v/>
      </c>
      <c r="E173" s="19" t="str">
        <f t="shared" si="24"/>
        <v/>
      </c>
      <c r="F173" s="19" t="str">
        <f t="shared" si="24"/>
        <v/>
      </c>
      <c r="G173" s="19" t="str">
        <f t="shared" si="24"/>
        <v/>
      </c>
      <c r="H173" s="19" t="str">
        <f t="shared" si="24"/>
        <v/>
      </c>
      <c r="I173" s="19" t="str">
        <f t="shared" si="24"/>
        <v/>
      </c>
      <c r="J173" s="19" t="str">
        <f t="shared" si="24"/>
        <v/>
      </c>
      <c r="K173" s="19" t="str">
        <f t="shared" si="24"/>
        <v/>
      </c>
      <c r="L173" s="19" t="str">
        <f t="shared" si="24"/>
        <v/>
      </c>
      <c r="M173" s="19" t="str">
        <f t="shared" si="24"/>
        <v/>
      </c>
      <c r="N173" s="19" t="str">
        <f t="shared" si="24"/>
        <v/>
      </c>
      <c r="O173" s="19" t="str">
        <f t="shared" si="24"/>
        <v/>
      </c>
      <c r="P173" s="19" t="str">
        <f t="shared" si="24"/>
        <v/>
      </c>
      <c r="Q173" s="19" t="str">
        <f t="shared" si="24"/>
        <v/>
      </c>
      <c r="R173" s="19" t="str">
        <f t="shared" si="24"/>
        <v/>
      </c>
      <c r="S173" s="19" t="str">
        <f t="shared" si="24"/>
        <v/>
      </c>
      <c r="T173" s="19" t="str">
        <f t="shared" si="24"/>
        <v/>
      </c>
      <c r="V173" s="71"/>
    </row>
    <row r="174" spans="1:22" s="32" customFormat="1" ht="14.25" hidden="1" customHeight="1" x14ac:dyDescent="0.2">
      <c r="A174" s="108"/>
      <c r="B174" s="36" t="s">
        <v>39</v>
      </c>
      <c r="C174" s="37" t="s">
        <v>163</v>
      </c>
      <c r="D174" s="19" t="str">
        <f t="shared" ref="D174:T174" si="25">IF(D104=D31,"","*")</f>
        <v/>
      </c>
      <c r="E174" s="19" t="str">
        <f t="shared" si="25"/>
        <v/>
      </c>
      <c r="F174" s="19" t="str">
        <f t="shared" si="25"/>
        <v/>
      </c>
      <c r="G174" s="19" t="str">
        <f t="shared" si="25"/>
        <v/>
      </c>
      <c r="H174" s="19" t="str">
        <f t="shared" si="25"/>
        <v/>
      </c>
      <c r="I174" s="19" t="str">
        <f t="shared" si="25"/>
        <v/>
      </c>
      <c r="J174" s="19" t="str">
        <f t="shared" si="25"/>
        <v/>
      </c>
      <c r="K174" s="19" t="str">
        <f t="shared" si="25"/>
        <v/>
      </c>
      <c r="L174" s="19" t="str">
        <f t="shared" si="25"/>
        <v/>
      </c>
      <c r="M174" s="19" t="str">
        <f t="shared" si="25"/>
        <v/>
      </c>
      <c r="N174" s="19" t="str">
        <f t="shared" si="25"/>
        <v/>
      </c>
      <c r="O174" s="19" t="str">
        <f t="shared" si="25"/>
        <v/>
      </c>
      <c r="P174" s="19" t="str">
        <f t="shared" si="25"/>
        <v/>
      </c>
      <c r="Q174" s="19" t="str">
        <f t="shared" si="25"/>
        <v/>
      </c>
      <c r="R174" s="19" t="str">
        <f t="shared" si="25"/>
        <v/>
      </c>
      <c r="S174" s="19" t="str">
        <f t="shared" si="25"/>
        <v/>
      </c>
      <c r="T174" s="19" t="str">
        <f t="shared" si="25"/>
        <v/>
      </c>
      <c r="V174" s="71"/>
    </row>
    <row r="175" spans="1:22" s="32" customFormat="1" ht="14.25" hidden="1" customHeight="1" x14ac:dyDescent="0.2">
      <c r="A175" s="38" t="s">
        <v>54</v>
      </c>
      <c r="B175" s="29" t="s">
        <v>35</v>
      </c>
      <c r="C175" s="30" t="s">
        <v>36</v>
      </c>
      <c r="D175" s="31" t="str">
        <f t="shared" ref="D175:T175" si="26">IF(D105=D32,"","*")</f>
        <v/>
      </c>
      <c r="E175" s="31" t="str">
        <f t="shared" si="26"/>
        <v/>
      </c>
      <c r="F175" s="31" t="str">
        <f t="shared" si="26"/>
        <v/>
      </c>
      <c r="G175" s="31" t="str">
        <f t="shared" si="26"/>
        <v/>
      </c>
      <c r="H175" s="31" t="str">
        <f t="shared" si="26"/>
        <v/>
      </c>
      <c r="I175" s="31" t="str">
        <f t="shared" si="26"/>
        <v/>
      </c>
      <c r="J175" s="31" t="str">
        <f t="shared" si="26"/>
        <v/>
      </c>
      <c r="K175" s="31" t="str">
        <f t="shared" si="26"/>
        <v/>
      </c>
      <c r="L175" s="31" t="str">
        <f t="shared" si="26"/>
        <v/>
      </c>
      <c r="M175" s="31" t="str">
        <f t="shared" si="26"/>
        <v/>
      </c>
      <c r="N175" s="31" t="str">
        <f t="shared" si="26"/>
        <v/>
      </c>
      <c r="O175" s="31" t="str">
        <f t="shared" si="26"/>
        <v/>
      </c>
      <c r="P175" s="31" t="str">
        <f t="shared" si="26"/>
        <v/>
      </c>
      <c r="Q175" s="31" t="str">
        <f t="shared" si="26"/>
        <v/>
      </c>
      <c r="R175" s="31" t="str">
        <f t="shared" si="26"/>
        <v/>
      </c>
      <c r="S175" s="31" t="str">
        <f t="shared" si="26"/>
        <v/>
      </c>
      <c r="T175" s="31" t="str">
        <f t="shared" si="26"/>
        <v/>
      </c>
      <c r="V175" s="71"/>
    </row>
    <row r="176" spans="1:22" s="32" customFormat="1" ht="14.25" hidden="1" customHeight="1" x14ac:dyDescent="0.2">
      <c r="A176" s="108" t="s">
        <v>55</v>
      </c>
      <c r="B176" s="33" t="s">
        <v>37</v>
      </c>
      <c r="C176" s="34" t="s">
        <v>38</v>
      </c>
      <c r="D176" s="19" t="str">
        <f t="shared" ref="D176:T176" si="27">IF(D106=D33,"","*")</f>
        <v/>
      </c>
      <c r="E176" s="19" t="str">
        <f t="shared" si="27"/>
        <v/>
      </c>
      <c r="F176" s="19" t="str">
        <f t="shared" si="27"/>
        <v/>
      </c>
      <c r="G176" s="19" t="str">
        <f t="shared" si="27"/>
        <v/>
      </c>
      <c r="H176" s="19" t="str">
        <f t="shared" si="27"/>
        <v/>
      </c>
      <c r="I176" s="19" t="str">
        <f t="shared" si="27"/>
        <v/>
      </c>
      <c r="J176" s="19" t="str">
        <f t="shared" si="27"/>
        <v/>
      </c>
      <c r="K176" s="19" t="str">
        <f t="shared" si="27"/>
        <v/>
      </c>
      <c r="L176" s="19" t="str">
        <f t="shared" si="27"/>
        <v/>
      </c>
      <c r="M176" s="19" t="str">
        <f t="shared" si="27"/>
        <v/>
      </c>
      <c r="N176" s="19" t="str">
        <f t="shared" si="27"/>
        <v/>
      </c>
      <c r="O176" s="19" t="str">
        <f t="shared" si="27"/>
        <v/>
      </c>
      <c r="P176" s="19" t="str">
        <f t="shared" si="27"/>
        <v/>
      </c>
      <c r="Q176" s="19" t="str">
        <f t="shared" si="27"/>
        <v/>
      </c>
      <c r="R176" s="19" t="str">
        <f t="shared" si="27"/>
        <v/>
      </c>
      <c r="S176" s="19" t="str">
        <f t="shared" si="27"/>
        <v/>
      </c>
      <c r="T176" s="19" t="str">
        <f t="shared" si="27"/>
        <v/>
      </c>
      <c r="V176" s="71"/>
    </row>
    <row r="177" spans="1:22" s="32" customFormat="1" ht="14.25" hidden="1" customHeight="1" x14ac:dyDescent="0.2">
      <c r="A177" s="108"/>
      <c r="B177" s="36" t="s">
        <v>39</v>
      </c>
      <c r="C177" s="37" t="s">
        <v>163</v>
      </c>
      <c r="D177" s="19" t="str">
        <f t="shared" ref="D177:T177" si="28">IF(D107=D34,"","*")</f>
        <v/>
      </c>
      <c r="E177" s="19" t="str">
        <f t="shared" si="28"/>
        <v/>
      </c>
      <c r="F177" s="19" t="str">
        <f t="shared" si="28"/>
        <v/>
      </c>
      <c r="G177" s="19" t="str">
        <f t="shared" si="28"/>
        <v/>
      </c>
      <c r="H177" s="19" t="str">
        <f t="shared" si="28"/>
        <v/>
      </c>
      <c r="I177" s="19" t="str">
        <f t="shared" si="28"/>
        <v/>
      </c>
      <c r="J177" s="19" t="str">
        <f t="shared" si="28"/>
        <v/>
      </c>
      <c r="K177" s="19" t="str">
        <f t="shared" si="28"/>
        <v/>
      </c>
      <c r="L177" s="19" t="str">
        <f t="shared" si="28"/>
        <v/>
      </c>
      <c r="M177" s="19" t="str">
        <f t="shared" si="28"/>
        <v/>
      </c>
      <c r="N177" s="19" t="str">
        <f t="shared" si="28"/>
        <v/>
      </c>
      <c r="O177" s="19" t="str">
        <f t="shared" si="28"/>
        <v/>
      </c>
      <c r="P177" s="19" t="str">
        <f t="shared" si="28"/>
        <v/>
      </c>
      <c r="Q177" s="19" t="str">
        <f t="shared" si="28"/>
        <v/>
      </c>
      <c r="R177" s="19" t="str">
        <f t="shared" si="28"/>
        <v/>
      </c>
      <c r="S177" s="19" t="str">
        <f t="shared" si="28"/>
        <v/>
      </c>
      <c r="T177" s="19" t="str">
        <f t="shared" si="28"/>
        <v/>
      </c>
      <c r="V177" s="71"/>
    </row>
    <row r="178" spans="1:22" s="32" customFormat="1" ht="14.25" hidden="1" customHeight="1" x14ac:dyDescent="0.2">
      <c r="A178" s="38" t="s">
        <v>56</v>
      </c>
      <c r="B178" s="29" t="s">
        <v>35</v>
      </c>
      <c r="C178" s="30" t="s">
        <v>36</v>
      </c>
      <c r="D178" s="31" t="str">
        <f t="shared" ref="D178:T178" si="29">IF(D108=D35,"","*")</f>
        <v/>
      </c>
      <c r="E178" s="31" t="str">
        <f t="shared" si="29"/>
        <v/>
      </c>
      <c r="F178" s="31" t="str">
        <f t="shared" si="29"/>
        <v/>
      </c>
      <c r="G178" s="31" t="str">
        <f t="shared" si="29"/>
        <v/>
      </c>
      <c r="H178" s="31" t="str">
        <f t="shared" si="29"/>
        <v/>
      </c>
      <c r="I178" s="31" t="str">
        <f t="shared" si="29"/>
        <v/>
      </c>
      <c r="J178" s="31" t="str">
        <f t="shared" si="29"/>
        <v/>
      </c>
      <c r="K178" s="31" t="str">
        <f t="shared" si="29"/>
        <v/>
      </c>
      <c r="L178" s="31" t="str">
        <f t="shared" si="29"/>
        <v/>
      </c>
      <c r="M178" s="31" t="str">
        <f t="shared" si="29"/>
        <v/>
      </c>
      <c r="N178" s="31" t="str">
        <f t="shared" si="29"/>
        <v/>
      </c>
      <c r="O178" s="31" t="str">
        <f t="shared" si="29"/>
        <v/>
      </c>
      <c r="P178" s="31" t="str">
        <f t="shared" si="29"/>
        <v/>
      </c>
      <c r="Q178" s="31" t="str">
        <f t="shared" si="29"/>
        <v/>
      </c>
      <c r="R178" s="31" t="str">
        <f t="shared" si="29"/>
        <v/>
      </c>
      <c r="S178" s="31" t="str">
        <f t="shared" si="29"/>
        <v/>
      </c>
      <c r="T178" s="31" t="str">
        <f t="shared" si="29"/>
        <v/>
      </c>
      <c r="V178" s="71"/>
    </row>
    <row r="179" spans="1:22" s="32" customFormat="1" ht="14.25" hidden="1" customHeight="1" x14ac:dyDescent="0.2">
      <c r="A179" s="108" t="s">
        <v>57</v>
      </c>
      <c r="B179" s="33" t="s">
        <v>37</v>
      </c>
      <c r="C179" s="34" t="s">
        <v>38</v>
      </c>
      <c r="D179" s="19" t="str">
        <f t="shared" ref="D179:T179" si="30">IF(D109=D36,"","*")</f>
        <v/>
      </c>
      <c r="E179" s="19" t="str">
        <f t="shared" si="30"/>
        <v/>
      </c>
      <c r="F179" s="19" t="str">
        <f t="shared" si="30"/>
        <v/>
      </c>
      <c r="G179" s="19" t="str">
        <f t="shared" si="30"/>
        <v/>
      </c>
      <c r="H179" s="19" t="str">
        <f t="shared" si="30"/>
        <v/>
      </c>
      <c r="I179" s="19" t="str">
        <f t="shared" si="30"/>
        <v/>
      </c>
      <c r="J179" s="19" t="str">
        <f t="shared" si="30"/>
        <v/>
      </c>
      <c r="K179" s="19" t="str">
        <f t="shared" si="30"/>
        <v/>
      </c>
      <c r="L179" s="19" t="str">
        <f t="shared" si="30"/>
        <v/>
      </c>
      <c r="M179" s="19" t="str">
        <f t="shared" si="30"/>
        <v/>
      </c>
      <c r="N179" s="19" t="str">
        <f t="shared" si="30"/>
        <v/>
      </c>
      <c r="O179" s="19" t="str">
        <f t="shared" si="30"/>
        <v/>
      </c>
      <c r="P179" s="19" t="str">
        <f t="shared" si="30"/>
        <v/>
      </c>
      <c r="Q179" s="19" t="str">
        <f t="shared" si="30"/>
        <v/>
      </c>
      <c r="R179" s="19" t="str">
        <f t="shared" si="30"/>
        <v/>
      </c>
      <c r="S179" s="19" t="str">
        <f t="shared" si="30"/>
        <v/>
      </c>
      <c r="T179" s="19" t="str">
        <f t="shared" si="30"/>
        <v/>
      </c>
      <c r="V179" s="71"/>
    </row>
    <row r="180" spans="1:22" s="32" customFormat="1" ht="14.25" hidden="1" customHeight="1" x14ac:dyDescent="0.2">
      <c r="A180" s="108"/>
      <c r="B180" s="36" t="s">
        <v>39</v>
      </c>
      <c r="C180" s="37" t="s">
        <v>163</v>
      </c>
      <c r="D180" s="19" t="str">
        <f t="shared" ref="D180:T180" si="31">IF(D110=D37,"","*")</f>
        <v/>
      </c>
      <c r="E180" s="19" t="str">
        <f t="shared" si="31"/>
        <v/>
      </c>
      <c r="F180" s="19" t="str">
        <f t="shared" si="31"/>
        <v/>
      </c>
      <c r="G180" s="19" t="str">
        <f t="shared" si="31"/>
        <v/>
      </c>
      <c r="H180" s="19" t="str">
        <f t="shared" si="31"/>
        <v/>
      </c>
      <c r="I180" s="19" t="str">
        <f t="shared" si="31"/>
        <v/>
      </c>
      <c r="J180" s="19" t="str">
        <f t="shared" si="31"/>
        <v/>
      </c>
      <c r="K180" s="19" t="str">
        <f t="shared" si="31"/>
        <v/>
      </c>
      <c r="L180" s="19" t="str">
        <f t="shared" si="31"/>
        <v/>
      </c>
      <c r="M180" s="19" t="str">
        <f t="shared" si="31"/>
        <v/>
      </c>
      <c r="N180" s="19" t="str">
        <f t="shared" si="31"/>
        <v/>
      </c>
      <c r="O180" s="19" t="str">
        <f t="shared" si="31"/>
        <v/>
      </c>
      <c r="P180" s="19" t="str">
        <f t="shared" si="31"/>
        <v/>
      </c>
      <c r="Q180" s="19" t="str">
        <f t="shared" si="31"/>
        <v/>
      </c>
      <c r="R180" s="19" t="str">
        <f t="shared" si="31"/>
        <v/>
      </c>
      <c r="S180" s="19" t="str">
        <f t="shared" si="31"/>
        <v/>
      </c>
      <c r="T180" s="19" t="str">
        <f t="shared" si="31"/>
        <v/>
      </c>
      <c r="V180" s="71"/>
    </row>
    <row r="181" spans="1:22" s="32" customFormat="1" ht="14.25" hidden="1" customHeight="1" x14ac:dyDescent="0.2">
      <c r="A181" s="38" t="s">
        <v>58</v>
      </c>
      <c r="B181" s="29" t="s">
        <v>35</v>
      </c>
      <c r="C181" s="30" t="s">
        <v>36</v>
      </c>
      <c r="D181" s="31" t="str">
        <f t="shared" ref="D181:T181" si="32">IF(D111=D38,"","*")</f>
        <v/>
      </c>
      <c r="E181" s="31" t="str">
        <f t="shared" si="32"/>
        <v/>
      </c>
      <c r="F181" s="31" t="str">
        <f t="shared" si="32"/>
        <v/>
      </c>
      <c r="G181" s="31" t="str">
        <f t="shared" si="32"/>
        <v/>
      </c>
      <c r="H181" s="31" t="str">
        <f t="shared" si="32"/>
        <v/>
      </c>
      <c r="I181" s="31" t="str">
        <f t="shared" si="32"/>
        <v/>
      </c>
      <c r="J181" s="31" t="str">
        <f t="shared" si="32"/>
        <v/>
      </c>
      <c r="K181" s="31" t="str">
        <f t="shared" si="32"/>
        <v/>
      </c>
      <c r="L181" s="31" t="str">
        <f t="shared" si="32"/>
        <v/>
      </c>
      <c r="M181" s="31" t="str">
        <f t="shared" si="32"/>
        <v/>
      </c>
      <c r="N181" s="31" t="str">
        <f t="shared" si="32"/>
        <v/>
      </c>
      <c r="O181" s="31" t="str">
        <f t="shared" si="32"/>
        <v/>
      </c>
      <c r="P181" s="31" t="str">
        <f t="shared" si="32"/>
        <v/>
      </c>
      <c r="Q181" s="31" t="str">
        <f t="shared" si="32"/>
        <v/>
      </c>
      <c r="R181" s="31" t="str">
        <f t="shared" si="32"/>
        <v/>
      </c>
      <c r="S181" s="31" t="str">
        <f t="shared" si="32"/>
        <v/>
      </c>
      <c r="T181" s="31" t="str">
        <f t="shared" si="32"/>
        <v/>
      </c>
      <c r="V181" s="71"/>
    </row>
    <row r="182" spans="1:22" s="32" customFormat="1" ht="14.25" hidden="1" customHeight="1" x14ac:dyDescent="0.2">
      <c r="A182" s="108" t="s">
        <v>59</v>
      </c>
      <c r="B182" s="33" t="s">
        <v>37</v>
      </c>
      <c r="C182" s="34" t="s">
        <v>38</v>
      </c>
      <c r="D182" s="19" t="str">
        <f t="shared" ref="D182:T182" si="33">IF(D112=D39,"","*")</f>
        <v/>
      </c>
      <c r="E182" s="19" t="str">
        <f t="shared" si="33"/>
        <v/>
      </c>
      <c r="F182" s="19" t="str">
        <f t="shared" si="33"/>
        <v/>
      </c>
      <c r="G182" s="19" t="str">
        <f t="shared" si="33"/>
        <v/>
      </c>
      <c r="H182" s="19" t="str">
        <f t="shared" si="33"/>
        <v/>
      </c>
      <c r="I182" s="19" t="str">
        <f t="shared" si="33"/>
        <v/>
      </c>
      <c r="J182" s="19" t="str">
        <f t="shared" si="33"/>
        <v/>
      </c>
      <c r="K182" s="19" t="str">
        <f t="shared" si="33"/>
        <v/>
      </c>
      <c r="L182" s="19" t="str">
        <f t="shared" si="33"/>
        <v/>
      </c>
      <c r="M182" s="19" t="str">
        <f t="shared" si="33"/>
        <v/>
      </c>
      <c r="N182" s="19" t="str">
        <f t="shared" si="33"/>
        <v/>
      </c>
      <c r="O182" s="19" t="str">
        <f t="shared" si="33"/>
        <v/>
      </c>
      <c r="P182" s="19" t="str">
        <f t="shared" si="33"/>
        <v/>
      </c>
      <c r="Q182" s="19" t="str">
        <f t="shared" si="33"/>
        <v/>
      </c>
      <c r="R182" s="19" t="str">
        <f t="shared" si="33"/>
        <v/>
      </c>
      <c r="S182" s="19" t="str">
        <f t="shared" si="33"/>
        <v/>
      </c>
      <c r="T182" s="19" t="str">
        <f t="shared" si="33"/>
        <v/>
      </c>
      <c r="V182" s="71"/>
    </row>
    <row r="183" spans="1:22" s="32" customFormat="1" ht="14.25" hidden="1" customHeight="1" x14ac:dyDescent="0.2">
      <c r="A183" s="108"/>
      <c r="B183" s="36" t="s">
        <v>39</v>
      </c>
      <c r="C183" s="37" t="s">
        <v>163</v>
      </c>
      <c r="D183" s="19" t="str">
        <f t="shared" ref="D183:T183" si="34">IF(D113=D40,"","*")</f>
        <v/>
      </c>
      <c r="E183" s="19" t="str">
        <f t="shared" si="34"/>
        <v/>
      </c>
      <c r="F183" s="19" t="str">
        <f t="shared" si="34"/>
        <v/>
      </c>
      <c r="G183" s="19" t="str">
        <f t="shared" si="34"/>
        <v/>
      </c>
      <c r="H183" s="19" t="str">
        <f t="shared" si="34"/>
        <v/>
      </c>
      <c r="I183" s="19" t="str">
        <f t="shared" si="34"/>
        <v/>
      </c>
      <c r="J183" s="19" t="str">
        <f t="shared" si="34"/>
        <v/>
      </c>
      <c r="K183" s="19" t="str">
        <f t="shared" si="34"/>
        <v/>
      </c>
      <c r="L183" s="19" t="str">
        <f t="shared" si="34"/>
        <v/>
      </c>
      <c r="M183" s="19" t="str">
        <f t="shared" si="34"/>
        <v/>
      </c>
      <c r="N183" s="19" t="str">
        <f t="shared" si="34"/>
        <v/>
      </c>
      <c r="O183" s="19" t="str">
        <f t="shared" si="34"/>
        <v/>
      </c>
      <c r="P183" s="19" t="str">
        <f t="shared" si="34"/>
        <v/>
      </c>
      <c r="Q183" s="19" t="str">
        <f t="shared" si="34"/>
        <v/>
      </c>
      <c r="R183" s="19" t="str">
        <f t="shared" si="34"/>
        <v/>
      </c>
      <c r="S183" s="19" t="str">
        <f t="shared" si="34"/>
        <v/>
      </c>
      <c r="T183" s="19" t="str">
        <f t="shared" si="34"/>
        <v/>
      </c>
      <c r="V183" s="71"/>
    </row>
    <row r="184" spans="1:22" s="32" customFormat="1" ht="14.25" hidden="1" customHeight="1" x14ac:dyDescent="0.2">
      <c r="A184" s="38" t="s">
        <v>60</v>
      </c>
      <c r="B184" s="29" t="s">
        <v>35</v>
      </c>
      <c r="C184" s="30" t="s">
        <v>36</v>
      </c>
      <c r="D184" s="31" t="str">
        <f t="shared" ref="D184:T184" si="35">IF(D114=D41,"","*")</f>
        <v/>
      </c>
      <c r="E184" s="31" t="str">
        <f t="shared" si="35"/>
        <v/>
      </c>
      <c r="F184" s="31" t="str">
        <f t="shared" si="35"/>
        <v/>
      </c>
      <c r="G184" s="31" t="str">
        <f t="shared" si="35"/>
        <v/>
      </c>
      <c r="H184" s="31" t="str">
        <f t="shared" si="35"/>
        <v/>
      </c>
      <c r="I184" s="31" t="str">
        <f t="shared" si="35"/>
        <v/>
      </c>
      <c r="J184" s="31" t="str">
        <f t="shared" si="35"/>
        <v/>
      </c>
      <c r="K184" s="31" t="str">
        <f t="shared" si="35"/>
        <v/>
      </c>
      <c r="L184" s="31" t="str">
        <f t="shared" si="35"/>
        <v/>
      </c>
      <c r="M184" s="31" t="str">
        <f t="shared" si="35"/>
        <v/>
      </c>
      <c r="N184" s="31" t="str">
        <f t="shared" si="35"/>
        <v/>
      </c>
      <c r="O184" s="31" t="str">
        <f t="shared" si="35"/>
        <v/>
      </c>
      <c r="P184" s="31" t="str">
        <f t="shared" si="35"/>
        <v/>
      </c>
      <c r="Q184" s="31" t="str">
        <f t="shared" si="35"/>
        <v/>
      </c>
      <c r="R184" s="31" t="str">
        <f t="shared" si="35"/>
        <v/>
      </c>
      <c r="S184" s="31" t="str">
        <f t="shared" si="35"/>
        <v/>
      </c>
      <c r="T184" s="31" t="str">
        <f t="shared" si="35"/>
        <v/>
      </c>
      <c r="V184" s="71"/>
    </row>
    <row r="185" spans="1:22" s="32" customFormat="1" ht="14.25" hidden="1" customHeight="1" x14ac:dyDescent="0.2">
      <c r="A185" s="108" t="s">
        <v>61</v>
      </c>
      <c r="B185" s="33" t="s">
        <v>37</v>
      </c>
      <c r="C185" s="34" t="s">
        <v>38</v>
      </c>
      <c r="D185" s="19" t="str">
        <f t="shared" ref="D185:T185" si="36">IF(D115=D42,"","*")</f>
        <v/>
      </c>
      <c r="E185" s="19" t="str">
        <f t="shared" si="36"/>
        <v/>
      </c>
      <c r="F185" s="19" t="str">
        <f t="shared" si="36"/>
        <v/>
      </c>
      <c r="G185" s="19" t="str">
        <f t="shared" si="36"/>
        <v/>
      </c>
      <c r="H185" s="19" t="str">
        <f t="shared" si="36"/>
        <v/>
      </c>
      <c r="I185" s="19" t="str">
        <f t="shared" si="36"/>
        <v/>
      </c>
      <c r="J185" s="19" t="str">
        <f t="shared" si="36"/>
        <v/>
      </c>
      <c r="K185" s="19" t="str">
        <f t="shared" si="36"/>
        <v/>
      </c>
      <c r="L185" s="19" t="str">
        <f t="shared" si="36"/>
        <v/>
      </c>
      <c r="M185" s="19" t="str">
        <f t="shared" si="36"/>
        <v/>
      </c>
      <c r="N185" s="19" t="str">
        <f t="shared" si="36"/>
        <v/>
      </c>
      <c r="O185" s="19" t="str">
        <f t="shared" si="36"/>
        <v/>
      </c>
      <c r="P185" s="19" t="str">
        <f t="shared" si="36"/>
        <v/>
      </c>
      <c r="Q185" s="19" t="str">
        <f t="shared" si="36"/>
        <v/>
      </c>
      <c r="R185" s="19" t="str">
        <f t="shared" si="36"/>
        <v/>
      </c>
      <c r="S185" s="19" t="str">
        <f t="shared" si="36"/>
        <v/>
      </c>
      <c r="T185" s="19" t="str">
        <f t="shared" si="36"/>
        <v/>
      </c>
      <c r="V185" s="71"/>
    </row>
    <row r="186" spans="1:22" s="32" customFormat="1" ht="14.25" hidden="1" customHeight="1" x14ac:dyDescent="0.2">
      <c r="A186" s="108"/>
      <c r="B186" s="36" t="s">
        <v>39</v>
      </c>
      <c r="C186" s="37" t="s">
        <v>163</v>
      </c>
      <c r="D186" s="19" t="str">
        <f t="shared" ref="D186:T186" si="37">IF(D116=D43,"","*")</f>
        <v/>
      </c>
      <c r="E186" s="19" t="str">
        <f t="shared" si="37"/>
        <v/>
      </c>
      <c r="F186" s="19" t="str">
        <f t="shared" si="37"/>
        <v/>
      </c>
      <c r="G186" s="19" t="str">
        <f t="shared" si="37"/>
        <v/>
      </c>
      <c r="H186" s="19" t="str">
        <f t="shared" si="37"/>
        <v/>
      </c>
      <c r="I186" s="19" t="str">
        <f t="shared" si="37"/>
        <v/>
      </c>
      <c r="J186" s="19" t="str">
        <f t="shared" si="37"/>
        <v/>
      </c>
      <c r="K186" s="19" t="str">
        <f t="shared" si="37"/>
        <v/>
      </c>
      <c r="L186" s="19" t="str">
        <f t="shared" si="37"/>
        <v/>
      </c>
      <c r="M186" s="19" t="str">
        <f t="shared" si="37"/>
        <v/>
      </c>
      <c r="N186" s="19" t="str">
        <f t="shared" si="37"/>
        <v/>
      </c>
      <c r="O186" s="19" t="str">
        <f t="shared" si="37"/>
        <v/>
      </c>
      <c r="P186" s="19" t="str">
        <f t="shared" si="37"/>
        <v/>
      </c>
      <c r="Q186" s="19" t="str">
        <f t="shared" si="37"/>
        <v/>
      </c>
      <c r="R186" s="19" t="str">
        <f t="shared" si="37"/>
        <v/>
      </c>
      <c r="S186" s="19" t="str">
        <f t="shared" si="37"/>
        <v/>
      </c>
      <c r="T186" s="19" t="str">
        <f t="shared" si="37"/>
        <v/>
      </c>
      <c r="V186" s="71"/>
    </row>
    <row r="187" spans="1:22" s="32" customFormat="1" ht="14.25" hidden="1" customHeight="1" x14ac:dyDescent="0.2">
      <c r="A187" s="38" t="s">
        <v>62</v>
      </c>
      <c r="B187" s="29" t="s">
        <v>35</v>
      </c>
      <c r="C187" s="30" t="s">
        <v>36</v>
      </c>
      <c r="D187" s="31" t="str">
        <f t="shared" ref="D187:T187" si="38">IF(D117=D44,"","*")</f>
        <v/>
      </c>
      <c r="E187" s="31" t="str">
        <f t="shared" si="38"/>
        <v/>
      </c>
      <c r="F187" s="31" t="str">
        <f t="shared" si="38"/>
        <v/>
      </c>
      <c r="G187" s="31" t="str">
        <f t="shared" si="38"/>
        <v/>
      </c>
      <c r="H187" s="31" t="str">
        <f t="shared" si="38"/>
        <v/>
      </c>
      <c r="I187" s="31" t="str">
        <f t="shared" si="38"/>
        <v/>
      </c>
      <c r="J187" s="31" t="str">
        <f t="shared" si="38"/>
        <v/>
      </c>
      <c r="K187" s="31" t="str">
        <f t="shared" si="38"/>
        <v/>
      </c>
      <c r="L187" s="31" t="str">
        <f t="shared" si="38"/>
        <v/>
      </c>
      <c r="M187" s="31" t="str">
        <f t="shared" si="38"/>
        <v/>
      </c>
      <c r="N187" s="31" t="str">
        <f t="shared" si="38"/>
        <v/>
      </c>
      <c r="O187" s="31" t="str">
        <f t="shared" si="38"/>
        <v/>
      </c>
      <c r="P187" s="31" t="str">
        <f t="shared" si="38"/>
        <v/>
      </c>
      <c r="Q187" s="31" t="str">
        <f t="shared" si="38"/>
        <v/>
      </c>
      <c r="R187" s="31" t="str">
        <f t="shared" si="38"/>
        <v/>
      </c>
      <c r="S187" s="31" t="str">
        <f t="shared" si="38"/>
        <v/>
      </c>
      <c r="T187" s="31" t="str">
        <f t="shared" si="38"/>
        <v/>
      </c>
      <c r="V187" s="71"/>
    </row>
    <row r="188" spans="1:22" s="32" customFormat="1" ht="14.25" hidden="1" customHeight="1" x14ac:dyDescent="0.2">
      <c r="A188" s="108" t="s">
        <v>63</v>
      </c>
      <c r="B188" s="33" t="s">
        <v>37</v>
      </c>
      <c r="C188" s="34" t="s">
        <v>38</v>
      </c>
      <c r="D188" s="19" t="str">
        <f t="shared" ref="D188:T188" si="39">IF(D118=D45,"","*")</f>
        <v/>
      </c>
      <c r="E188" s="19" t="str">
        <f t="shared" si="39"/>
        <v/>
      </c>
      <c r="F188" s="19" t="str">
        <f t="shared" si="39"/>
        <v/>
      </c>
      <c r="G188" s="19" t="str">
        <f t="shared" si="39"/>
        <v/>
      </c>
      <c r="H188" s="19" t="str">
        <f t="shared" si="39"/>
        <v/>
      </c>
      <c r="I188" s="19" t="str">
        <f t="shared" si="39"/>
        <v/>
      </c>
      <c r="J188" s="19" t="str">
        <f t="shared" si="39"/>
        <v/>
      </c>
      <c r="K188" s="19" t="str">
        <f t="shared" si="39"/>
        <v/>
      </c>
      <c r="L188" s="19" t="str">
        <f t="shared" si="39"/>
        <v/>
      </c>
      <c r="M188" s="19" t="str">
        <f t="shared" si="39"/>
        <v/>
      </c>
      <c r="N188" s="19" t="str">
        <f t="shared" si="39"/>
        <v/>
      </c>
      <c r="O188" s="19" t="str">
        <f t="shared" si="39"/>
        <v/>
      </c>
      <c r="P188" s="19" t="str">
        <f t="shared" si="39"/>
        <v/>
      </c>
      <c r="Q188" s="19" t="str">
        <f t="shared" si="39"/>
        <v/>
      </c>
      <c r="R188" s="19" t="str">
        <f t="shared" si="39"/>
        <v/>
      </c>
      <c r="S188" s="19" t="str">
        <f t="shared" si="39"/>
        <v/>
      </c>
      <c r="T188" s="19" t="str">
        <f t="shared" si="39"/>
        <v/>
      </c>
      <c r="V188" s="71"/>
    </row>
    <row r="189" spans="1:22" s="32" customFormat="1" ht="14.25" hidden="1" customHeight="1" x14ac:dyDescent="0.2">
      <c r="A189" s="108"/>
      <c r="B189" s="36" t="s">
        <v>39</v>
      </c>
      <c r="C189" s="37" t="s">
        <v>163</v>
      </c>
      <c r="D189" s="19" t="str">
        <f t="shared" ref="D189:T189" si="40">IF(D119=D46,"","*")</f>
        <v/>
      </c>
      <c r="E189" s="19" t="str">
        <f t="shared" si="40"/>
        <v/>
      </c>
      <c r="F189" s="19" t="str">
        <f t="shared" si="40"/>
        <v/>
      </c>
      <c r="G189" s="19" t="str">
        <f t="shared" si="40"/>
        <v/>
      </c>
      <c r="H189" s="19" t="str">
        <f t="shared" si="40"/>
        <v/>
      </c>
      <c r="I189" s="19" t="str">
        <f t="shared" si="40"/>
        <v/>
      </c>
      <c r="J189" s="19" t="str">
        <f t="shared" si="40"/>
        <v/>
      </c>
      <c r="K189" s="19" t="str">
        <f t="shared" si="40"/>
        <v/>
      </c>
      <c r="L189" s="19" t="str">
        <f t="shared" si="40"/>
        <v/>
      </c>
      <c r="M189" s="19" t="str">
        <f t="shared" si="40"/>
        <v/>
      </c>
      <c r="N189" s="19" t="str">
        <f t="shared" si="40"/>
        <v/>
      </c>
      <c r="O189" s="19" t="str">
        <f t="shared" si="40"/>
        <v/>
      </c>
      <c r="P189" s="19" t="str">
        <f t="shared" si="40"/>
        <v/>
      </c>
      <c r="Q189" s="19" t="str">
        <f t="shared" si="40"/>
        <v/>
      </c>
      <c r="R189" s="19" t="str">
        <f t="shared" si="40"/>
        <v/>
      </c>
      <c r="S189" s="19" t="str">
        <f t="shared" si="40"/>
        <v/>
      </c>
      <c r="T189" s="19" t="str">
        <f t="shared" si="40"/>
        <v/>
      </c>
      <c r="V189" s="71"/>
    </row>
    <row r="190" spans="1:22" s="32" customFormat="1" ht="14.25" hidden="1" customHeight="1" x14ac:dyDescent="0.2">
      <c r="A190" s="38" t="s">
        <v>64</v>
      </c>
      <c r="B190" s="29" t="s">
        <v>35</v>
      </c>
      <c r="C190" s="30" t="s">
        <v>36</v>
      </c>
      <c r="D190" s="31" t="str">
        <f t="shared" ref="D190:T190" si="41">IF(D120=D47,"","*")</f>
        <v/>
      </c>
      <c r="E190" s="31" t="str">
        <f t="shared" si="41"/>
        <v/>
      </c>
      <c r="F190" s="31" t="str">
        <f t="shared" si="41"/>
        <v/>
      </c>
      <c r="G190" s="31" t="str">
        <f t="shared" si="41"/>
        <v/>
      </c>
      <c r="H190" s="31" t="str">
        <f t="shared" si="41"/>
        <v/>
      </c>
      <c r="I190" s="31" t="str">
        <f t="shared" si="41"/>
        <v/>
      </c>
      <c r="J190" s="31" t="str">
        <f t="shared" si="41"/>
        <v/>
      </c>
      <c r="K190" s="31" t="str">
        <f t="shared" si="41"/>
        <v/>
      </c>
      <c r="L190" s="31" t="str">
        <f t="shared" si="41"/>
        <v/>
      </c>
      <c r="M190" s="31" t="str">
        <f t="shared" si="41"/>
        <v/>
      </c>
      <c r="N190" s="31" t="str">
        <f t="shared" si="41"/>
        <v/>
      </c>
      <c r="O190" s="31" t="str">
        <f t="shared" si="41"/>
        <v/>
      </c>
      <c r="P190" s="31" t="str">
        <f t="shared" si="41"/>
        <v/>
      </c>
      <c r="Q190" s="31" t="str">
        <f t="shared" si="41"/>
        <v/>
      </c>
      <c r="R190" s="31" t="str">
        <f t="shared" si="41"/>
        <v/>
      </c>
      <c r="S190" s="31" t="str">
        <f t="shared" si="41"/>
        <v/>
      </c>
      <c r="T190" s="31" t="str">
        <f t="shared" si="41"/>
        <v/>
      </c>
      <c r="V190" s="71"/>
    </row>
    <row r="191" spans="1:22" s="32" customFormat="1" ht="14.25" hidden="1" customHeight="1" x14ac:dyDescent="0.2">
      <c r="A191" s="108" t="s">
        <v>65</v>
      </c>
      <c r="B191" s="33" t="s">
        <v>37</v>
      </c>
      <c r="C191" s="34" t="s">
        <v>38</v>
      </c>
      <c r="D191" s="19" t="str">
        <f t="shared" ref="D191:T191" si="42">IF(D121=D48,"","*")</f>
        <v/>
      </c>
      <c r="E191" s="19" t="str">
        <f t="shared" si="42"/>
        <v/>
      </c>
      <c r="F191" s="19" t="str">
        <f t="shared" si="42"/>
        <v/>
      </c>
      <c r="G191" s="19" t="str">
        <f t="shared" si="42"/>
        <v/>
      </c>
      <c r="H191" s="19" t="str">
        <f t="shared" si="42"/>
        <v/>
      </c>
      <c r="I191" s="19" t="str">
        <f t="shared" si="42"/>
        <v/>
      </c>
      <c r="J191" s="19" t="str">
        <f t="shared" si="42"/>
        <v/>
      </c>
      <c r="K191" s="19" t="str">
        <f t="shared" si="42"/>
        <v/>
      </c>
      <c r="L191" s="19" t="str">
        <f t="shared" si="42"/>
        <v/>
      </c>
      <c r="M191" s="19" t="str">
        <f t="shared" si="42"/>
        <v/>
      </c>
      <c r="N191" s="19" t="str">
        <f t="shared" si="42"/>
        <v/>
      </c>
      <c r="O191" s="19" t="str">
        <f t="shared" si="42"/>
        <v/>
      </c>
      <c r="P191" s="19" t="str">
        <f t="shared" si="42"/>
        <v/>
      </c>
      <c r="Q191" s="19" t="str">
        <f t="shared" si="42"/>
        <v/>
      </c>
      <c r="R191" s="19" t="str">
        <f t="shared" si="42"/>
        <v/>
      </c>
      <c r="S191" s="19" t="str">
        <f t="shared" si="42"/>
        <v/>
      </c>
      <c r="T191" s="19" t="str">
        <f t="shared" si="42"/>
        <v/>
      </c>
      <c r="V191" s="71"/>
    </row>
    <row r="192" spans="1:22" s="32" customFormat="1" ht="14.25" hidden="1" customHeight="1" x14ac:dyDescent="0.2">
      <c r="A192" s="108"/>
      <c r="B192" s="36" t="s">
        <v>39</v>
      </c>
      <c r="C192" s="37" t="s">
        <v>163</v>
      </c>
      <c r="D192" s="19" t="str">
        <f t="shared" ref="D192:T192" si="43">IF(D122=D49,"","*")</f>
        <v/>
      </c>
      <c r="E192" s="19" t="str">
        <f t="shared" si="43"/>
        <v/>
      </c>
      <c r="F192" s="19" t="str">
        <f t="shared" si="43"/>
        <v/>
      </c>
      <c r="G192" s="19" t="str">
        <f t="shared" si="43"/>
        <v/>
      </c>
      <c r="H192" s="19" t="str">
        <f t="shared" si="43"/>
        <v/>
      </c>
      <c r="I192" s="19" t="str">
        <f t="shared" si="43"/>
        <v/>
      </c>
      <c r="J192" s="19" t="str">
        <f t="shared" si="43"/>
        <v/>
      </c>
      <c r="K192" s="19" t="str">
        <f t="shared" si="43"/>
        <v/>
      </c>
      <c r="L192" s="19" t="str">
        <f t="shared" si="43"/>
        <v/>
      </c>
      <c r="M192" s="19" t="str">
        <f t="shared" si="43"/>
        <v/>
      </c>
      <c r="N192" s="19" t="str">
        <f t="shared" si="43"/>
        <v/>
      </c>
      <c r="O192" s="19" t="str">
        <f t="shared" si="43"/>
        <v/>
      </c>
      <c r="P192" s="19" t="str">
        <f t="shared" si="43"/>
        <v/>
      </c>
      <c r="Q192" s="19" t="str">
        <f t="shared" si="43"/>
        <v/>
      </c>
      <c r="R192" s="19" t="str">
        <f t="shared" si="43"/>
        <v/>
      </c>
      <c r="S192" s="19" t="str">
        <f t="shared" si="43"/>
        <v/>
      </c>
      <c r="T192" s="19" t="str">
        <f t="shared" si="43"/>
        <v/>
      </c>
      <c r="V192" s="71"/>
    </row>
    <row r="193" spans="1:22" s="32" customFormat="1" ht="14.25" hidden="1" customHeight="1" x14ac:dyDescent="0.2">
      <c r="A193" s="38" t="s">
        <v>66</v>
      </c>
      <c r="B193" s="29" t="s">
        <v>35</v>
      </c>
      <c r="C193" s="30" t="s">
        <v>36</v>
      </c>
      <c r="D193" s="31" t="str">
        <f t="shared" ref="D193:T193" si="44">IF(D123=D50,"","*")</f>
        <v/>
      </c>
      <c r="E193" s="31" t="str">
        <f t="shared" si="44"/>
        <v/>
      </c>
      <c r="F193" s="31" t="str">
        <f t="shared" si="44"/>
        <v/>
      </c>
      <c r="G193" s="31" t="str">
        <f t="shared" si="44"/>
        <v/>
      </c>
      <c r="H193" s="31" t="str">
        <f t="shared" si="44"/>
        <v/>
      </c>
      <c r="I193" s="31" t="str">
        <f t="shared" si="44"/>
        <v/>
      </c>
      <c r="J193" s="31" t="str">
        <f t="shared" si="44"/>
        <v/>
      </c>
      <c r="K193" s="31" t="str">
        <f t="shared" si="44"/>
        <v/>
      </c>
      <c r="L193" s="31" t="str">
        <f t="shared" si="44"/>
        <v/>
      </c>
      <c r="M193" s="31" t="str">
        <f t="shared" si="44"/>
        <v/>
      </c>
      <c r="N193" s="31" t="str">
        <f t="shared" si="44"/>
        <v/>
      </c>
      <c r="O193" s="31" t="str">
        <f t="shared" si="44"/>
        <v/>
      </c>
      <c r="P193" s="31" t="str">
        <f t="shared" si="44"/>
        <v/>
      </c>
      <c r="Q193" s="31" t="str">
        <f t="shared" si="44"/>
        <v/>
      </c>
      <c r="R193" s="31" t="str">
        <f t="shared" si="44"/>
        <v/>
      </c>
      <c r="S193" s="31" t="str">
        <f t="shared" si="44"/>
        <v/>
      </c>
      <c r="T193" s="31" t="str">
        <f t="shared" si="44"/>
        <v/>
      </c>
      <c r="V193" s="71"/>
    </row>
    <row r="194" spans="1:22" s="32" customFormat="1" ht="14.25" hidden="1" customHeight="1" x14ac:dyDescent="0.2">
      <c r="A194" s="108" t="s">
        <v>67</v>
      </c>
      <c r="B194" s="33" t="s">
        <v>37</v>
      </c>
      <c r="C194" s="34" t="s">
        <v>38</v>
      </c>
      <c r="D194" s="19" t="str">
        <f t="shared" ref="D194:T194" si="45">IF(D124=D51,"","*")</f>
        <v/>
      </c>
      <c r="E194" s="19" t="str">
        <f t="shared" si="45"/>
        <v/>
      </c>
      <c r="F194" s="19" t="str">
        <f t="shared" si="45"/>
        <v/>
      </c>
      <c r="G194" s="19" t="str">
        <f t="shared" si="45"/>
        <v/>
      </c>
      <c r="H194" s="19" t="str">
        <f t="shared" si="45"/>
        <v/>
      </c>
      <c r="I194" s="19" t="str">
        <f t="shared" si="45"/>
        <v/>
      </c>
      <c r="J194" s="19" t="str">
        <f t="shared" si="45"/>
        <v/>
      </c>
      <c r="K194" s="19" t="str">
        <f t="shared" si="45"/>
        <v/>
      </c>
      <c r="L194" s="19" t="str">
        <f t="shared" si="45"/>
        <v/>
      </c>
      <c r="M194" s="19" t="str">
        <f t="shared" si="45"/>
        <v/>
      </c>
      <c r="N194" s="19" t="str">
        <f t="shared" si="45"/>
        <v/>
      </c>
      <c r="O194" s="19" t="str">
        <f t="shared" si="45"/>
        <v/>
      </c>
      <c r="P194" s="19" t="str">
        <f t="shared" si="45"/>
        <v/>
      </c>
      <c r="Q194" s="19" t="str">
        <f t="shared" si="45"/>
        <v/>
      </c>
      <c r="R194" s="19" t="str">
        <f t="shared" si="45"/>
        <v/>
      </c>
      <c r="S194" s="19" t="str">
        <f t="shared" si="45"/>
        <v/>
      </c>
      <c r="T194" s="19" t="str">
        <f t="shared" si="45"/>
        <v/>
      </c>
      <c r="V194" s="71"/>
    </row>
    <row r="195" spans="1:22" s="32" customFormat="1" ht="14.25" hidden="1" customHeight="1" x14ac:dyDescent="0.2">
      <c r="A195" s="108"/>
      <c r="B195" s="36" t="s">
        <v>39</v>
      </c>
      <c r="C195" s="37" t="s">
        <v>163</v>
      </c>
      <c r="D195" s="19" t="str">
        <f t="shared" ref="D195:T195" si="46">IF(D125=D52,"","*")</f>
        <v/>
      </c>
      <c r="E195" s="19" t="str">
        <f t="shared" si="46"/>
        <v/>
      </c>
      <c r="F195" s="19" t="str">
        <f t="shared" si="46"/>
        <v/>
      </c>
      <c r="G195" s="19" t="str">
        <f t="shared" si="46"/>
        <v/>
      </c>
      <c r="H195" s="19" t="str">
        <f t="shared" si="46"/>
        <v/>
      </c>
      <c r="I195" s="19" t="str">
        <f t="shared" si="46"/>
        <v/>
      </c>
      <c r="J195" s="19" t="str">
        <f t="shared" si="46"/>
        <v/>
      </c>
      <c r="K195" s="19" t="str">
        <f t="shared" si="46"/>
        <v/>
      </c>
      <c r="L195" s="19" t="str">
        <f t="shared" si="46"/>
        <v/>
      </c>
      <c r="M195" s="19" t="str">
        <f t="shared" si="46"/>
        <v/>
      </c>
      <c r="N195" s="19" t="str">
        <f t="shared" si="46"/>
        <v/>
      </c>
      <c r="O195" s="19" t="str">
        <f t="shared" si="46"/>
        <v/>
      </c>
      <c r="P195" s="19" t="str">
        <f t="shared" si="46"/>
        <v/>
      </c>
      <c r="Q195" s="19" t="str">
        <f t="shared" si="46"/>
        <v/>
      </c>
      <c r="R195" s="19" t="str">
        <f t="shared" si="46"/>
        <v/>
      </c>
      <c r="S195" s="19" t="str">
        <f t="shared" si="46"/>
        <v/>
      </c>
      <c r="T195" s="19" t="str">
        <f t="shared" si="46"/>
        <v/>
      </c>
      <c r="V195" s="71"/>
    </row>
    <row r="196" spans="1:22" s="32" customFormat="1" ht="14.25" hidden="1" customHeight="1" x14ac:dyDescent="0.2">
      <c r="A196" s="38" t="s">
        <v>68</v>
      </c>
      <c r="B196" s="29" t="s">
        <v>35</v>
      </c>
      <c r="C196" s="30" t="s">
        <v>36</v>
      </c>
      <c r="D196" s="31" t="str">
        <f t="shared" ref="D196:T196" si="47">IF(D126=D53,"","*")</f>
        <v/>
      </c>
      <c r="E196" s="31" t="str">
        <f t="shared" si="47"/>
        <v/>
      </c>
      <c r="F196" s="31" t="str">
        <f t="shared" si="47"/>
        <v/>
      </c>
      <c r="G196" s="31" t="str">
        <f t="shared" si="47"/>
        <v/>
      </c>
      <c r="H196" s="31" t="str">
        <f t="shared" si="47"/>
        <v/>
      </c>
      <c r="I196" s="31" t="str">
        <f t="shared" si="47"/>
        <v/>
      </c>
      <c r="J196" s="31" t="str">
        <f t="shared" si="47"/>
        <v/>
      </c>
      <c r="K196" s="31" t="str">
        <f t="shared" si="47"/>
        <v/>
      </c>
      <c r="L196" s="31" t="str">
        <f t="shared" si="47"/>
        <v/>
      </c>
      <c r="M196" s="31" t="str">
        <f t="shared" si="47"/>
        <v/>
      </c>
      <c r="N196" s="31" t="str">
        <f t="shared" si="47"/>
        <v/>
      </c>
      <c r="O196" s="31" t="str">
        <f t="shared" si="47"/>
        <v/>
      </c>
      <c r="P196" s="31" t="str">
        <f t="shared" si="47"/>
        <v/>
      </c>
      <c r="Q196" s="31" t="str">
        <f t="shared" si="47"/>
        <v/>
      </c>
      <c r="R196" s="31" t="str">
        <f t="shared" si="47"/>
        <v/>
      </c>
      <c r="S196" s="31" t="str">
        <f t="shared" si="47"/>
        <v/>
      </c>
      <c r="T196" s="31" t="str">
        <f t="shared" si="47"/>
        <v/>
      </c>
      <c r="V196" s="71"/>
    </row>
    <row r="197" spans="1:22" s="32" customFormat="1" ht="14.25" hidden="1" customHeight="1" x14ac:dyDescent="0.2">
      <c r="A197" s="108" t="s">
        <v>69</v>
      </c>
      <c r="B197" s="33" t="s">
        <v>37</v>
      </c>
      <c r="C197" s="34" t="s">
        <v>38</v>
      </c>
      <c r="D197" s="19" t="str">
        <f t="shared" ref="D197:T197" si="48">IF(D127=D54,"","*")</f>
        <v/>
      </c>
      <c r="E197" s="19" t="str">
        <f t="shared" si="48"/>
        <v/>
      </c>
      <c r="F197" s="19" t="str">
        <f t="shared" si="48"/>
        <v/>
      </c>
      <c r="G197" s="19" t="str">
        <f t="shared" si="48"/>
        <v/>
      </c>
      <c r="H197" s="19" t="str">
        <f t="shared" si="48"/>
        <v/>
      </c>
      <c r="I197" s="19" t="str">
        <f t="shared" si="48"/>
        <v/>
      </c>
      <c r="J197" s="19" t="str">
        <f t="shared" si="48"/>
        <v/>
      </c>
      <c r="K197" s="19" t="str">
        <f t="shared" si="48"/>
        <v/>
      </c>
      <c r="L197" s="19" t="str">
        <f t="shared" si="48"/>
        <v/>
      </c>
      <c r="M197" s="19" t="str">
        <f t="shared" si="48"/>
        <v/>
      </c>
      <c r="N197" s="19" t="str">
        <f t="shared" si="48"/>
        <v/>
      </c>
      <c r="O197" s="19" t="str">
        <f t="shared" si="48"/>
        <v/>
      </c>
      <c r="P197" s="19" t="str">
        <f t="shared" si="48"/>
        <v/>
      </c>
      <c r="Q197" s="19" t="str">
        <f t="shared" si="48"/>
        <v/>
      </c>
      <c r="R197" s="19" t="str">
        <f t="shared" si="48"/>
        <v/>
      </c>
      <c r="S197" s="19" t="str">
        <f t="shared" si="48"/>
        <v/>
      </c>
      <c r="T197" s="19" t="str">
        <f t="shared" si="48"/>
        <v/>
      </c>
      <c r="V197" s="71"/>
    </row>
    <row r="198" spans="1:22" s="32" customFormat="1" ht="14.25" hidden="1" customHeight="1" x14ac:dyDescent="0.2">
      <c r="A198" s="108"/>
      <c r="B198" s="36" t="s">
        <v>39</v>
      </c>
      <c r="C198" s="37" t="s">
        <v>163</v>
      </c>
      <c r="D198" s="19" t="str">
        <f t="shared" ref="D198:T198" si="49">IF(D128=D55,"","*")</f>
        <v/>
      </c>
      <c r="E198" s="19" t="str">
        <f t="shared" si="49"/>
        <v/>
      </c>
      <c r="F198" s="19" t="str">
        <f t="shared" si="49"/>
        <v/>
      </c>
      <c r="G198" s="19" t="str">
        <f t="shared" si="49"/>
        <v/>
      </c>
      <c r="H198" s="19" t="str">
        <f t="shared" si="49"/>
        <v/>
      </c>
      <c r="I198" s="19" t="str">
        <f t="shared" si="49"/>
        <v/>
      </c>
      <c r="J198" s="19" t="str">
        <f t="shared" si="49"/>
        <v/>
      </c>
      <c r="K198" s="19" t="str">
        <f t="shared" si="49"/>
        <v/>
      </c>
      <c r="L198" s="19" t="str">
        <f t="shared" si="49"/>
        <v/>
      </c>
      <c r="M198" s="19" t="str">
        <f t="shared" si="49"/>
        <v/>
      </c>
      <c r="N198" s="19" t="str">
        <f t="shared" si="49"/>
        <v/>
      </c>
      <c r="O198" s="19" t="str">
        <f t="shared" si="49"/>
        <v/>
      </c>
      <c r="P198" s="19" t="str">
        <f t="shared" si="49"/>
        <v/>
      </c>
      <c r="Q198" s="19" t="str">
        <f t="shared" si="49"/>
        <v/>
      </c>
      <c r="R198" s="19" t="str">
        <f t="shared" si="49"/>
        <v/>
      </c>
      <c r="S198" s="19" t="str">
        <f t="shared" si="49"/>
        <v/>
      </c>
      <c r="T198" s="19" t="str">
        <f t="shared" si="49"/>
        <v/>
      </c>
      <c r="V198" s="71"/>
    </row>
    <row r="199" spans="1:22" s="32" customFormat="1" ht="14.25" hidden="1" customHeight="1" x14ac:dyDescent="0.2">
      <c r="A199" s="38" t="s">
        <v>70</v>
      </c>
      <c r="B199" s="29" t="s">
        <v>35</v>
      </c>
      <c r="C199" s="30" t="s">
        <v>36</v>
      </c>
      <c r="D199" s="31" t="str">
        <f t="shared" ref="D199:T199" si="50">IF(D129=D56,"","*")</f>
        <v/>
      </c>
      <c r="E199" s="31" t="str">
        <f t="shared" si="50"/>
        <v/>
      </c>
      <c r="F199" s="31" t="str">
        <f t="shared" si="50"/>
        <v/>
      </c>
      <c r="G199" s="31" t="str">
        <f t="shared" si="50"/>
        <v/>
      </c>
      <c r="H199" s="31" t="str">
        <f t="shared" si="50"/>
        <v/>
      </c>
      <c r="I199" s="31" t="str">
        <f t="shared" si="50"/>
        <v/>
      </c>
      <c r="J199" s="31" t="str">
        <f t="shared" si="50"/>
        <v/>
      </c>
      <c r="K199" s="31" t="str">
        <f t="shared" si="50"/>
        <v/>
      </c>
      <c r="L199" s="31" t="str">
        <f t="shared" si="50"/>
        <v/>
      </c>
      <c r="M199" s="31" t="str">
        <f t="shared" si="50"/>
        <v/>
      </c>
      <c r="N199" s="31" t="str">
        <f t="shared" si="50"/>
        <v/>
      </c>
      <c r="O199" s="31" t="str">
        <f t="shared" si="50"/>
        <v/>
      </c>
      <c r="P199" s="31" t="str">
        <f t="shared" si="50"/>
        <v/>
      </c>
      <c r="Q199" s="31" t="str">
        <f t="shared" si="50"/>
        <v/>
      </c>
      <c r="R199" s="31" t="str">
        <f t="shared" si="50"/>
        <v/>
      </c>
      <c r="S199" s="31" t="str">
        <f t="shared" si="50"/>
        <v/>
      </c>
      <c r="T199" s="31" t="str">
        <f t="shared" si="50"/>
        <v/>
      </c>
      <c r="V199" s="71"/>
    </row>
    <row r="200" spans="1:22" s="32" customFormat="1" ht="14.25" hidden="1" customHeight="1" x14ac:dyDescent="0.2">
      <c r="A200" s="108" t="s">
        <v>71</v>
      </c>
      <c r="B200" s="33" t="s">
        <v>37</v>
      </c>
      <c r="C200" s="34" t="s">
        <v>38</v>
      </c>
      <c r="D200" s="19" t="str">
        <f t="shared" ref="D200:T200" si="51">IF(D130=D57,"","*")</f>
        <v/>
      </c>
      <c r="E200" s="19" t="str">
        <f t="shared" si="51"/>
        <v/>
      </c>
      <c r="F200" s="19" t="str">
        <f t="shared" si="51"/>
        <v/>
      </c>
      <c r="G200" s="19" t="str">
        <f t="shared" si="51"/>
        <v/>
      </c>
      <c r="H200" s="19" t="str">
        <f t="shared" si="51"/>
        <v/>
      </c>
      <c r="I200" s="19" t="str">
        <f t="shared" si="51"/>
        <v/>
      </c>
      <c r="J200" s="19" t="str">
        <f t="shared" si="51"/>
        <v/>
      </c>
      <c r="K200" s="19" t="str">
        <f t="shared" si="51"/>
        <v/>
      </c>
      <c r="L200" s="19" t="str">
        <f t="shared" si="51"/>
        <v/>
      </c>
      <c r="M200" s="19" t="str">
        <f t="shared" si="51"/>
        <v/>
      </c>
      <c r="N200" s="19" t="str">
        <f t="shared" si="51"/>
        <v/>
      </c>
      <c r="O200" s="19" t="str">
        <f t="shared" si="51"/>
        <v/>
      </c>
      <c r="P200" s="19" t="str">
        <f t="shared" si="51"/>
        <v/>
      </c>
      <c r="Q200" s="19" t="str">
        <f t="shared" si="51"/>
        <v/>
      </c>
      <c r="R200" s="19" t="str">
        <f t="shared" si="51"/>
        <v/>
      </c>
      <c r="S200" s="19" t="str">
        <f t="shared" si="51"/>
        <v/>
      </c>
      <c r="T200" s="19" t="str">
        <f t="shared" si="51"/>
        <v/>
      </c>
      <c r="V200" s="71"/>
    </row>
    <row r="201" spans="1:22" s="32" customFormat="1" ht="14.25" hidden="1" customHeight="1" x14ac:dyDescent="0.2">
      <c r="A201" s="108"/>
      <c r="B201" s="36" t="s">
        <v>39</v>
      </c>
      <c r="C201" s="37" t="s">
        <v>163</v>
      </c>
      <c r="D201" s="19" t="str">
        <f t="shared" ref="D201:T201" si="52">IF(D131=D58,"","*")</f>
        <v/>
      </c>
      <c r="E201" s="19" t="str">
        <f t="shared" si="52"/>
        <v/>
      </c>
      <c r="F201" s="19" t="str">
        <f t="shared" si="52"/>
        <v/>
      </c>
      <c r="G201" s="19" t="str">
        <f t="shared" si="52"/>
        <v/>
      </c>
      <c r="H201" s="19" t="str">
        <f t="shared" si="52"/>
        <v/>
      </c>
      <c r="I201" s="19" t="str">
        <f t="shared" si="52"/>
        <v/>
      </c>
      <c r="J201" s="19" t="str">
        <f t="shared" si="52"/>
        <v/>
      </c>
      <c r="K201" s="19" t="str">
        <f t="shared" si="52"/>
        <v/>
      </c>
      <c r="L201" s="19" t="str">
        <f t="shared" si="52"/>
        <v/>
      </c>
      <c r="M201" s="19" t="str">
        <f t="shared" si="52"/>
        <v/>
      </c>
      <c r="N201" s="19" t="str">
        <f t="shared" si="52"/>
        <v/>
      </c>
      <c r="O201" s="19" t="str">
        <f t="shared" si="52"/>
        <v/>
      </c>
      <c r="P201" s="19" t="str">
        <f t="shared" si="52"/>
        <v/>
      </c>
      <c r="Q201" s="19" t="str">
        <f t="shared" si="52"/>
        <v/>
      </c>
      <c r="R201" s="19" t="str">
        <f t="shared" si="52"/>
        <v/>
      </c>
      <c r="S201" s="19" t="str">
        <f t="shared" si="52"/>
        <v/>
      </c>
      <c r="T201" s="19" t="str">
        <f t="shared" si="52"/>
        <v/>
      </c>
      <c r="V201" s="71"/>
    </row>
    <row r="202" spans="1:22" s="32" customFormat="1" ht="14.25" hidden="1" customHeight="1" x14ac:dyDescent="0.2">
      <c r="A202" s="38" t="s">
        <v>72</v>
      </c>
      <c r="B202" s="29" t="s">
        <v>35</v>
      </c>
      <c r="C202" s="30" t="s">
        <v>36</v>
      </c>
      <c r="D202" s="31" t="str">
        <f t="shared" ref="D202:T202" si="53">IF(D132=D59,"","*")</f>
        <v/>
      </c>
      <c r="E202" s="31" t="str">
        <f t="shared" si="53"/>
        <v/>
      </c>
      <c r="F202" s="31" t="str">
        <f t="shared" si="53"/>
        <v/>
      </c>
      <c r="G202" s="31" t="str">
        <f t="shared" si="53"/>
        <v/>
      </c>
      <c r="H202" s="31" t="str">
        <f t="shared" si="53"/>
        <v/>
      </c>
      <c r="I202" s="31" t="str">
        <f t="shared" si="53"/>
        <v/>
      </c>
      <c r="J202" s="31" t="str">
        <f t="shared" si="53"/>
        <v/>
      </c>
      <c r="K202" s="31" t="str">
        <f t="shared" si="53"/>
        <v/>
      </c>
      <c r="L202" s="31" t="str">
        <f t="shared" si="53"/>
        <v/>
      </c>
      <c r="M202" s="31" t="str">
        <f t="shared" si="53"/>
        <v/>
      </c>
      <c r="N202" s="31" t="str">
        <f t="shared" si="53"/>
        <v/>
      </c>
      <c r="O202" s="31" t="str">
        <f t="shared" si="53"/>
        <v/>
      </c>
      <c r="P202" s="31" t="str">
        <f t="shared" si="53"/>
        <v/>
      </c>
      <c r="Q202" s="31" t="str">
        <f t="shared" si="53"/>
        <v/>
      </c>
      <c r="R202" s="31" t="str">
        <f t="shared" si="53"/>
        <v/>
      </c>
      <c r="S202" s="31" t="str">
        <f t="shared" si="53"/>
        <v/>
      </c>
      <c r="T202" s="31" t="str">
        <f t="shared" si="53"/>
        <v/>
      </c>
      <c r="V202" s="71"/>
    </row>
    <row r="203" spans="1:22" s="32" customFormat="1" ht="14.25" hidden="1" customHeight="1" x14ac:dyDescent="0.2">
      <c r="A203" s="108" t="s">
        <v>73</v>
      </c>
      <c r="B203" s="33" t="s">
        <v>37</v>
      </c>
      <c r="C203" s="34" t="s">
        <v>38</v>
      </c>
      <c r="D203" s="19" t="str">
        <f t="shared" ref="D203:T203" si="54">IF(D133=D60,"","*")</f>
        <v/>
      </c>
      <c r="E203" s="19" t="str">
        <f t="shared" si="54"/>
        <v/>
      </c>
      <c r="F203" s="19" t="str">
        <f t="shared" si="54"/>
        <v/>
      </c>
      <c r="G203" s="19" t="str">
        <f t="shared" si="54"/>
        <v/>
      </c>
      <c r="H203" s="19" t="str">
        <f t="shared" si="54"/>
        <v/>
      </c>
      <c r="I203" s="19" t="str">
        <f t="shared" si="54"/>
        <v/>
      </c>
      <c r="J203" s="19" t="str">
        <f t="shared" si="54"/>
        <v/>
      </c>
      <c r="K203" s="19" t="str">
        <f t="shared" si="54"/>
        <v/>
      </c>
      <c r="L203" s="19" t="str">
        <f t="shared" si="54"/>
        <v/>
      </c>
      <c r="M203" s="19" t="str">
        <f t="shared" si="54"/>
        <v/>
      </c>
      <c r="N203" s="19" t="str">
        <f t="shared" si="54"/>
        <v/>
      </c>
      <c r="O203" s="19" t="str">
        <f t="shared" si="54"/>
        <v/>
      </c>
      <c r="P203" s="19" t="str">
        <f t="shared" si="54"/>
        <v/>
      </c>
      <c r="Q203" s="19" t="str">
        <f t="shared" si="54"/>
        <v/>
      </c>
      <c r="R203" s="19" t="str">
        <f t="shared" si="54"/>
        <v/>
      </c>
      <c r="S203" s="19" t="str">
        <f t="shared" si="54"/>
        <v/>
      </c>
      <c r="T203" s="19" t="str">
        <f t="shared" si="54"/>
        <v/>
      </c>
      <c r="V203" s="71"/>
    </row>
    <row r="204" spans="1:22" s="32" customFormat="1" ht="14.25" hidden="1" customHeight="1" x14ac:dyDescent="0.2">
      <c r="A204" s="108"/>
      <c r="B204" s="36" t="s">
        <v>39</v>
      </c>
      <c r="C204" s="37" t="s">
        <v>163</v>
      </c>
      <c r="D204" s="19" t="str">
        <f t="shared" ref="D204:T204" si="55">IF(D134=D61,"","*")</f>
        <v/>
      </c>
      <c r="E204" s="19" t="str">
        <f t="shared" si="55"/>
        <v/>
      </c>
      <c r="F204" s="19" t="str">
        <f t="shared" si="55"/>
        <v/>
      </c>
      <c r="G204" s="19" t="str">
        <f t="shared" si="55"/>
        <v/>
      </c>
      <c r="H204" s="19" t="str">
        <f t="shared" si="55"/>
        <v/>
      </c>
      <c r="I204" s="19" t="str">
        <f t="shared" si="55"/>
        <v/>
      </c>
      <c r="J204" s="19" t="str">
        <f t="shared" si="55"/>
        <v/>
      </c>
      <c r="K204" s="19" t="str">
        <f t="shared" si="55"/>
        <v/>
      </c>
      <c r="L204" s="19" t="str">
        <f t="shared" si="55"/>
        <v/>
      </c>
      <c r="M204" s="19" t="str">
        <f t="shared" si="55"/>
        <v/>
      </c>
      <c r="N204" s="19" t="str">
        <f t="shared" si="55"/>
        <v/>
      </c>
      <c r="O204" s="19" t="str">
        <f t="shared" si="55"/>
        <v/>
      </c>
      <c r="P204" s="19" t="str">
        <f t="shared" si="55"/>
        <v/>
      </c>
      <c r="Q204" s="19" t="str">
        <f t="shared" si="55"/>
        <v/>
      </c>
      <c r="R204" s="19" t="str">
        <f t="shared" si="55"/>
        <v/>
      </c>
      <c r="S204" s="19" t="str">
        <f t="shared" si="55"/>
        <v/>
      </c>
      <c r="T204" s="19" t="str">
        <f t="shared" si="55"/>
        <v/>
      </c>
      <c r="V204" s="71"/>
    </row>
    <row r="205" spans="1:22" s="32" customFormat="1" ht="14.25" hidden="1" customHeight="1" x14ac:dyDescent="0.2">
      <c r="A205" s="38" t="s">
        <v>74</v>
      </c>
      <c r="B205" s="29" t="s">
        <v>35</v>
      </c>
      <c r="C205" s="30" t="s">
        <v>36</v>
      </c>
      <c r="D205" s="31" t="str">
        <f t="shared" ref="D205:T205" si="56">IF(D135=D62,"","*")</f>
        <v/>
      </c>
      <c r="E205" s="31" t="str">
        <f t="shared" si="56"/>
        <v/>
      </c>
      <c r="F205" s="31" t="str">
        <f t="shared" si="56"/>
        <v/>
      </c>
      <c r="G205" s="31" t="str">
        <f t="shared" si="56"/>
        <v/>
      </c>
      <c r="H205" s="31" t="str">
        <f t="shared" si="56"/>
        <v/>
      </c>
      <c r="I205" s="31" t="str">
        <f t="shared" si="56"/>
        <v/>
      </c>
      <c r="J205" s="31" t="str">
        <f t="shared" si="56"/>
        <v/>
      </c>
      <c r="K205" s="31" t="str">
        <f t="shared" si="56"/>
        <v/>
      </c>
      <c r="L205" s="31" t="str">
        <f t="shared" si="56"/>
        <v/>
      </c>
      <c r="M205" s="31" t="str">
        <f t="shared" si="56"/>
        <v/>
      </c>
      <c r="N205" s="31" t="str">
        <f t="shared" si="56"/>
        <v/>
      </c>
      <c r="O205" s="31" t="str">
        <f t="shared" si="56"/>
        <v/>
      </c>
      <c r="P205" s="31" t="str">
        <f t="shared" si="56"/>
        <v/>
      </c>
      <c r="Q205" s="31" t="str">
        <f t="shared" si="56"/>
        <v/>
      </c>
      <c r="R205" s="31" t="str">
        <f t="shared" si="56"/>
        <v/>
      </c>
      <c r="S205" s="31" t="str">
        <f t="shared" si="56"/>
        <v/>
      </c>
      <c r="T205" s="31" t="str">
        <f t="shared" si="56"/>
        <v/>
      </c>
      <c r="V205" s="71"/>
    </row>
    <row r="206" spans="1:22" s="32" customFormat="1" ht="14.25" hidden="1" customHeight="1" x14ac:dyDescent="0.2">
      <c r="A206" s="108" t="s">
        <v>75</v>
      </c>
      <c r="B206" s="33" t="s">
        <v>37</v>
      </c>
      <c r="C206" s="34" t="s">
        <v>38</v>
      </c>
      <c r="D206" s="19" t="str">
        <f t="shared" ref="D206:T206" si="57">IF(D136=D63,"","*")</f>
        <v/>
      </c>
      <c r="E206" s="19" t="str">
        <f t="shared" si="57"/>
        <v/>
      </c>
      <c r="F206" s="19" t="str">
        <f t="shared" si="57"/>
        <v/>
      </c>
      <c r="G206" s="19" t="str">
        <f t="shared" si="57"/>
        <v/>
      </c>
      <c r="H206" s="19" t="str">
        <f t="shared" si="57"/>
        <v/>
      </c>
      <c r="I206" s="19" t="str">
        <f t="shared" si="57"/>
        <v/>
      </c>
      <c r="J206" s="19" t="str">
        <f t="shared" si="57"/>
        <v/>
      </c>
      <c r="K206" s="19" t="str">
        <f t="shared" si="57"/>
        <v/>
      </c>
      <c r="L206" s="19" t="str">
        <f t="shared" si="57"/>
        <v/>
      </c>
      <c r="M206" s="19" t="str">
        <f t="shared" si="57"/>
        <v/>
      </c>
      <c r="N206" s="19" t="str">
        <f t="shared" si="57"/>
        <v/>
      </c>
      <c r="O206" s="19" t="str">
        <f t="shared" si="57"/>
        <v/>
      </c>
      <c r="P206" s="19" t="str">
        <f t="shared" si="57"/>
        <v/>
      </c>
      <c r="Q206" s="19" t="str">
        <f t="shared" si="57"/>
        <v/>
      </c>
      <c r="R206" s="19" t="str">
        <f t="shared" si="57"/>
        <v/>
      </c>
      <c r="S206" s="19" t="str">
        <f t="shared" si="57"/>
        <v/>
      </c>
      <c r="T206" s="19" t="str">
        <f t="shared" si="57"/>
        <v/>
      </c>
      <c r="V206" s="71"/>
    </row>
    <row r="207" spans="1:22" s="32" customFormat="1" ht="14.25" hidden="1" customHeight="1" x14ac:dyDescent="0.2">
      <c r="A207" s="108"/>
      <c r="B207" s="36" t="s">
        <v>39</v>
      </c>
      <c r="C207" s="37" t="s">
        <v>163</v>
      </c>
      <c r="D207" s="19" t="str">
        <f t="shared" ref="D207:T207" si="58">IF(D137=D64,"","*")</f>
        <v/>
      </c>
      <c r="E207" s="19" t="str">
        <f t="shared" si="58"/>
        <v/>
      </c>
      <c r="F207" s="19" t="str">
        <f t="shared" si="58"/>
        <v/>
      </c>
      <c r="G207" s="19" t="str">
        <f t="shared" si="58"/>
        <v/>
      </c>
      <c r="H207" s="19" t="str">
        <f t="shared" si="58"/>
        <v/>
      </c>
      <c r="I207" s="19" t="str">
        <f t="shared" si="58"/>
        <v/>
      </c>
      <c r="J207" s="19" t="str">
        <f t="shared" si="58"/>
        <v/>
      </c>
      <c r="K207" s="19" t="str">
        <f t="shared" si="58"/>
        <v/>
      </c>
      <c r="L207" s="19" t="str">
        <f t="shared" si="58"/>
        <v/>
      </c>
      <c r="M207" s="19" t="str">
        <f t="shared" si="58"/>
        <v/>
      </c>
      <c r="N207" s="19" t="str">
        <f t="shared" si="58"/>
        <v/>
      </c>
      <c r="O207" s="19" t="str">
        <f t="shared" si="58"/>
        <v/>
      </c>
      <c r="P207" s="19" t="str">
        <f t="shared" si="58"/>
        <v/>
      </c>
      <c r="Q207" s="19" t="str">
        <f t="shared" si="58"/>
        <v/>
      </c>
      <c r="R207" s="19" t="str">
        <f t="shared" si="58"/>
        <v/>
      </c>
      <c r="S207" s="19" t="str">
        <f t="shared" si="58"/>
        <v/>
      </c>
      <c r="T207" s="19" t="str">
        <f t="shared" si="58"/>
        <v/>
      </c>
      <c r="V207" s="71"/>
    </row>
    <row r="208" spans="1:22" s="32" customFormat="1" ht="14.25" hidden="1" customHeight="1" x14ac:dyDescent="0.2">
      <c r="A208" s="38" t="s">
        <v>76</v>
      </c>
      <c r="B208" s="29" t="s">
        <v>35</v>
      </c>
      <c r="C208" s="30" t="s">
        <v>36</v>
      </c>
      <c r="D208" s="31" t="str">
        <f t="shared" ref="D208:T208" si="59">IF(D138=D65,"","*")</f>
        <v/>
      </c>
      <c r="E208" s="31" t="str">
        <f t="shared" si="59"/>
        <v/>
      </c>
      <c r="F208" s="31" t="str">
        <f t="shared" si="59"/>
        <v/>
      </c>
      <c r="G208" s="31" t="str">
        <f t="shared" si="59"/>
        <v/>
      </c>
      <c r="H208" s="31" t="str">
        <f t="shared" si="59"/>
        <v/>
      </c>
      <c r="I208" s="31" t="str">
        <f t="shared" si="59"/>
        <v/>
      </c>
      <c r="J208" s="31" t="str">
        <f t="shared" si="59"/>
        <v/>
      </c>
      <c r="K208" s="31" t="str">
        <f t="shared" si="59"/>
        <v/>
      </c>
      <c r="L208" s="31" t="str">
        <f t="shared" si="59"/>
        <v/>
      </c>
      <c r="M208" s="31" t="str">
        <f t="shared" si="59"/>
        <v/>
      </c>
      <c r="N208" s="31" t="str">
        <f t="shared" si="59"/>
        <v/>
      </c>
      <c r="O208" s="31" t="str">
        <f t="shared" si="59"/>
        <v/>
      </c>
      <c r="P208" s="31" t="str">
        <f t="shared" si="59"/>
        <v/>
      </c>
      <c r="Q208" s="31" t="str">
        <f t="shared" si="59"/>
        <v/>
      </c>
      <c r="R208" s="31" t="str">
        <f t="shared" si="59"/>
        <v/>
      </c>
      <c r="S208" s="31" t="str">
        <f t="shared" si="59"/>
        <v/>
      </c>
      <c r="T208" s="31" t="str">
        <f t="shared" si="59"/>
        <v/>
      </c>
      <c r="V208" s="71"/>
    </row>
    <row r="209" spans="1:22" s="32" customFormat="1" ht="14.25" hidden="1" customHeight="1" x14ac:dyDescent="0.2">
      <c r="A209" s="108" t="s">
        <v>77</v>
      </c>
      <c r="B209" s="33" t="s">
        <v>37</v>
      </c>
      <c r="C209" s="34" t="s">
        <v>38</v>
      </c>
      <c r="D209" s="19" t="str">
        <f t="shared" ref="D209:T209" si="60">IF(D139=D66,"","*")</f>
        <v/>
      </c>
      <c r="E209" s="19" t="str">
        <f t="shared" si="60"/>
        <v/>
      </c>
      <c r="F209" s="19" t="str">
        <f t="shared" si="60"/>
        <v/>
      </c>
      <c r="G209" s="19" t="str">
        <f t="shared" si="60"/>
        <v/>
      </c>
      <c r="H209" s="19" t="str">
        <f t="shared" si="60"/>
        <v/>
      </c>
      <c r="I209" s="19" t="str">
        <f t="shared" si="60"/>
        <v/>
      </c>
      <c r="J209" s="19" t="str">
        <f t="shared" si="60"/>
        <v/>
      </c>
      <c r="K209" s="19" t="str">
        <f t="shared" si="60"/>
        <v/>
      </c>
      <c r="L209" s="19" t="str">
        <f t="shared" si="60"/>
        <v/>
      </c>
      <c r="M209" s="19" t="str">
        <f t="shared" si="60"/>
        <v/>
      </c>
      <c r="N209" s="19" t="str">
        <f t="shared" si="60"/>
        <v/>
      </c>
      <c r="O209" s="19" t="str">
        <f t="shared" si="60"/>
        <v/>
      </c>
      <c r="P209" s="19" t="str">
        <f t="shared" si="60"/>
        <v/>
      </c>
      <c r="Q209" s="19" t="str">
        <f t="shared" si="60"/>
        <v/>
      </c>
      <c r="R209" s="19" t="str">
        <f t="shared" si="60"/>
        <v/>
      </c>
      <c r="S209" s="19" t="str">
        <f t="shared" si="60"/>
        <v/>
      </c>
      <c r="T209" s="19" t="str">
        <f t="shared" si="60"/>
        <v/>
      </c>
      <c r="V209" s="71"/>
    </row>
    <row r="210" spans="1:22" s="32" customFormat="1" ht="14.25" hidden="1" customHeight="1" x14ac:dyDescent="0.2">
      <c r="A210" s="108"/>
      <c r="B210" s="36" t="s">
        <v>39</v>
      </c>
      <c r="C210" s="37" t="s">
        <v>163</v>
      </c>
      <c r="D210" s="19" t="str">
        <f t="shared" ref="D210:T210" si="61">IF(D140=D67,"","*")</f>
        <v/>
      </c>
      <c r="E210" s="19" t="str">
        <f t="shared" si="61"/>
        <v/>
      </c>
      <c r="F210" s="19" t="str">
        <f t="shared" si="61"/>
        <v/>
      </c>
      <c r="G210" s="19" t="str">
        <f t="shared" si="61"/>
        <v/>
      </c>
      <c r="H210" s="19" t="str">
        <f t="shared" si="61"/>
        <v/>
      </c>
      <c r="I210" s="19" t="str">
        <f t="shared" si="61"/>
        <v/>
      </c>
      <c r="J210" s="19" t="str">
        <f t="shared" si="61"/>
        <v/>
      </c>
      <c r="K210" s="19" t="str">
        <f t="shared" si="61"/>
        <v/>
      </c>
      <c r="L210" s="19" t="str">
        <f t="shared" si="61"/>
        <v/>
      </c>
      <c r="M210" s="19" t="str">
        <f t="shared" si="61"/>
        <v/>
      </c>
      <c r="N210" s="19" t="str">
        <f t="shared" si="61"/>
        <v/>
      </c>
      <c r="O210" s="19" t="str">
        <f t="shared" si="61"/>
        <v/>
      </c>
      <c r="P210" s="19" t="str">
        <f t="shared" si="61"/>
        <v/>
      </c>
      <c r="Q210" s="19" t="str">
        <f t="shared" si="61"/>
        <v/>
      </c>
      <c r="R210" s="19" t="str">
        <f t="shared" si="61"/>
        <v/>
      </c>
      <c r="S210" s="19" t="str">
        <f t="shared" si="61"/>
        <v/>
      </c>
      <c r="T210" s="19" t="str">
        <f t="shared" si="61"/>
        <v/>
      </c>
      <c r="V210" s="71"/>
    </row>
    <row r="211" spans="1:22" s="32" customFormat="1" ht="14.25" hidden="1" customHeight="1" x14ac:dyDescent="0.2">
      <c r="A211" s="38" t="s">
        <v>78</v>
      </c>
      <c r="B211" s="29" t="s">
        <v>35</v>
      </c>
      <c r="C211" s="30" t="s">
        <v>36</v>
      </c>
      <c r="D211" s="31" t="str">
        <f t="shared" ref="D211:T211" si="62">IF(D141=D68,"","*")</f>
        <v/>
      </c>
      <c r="E211" s="31" t="str">
        <f t="shared" si="62"/>
        <v/>
      </c>
      <c r="F211" s="31" t="str">
        <f t="shared" si="62"/>
        <v/>
      </c>
      <c r="G211" s="31" t="str">
        <f t="shared" si="62"/>
        <v/>
      </c>
      <c r="H211" s="31" t="str">
        <f t="shared" si="62"/>
        <v/>
      </c>
      <c r="I211" s="31" t="str">
        <f t="shared" si="62"/>
        <v/>
      </c>
      <c r="J211" s="31" t="str">
        <f t="shared" si="62"/>
        <v/>
      </c>
      <c r="K211" s="31" t="str">
        <f t="shared" si="62"/>
        <v/>
      </c>
      <c r="L211" s="31" t="str">
        <f t="shared" si="62"/>
        <v/>
      </c>
      <c r="M211" s="31" t="str">
        <f t="shared" si="62"/>
        <v/>
      </c>
      <c r="N211" s="31" t="str">
        <f t="shared" si="62"/>
        <v/>
      </c>
      <c r="O211" s="31" t="str">
        <f t="shared" si="62"/>
        <v/>
      </c>
      <c r="P211" s="31" t="str">
        <f t="shared" si="62"/>
        <v/>
      </c>
      <c r="Q211" s="31" t="str">
        <f t="shared" si="62"/>
        <v/>
      </c>
      <c r="R211" s="31" t="str">
        <f t="shared" si="62"/>
        <v/>
      </c>
      <c r="S211" s="31" t="str">
        <f t="shared" si="62"/>
        <v/>
      </c>
      <c r="T211" s="31" t="str">
        <f t="shared" si="62"/>
        <v/>
      </c>
      <c r="V211" s="71"/>
    </row>
    <row r="212" spans="1:22" s="32" customFormat="1" ht="14.25" hidden="1" customHeight="1" x14ac:dyDescent="0.2">
      <c r="A212" s="108" t="s">
        <v>79</v>
      </c>
      <c r="B212" s="33" t="s">
        <v>37</v>
      </c>
      <c r="C212" s="34" t="s">
        <v>38</v>
      </c>
      <c r="D212" s="19" t="str">
        <f t="shared" ref="D212:T212" si="63">IF(D142=D69,"","*")</f>
        <v/>
      </c>
      <c r="E212" s="19" t="str">
        <f t="shared" si="63"/>
        <v/>
      </c>
      <c r="F212" s="19" t="str">
        <f t="shared" si="63"/>
        <v/>
      </c>
      <c r="G212" s="19" t="str">
        <f t="shared" si="63"/>
        <v/>
      </c>
      <c r="H212" s="19" t="str">
        <f t="shared" si="63"/>
        <v/>
      </c>
      <c r="I212" s="19" t="str">
        <f t="shared" si="63"/>
        <v/>
      </c>
      <c r="J212" s="19" t="str">
        <f t="shared" si="63"/>
        <v/>
      </c>
      <c r="K212" s="19" t="str">
        <f t="shared" si="63"/>
        <v/>
      </c>
      <c r="L212" s="19" t="str">
        <f t="shared" si="63"/>
        <v/>
      </c>
      <c r="M212" s="19" t="str">
        <f t="shared" si="63"/>
        <v/>
      </c>
      <c r="N212" s="19" t="str">
        <f t="shared" si="63"/>
        <v/>
      </c>
      <c r="O212" s="19" t="str">
        <f t="shared" si="63"/>
        <v/>
      </c>
      <c r="P212" s="19" t="str">
        <f t="shared" si="63"/>
        <v/>
      </c>
      <c r="Q212" s="19" t="str">
        <f t="shared" si="63"/>
        <v/>
      </c>
      <c r="R212" s="19" t="str">
        <f t="shared" si="63"/>
        <v/>
      </c>
      <c r="S212" s="19" t="str">
        <f t="shared" si="63"/>
        <v/>
      </c>
      <c r="T212" s="19" t="str">
        <f t="shared" si="63"/>
        <v/>
      </c>
      <c r="V212" s="71"/>
    </row>
    <row r="213" spans="1:22" s="32" customFormat="1" ht="14.25" hidden="1" customHeight="1" x14ac:dyDescent="0.2">
      <c r="A213" s="108"/>
      <c r="B213" s="36" t="s">
        <v>39</v>
      </c>
      <c r="C213" s="37" t="s">
        <v>163</v>
      </c>
      <c r="D213" s="19" t="str">
        <f t="shared" ref="D213:T213" si="64">IF(D143=D70,"","*")</f>
        <v/>
      </c>
      <c r="E213" s="19" t="str">
        <f t="shared" si="64"/>
        <v/>
      </c>
      <c r="F213" s="19" t="str">
        <f t="shared" si="64"/>
        <v/>
      </c>
      <c r="G213" s="19" t="str">
        <f t="shared" si="64"/>
        <v/>
      </c>
      <c r="H213" s="19" t="str">
        <f t="shared" si="64"/>
        <v/>
      </c>
      <c r="I213" s="19" t="str">
        <f t="shared" si="64"/>
        <v/>
      </c>
      <c r="J213" s="19" t="str">
        <f t="shared" si="64"/>
        <v/>
      </c>
      <c r="K213" s="19" t="str">
        <f t="shared" si="64"/>
        <v/>
      </c>
      <c r="L213" s="19" t="str">
        <f t="shared" si="64"/>
        <v/>
      </c>
      <c r="M213" s="19" t="str">
        <f t="shared" si="64"/>
        <v/>
      </c>
      <c r="N213" s="19" t="str">
        <f t="shared" si="64"/>
        <v/>
      </c>
      <c r="O213" s="19" t="str">
        <f t="shared" si="64"/>
        <v/>
      </c>
      <c r="P213" s="19" t="str">
        <f t="shared" si="64"/>
        <v/>
      </c>
      <c r="Q213" s="19" t="str">
        <f t="shared" si="64"/>
        <v/>
      </c>
      <c r="R213" s="19" t="str">
        <f t="shared" si="64"/>
        <v/>
      </c>
      <c r="S213" s="19" t="str">
        <f t="shared" si="64"/>
        <v/>
      </c>
      <c r="T213" s="19" t="str">
        <f t="shared" si="64"/>
        <v/>
      </c>
      <c r="V213" s="71"/>
    </row>
    <row r="214" spans="1:22" s="32" customFormat="1" ht="14.25" hidden="1" customHeight="1" x14ac:dyDescent="0.2">
      <c r="A214" s="38" t="s">
        <v>80</v>
      </c>
      <c r="B214" s="29" t="s">
        <v>35</v>
      </c>
      <c r="C214" s="30" t="s">
        <v>36</v>
      </c>
      <c r="D214" s="31" t="str">
        <f t="shared" ref="D214:T214" si="65">IF(D144=D71,"","*")</f>
        <v/>
      </c>
      <c r="E214" s="31" t="str">
        <f t="shared" si="65"/>
        <v/>
      </c>
      <c r="F214" s="31" t="str">
        <f t="shared" si="65"/>
        <v/>
      </c>
      <c r="G214" s="31" t="str">
        <f t="shared" si="65"/>
        <v/>
      </c>
      <c r="H214" s="31" t="str">
        <f t="shared" si="65"/>
        <v/>
      </c>
      <c r="I214" s="31" t="str">
        <f t="shared" si="65"/>
        <v/>
      </c>
      <c r="J214" s="31" t="str">
        <f t="shared" si="65"/>
        <v/>
      </c>
      <c r="K214" s="31" t="str">
        <f t="shared" si="65"/>
        <v/>
      </c>
      <c r="L214" s="31" t="str">
        <f t="shared" si="65"/>
        <v/>
      </c>
      <c r="M214" s="31" t="str">
        <f t="shared" si="65"/>
        <v/>
      </c>
      <c r="N214" s="31" t="str">
        <f t="shared" si="65"/>
        <v/>
      </c>
      <c r="O214" s="31" t="str">
        <f t="shared" si="65"/>
        <v/>
      </c>
      <c r="P214" s="31" t="str">
        <f t="shared" si="65"/>
        <v/>
      </c>
      <c r="Q214" s="31" t="str">
        <f t="shared" si="65"/>
        <v/>
      </c>
      <c r="R214" s="31" t="str">
        <f t="shared" si="65"/>
        <v/>
      </c>
      <c r="S214" s="31" t="str">
        <f t="shared" si="65"/>
        <v/>
      </c>
      <c r="T214" s="31" t="str">
        <f t="shared" si="65"/>
        <v/>
      </c>
      <c r="V214" s="71"/>
    </row>
    <row r="215" spans="1:22" s="32" customFormat="1" ht="14.25" hidden="1" customHeight="1" x14ac:dyDescent="0.2">
      <c r="A215" s="108" t="s">
        <v>81</v>
      </c>
      <c r="B215" s="33" t="s">
        <v>37</v>
      </c>
      <c r="C215" s="34" t="s">
        <v>38</v>
      </c>
      <c r="D215" s="19" t="str">
        <f t="shared" ref="D215:T215" si="66">IF(D145=D72,"","*")</f>
        <v/>
      </c>
      <c r="E215" s="19" t="str">
        <f t="shared" si="66"/>
        <v/>
      </c>
      <c r="F215" s="19" t="str">
        <f t="shared" si="66"/>
        <v/>
      </c>
      <c r="G215" s="19" t="str">
        <f t="shared" si="66"/>
        <v/>
      </c>
      <c r="H215" s="19" t="str">
        <f t="shared" si="66"/>
        <v/>
      </c>
      <c r="I215" s="19" t="str">
        <f t="shared" si="66"/>
        <v/>
      </c>
      <c r="J215" s="19" t="str">
        <f t="shared" si="66"/>
        <v/>
      </c>
      <c r="K215" s="19" t="str">
        <f t="shared" si="66"/>
        <v/>
      </c>
      <c r="L215" s="19" t="str">
        <f t="shared" si="66"/>
        <v/>
      </c>
      <c r="M215" s="19" t="str">
        <f t="shared" si="66"/>
        <v/>
      </c>
      <c r="N215" s="19" t="str">
        <f t="shared" si="66"/>
        <v/>
      </c>
      <c r="O215" s="19" t="str">
        <f t="shared" si="66"/>
        <v/>
      </c>
      <c r="P215" s="19" t="str">
        <f t="shared" si="66"/>
        <v/>
      </c>
      <c r="Q215" s="19" t="str">
        <f t="shared" si="66"/>
        <v/>
      </c>
      <c r="R215" s="19" t="str">
        <f t="shared" si="66"/>
        <v/>
      </c>
      <c r="S215" s="19" t="str">
        <f t="shared" si="66"/>
        <v/>
      </c>
      <c r="T215" s="19" t="str">
        <f t="shared" si="66"/>
        <v/>
      </c>
      <c r="V215" s="71"/>
    </row>
    <row r="216" spans="1:22" s="32" customFormat="1" ht="14.25" hidden="1" customHeight="1" x14ac:dyDescent="0.2">
      <c r="A216" s="108"/>
      <c r="B216" s="36" t="s">
        <v>39</v>
      </c>
      <c r="C216" s="37" t="s">
        <v>163</v>
      </c>
      <c r="D216" s="19" t="str">
        <f t="shared" ref="D216:T216" si="67">IF(D146=D73,"","*")</f>
        <v/>
      </c>
      <c r="E216" s="19" t="str">
        <f t="shared" si="67"/>
        <v/>
      </c>
      <c r="F216" s="19" t="str">
        <f t="shared" si="67"/>
        <v/>
      </c>
      <c r="G216" s="19" t="str">
        <f t="shared" si="67"/>
        <v/>
      </c>
      <c r="H216" s="19" t="str">
        <f t="shared" si="67"/>
        <v/>
      </c>
      <c r="I216" s="19" t="str">
        <f t="shared" si="67"/>
        <v/>
      </c>
      <c r="J216" s="19" t="str">
        <f t="shared" si="67"/>
        <v/>
      </c>
      <c r="K216" s="19" t="str">
        <f t="shared" si="67"/>
        <v/>
      </c>
      <c r="L216" s="19" t="str">
        <f t="shared" si="67"/>
        <v/>
      </c>
      <c r="M216" s="19" t="str">
        <f t="shared" si="67"/>
        <v/>
      </c>
      <c r="N216" s="19" t="str">
        <f t="shared" si="67"/>
        <v/>
      </c>
      <c r="O216" s="19" t="str">
        <f t="shared" si="67"/>
        <v/>
      </c>
      <c r="P216" s="19" t="str">
        <f t="shared" si="67"/>
        <v/>
      </c>
      <c r="Q216" s="19" t="str">
        <f t="shared" si="67"/>
        <v/>
      </c>
      <c r="R216" s="19" t="str">
        <f t="shared" si="67"/>
        <v/>
      </c>
      <c r="S216" s="19" t="str">
        <f t="shared" si="67"/>
        <v/>
      </c>
      <c r="T216" s="19" t="str">
        <f t="shared" si="67"/>
        <v/>
      </c>
      <c r="V216" s="71"/>
    </row>
    <row r="217" spans="1:22" s="32" customFormat="1" ht="14.25" hidden="1" customHeight="1" x14ac:dyDescent="0.2">
      <c r="A217" s="38" t="s">
        <v>82</v>
      </c>
      <c r="B217" s="29" t="s">
        <v>35</v>
      </c>
      <c r="C217" s="30" t="s">
        <v>36</v>
      </c>
      <c r="D217" s="31" t="str">
        <f t="shared" ref="D217:T217" si="68">IF(D147=D74,"","*")</f>
        <v/>
      </c>
      <c r="E217" s="31" t="str">
        <f t="shared" si="68"/>
        <v/>
      </c>
      <c r="F217" s="31" t="str">
        <f t="shared" si="68"/>
        <v/>
      </c>
      <c r="G217" s="31" t="str">
        <f t="shared" si="68"/>
        <v/>
      </c>
      <c r="H217" s="31" t="str">
        <f t="shared" si="68"/>
        <v/>
      </c>
      <c r="I217" s="31" t="str">
        <f t="shared" si="68"/>
        <v/>
      </c>
      <c r="J217" s="31" t="str">
        <f t="shared" si="68"/>
        <v/>
      </c>
      <c r="K217" s="31" t="str">
        <f t="shared" si="68"/>
        <v/>
      </c>
      <c r="L217" s="31" t="str">
        <f t="shared" si="68"/>
        <v/>
      </c>
      <c r="M217" s="31" t="str">
        <f t="shared" si="68"/>
        <v/>
      </c>
      <c r="N217" s="31" t="str">
        <f t="shared" si="68"/>
        <v/>
      </c>
      <c r="O217" s="31" t="str">
        <f t="shared" si="68"/>
        <v/>
      </c>
      <c r="P217" s="31" t="str">
        <f t="shared" si="68"/>
        <v/>
      </c>
      <c r="Q217" s="31" t="str">
        <f t="shared" si="68"/>
        <v/>
      </c>
      <c r="R217" s="31" t="str">
        <f t="shared" si="68"/>
        <v/>
      </c>
      <c r="S217" s="31" t="str">
        <f t="shared" si="68"/>
        <v/>
      </c>
      <c r="T217" s="31" t="str">
        <f t="shared" si="68"/>
        <v/>
      </c>
      <c r="V217" s="71"/>
    </row>
    <row r="218" spans="1:22" s="32" customFormat="1" ht="14.25" hidden="1" customHeight="1" x14ac:dyDescent="0.2">
      <c r="A218" s="108" t="s">
        <v>83</v>
      </c>
      <c r="B218" s="33" t="s">
        <v>37</v>
      </c>
      <c r="C218" s="34" t="s">
        <v>38</v>
      </c>
      <c r="D218" s="19" t="str">
        <f t="shared" ref="D218:T218" si="69">IF(D148=D75,"","*")</f>
        <v/>
      </c>
      <c r="E218" s="19" t="str">
        <f t="shared" si="69"/>
        <v/>
      </c>
      <c r="F218" s="19" t="str">
        <f t="shared" si="69"/>
        <v/>
      </c>
      <c r="G218" s="19" t="str">
        <f t="shared" si="69"/>
        <v/>
      </c>
      <c r="H218" s="19" t="str">
        <f t="shared" si="69"/>
        <v/>
      </c>
      <c r="I218" s="19" t="str">
        <f t="shared" si="69"/>
        <v/>
      </c>
      <c r="J218" s="19" t="str">
        <f t="shared" si="69"/>
        <v/>
      </c>
      <c r="K218" s="19" t="str">
        <f t="shared" si="69"/>
        <v/>
      </c>
      <c r="L218" s="19" t="str">
        <f t="shared" si="69"/>
        <v/>
      </c>
      <c r="M218" s="19" t="str">
        <f t="shared" si="69"/>
        <v/>
      </c>
      <c r="N218" s="19" t="str">
        <f t="shared" si="69"/>
        <v/>
      </c>
      <c r="O218" s="19" t="str">
        <f t="shared" si="69"/>
        <v/>
      </c>
      <c r="P218" s="19" t="str">
        <f t="shared" si="69"/>
        <v/>
      </c>
      <c r="Q218" s="19" t="str">
        <f t="shared" si="69"/>
        <v/>
      </c>
      <c r="R218" s="19" t="str">
        <f t="shared" si="69"/>
        <v/>
      </c>
      <c r="S218" s="19" t="str">
        <f t="shared" si="69"/>
        <v/>
      </c>
      <c r="T218" s="19" t="str">
        <f t="shared" si="69"/>
        <v/>
      </c>
      <c r="V218" s="71"/>
    </row>
    <row r="219" spans="1:22" s="32" customFormat="1" ht="14.25" hidden="1" customHeight="1" x14ac:dyDescent="0.2">
      <c r="A219" s="108"/>
      <c r="B219" s="36" t="s">
        <v>39</v>
      </c>
      <c r="C219" s="37" t="s">
        <v>163</v>
      </c>
      <c r="D219" s="39" t="str">
        <f t="shared" ref="D219:T219" si="70">IF(D149=D76,"","*")</f>
        <v/>
      </c>
      <c r="E219" s="39" t="str">
        <f t="shared" si="70"/>
        <v/>
      </c>
      <c r="F219" s="39" t="str">
        <f t="shared" si="70"/>
        <v/>
      </c>
      <c r="G219" s="39" t="str">
        <f t="shared" si="70"/>
        <v/>
      </c>
      <c r="H219" s="39" t="str">
        <f t="shared" si="70"/>
        <v/>
      </c>
      <c r="I219" s="39" t="str">
        <f t="shared" si="70"/>
        <v/>
      </c>
      <c r="J219" s="39" t="str">
        <f t="shared" si="70"/>
        <v/>
      </c>
      <c r="K219" s="39" t="str">
        <f t="shared" si="70"/>
        <v/>
      </c>
      <c r="L219" s="39" t="str">
        <f t="shared" si="70"/>
        <v/>
      </c>
      <c r="M219" s="39" t="str">
        <f t="shared" si="70"/>
        <v/>
      </c>
      <c r="N219" s="39" t="str">
        <f t="shared" si="70"/>
        <v/>
      </c>
      <c r="O219" s="39" t="str">
        <f t="shared" si="70"/>
        <v/>
      </c>
      <c r="P219" s="39" t="str">
        <f t="shared" si="70"/>
        <v/>
      </c>
      <c r="Q219" s="39" t="str">
        <f t="shared" si="70"/>
        <v/>
      </c>
      <c r="R219" s="39" t="str">
        <f t="shared" si="70"/>
        <v/>
      </c>
      <c r="S219" s="39" t="str">
        <f t="shared" si="70"/>
        <v/>
      </c>
      <c r="T219" s="39" t="str">
        <f t="shared" si="70"/>
        <v/>
      </c>
      <c r="V219" s="71"/>
    </row>
  </sheetData>
  <mergeCells count="81">
    <mergeCell ref="A9:A10"/>
    <mergeCell ref="A12:A13"/>
    <mergeCell ref="A4:C7"/>
    <mergeCell ref="D4:T4"/>
    <mergeCell ref="D5:F6"/>
    <mergeCell ref="G5:J5"/>
    <mergeCell ref="K5:R5"/>
    <mergeCell ref="S5:T6"/>
    <mergeCell ref="K6:L6"/>
    <mergeCell ref="M6:N6"/>
    <mergeCell ref="O6:P6"/>
    <mergeCell ref="Q6:R6"/>
    <mergeCell ref="A45:A46"/>
    <mergeCell ref="G6:H6"/>
    <mergeCell ref="I6:J6"/>
    <mergeCell ref="A72:A73"/>
    <mergeCell ref="A51:A52"/>
    <mergeCell ref="A18:A19"/>
    <mergeCell ref="A21:A22"/>
    <mergeCell ref="A24:A25"/>
    <mergeCell ref="A27:A28"/>
    <mergeCell ref="A33:A34"/>
    <mergeCell ref="A36:A37"/>
    <mergeCell ref="A39:A40"/>
    <mergeCell ref="A42:A43"/>
    <mergeCell ref="A30:A31"/>
    <mergeCell ref="A48:A49"/>
    <mergeCell ref="A15:A16"/>
    <mergeCell ref="A75:A76"/>
    <mergeCell ref="A54:A55"/>
    <mergeCell ref="A57:A58"/>
    <mergeCell ref="A60:A61"/>
    <mergeCell ref="A63:A64"/>
    <mergeCell ref="A66:A67"/>
    <mergeCell ref="A69:A70"/>
    <mergeCell ref="A82:A83"/>
    <mergeCell ref="A85:A86"/>
    <mergeCell ref="A88:A89"/>
    <mergeCell ref="A91:A92"/>
    <mergeCell ref="A94:A95"/>
    <mergeCell ref="A97:A98"/>
    <mergeCell ref="A100:A101"/>
    <mergeCell ref="A103:A104"/>
    <mergeCell ref="A106:A107"/>
    <mergeCell ref="A109:A110"/>
    <mergeCell ref="A112:A113"/>
    <mergeCell ref="A115:A116"/>
    <mergeCell ref="A118:A119"/>
    <mergeCell ref="A121:A122"/>
    <mergeCell ref="A124:A125"/>
    <mergeCell ref="A127:A128"/>
    <mergeCell ref="A130:A131"/>
    <mergeCell ref="A133:A134"/>
    <mergeCell ref="A136:A137"/>
    <mergeCell ref="A139:A140"/>
    <mergeCell ref="A142:A143"/>
    <mergeCell ref="A145:A146"/>
    <mergeCell ref="A148:A149"/>
    <mergeCell ref="A152:A153"/>
    <mergeCell ref="A155:A156"/>
    <mergeCell ref="A158:A159"/>
    <mergeCell ref="A161:A162"/>
    <mergeCell ref="A164:A165"/>
    <mergeCell ref="A167:A168"/>
    <mergeCell ref="A170:A171"/>
    <mergeCell ref="A173:A174"/>
    <mergeCell ref="A176:A177"/>
    <mergeCell ref="A179:A180"/>
    <mergeCell ref="A182:A183"/>
    <mergeCell ref="A185:A186"/>
    <mergeCell ref="A188:A189"/>
    <mergeCell ref="A191:A192"/>
    <mergeCell ref="A194:A195"/>
    <mergeCell ref="A197:A198"/>
    <mergeCell ref="A200:A201"/>
    <mergeCell ref="A218:A219"/>
    <mergeCell ref="A203:A204"/>
    <mergeCell ref="A206:A207"/>
    <mergeCell ref="A209:A210"/>
    <mergeCell ref="A212:A213"/>
    <mergeCell ref="A215:A216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0"/>
  <sheetViews>
    <sheetView workbookViewId="0">
      <pane xSplit="4" ySplit="8" topLeftCell="E54" activePane="bottomRight" state="frozen"/>
      <selection pane="topRight"/>
      <selection pane="bottomLeft"/>
      <selection pane="bottomRight" activeCell="F78" sqref="F78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2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">
      <c r="A3" s="67" t="s">
        <v>164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2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26</v>
      </c>
      <c r="V5" s="101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</row>
    <row r="8" spans="1:22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10810</v>
      </c>
      <c r="E8" s="78">
        <v>4836</v>
      </c>
      <c r="F8" s="78">
        <v>5974</v>
      </c>
      <c r="G8" s="78">
        <v>5</v>
      </c>
      <c r="H8" s="78">
        <v>6</v>
      </c>
      <c r="I8" s="78">
        <v>10</v>
      </c>
      <c r="J8" s="78">
        <v>4</v>
      </c>
      <c r="K8" s="78">
        <v>3340</v>
      </c>
      <c r="L8" s="78">
        <v>2326</v>
      </c>
      <c r="M8" s="78">
        <v>254</v>
      </c>
      <c r="N8" s="78">
        <v>238</v>
      </c>
      <c r="O8" s="78">
        <v>585</v>
      </c>
      <c r="P8" s="78">
        <v>2882</v>
      </c>
      <c r="Q8" s="78">
        <v>600</v>
      </c>
      <c r="R8" s="78">
        <v>476</v>
      </c>
      <c r="S8" s="78">
        <v>37</v>
      </c>
      <c r="T8" s="78">
        <v>31</v>
      </c>
      <c r="U8" s="78">
        <v>5</v>
      </c>
      <c r="V8" s="78">
        <v>11</v>
      </c>
    </row>
    <row r="9" spans="1:22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9795</v>
      </c>
      <c r="E9" s="82">
        <v>4375</v>
      </c>
      <c r="F9" s="82">
        <v>5420</v>
      </c>
      <c r="G9" s="82">
        <v>5</v>
      </c>
      <c r="H9" s="82">
        <v>6</v>
      </c>
      <c r="I9" s="82">
        <v>9</v>
      </c>
      <c r="J9" s="82">
        <v>4</v>
      </c>
      <c r="K9" s="82">
        <v>3055</v>
      </c>
      <c r="L9" s="82">
        <v>2155</v>
      </c>
      <c r="M9" s="82">
        <v>232</v>
      </c>
      <c r="N9" s="82">
        <v>212</v>
      </c>
      <c r="O9" s="82">
        <v>506</v>
      </c>
      <c r="P9" s="82">
        <v>2581</v>
      </c>
      <c r="Q9" s="82">
        <v>531</v>
      </c>
      <c r="R9" s="82">
        <v>429</v>
      </c>
      <c r="S9" s="82">
        <v>34</v>
      </c>
      <c r="T9" s="82">
        <v>29</v>
      </c>
      <c r="U9" s="82">
        <v>3</v>
      </c>
      <c r="V9" s="82">
        <v>4</v>
      </c>
    </row>
    <row r="10" spans="1:22" s="79" customFormat="1" ht="14.25" customHeight="1" x14ac:dyDescent="0.2">
      <c r="A10" s="111"/>
      <c r="B10" s="80" t="s">
        <v>152</v>
      </c>
      <c r="C10" s="81" t="s">
        <v>163</v>
      </c>
      <c r="D10" s="82">
        <v>1015</v>
      </c>
      <c r="E10" s="82">
        <v>461</v>
      </c>
      <c r="F10" s="82">
        <v>554</v>
      </c>
      <c r="G10" s="82">
        <v>0</v>
      </c>
      <c r="H10" s="82">
        <v>0</v>
      </c>
      <c r="I10" s="82">
        <v>1</v>
      </c>
      <c r="J10" s="82">
        <v>0</v>
      </c>
      <c r="K10" s="82">
        <v>285</v>
      </c>
      <c r="L10" s="82">
        <v>171</v>
      </c>
      <c r="M10" s="82">
        <v>22</v>
      </c>
      <c r="N10" s="82">
        <v>26</v>
      </c>
      <c r="O10" s="82">
        <v>79</v>
      </c>
      <c r="P10" s="82">
        <v>301</v>
      </c>
      <c r="Q10" s="82">
        <v>69</v>
      </c>
      <c r="R10" s="82">
        <v>47</v>
      </c>
      <c r="S10" s="82">
        <v>3</v>
      </c>
      <c r="T10" s="82">
        <v>2</v>
      </c>
      <c r="U10" s="82">
        <v>2</v>
      </c>
      <c r="V10" s="82">
        <v>7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2222</v>
      </c>
      <c r="E11" s="31">
        <v>974</v>
      </c>
      <c r="F11" s="31">
        <v>1248</v>
      </c>
      <c r="G11" s="31">
        <v>0</v>
      </c>
      <c r="H11" s="31">
        <v>0</v>
      </c>
      <c r="I11" s="31">
        <v>0</v>
      </c>
      <c r="J11" s="31">
        <v>0</v>
      </c>
      <c r="K11" s="31">
        <v>736</v>
      </c>
      <c r="L11" s="31">
        <v>485</v>
      </c>
      <c r="M11" s="31">
        <v>63</v>
      </c>
      <c r="N11" s="31">
        <v>53</v>
      </c>
      <c r="O11" s="31">
        <v>103</v>
      </c>
      <c r="P11" s="31">
        <v>650</v>
      </c>
      <c r="Q11" s="31">
        <v>62</v>
      </c>
      <c r="R11" s="31">
        <v>49</v>
      </c>
      <c r="S11" s="31">
        <v>10</v>
      </c>
      <c r="T11" s="31">
        <v>11</v>
      </c>
      <c r="U11" s="31">
        <v>0</v>
      </c>
      <c r="V11" s="31">
        <v>0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2092</v>
      </c>
      <c r="E12" s="19">
        <v>917</v>
      </c>
      <c r="F12" s="19">
        <v>1175</v>
      </c>
      <c r="G12" s="19">
        <v>0</v>
      </c>
      <c r="H12" s="19">
        <v>0</v>
      </c>
      <c r="I12" s="19">
        <v>0</v>
      </c>
      <c r="J12" s="19">
        <v>0</v>
      </c>
      <c r="K12" s="19">
        <v>688</v>
      </c>
      <c r="L12" s="19">
        <v>456</v>
      </c>
      <c r="M12" s="19">
        <v>60</v>
      </c>
      <c r="N12" s="19">
        <v>47</v>
      </c>
      <c r="O12" s="19">
        <v>99</v>
      </c>
      <c r="P12" s="19">
        <v>614</v>
      </c>
      <c r="Q12" s="19">
        <v>60</v>
      </c>
      <c r="R12" s="19">
        <v>47</v>
      </c>
      <c r="S12" s="19">
        <v>10</v>
      </c>
      <c r="T12" s="19">
        <v>11</v>
      </c>
      <c r="U12" s="19">
        <v>0</v>
      </c>
      <c r="V12" s="19">
        <v>0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130</v>
      </c>
      <c r="E13" s="19">
        <v>57</v>
      </c>
      <c r="F13" s="19">
        <v>73</v>
      </c>
      <c r="G13" s="19">
        <v>0</v>
      </c>
      <c r="H13" s="19">
        <v>0</v>
      </c>
      <c r="I13" s="19">
        <v>0</v>
      </c>
      <c r="J13" s="19">
        <v>0</v>
      </c>
      <c r="K13" s="19">
        <v>48</v>
      </c>
      <c r="L13" s="19">
        <v>29</v>
      </c>
      <c r="M13" s="19">
        <v>3</v>
      </c>
      <c r="N13" s="19">
        <v>6</v>
      </c>
      <c r="O13" s="19">
        <v>4</v>
      </c>
      <c r="P13" s="19">
        <v>36</v>
      </c>
      <c r="Q13" s="19">
        <v>2</v>
      </c>
      <c r="R13" s="19">
        <v>2</v>
      </c>
      <c r="S13" s="19">
        <v>0</v>
      </c>
      <c r="T13" s="19">
        <v>0</v>
      </c>
      <c r="U13" s="19">
        <v>0</v>
      </c>
      <c r="V13" s="19">
        <v>0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1077</v>
      </c>
      <c r="E14" s="31">
        <v>498</v>
      </c>
      <c r="F14" s="31">
        <v>579</v>
      </c>
      <c r="G14" s="31">
        <v>0</v>
      </c>
      <c r="H14" s="31">
        <v>0</v>
      </c>
      <c r="I14" s="31">
        <v>0</v>
      </c>
      <c r="J14" s="31">
        <v>0</v>
      </c>
      <c r="K14" s="31">
        <v>328</v>
      </c>
      <c r="L14" s="31">
        <v>230</v>
      </c>
      <c r="M14" s="31">
        <v>12</v>
      </c>
      <c r="N14" s="31">
        <v>13</v>
      </c>
      <c r="O14" s="31">
        <v>80</v>
      </c>
      <c r="P14" s="31">
        <v>262</v>
      </c>
      <c r="Q14" s="31">
        <v>77</v>
      </c>
      <c r="R14" s="31">
        <v>72</v>
      </c>
      <c r="S14" s="31">
        <v>1</v>
      </c>
      <c r="T14" s="31">
        <v>2</v>
      </c>
      <c r="U14" s="31">
        <v>0</v>
      </c>
      <c r="V14" s="31">
        <v>0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1051</v>
      </c>
      <c r="E15" s="19">
        <v>483</v>
      </c>
      <c r="F15" s="19">
        <v>568</v>
      </c>
      <c r="G15" s="19">
        <v>0</v>
      </c>
      <c r="H15" s="19">
        <v>0</v>
      </c>
      <c r="I15" s="19">
        <v>0</v>
      </c>
      <c r="J15" s="19">
        <v>0</v>
      </c>
      <c r="K15" s="19">
        <v>317</v>
      </c>
      <c r="L15" s="19">
        <v>225</v>
      </c>
      <c r="M15" s="19">
        <v>12</v>
      </c>
      <c r="N15" s="19">
        <v>13</v>
      </c>
      <c r="O15" s="19">
        <v>80</v>
      </c>
      <c r="P15" s="19">
        <v>257</v>
      </c>
      <c r="Q15" s="19">
        <v>73</v>
      </c>
      <c r="R15" s="19">
        <v>71</v>
      </c>
      <c r="S15" s="19">
        <v>1</v>
      </c>
      <c r="T15" s="19">
        <v>2</v>
      </c>
      <c r="U15" s="19">
        <v>0</v>
      </c>
      <c r="V15" s="19">
        <v>0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26</v>
      </c>
      <c r="E16" s="19">
        <v>15</v>
      </c>
      <c r="F16" s="19">
        <v>11</v>
      </c>
      <c r="G16" s="19">
        <v>0</v>
      </c>
      <c r="H16" s="19">
        <v>0</v>
      </c>
      <c r="I16" s="19">
        <v>0</v>
      </c>
      <c r="J16" s="19">
        <v>0</v>
      </c>
      <c r="K16" s="19">
        <v>11</v>
      </c>
      <c r="L16" s="19">
        <v>5</v>
      </c>
      <c r="M16" s="19">
        <v>0</v>
      </c>
      <c r="N16" s="19">
        <v>0</v>
      </c>
      <c r="O16" s="19">
        <v>0</v>
      </c>
      <c r="P16" s="19">
        <v>5</v>
      </c>
      <c r="Q16" s="19">
        <v>4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1050</v>
      </c>
      <c r="E17" s="31">
        <v>491</v>
      </c>
      <c r="F17" s="31">
        <v>559</v>
      </c>
      <c r="G17" s="31">
        <v>0</v>
      </c>
      <c r="H17" s="31">
        <v>0</v>
      </c>
      <c r="I17" s="31">
        <v>0</v>
      </c>
      <c r="J17" s="31">
        <v>0</v>
      </c>
      <c r="K17" s="31">
        <v>394</v>
      </c>
      <c r="L17" s="31">
        <v>249</v>
      </c>
      <c r="M17" s="31">
        <v>12</v>
      </c>
      <c r="N17" s="31">
        <v>9</v>
      </c>
      <c r="O17" s="31">
        <v>50</v>
      </c>
      <c r="P17" s="31">
        <v>288</v>
      </c>
      <c r="Q17" s="31">
        <v>35</v>
      </c>
      <c r="R17" s="31">
        <v>12</v>
      </c>
      <c r="S17" s="31">
        <v>0</v>
      </c>
      <c r="T17" s="31">
        <v>1</v>
      </c>
      <c r="U17" s="31">
        <v>0</v>
      </c>
      <c r="V17" s="31">
        <v>0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892</v>
      </c>
      <c r="E18" s="19">
        <v>409</v>
      </c>
      <c r="F18" s="19">
        <v>483</v>
      </c>
      <c r="G18" s="19">
        <v>0</v>
      </c>
      <c r="H18" s="19">
        <v>0</v>
      </c>
      <c r="I18" s="19">
        <v>0</v>
      </c>
      <c r="J18" s="19">
        <v>0</v>
      </c>
      <c r="K18" s="19">
        <v>327</v>
      </c>
      <c r="L18" s="19">
        <v>223</v>
      </c>
      <c r="M18" s="19">
        <v>11</v>
      </c>
      <c r="N18" s="19">
        <v>9</v>
      </c>
      <c r="O18" s="19">
        <v>41</v>
      </c>
      <c r="P18" s="19">
        <v>240</v>
      </c>
      <c r="Q18" s="19">
        <v>30</v>
      </c>
      <c r="R18" s="19">
        <v>10</v>
      </c>
      <c r="S18" s="19">
        <v>0</v>
      </c>
      <c r="T18" s="19">
        <v>1</v>
      </c>
      <c r="U18" s="19">
        <v>0</v>
      </c>
      <c r="V18" s="19">
        <v>0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158</v>
      </c>
      <c r="E19" s="19">
        <v>82</v>
      </c>
      <c r="F19" s="19">
        <v>76</v>
      </c>
      <c r="G19" s="19">
        <v>0</v>
      </c>
      <c r="H19" s="19">
        <v>0</v>
      </c>
      <c r="I19" s="19">
        <v>0</v>
      </c>
      <c r="J19" s="19">
        <v>0</v>
      </c>
      <c r="K19" s="19">
        <v>67</v>
      </c>
      <c r="L19" s="19">
        <v>26</v>
      </c>
      <c r="M19" s="19">
        <v>1</v>
      </c>
      <c r="N19" s="19">
        <v>0</v>
      </c>
      <c r="O19" s="19">
        <v>9</v>
      </c>
      <c r="P19" s="19">
        <v>48</v>
      </c>
      <c r="Q19" s="19">
        <v>5</v>
      </c>
      <c r="R19" s="19">
        <v>2</v>
      </c>
      <c r="S19" s="19">
        <v>0</v>
      </c>
      <c r="T19" s="19">
        <v>0</v>
      </c>
      <c r="U19" s="19">
        <v>0</v>
      </c>
      <c r="V19" s="19">
        <v>0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1339</v>
      </c>
      <c r="E20" s="31">
        <v>654</v>
      </c>
      <c r="F20" s="31">
        <v>685</v>
      </c>
      <c r="G20" s="31">
        <v>0</v>
      </c>
      <c r="H20" s="31">
        <v>0</v>
      </c>
      <c r="I20" s="31">
        <v>1</v>
      </c>
      <c r="J20" s="31">
        <v>0</v>
      </c>
      <c r="K20" s="31">
        <v>489</v>
      </c>
      <c r="L20" s="31">
        <v>321</v>
      </c>
      <c r="M20" s="31">
        <v>32</v>
      </c>
      <c r="N20" s="31">
        <v>35</v>
      </c>
      <c r="O20" s="31">
        <v>70</v>
      </c>
      <c r="P20" s="31">
        <v>288</v>
      </c>
      <c r="Q20" s="31">
        <v>53</v>
      </c>
      <c r="R20" s="31">
        <v>36</v>
      </c>
      <c r="S20" s="31">
        <v>9</v>
      </c>
      <c r="T20" s="31">
        <v>5</v>
      </c>
      <c r="U20" s="31">
        <v>0</v>
      </c>
      <c r="V20" s="31">
        <v>0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1264</v>
      </c>
      <c r="E21" s="19">
        <v>619</v>
      </c>
      <c r="F21" s="19">
        <v>645</v>
      </c>
      <c r="G21" s="19">
        <v>0</v>
      </c>
      <c r="H21" s="19">
        <v>0</v>
      </c>
      <c r="I21" s="19">
        <v>1</v>
      </c>
      <c r="J21" s="19">
        <v>0</v>
      </c>
      <c r="K21" s="19">
        <v>464</v>
      </c>
      <c r="L21" s="19">
        <v>305</v>
      </c>
      <c r="M21" s="19">
        <v>29</v>
      </c>
      <c r="N21" s="19">
        <v>34</v>
      </c>
      <c r="O21" s="19">
        <v>66</v>
      </c>
      <c r="P21" s="19">
        <v>268</v>
      </c>
      <c r="Q21" s="19">
        <v>50</v>
      </c>
      <c r="R21" s="19">
        <v>34</v>
      </c>
      <c r="S21" s="19">
        <v>9</v>
      </c>
      <c r="T21" s="19">
        <v>4</v>
      </c>
      <c r="U21" s="19">
        <v>0</v>
      </c>
      <c r="V21" s="19">
        <v>0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75</v>
      </c>
      <c r="E22" s="19">
        <v>35</v>
      </c>
      <c r="F22" s="19">
        <v>40</v>
      </c>
      <c r="G22" s="19">
        <v>0</v>
      </c>
      <c r="H22" s="19">
        <v>0</v>
      </c>
      <c r="I22" s="19">
        <v>0</v>
      </c>
      <c r="J22" s="19">
        <v>0</v>
      </c>
      <c r="K22" s="19">
        <v>25</v>
      </c>
      <c r="L22" s="19">
        <v>16</v>
      </c>
      <c r="M22" s="19">
        <v>3</v>
      </c>
      <c r="N22" s="19">
        <v>1</v>
      </c>
      <c r="O22" s="19">
        <v>4</v>
      </c>
      <c r="P22" s="19">
        <v>20</v>
      </c>
      <c r="Q22" s="19">
        <v>3</v>
      </c>
      <c r="R22" s="19">
        <v>2</v>
      </c>
      <c r="S22" s="19">
        <v>0</v>
      </c>
      <c r="T22" s="19">
        <v>1</v>
      </c>
      <c r="U22" s="19">
        <v>0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572</v>
      </c>
      <c r="E23" s="31">
        <v>271</v>
      </c>
      <c r="F23" s="31">
        <v>301</v>
      </c>
      <c r="G23" s="31">
        <v>0</v>
      </c>
      <c r="H23" s="31">
        <v>0</v>
      </c>
      <c r="I23" s="31">
        <v>4</v>
      </c>
      <c r="J23" s="31">
        <v>2</v>
      </c>
      <c r="K23" s="31">
        <v>178</v>
      </c>
      <c r="L23" s="31">
        <v>139</v>
      </c>
      <c r="M23" s="31">
        <v>6</v>
      </c>
      <c r="N23" s="31">
        <v>7</v>
      </c>
      <c r="O23" s="31">
        <v>23</v>
      </c>
      <c r="P23" s="31">
        <v>115</v>
      </c>
      <c r="Q23" s="31">
        <v>59</v>
      </c>
      <c r="R23" s="31">
        <v>37</v>
      </c>
      <c r="S23" s="31">
        <v>1</v>
      </c>
      <c r="T23" s="31">
        <v>1</v>
      </c>
      <c r="U23" s="31">
        <v>0</v>
      </c>
      <c r="V23" s="31">
        <v>0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548</v>
      </c>
      <c r="E24" s="19">
        <v>260</v>
      </c>
      <c r="F24" s="19">
        <v>288</v>
      </c>
      <c r="G24" s="19">
        <v>0</v>
      </c>
      <c r="H24" s="19">
        <v>0</v>
      </c>
      <c r="I24" s="19">
        <v>4</v>
      </c>
      <c r="J24" s="19">
        <v>2</v>
      </c>
      <c r="K24" s="19">
        <v>170</v>
      </c>
      <c r="L24" s="19">
        <v>135</v>
      </c>
      <c r="M24" s="19">
        <v>6</v>
      </c>
      <c r="N24" s="19">
        <v>7</v>
      </c>
      <c r="O24" s="19">
        <v>22</v>
      </c>
      <c r="P24" s="19">
        <v>108</v>
      </c>
      <c r="Q24" s="19">
        <v>57</v>
      </c>
      <c r="R24" s="19">
        <v>35</v>
      </c>
      <c r="S24" s="19">
        <v>1</v>
      </c>
      <c r="T24" s="19">
        <v>1</v>
      </c>
      <c r="U24" s="19">
        <v>0</v>
      </c>
      <c r="V24" s="19">
        <v>0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24</v>
      </c>
      <c r="E25" s="19">
        <v>11</v>
      </c>
      <c r="F25" s="19">
        <v>13</v>
      </c>
      <c r="G25" s="19">
        <v>0</v>
      </c>
      <c r="H25" s="19">
        <v>0</v>
      </c>
      <c r="I25" s="19">
        <v>0</v>
      </c>
      <c r="J25" s="19">
        <v>0</v>
      </c>
      <c r="K25" s="19">
        <v>8</v>
      </c>
      <c r="L25" s="19">
        <v>4</v>
      </c>
      <c r="M25" s="19">
        <v>0</v>
      </c>
      <c r="N25" s="19">
        <v>0</v>
      </c>
      <c r="O25" s="19">
        <v>1</v>
      </c>
      <c r="P25" s="19">
        <v>7</v>
      </c>
      <c r="Q25" s="19">
        <v>2</v>
      </c>
      <c r="R25" s="19">
        <v>2</v>
      </c>
      <c r="S25" s="19">
        <v>0</v>
      </c>
      <c r="T25" s="19">
        <v>0</v>
      </c>
      <c r="U25" s="19">
        <v>0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1157</v>
      </c>
      <c r="E26" s="31">
        <v>542</v>
      </c>
      <c r="F26" s="31">
        <v>615</v>
      </c>
      <c r="G26" s="31">
        <v>3</v>
      </c>
      <c r="H26" s="31">
        <v>5</v>
      </c>
      <c r="I26" s="31">
        <v>0</v>
      </c>
      <c r="J26" s="31">
        <v>1</v>
      </c>
      <c r="K26" s="31">
        <v>401</v>
      </c>
      <c r="L26" s="31">
        <v>261</v>
      </c>
      <c r="M26" s="31">
        <v>26</v>
      </c>
      <c r="N26" s="31">
        <v>30</v>
      </c>
      <c r="O26" s="31">
        <v>51</v>
      </c>
      <c r="P26" s="31">
        <v>263</v>
      </c>
      <c r="Q26" s="31">
        <v>57</v>
      </c>
      <c r="R26" s="31">
        <v>54</v>
      </c>
      <c r="S26" s="31">
        <v>4</v>
      </c>
      <c r="T26" s="31">
        <v>1</v>
      </c>
      <c r="U26" s="31">
        <v>0</v>
      </c>
      <c r="V26" s="31">
        <v>0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1084</v>
      </c>
      <c r="E27" s="19">
        <v>509</v>
      </c>
      <c r="F27" s="19">
        <v>575</v>
      </c>
      <c r="G27" s="19">
        <v>3</v>
      </c>
      <c r="H27" s="19">
        <v>5</v>
      </c>
      <c r="I27" s="19">
        <v>0</v>
      </c>
      <c r="J27" s="19">
        <v>1</v>
      </c>
      <c r="K27" s="19">
        <v>387</v>
      </c>
      <c r="L27" s="19">
        <v>246</v>
      </c>
      <c r="M27" s="19">
        <v>23</v>
      </c>
      <c r="N27" s="19">
        <v>26</v>
      </c>
      <c r="O27" s="19">
        <v>43</v>
      </c>
      <c r="P27" s="19">
        <v>245</v>
      </c>
      <c r="Q27" s="19">
        <v>51</v>
      </c>
      <c r="R27" s="19">
        <v>51</v>
      </c>
      <c r="S27" s="19">
        <v>2</v>
      </c>
      <c r="T27" s="19">
        <v>1</v>
      </c>
      <c r="U27" s="19">
        <v>0</v>
      </c>
      <c r="V27" s="19">
        <v>0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73</v>
      </c>
      <c r="E28" s="19">
        <v>33</v>
      </c>
      <c r="F28" s="19">
        <v>40</v>
      </c>
      <c r="G28" s="19">
        <v>0</v>
      </c>
      <c r="H28" s="19">
        <v>0</v>
      </c>
      <c r="I28" s="19">
        <v>0</v>
      </c>
      <c r="J28" s="19">
        <v>0</v>
      </c>
      <c r="K28" s="19">
        <v>14</v>
      </c>
      <c r="L28" s="19">
        <v>15</v>
      </c>
      <c r="M28" s="19">
        <v>3</v>
      </c>
      <c r="N28" s="19">
        <v>4</v>
      </c>
      <c r="O28" s="19">
        <v>8</v>
      </c>
      <c r="P28" s="19">
        <v>18</v>
      </c>
      <c r="Q28" s="19">
        <v>6</v>
      </c>
      <c r="R28" s="19">
        <v>3</v>
      </c>
      <c r="S28" s="19">
        <v>2</v>
      </c>
      <c r="T28" s="19">
        <v>0</v>
      </c>
      <c r="U28" s="19">
        <v>0</v>
      </c>
      <c r="V28" s="19">
        <v>0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141</v>
      </c>
      <c r="E29" s="31">
        <v>52</v>
      </c>
      <c r="F29" s="31">
        <v>89</v>
      </c>
      <c r="G29" s="31">
        <v>0</v>
      </c>
      <c r="H29" s="31">
        <v>0</v>
      </c>
      <c r="I29" s="31">
        <v>0</v>
      </c>
      <c r="J29" s="31">
        <v>0</v>
      </c>
      <c r="K29" s="31">
        <v>36</v>
      </c>
      <c r="L29" s="31">
        <v>25</v>
      </c>
      <c r="M29" s="31">
        <v>2</v>
      </c>
      <c r="N29" s="31">
        <v>6</v>
      </c>
      <c r="O29" s="31">
        <v>4</v>
      </c>
      <c r="P29" s="31">
        <v>54</v>
      </c>
      <c r="Q29" s="31">
        <v>10</v>
      </c>
      <c r="R29" s="31">
        <v>4</v>
      </c>
      <c r="S29" s="31">
        <v>0</v>
      </c>
      <c r="T29" s="31">
        <v>0</v>
      </c>
      <c r="U29" s="31">
        <v>0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128</v>
      </c>
      <c r="E30" s="19">
        <v>45</v>
      </c>
      <c r="F30" s="19">
        <v>83</v>
      </c>
      <c r="G30" s="19">
        <v>0</v>
      </c>
      <c r="H30" s="19">
        <v>0</v>
      </c>
      <c r="I30" s="19">
        <v>0</v>
      </c>
      <c r="J30" s="19">
        <v>0</v>
      </c>
      <c r="K30" s="19">
        <v>34</v>
      </c>
      <c r="L30" s="19">
        <v>25</v>
      </c>
      <c r="M30" s="19">
        <v>1</v>
      </c>
      <c r="N30" s="19">
        <v>6</v>
      </c>
      <c r="O30" s="19">
        <v>0</v>
      </c>
      <c r="P30" s="19">
        <v>48</v>
      </c>
      <c r="Q30" s="19">
        <v>10</v>
      </c>
      <c r="R30" s="19">
        <v>4</v>
      </c>
      <c r="S30" s="19">
        <v>0</v>
      </c>
      <c r="T30" s="19">
        <v>0</v>
      </c>
      <c r="U30" s="19">
        <v>0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13</v>
      </c>
      <c r="E31" s="19">
        <v>7</v>
      </c>
      <c r="F31" s="19">
        <v>6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0</v>
      </c>
      <c r="M31" s="19">
        <v>1</v>
      </c>
      <c r="N31" s="19">
        <v>0</v>
      </c>
      <c r="O31" s="19">
        <v>4</v>
      </c>
      <c r="P31" s="19">
        <v>6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416</v>
      </c>
      <c r="E32" s="31">
        <v>181</v>
      </c>
      <c r="F32" s="31">
        <v>235</v>
      </c>
      <c r="G32" s="31">
        <v>0</v>
      </c>
      <c r="H32" s="31">
        <v>1</v>
      </c>
      <c r="I32" s="31">
        <v>2</v>
      </c>
      <c r="J32" s="31">
        <v>0</v>
      </c>
      <c r="K32" s="31">
        <v>103</v>
      </c>
      <c r="L32" s="31">
        <v>84</v>
      </c>
      <c r="M32" s="31">
        <v>12</v>
      </c>
      <c r="N32" s="31">
        <v>6</v>
      </c>
      <c r="O32" s="31">
        <v>25</v>
      </c>
      <c r="P32" s="31">
        <v>118</v>
      </c>
      <c r="Q32" s="31">
        <v>35</v>
      </c>
      <c r="R32" s="31">
        <v>26</v>
      </c>
      <c r="S32" s="31">
        <v>4</v>
      </c>
      <c r="T32" s="31">
        <v>0</v>
      </c>
      <c r="U32" s="31">
        <v>0</v>
      </c>
      <c r="V32" s="31">
        <v>0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345</v>
      </c>
      <c r="E33" s="19">
        <v>144</v>
      </c>
      <c r="F33" s="19">
        <v>201</v>
      </c>
      <c r="G33" s="19">
        <v>0</v>
      </c>
      <c r="H33" s="19">
        <v>1</v>
      </c>
      <c r="I33" s="19">
        <v>1</v>
      </c>
      <c r="J33" s="19">
        <v>0</v>
      </c>
      <c r="K33" s="19">
        <v>87</v>
      </c>
      <c r="L33" s="19">
        <v>76</v>
      </c>
      <c r="M33" s="19">
        <v>12</v>
      </c>
      <c r="N33" s="19">
        <v>5</v>
      </c>
      <c r="O33" s="19">
        <v>17</v>
      </c>
      <c r="P33" s="19">
        <v>102</v>
      </c>
      <c r="Q33" s="19">
        <v>23</v>
      </c>
      <c r="R33" s="19">
        <v>17</v>
      </c>
      <c r="S33" s="19">
        <v>4</v>
      </c>
      <c r="T33" s="19">
        <v>0</v>
      </c>
      <c r="U33" s="19">
        <v>0</v>
      </c>
      <c r="V33" s="19">
        <v>0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71</v>
      </c>
      <c r="E34" s="19">
        <v>37</v>
      </c>
      <c r="F34" s="19">
        <v>34</v>
      </c>
      <c r="G34" s="19">
        <v>0</v>
      </c>
      <c r="H34" s="19">
        <v>0</v>
      </c>
      <c r="I34" s="19">
        <v>1</v>
      </c>
      <c r="J34" s="19">
        <v>0</v>
      </c>
      <c r="K34" s="19">
        <v>16</v>
      </c>
      <c r="L34" s="19">
        <v>8</v>
      </c>
      <c r="M34" s="19">
        <v>0</v>
      </c>
      <c r="N34" s="19">
        <v>1</v>
      </c>
      <c r="O34" s="19">
        <v>8</v>
      </c>
      <c r="P34" s="19">
        <v>16</v>
      </c>
      <c r="Q34" s="19">
        <v>12</v>
      </c>
      <c r="R34" s="19">
        <v>9</v>
      </c>
      <c r="S34" s="19">
        <v>0</v>
      </c>
      <c r="T34" s="19">
        <v>0</v>
      </c>
      <c r="U34" s="19">
        <v>0</v>
      </c>
      <c r="V34" s="19">
        <v>0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148</v>
      </c>
      <c r="E35" s="31">
        <v>46</v>
      </c>
      <c r="F35" s="31">
        <v>102</v>
      </c>
      <c r="G35" s="31">
        <v>0</v>
      </c>
      <c r="H35" s="31">
        <v>0</v>
      </c>
      <c r="I35" s="31">
        <v>0</v>
      </c>
      <c r="J35" s="31">
        <v>0</v>
      </c>
      <c r="K35" s="31">
        <v>24</v>
      </c>
      <c r="L35" s="31">
        <v>24</v>
      </c>
      <c r="M35" s="31">
        <v>3</v>
      </c>
      <c r="N35" s="31">
        <v>4</v>
      </c>
      <c r="O35" s="31">
        <v>9</v>
      </c>
      <c r="P35" s="31">
        <v>64</v>
      </c>
      <c r="Q35" s="31">
        <v>10</v>
      </c>
      <c r="R35" s="31">
        <v>10</v>
      </c>
      <c r="S35" s="31">
        <v>0</v>
      </c>
      <c r="T35" s="31">
        <v>0</v>
      </c>
      <c r="U35" s="31">
        <v>0</v>
      </c>
      <c r="V35" s="31">
        <v>0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131</v>
      </c>
      <c r="E36" s="19">
        <v>41</v>
      </c>
      <c r="F36" s="19">
        <v>90</v>
      </c>
      <c r="G36" s="19">
        <v>0</v>
      </c>
      <c r="H36" s="19">
        <v>0</v>
      </c>
      <c r="I36" s="19">
        <v>0</v>
      </c>
      <c r="J36" s="19">
        <v>0</v>
      </c>
      <c r="K36" s="19">
        <v>22</v>
      </c>
      <c r="L36" s="19">
        <v>20</v>
      </c>
      <c r="M36" s="19">
        <v>3</v>
      </c>
      <c r="N36" s="19">
        <v>2</v>
      </c>
      <c r="O36" s="19">
        <v>8</v>
      </c>
      <c r="P36" s="19">
        <v>58</v>
      </c>
      <c r="Q36" s="19">
        <v>8</v>
      </c>
      <c r="R36" s="19">
        <v>10</v>
      </c>
      <c r="S36" s="19">
        <v>0</v>
      </c>
      <c r="T36" s="19">
        <v>0</v>
      </c>
      <c r="U36" s="19">
        <v>0</v>
      </c>
      <c r="V36" s="19">
        <v>0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17</v>
      </c>
      <c r="E37" s="19">
        <v>5</v>
      </c>
      <c r="F37" s="19">
        <v>12</v>
      </c>
      <c r="G37" s="19">
        <v>0</v>
      </c>
      <c r="H37" s="19">
        <v>0</v>
      </c>
      <c r="I37" s="19">
        <v>0</v>
      </c>
      <c r="J37" s="19">
        <v>0</v>
      </c>
      <c r="K37" s="19">
        <v>2</v>
      </c>
      <c r="L37" s="19">
        <v>4</v>
      </c>
      <c r="M37" s="19">
        <v>0</v>
      </c>
      <c r="N37" s="19">
        <v>2</v>
      </c>
      <c r="O37" s="19">
        <v>1</v>
      </c>
      <c r="P37" s="19">
        <v>6</v>
      </c>
      <c r="Q37" s="19">
        <v>2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544</v>
      </c>
      <c r="E38" s="31">
        <v>226</v>
      </c>
      <c r="F38" s="31">
        <v>318</v>
      </c>
      <c r="G38" s="31">
        <v>0</v>
      </c>
      <c r="H38" s="31">
        <v>0</v>
      </c>
      <c r="I38" s="31">
        <v>0</v>
      </c>
      <c r="J38" s="31">
        <v>0</v>
      </c>
      <c r="K38" s="31">
        <v>124</v>
      </c>
      <c r="L38" s="31">
        <v>89</v>
      </c>
      <c r="M38" s="31">
        <v>38</v>
      </c>
      <c r="N38" s="31">
        <v>24</v>
      </c>
      <c r="O38" s="31">
        <v>33</v>
      </c>
      <c r="P38" s="31">
        <v>172</v>
      </c>
      <c r="Q38" s="31">
        <v>31</v>
      </c>
      <c r="R38" s="31">
        <v>32</v>
      </c>
      <c r="S38" s="31">
        <v>0</v>
      </c>
      <c r="T38" s="31">
        <v>1</v>
      </c>
      <c r="U38" s="31">
        <v>0</v>
      </c>
      <c r="V38" s="31">
        <v>0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517</v>
      </c>
      <c r="E39" s="19">
        <v>216</v>
      </c>
      <c r="F39" s="19">
        <v>301</v>
      </c>
      <c r="G39" s="19">
        <v>0</v>
      </c>
      <c r="H39" s="19">
        <v>0</v>
      </c>
      <c r="I39" s="19">
        <v>0</v>
      </c>
      <c r="J39" s="19">
        <v>0</v>
      </c>
      <c r="K39" s="19">
        <v>120</v>
      </c>
      <c r="L39" s="19">
        <v>84</v>
      </c>
      <c r="M39" s="19">
        <v>37</v>
      </c>
      <c r="N39" s="19">
        <v>24</v>
      </c>
      <c r="O39" s="19">
        <v>29</v>
      </c>
      <c r="P39" s="19">
        <v>161</v>
      </c>
      <c r="Q39" s="19">
        <v>30</v>
      </c>
      <c r="R39" s="19">
        <v>31</v>
      </c>
      <c r="S39" s="19">
        <v>0</v>
      </c>
      <c r="T39" s="19">
        <v>1</v>
      </c>
      <c r="U39" s="19">
        <v>0</v>
      </c>
      <c r="V39" s="19">
        <v>0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27</v>
      </c>
      <c r="E40" s="19">
        <v>10</v>
      </c>
      <c r="F40" s="19">
        <v>17</v>
      </c>
      <c r="G40" s="19">
        <v>0</v>
      </c>
      <c r="H40" s="19">
        <v>0</v>
      </c>
      <c r="I40" s="19">
        <v>0</v>
      </c>
      <c r="J40" s="19">
        <v>0</v>
      </c>
      <c r="K40" s="19">
        <v>4</v>
      </c>
      <c r="L40" s="19">
        <v>5</v>
      </c>
      <c r="M40" s="19">
        <v>1</v>
      </c>
      <c r="N40" s="19">
        <v>0</v>
      </c>
      <c r="O40" s="19">
        <v>4</v>
      </c>
      <c r="P40" s="19">
        <v>11</v>
      </c>
      <c r="Q40" s="19">
        <v>1</v>
      </c>
      <c r="R40" s="19">
        <v>1</v>
      </c>
      <c r="S40" s="19">
        <v>0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221</v>
      </c>
      <c r="E41" s="31">
        <v>101</v>
      </c>
      <c r="F41" s="31">
        <v>120</v>
      </c>
      <c r="G41" s="31">
        <v>0</v>
      </c>
      <c r="H41" s="31">
        <v>0</v>
      </c>
      <c r="I41" s="31">
        <v>0</v>
      </c>
      <c r="J41" s="31">
        <v>0</v>
      </c>
      <c r="K41" s="31">
        <v>53</v>
      </c>
      <c r="L41" s="31">
        <v>41</v>
      </c>
      <c r="M41" s="31">
        <v>6</v>
      </c>
      <c r="N41" s="31">
        <v>7</v>
      </c>
      <c r="O41" s="31">
        <v>14</v>
      </c>
      <c r="P41" s="31">
        <v>52</v>
      </c>
      <c r="Q41" s="31">
        <v>27</v>
      </c>
      <c r="R41" s="31">
        <v>19</v>
      </c>
      <c r="S41" s="31">
        <v>1</v>
      </c>
      <c r="T41" s="31">
        <v>1</v>
      </c>
      <c r="U41" s="31">
        <v>0</v>
      </c>
      <c r="V41" s="31">
        <v>0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194</v>
      </c>
      <c r="E42" s="19">
        <v>91</v>
      </c>
      <c r="F42" s="19">
        <v>103</v>
      </c>
      <c r="G42" s="19">
        <v>0</v>
      </c>
      <c r="H42" s="19">
        <v>0</v>
      </c>
      <c r="I42" s="19">
        <v>0</v>
      </c>
      <c r="J42" s="19">
        <v>0</v>
      </c>
      <c r="K42" s="19">
        <v>47</v>
      </c>
      <c r="L42" s="19">
        <v>36</v>
      </c>
      <c r="M42" s="19">
        <v>6</v>
      </c>
      <c r="N42" s="19">
        <v>6</v>
      </c>
      <c r="O42" s="19">
        <v>10</v>
      </c>
      <c r="P42" s="19">
        <v>41</v>
      </c>
      <c r="Q42" s="19">
        <v>27</v>
      </c>
      <c r="R42" s="19">
        <v>19</v>
      </c>
      <c r="S42" s="19">
        <v>1</v>
      </c>
      <c r="T42" s="19">
        <v>1</v>
      </c>
      <c r="U42" s="19">
        <v>0</v>
      </c>
      <c r="V42" s="19">
        <v>0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27</v>
      </c>
      <c r="E43" s="19">
        <v>10</v>
      </c>
      <c r="F43" s="19">
        <v>17</v>
      </c>
      <c r="G43" s="19">
        <v>0</v>
      </c>
      <c r="H43" s="19">
        <v>0</v>
      </c>
      <c r="I43" s="19">
        <v>0</v>
      </c>
      <c r="J43" s="19">
        <v>0</v>
      </c>
      <c r="K43" s="19">
        <v>6</v>
      </c>
      <c r="L43" s="19">
        <v>5</v>
      </c>
      <c r="M43" s="19">
        <v>0</v>
      </c>
      <c r="N43" s="19">
        <v>1</v>
      </c>
      <c r="O43" s="19">
        <v>4</v>
      </c>
      <c r="P43" s="19">
        <v>11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324</v>
      </c>
      <c r="E44" s="31">
        <v>120</v>
      </c>
      <c r="F44" s="31">
        <v>204</v>
      </c>
      <c r="G44" s="31">
        <v>0</v>
      </c>
      <c r="H44" s="31">
        <v>0</v>
      </c>
      <c r="I44" s="31">
        <v>0</v>
      </c>
      <c r="J44" s="31">
        <v>0</v>
      </c>
      <c r="K44" s="31">
        <v>88</v>
      </c>
      <c r="L44" s="31">
        <v>70</v>
      </c>
      <c r="M44" s="31">
        <v>6</v>
      </c>
      <c r="N44" s="31">
        <v>9</v>
      </c>
      <c r="O44" s="31">
        <v>15</v>
      </c>
      <c r="P44" s="31">
        <v>106</v>
      </c>
      <c r="Q44" s="31">
        <v>11</v>
      </c>
      <c r="R44" s="31">
        <v>16</v>
      </c>
      <c r="S44" s="31">
        <v>0</v>
      </c>
      <c r="T44" s="31">
        <v>3</v>
      </c>
      <c r="U44" s="31">
        <v>0</v>
      </c>
      <c r="V44" s="31">
        <v>0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317</v>
      </c>
      <c r="E45" s="19">
        <v>118</v>
      </c>
      <c r="F45" s="19">
        <v>199</v>
      </c>
      <c r="G45" s="19">
        <v>0</v>
      </c>
      <c r="H45" s="19">
        <v>0</v>
      </c>
      <c r="I45" s="19">
        <v>0</v>
      </c>
      <c r="J45" s="19">
        <v>0</v>
      </c>
      <c r="K45" s="19">
        <v>86</v>
      </c>
      <c r="L45" s="19">
        <v>67</v>
      </c>
      <c r="M45" s="19">
        <v>6</v>
      </c>
      <c r="N45" s="19">
        <v>9</v>
      </c>
      <c r="O45" s="19">
        <v>15</v>
      </c>
      <c r="P45" s="19">
        <v>104</v>
      </c>
      <c r="Q45" s="19">
        <v>11</v>
      </c>
      <c r="R45" s="19">
        <v>16</v>
      </c>
      <c r="S45" s="19">
        <v>0</v>
      </c>
      <c r="T45" s="19">
        <v>3</v>
      </c>
      <c r="U45" s="19">
        <v>0</v>
      </c>
      <c r="V45" s="19">
        <v>0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7</v>
      </c>
      <c r="E46" s="19">
        <v>2</v>
      </c>
      <c r="F46" s="19">
        <v>5</v>
      </c>
      <c r="G46" s="19">
        <v>0</v>
      </c>
      <c r="H46" s="19">
        <v>0</v>
      </c>
      <c r="I46" s="19">
        <v>0</v>
      </c>
      <c r="J46" s="19">
        <v>0</v>
      </c>
      <c r="K46" s="19">
        <v>2</v>
      </c>
      <c r="L46" s="19">
        <v>3</v>
      </c>
      <c r="M46" s="19">
        <v>0</v>
      </c>
      <c r="N46" s="19">
        <v>0</v>
      </c>
      <c r="O46" s="19">
        <v>0</v>
      </c>
      <c r="P46" s="19">
        <v>2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204</v>
      </c>
      <c r="E47" s="31">
        <v>98</v>
      </c>
      <c r="F47" s="31">
        <v>106</v>
      </c>
      <c r="G47" s="31">
        <v>0</v>
      </c>
      <c r="H47" s="31">
        <v>0</v>
      </c>
      <c r="I47" s="31">
        <v>0</v>
      </c>
      <c r="J47" s="31">
        <v>0</v>
      </c>
      <c r="K47" s="31">
        <v>55</v>
      </c>
      <c r="L47" s="31">
        <v>43</v>
      </c>
      <c r="M47" s="31">
        <v>5</v>
      </c>
      <c r="N47" s="31">
        <v>3</v>
      </c>
      <c r="O47" s="31">
        <v>13</v>
      </c>
      <c r="P47" s="31">
        <v>39</v>
      </c>
      <c r="Q47" s="31">
        <v>25</v>
      </c>
      <c r="R47" s="31">
        <v>21</v>
      </c>
      <c r="S47" s="31">
        <v>0</v>
      </c>
      <c r="T47" s="31">
        <v>0</v>
      </c>
      <c r="U47" s="31">
        <v>0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189</v>
      </c>
      <c r="E48" s="19">
        <v>90</v>
      </c>
      <c r="F48" s="19">
        <v>99</v>
      </c>
      <c r="G48" s="19">
        <v>0</v>
      </c>
      <c r="H48" s="19">
        <v>0</v>
      </c>
      <c r="I48" s="19">
        <v>0</v>
      </c>
      <c r="J48" s="19">
        <v>0</v>
      </c>
      <c r="K48" s="19">
        <v>54</v>
      </c>
      <c r="L48" s="19">
        <v>40</v>
      </c>
      <c r="M48" s="19">
        <v>4</v>
      </c>
      <c r="N48" s="19">
        <v>3</v>
      </c>
      <c r="O48" s="19">
        <v>8</v>
      </c>
      <c r="P48" s="19">
        <v>37</v>
      </c>
      <c r="Q48" s="19">
        <v>24</v>
      </c>
      <c r="R48" s="19">
        <v>19</v>
      </c>
      <c r="S48" s="19">
        <v>0</v>
      </c>
      <c r="T48" s="19">
        <v>0</v>
      </c>
      <c r="U48" s="19">
        <v>0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15</v>
      </c>
      <c r="E49" s="19">
        <v>8</v>
      </c>
      <c r="F49" s="19">
        <v>7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3</v>
      </c>
      <c r="M49" s="19">
        <v>1</v>
      </c>
      <c r="N49" s="19">
        <v>0</v>
      </c>
      <c r="O49" s="19">
        <v>5</v>
      </c>
      <c r="P49" s="19">
        <v>2</v>
      </c>
      <c r="Q49" s="19">
        <v>1</v>
      </c>
      <c r="R49" s="19">
        <v>2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375</v>
      </c>
      <c r="E50" s="31">
        <v>163</v>
      </c>
      <c r="F50" s="31">
        <v>212</v>
      </c>
      <c r="G50" s="31">
        <v>0</v>
      </c>
      <c r="H50" s="31">
        <v>0</v>
      </c>
      <c r="I50" s="31">
        <v>2</v>
      </c>
      <c r="J50" s="31">
        <v>0</v>
      </c>
      <c r="K50" s="31">
        <v>96</v>
      </c>
      <c r="L50" s="31">
        <v>77</v>
      </c>
      <c r="M50" s="31">
        <v>12</v>
      </c>
      <c r="N50" s="31">
        <v>13</v>
      </c>
      <c r="O50" s="31">
        <v>24</v>
      </c>
      <c r="P50" s="31">
        <v>109</v>
      </c>
      <c r="Q50" s="31">
        <v>26</v>
      </c>
      <c r="R50" s="31">
        <v>13</v>
      </c>
      <c r="S50" s="31">
        <v>3</v>
      </c>
      <c r="T50" s="31">
        <v>0</v>
      </c>
      <c r="U50" s="31">
        <v>0</v>
      </c>
      <c r="V50" s="31">
        <v>0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320</v>
      </c>
      <c r="E51" s="19">
        <v>144</v>
      </c>
      <c r="F51" s="19">
        <v>176</v>
      </c>
      <c r="G51" s="19">
        <v>0</v>
      </c>
      <c r="H51" s="19">
        <v>0</v>
      </c>
      <c r="I51" s="19">
        <v>2</v>
      </c>
      <c r="J51" s="19">
        <v>0</v>
      </c>
      <c r="K51" s="19">
        <v>84</v>
      </c>
      <c r="L51" s="19">
        <v>63</v>
      </c>
      <c r="M51" s="19">
        <v>10</v>
      </c>
      <c r="N51" s="19">
        <v>9</v>
      </c>
      <c r="O51" s="19">
        <v>21</v>
      </c>
      <c r="P51" s="19">
        <v>91</v>
      </c>
      <c r="Q51" s="19">
        <v>24</v>
      </c>
      <c r="R51" s="19">
        <v>13</v>
      </c>
      <c r="S51" s="19">
        <v>3</v>
      </c>
      <c r="T51" s="19">
        <v>0</v>
      </c>
      <c r="U51" s="19">
        <v>0</v>
      </c>
      <c r="V51" s="19">
        <v>0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55</v>
      </c>
      <c r="E52" s="19">
        <v>19</v>
      </c>
      <c r="F52" s="19">
        <v>36</v>
      </c>
      <c r="G52" s="19">
        <v>0</v>
      </c>
      <c r="H52" s="19">
        <v>0</v>
      </c>
      <c r="I52" s="19">
        <v>0</v>
      </c>
      <c r="J52" s="19">
        <v>0</v>
      </c>
      <c r="K52" s="19">
        <v>12</v>
      </c>
      <c r="L52" s="19">
        <v>14</v>
      </c>
      <c r="M52" s="19">
        <v>2</v>
      </c>
      <c r="N52" s="19">
        <v>4</v>
      </c>
      <c r="O52" s="19">
        <v>3</v>
      </c>
      <c r="P52" s="19">
        <v>18</v>
      </c>
      <c r="Q52" s="19">
        <v>2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107</v>
      </c>
      <c r="E53" s="31">
        <v>40</v>
      </c>
      <c r="F53" s="31">
        <v>67</v>
      </c>
      <c r="G53" s="31">
        <v>0</v>
      </c>
      <c r="H53" s="31">
        <v>0</v>
      </c>
      <c r="I53" s="31">
        <v>0</v>
      </c>
      <c r="J53" s="31">
        <v>1</v>
      </c>
      <c r="K53" s="31">
        <v>17</v>
      </c>
      <c r="L53" s="31">
        <v>11</v>
      </c>
      <c r="M53" s="31">
        <v>0</v>
      </c>
      <c r="N53" s="31">
        <v>1</v>
      </c>
      <c r="O53" s="31">
        <v>13</v>
      </c>
      <c r="P53" s="31">
        <v>39</v>
      </c>
      <c r="Q53" s="31">
        <v>5</v>
      </c>
      <c r="R53" s="31">
        <v>3</v>
      </c>
      <c r="S53" s="31">
        <v>0</v>
      </c>
      <c r="T53" s="31">
        <v>1</v>
      </c>
      <c r="U53" s="31">
        <v>5</v>
      </c>
      <c r="V53" s="31">
        <v>11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39</v>
      </c>
      <c r="E54" s="19">
        <v>14</v>
      </c>
      <c r="F54" s="19">
        <v>25</v>
      </c>
      <c r="G54" s="19">
        <v>0</v>
      </c>
      <c r="H54" s="19">
        <v>0</v>
      </c>
      <c r="I54" s="19">
        <v>0</v>
      </c>
      <c r="J54" s="19">
        <v>1</v>
      </c>
      <c r="K54" s="19">
        <v>6</v>
      </c>
      <c r="L54" s="19">
        <v>5</v>
      </c>
      <c r="M54" s="19">
        <v>0</v>
      </c>
      <c r="N54" s="19">
        <v>1</v>
      </c>
      <c r="O54" s="19">
        <v>3</v>
      </c>
      <c r="P54" s="19">
        <v>12</v>
      </c>
      <c r="Q54" s="19">
        <v>2</v>
      </c>
      <c r="R54" s="19">
        <v>1</v>
      </c>
      <c r="S54" s="19">
        <v>0</v>
      </c>
      <c r="T54" s="19">
        <v>1</v>
      </c>
      <c r="U54" s="19">
        <v>3</v>
      </c>
      <c r="V54" s="19">
        <v>4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68</v>
      </c>
      <c r="E55" s="19">
        <v>26</v>
      </c>
      <c r="F55" s="19">
        <v>42</v>
      </c>
      <c r="G55" s="19">
        <v>0</v>
      </c>
      <c r="H55" s="19">
        <v>0</v>
      </c>
      <c r="I55" s="19">
        <v>0</v>
      </c>
      <c r="J55" s="19">
        <v>0</v>
      </c>
      <c r="K55" s="19">
        <v>11</v>
      </c>
      <c r="L55" s="19">
        <v>6</v>
      </c>
      <c r="M55" s="19">
        <v>0</v>
      </c>
      <c r="N55" s="19">
        <v>0</v>
      </c>
      <c r="O55" s="19">
        <v>10</v>
      </c>
      <c r="P55" s="19">
        <v>27</v>
      </c>
      <c r="Q55" s="19">
        <v>3</v>
      </c>
      <c r="R55" s="19">
        <v>2</v>
      </c>
      <c r="S55" s="19">
        <v>0</v>
      </c>
      <c r="T55" s="19">
        <v>0</v>
      </c>
      <c r="U55" s="19">
        <v>2</v>
      </c>
      <c r="V55" s="19">
        <v>7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326</v>
      </c>
      <c r="E56" s="31">
        <v>138</v>
      </c>
      <c r="F56" s="31">
        <v>188</v>
      </c>
      <c r="G56" s="31">
        <v>1</v>
      </c>
      <c r="H56" s="31">
        <v>0</v>
      </c>
      <c r="I56" s="31">
        <v>0</v>
      </c>
      <c r="J56" s="31">
        <v>0</v>
      </c>
      <c r="K56" s="31">
        <v>76</v>
      </c>
      <c r="L56" s="31">
        <v>51</v>
      </c>
      <c r="M56" s="31">
        <v>9</v>
      </c>
      <c r="N56" s="31">
        <v>9</v>
      </c>
      <c r="O56" s="31">
        <v>14</v>
      </c>
      <c r="P56" s="31">
        <v>97</v>
      </c>
      <c r="Q56" s="31">
        <v>36</v>
      </c>
      <c r="R56" s="31">
        <v>30</v>
      </c>
      <c r="S56" s="31">
        <v>2</v>
      </c>
      <c r="T56" s="31">
        <v>1</v>
      </c>
      <c r="U56" s="31">
        <v>0</v>
      </c>
      <c r="V56" s="31">
        <v>0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125</v>
      </c>
      <c r="E57" s="19">
        <v>42</v>
      </c>
      <c r="F57" s="19">
        <v>83</v>
      </c>
      <c r="G57" s="19">
        <v>1</v>
      </c>
      <c r="H57" s="19">
        <v>0</v>
      </c>
      <c r="I57" s="19">
        <v>0</v>
      </c>
      <c r="J57" s="19">
        <v>0</v>
      </c>
      <c r="K57" s="19">
        <v>23</v>
      </c>
      <c r="L57" s="19">
        <v>28</v>
      </c>
      <c r="M57" s="19">
        <v>2</v>
      </c>
      <c r="N57" s="19">
        <v>3</v>
      </c>
      <c r="O57" s="19">
        <v>3</v>
      </c>
      <c r="P57" s="19">
        <v>39</v>
      </c>
      <c r="Q57" s="19">
        <v>12</v>
      </c>
      <c r="R57" s="19">
        <v>12</v>
      </c>
      <c r="S57" s="19">
        <v>1</v>
      </c>
      <c r="T57" s="19">
        <v>1</v>
      </c>
      <c r="U57" s="19">
        <v>0</v>
      </c>
      <c r="V57" s="19">
        <v>0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201</v>
      </c>
      <c r="E58" s="19">
        <v>96</v>
      </c>
      <c r="F58" s="19">
        <v>105</v>
      </c>
      <c r="G58" s="19">
        <v>0</v>
      </c>
      <c r="H58" s="19">
        <v>0</v>
      </c>
      <c r="I58" s="19">
        <v>0</v>
      </c>
      <c r="J58" s="19">
        <v>0</v>
      </c>
      <c r="K58" s="19">
        <v>53</v>
      </c>
      <c r="L58" s="19">
        <v>23</v>
      </c>
      <c r="M58" s="19">
        <v>7</v>
      </c>
      <c r="N58" s="19">
        <v>6</v>
      </c>
      <c r="O58" s="19">
        <v>11</v>
      </c>
      <c r="P58" s="19">
        <v>58</v>
      </c>
      <c r="Q58" s="19">
        <v>24</v>
      </c>
      <c r="R58" s="19">
        <v>18</v>
      </c>
      <c r="S58" s="19">
        <v>1</v>
      </c>
      <c r="T58" s="19">
        <v>0</v>
      </c>
      <c r="U58" s="19">
        <v>0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31</v>
      </c>
      <c r="E59" s="31">
        <v>6</v>
      </c>
      <c r="F59" s="31">
        <v>25</v>
      </c>
      <c r="G59" s="31">
        <v>0</v>
      </c>
      <c r="H59" s="31">
        <v>0</v>
      </c>
      <c r="I59" s="31">
        <v>0</v>
      </c>
      <c r="J59" s="31">
        <v>0</v>
      </c>
      <c r="K59" s="31">
        <v>3</v>
      </c>
      <c r="L59" s="31">
        <v>3</v>
      </c>
      <c r="M59" s="31">
        <v>0</v>
      </c>
      <c r="N59" s="31">
        <v>0</v>
      </c>
      <c r="O59" s="31">
        <v>1</v>
      </c>
      <c r="P59" s="31">
        <v>20</v>
      </c>
      <c r="Q59" s="31">
        <v>2</v>
      </c>
      <c r="R59" s="31">
        <v>1</v>
      </c>
      <c r="S59" s="31">
        <v>0</v>
      </c>
      <c r="T59" s="31">
        <v>1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29</v>
      </c>
      <c r="E60" s="19">
        <v>6</v>
      </c>
      <c r="F60" s="19">
        <v>23</v>
      </c>
      <c r="G60" s="19">
        <v>0</v>
      </c>
      <c r="H60" s="19">
        <v>0</v>
      </c>
      <c r="I60" s="19">
        <v>0</v>
      </c>
      <c r="J60" s="19">
        <v>0</v>
      </c>
      <c r="K60" s="19">
        <v>3</v>
      </c>
      <c r="L60" s="19">
        <v>3</v>
      </c>
      <c r="M60" s="19">
        <v>0</v>
      </c>
      <c r="N60" s="19">
        <v>0</v>
      </c>
      <c r="O60" s="19">
        <v>1</v>
      </c>
      <c r="P60" s="19">
        <v>19</v>
      </c>
      <c r="Q60" s="19">
        <v>2</v>
      </c>
      <c r="R60" s="19">
        <v>1</v>
      </c>
      <c r="S60" s="19">
        <v>0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2</v>
      </c>
      <c r="E61" s="19">
        <v>0</v>
      </c>
      <c r="F61" s="19">
        <v>2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1</v>
      </c>
      <c r="Q61" s="19">
        <v>0</v>
      </c>
      <c r="R61" s="19">
        <v>0</v>
      </c>
      <c r="S61" s="19">
        <v>0</v>
      </c>
      <c r="T61" s="19">
        <v>1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149</v>
      </c>
      <c r="E62" s="31">
        <v>53</v>
      </c>
      <c r="F62" s="31">
        <v>96</v>
      </c>
      <c r="G62" s="31">
        <v>0</v>
      </c>
      <c r="H62" s="31">
        <v>0</v>
      </c>
      <c r="I62" s="31">
        <v>0</v>
      </c>
      <c r="J62" s="31">
        <v>0</v>
      </c>
      <c r="K62" s="31">
        <v>39</v>
      </c>
      <c r="L62" s="31">
        <v>39</v>
      </c>
      <c r="M62" s="31">
        <v>1</v>
      </c>
      <c r="N62" s="31">
        <v>2</v>
      </c>
      <c r="O62" s="31">
        <v>13</v>
      </c>
      <c r="P62" s="31">
        <v>55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138</v>
      </c>
      <c r="E63" s="19">
        <v>50</v>
      </c>
      <c r="F63" s="19">
        <v>88</v>
      </c>
      <c r="G63" s="19">
        <v>0</v>
      </c>
      <c r="H63" s="19">
        <v>0</v>
      </c>
      <c r="I63" s="19">
        <v>0</v>
      </c>
      <c r="J63" s="19">
        <v>0</v>
      </c>
      <c r="K63" s="19">
        <v>37</v>
      </c>
      <c r="L63" s="19">
        <v>35</v>
      </c>
      <c r="M63" s="19">
        <v>1</v>
      </c>
      <c r="N63" s="19">
        <v>2</v>
      </c>
      <c r="O63" s="19">
        <v>12</v>
      </c>
      <c r="P63" s="19">
        <v>51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11</v>
      </c>
      <c r="E64" s="19">
        <v>3</v>
      </c>
      <c r="F64" s="19">
        <v>8</v>
      </c>
      <c r="G64" s="19">
        <v>0</v>
      </c>
      <c r="H64" s="19">
        <v>0</v>
      </c>
      <c r="I64" s="19">
        <v>0</v>
      </c>
      <c r="J64" s="19">
        <v>0</v>
      </c>
      <c r="K64" s="19">
        <v>2</v>
      </c>
      <c r="L64" s="19">
        <v>4</v>
      </c>
      <c r="M64" s="19">
        <v>0</v>
      </c>
      <c r="N64" s="19">
        <v>0</v>
      </c>
      <c r="O64" s="19">
        <v>1</v>
      </c>
      <c r="P64" s="19">
        <v>4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219</v>
      </c>
      <c r="E65" s="31">
        <v>92</v>
      </c>
      <c r="F65" s="31">
        <v>127</v>
      </c>
      <c r="G65" s="31">
        <v>0</v>
      </c>
      <c r="H65" s="31">
        <v>0</v>
      </c>
      <c r="I65" s="31">
        <v>1</v>
      </c>
      <c r="J65" s="31">
        <v>0</v>
      </c>
      <c r="K65" s="31">
        <v>48</v>
      </c>
      <c r="L65" s="31">
        <v>48</v>
      </c>
      <c r="M65" s="31">
        <v>2</v>
      </c>
      <c r="N65" s="31">
        <v>3</v>
      </c>
      <c r="O65" s="31">
        <v>21</v>
      </c>
      <c r="P65" s="31">
        <v>58</v>
      </c>
      <c r="Q65" s="31">
        <v>18</v>
      </c>
      <c r="R65" s="31">
        <v>16</v>
      </c>
      <c r="S65" s="31">
        <v>2</v>
      </c>
      <c r="T65" s="31">
        <v>2</v>
      </c>
      <c r="U65" s="31">
        <v>0</v>
      </c>
      <c r="V65" s="31">
        <v>0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207</v>
      </c>
      <c r="E66" s="19">
        <v>87</v>
      </c>
      <c r="F66" s="19">
        <v>120</v>
      </c>
      <c r="G66" s="19">
        <v>0</v>
      </c>
      <c r="H66" s="19">
        <v>0</v>
      </c>
      <c r="I66" s="19">
        <v>1</v>
      </c>
      <c r="J66" s="19">
        <v>0</v>
      </c>
      <c r="K66" s="19">
        <v>47</v>
      </c>
      <c r="L66" s="19">
        <v>47</v>
      </c>
      <c r="M66" s="19">
        <v>2</v>
      </c>
      <c r="N66" s="19">
        <v>3</v>
      </c>
      <c r="O66" s="19">
        <v>19</v>
      </c>
      <c r="P66" s="19">
        <v>54</v>
      </c>
      <c r="Q66" s="19">
        <v>16</v>
      </c>
      <c r="R66" s="19">
        <v>14</v>
      </c>
      <c r="S66" s="19">
        <v>2</v>
      </c>
      <c r="T66" s="19">
        <v>2</v>
      </c>
      <c r="U66" s="19">
        <v>0</v>
      </c>
      <c r="V66" s="19">
        <v>0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12</v>
      </c>
      <c r="E67" s="19">
        <v>5</v>
      </c>
      <c r="F67" s="19">
        <v>7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1</v>
      </c>
      <c r="M67" s="19">
        <v>0</v>
      </c>
      <c r="N67" s="19">
        <v>0</v>
      </c>
      <c r="O67" s="19">
        <v>2</v>
      </c>
      <c r="P67" s="19">
        <v>4</v>
      </c>
      <c r="Q67" s="19">
        <v>2</v>
      </c>
      <c r="R67" s="19">
        <v>2</v>
      </c>
      <c r="S67" s="19">
        <v>0</v>
      </c>
      <c r="T67" s="19">
        <v>0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127</v>
      </c>
      <c r="E68" s="31">
        <v>60</v>
      </c>
      <c r="F68" s="31">
        <v>67</v>
      </c>
      <c r="G68" s="31">
        <v>1</v>
      </c>
      <c r="H68" s="31">
        <v>0</v>
      </c>
      <c r="I68" s="31">
        <v>0</v>
      </c>
      <c r="J68" s="31">
        <v>0</v>
      </c>
      <c r="K68" s="31">
        <v>32</v>
      </c>
      <c r="L68" s="31">
        <v>28</v>
      </c>
      <c r="M68" s="31">
        <v>5</v>
      </c>
      <c r="N68" s="31">
        <v>3</v>
      </c>
      <c r="O68" s="31">
        <v>8</v>
      </c>
      <c r="P68" s="31">
        <v>21</v>
      </c>
      <c r="Q68" s="31">
        <v>14</v>
      </c>
      <c r="R68" s="31">
        <v>15</v>
      </c>
      <c r="S68" s="31">
        <v>0</v>
      </c>
      <c r="T68" s="31">
        <v>0</v>
      </c>
      <c r="U68" s="31">
        <v>0</v>
      </c>
      <c r="V68" s="31">
        <v>0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127</v>
      </c>
      <c r="E69" s="19">
        <v>60</v>
      </c>
      <c r="F69" s="19">
        <v>67</v>
      </c>
      <c r="G69" s="19">
        <v>1</v>
      </c>
      <c r="H69" s="19">
        <v>0</v>
      </c>
      <c r="I69" s="19">
        <v>0</v>
      </c>
      <c r="J69" s="19">
        <v>0</v>
      </c>
      <c r="K69" s="19">
        <v>32</v>
      </c>
      <c r="L69" s="19">
        <v>28</v>
      </c>
      <c r="M69" s="19">
        <v>5</v>
      </c>
      <c r="N69" s="19">
        <v>3</v>
      </c>
      <c r="O69" s="19">
        <v>8</v>
      </c>
      <c r="P69" s="19">
        <v>21</v>
      </c>
      <c r="Q69" s="19">
        <v>14</v>
      </c>
      <c r="R69" s="19">
        <v>15</v>
      </c>
      <c r="S69" s="19">
        <v>0</v>
      </c>
      <c r="T69" s="19">
        <v>0</v>
      </c>
      <c r="U69" s="19">
        <v>0</v>
      </c>
      <c r="V69" s="19">
        <v>0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46</v>
      </c>
      <c r="E71" s="31">
        <v>24</v>
      </c>
      <c r="F71" s="31">
        <v>22</v>
      </c>
      <c r="G71" s="31">
        <v>0</v>
      </c>
      <c r="H71" s="31">
        <v>0</v>
      </c>
      <c r="I71" s="31">
        <v>0</v>
      </c>
      <c r="J71" s="31">
        <v>0</v>
      </c>
      <c r="K71" s="31">
        <v>15</v>
      </c>
      <c r="L71" s="31">
        <v>7</v>
      </c>
      <c r="M71" s="31">
        <v>2</v>
      </c>
      <c r="N71" s="31">
        <v>0</v>
      </c>
      <c r="O71" s="31">
        <v>1</v>
      </c>
      <c r="P71" s="31">
        <v>9</v>
      </c>
      <c r="Q71" s="31">
        <v>6</v>
      </c>
      <c r="R71" s="31">
        <v>6</v>
      </c>
      <c r="S71" s="31">
        <v>0</v>
      </c>
      <c r="T71" s="31">
        <v>0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46</v>
      </c>
      <c r="E72" s="19">
        <v>24</v>
      </c>
      <c r="F72" s="19">
        <v>22</v>
      </c>
      <c r="G72" s="19">
        <v>0</v>
      </c>
      <c r="H72" s="19">
        <v>0</v>
      </c>
      <c r="I72" s="19">
        <v>0</v>
      </c>
      <c r="J72" s="19">
        <v>0</v>
      </c>
      <c r="K72" s="19">
        <v>15</v>
      </c>
      <c r="L72" s="19">
        <v>7</v>
      </c>
      <c r="M72" s="19">
        <v>2</v>
      </c>
      <c r="N72" s="19">
        <v>0</v>
      </c>
      <c r="O72" s="19">
        <v>1</v>
      </c>
      <c r="P72" s="19">
        <v>9</v>
      </c>
      <c r="Q72" s="19">
        <v>6</v>
      </c>
      <c r="R72" s="19">
        <v>6</v>
      </c>
      <c r="S72" s="19">
        <v>0</v>
      </c>
      <c r="T72" s="19">
        <v>0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15</v>
      </c>
      <c r="E74" s="31">
        <v>6</v>
      </c>
      <c r="F74" s="31">
        <v>9</v>
      </c>
      <c r="G74" s="31">
        <v>0</v>
      </c>
      <c r="H74" s="31">
        <v>0</v>
      </c>
      <c r="I74" s="31">
        <v>0</v>
      </c>
      <c r="J74" s="31">
        <v>0</v>
      </c>
      <c r="K74" s="31">
        <v>5</v>
      </c>
      <c r="L74" s="31">
        <v>1</v>
      </c>
      <c r="M74" s="31">
        <v>0</v>
      </c>
      <c r="N74" s="31">
        <v>1</v>
      </c>
      <c r="O74" s="31">
        <v>0</v>
      </c>
      <c r="P74" s="31">
        <v>3</v>
      </c>
      <c r="Q74" s="31">
        <v>1</v>
      </c>
      <c r="R74" s="31">
        <v>4</v>
      </c>
      <c r="S74" s="31">
        <v>0</v>
      </c>
      <c r="T74" s="31">
        <v>0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12</v>
      </c>
      <c r="E75" s="19">
        <v>6</v>
      </c>
      <c r="F75" s="19">
        <v>6</v>
      </c>
      <c r="G75" s="19">
        <v>0</v>
      </c>
      <c r="H75" s="19">
        <v>0</v>
      </c>
      <c r="I75" s="19">
        <v>0</v>
      </c>
      <c r="J75" s="19">
        <v>0</v>
      </c>
      <c r="K75" s="19">
        <v>5</v>
      </c>
      <c r="L75" s="19">
        <v>1</v>
      </c>
      <c r="M75" s="19">
        <v>0</v>
      </c>
      <c r="N75" s="19">
        <v>0</v>
      </c>
      <c r="O75" s="19">
        <v>0</v>
      </c>
      <c r="P75" s="19">
        <v>2</v>
      </c>
      <c r="Q75" s="19">
        <v>1</v>
      </c>
      <c r="R75" s="19">
        <v>3</v>
      </c>
      <c r="S75" s="19">
        <v>0</v>
      </c>
      <c r="T75" s="19">
        <v>0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3</v>
      </c>
      <c r="E76" s="39">
        <v>0</v>
      </c>
      <c r="F76" s="39">
        <v>3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1</v>
      </c>
      <c r="O76" s="39">
        <v>0</v>
      </c>
      <c r="P76" s="39">
        <v>1</v>
      </c>
      <c r="Q76" s="39">
        <v>0</v>
      </c>
      <c r="R76" s="39">
        <v>1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>
      <c r="A79" s="66" t="s">
        <v>165</v>
      </c>
    </row>
    <row r="80" spans="1:22" ht="14.25" customHeight="1" x14ac:dyDescent="0.2"/>
  </sheetData>
  <mergeCells count="36">
    <mergeCell ref="A15:A16"/>
    <mergeCell ref="A4:C7"/>
    <mergeCell ref="D4:V4"/>
    <mergeCell ref="D5:F6"/>
    <mergeCell ref="G5:J5"/>
    <mergeCell ref="K5:R5"/>
    <mergeCell ref="S5:T6"/>
    <mergeCell ref="U5:V6"/>
    <mergeCell ref="G6:H6"/>
    <mergeCell ref="I6:J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80"/>
  <sheetViews>
    <sheetView workbookViewId="0">
      <pane xSplit="4" ySplit="8" topLeftCell="E9" activePane="bottomRight" state="frozen"/>
      <selection activeCell="R24" sqref="R24"/>
      <selection pane="topRight" activeCell="R24" sqref="R24"/>
      <selection pane="bottomLeft" activeCell="R24" sqref="R24"/>
      <selection pane="bottomRight" activeCell="R24" sqref="R24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2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">
      <c r="A3" s="85" t="s">
        <v>172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2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26</v>
      </c>
      <c r="V5" s="101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</row>
    <row r="8" spans="1:22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5039</v>
      </c>
      <c r="E8" s="78">
        <v>2315</v>
      </c>
      <c r="F8" s="78">
        <v>2724</v>
      </c>
      <c r="G8" s="78">
        <v>2</v>
      </c>
      <c r="H8" s="78">
        <v>1</v>
      </c>
      <c r="I8" s="78">
        <v>5</v>
      </c>
      <c r="J8" s="78">
        <v>1</v>
      </c>
      <c r="K8" s="78">
        <v>1536</v>
      </c>
      <c r="L8" s="78">
        <v>1084</v>
      </c>
      <c r="M8" s="78">
        <v>110</v>
      </c>
      <c r="N8" s="78">
        <v>94</v>
      </c>
      <c r="O8" s="78">
        <v>307</v>
      </c>
      <c r="P8" s="78">
        <v>1291</v>
      </c>
      <c r="Q8" s="78">
        <v>327</v>
      </c>
      <c r="R8" s="78">
        <v>233</v>
      </c>
      <c r="S8" s="78">
        <v>28</v>
      </c>
      <c r="T8" s="78">
        <v>20</v>
      </c>
      <c r="U8" s="78">
        <v>0</v>
      </c>
      <c r="V8" s="78">
        <v>0</v>
      </c>
    </row>
    <row r="9" spans="1:22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4540</v>
      </c>
      <c r="E9" s="82">
        <v>2086</v>
      </c>
      <c r="F9" s="82">
        <v>2454</v>
      </c>
      <c r="G9" s="82">
        <v>2</v>
      </c>
      <c r="H9" s="82">
        <v>1</v>
      </c>
      <c r="I9" s="82">
        <v>4</v>
      </c>
      <c r="J9" s="82">
        <v>1</v>
      </c>
      <c r="K9" s="82">
        <v>1396</v>
      </c>
      <c r="L9" s="82">
        <v>988</v>
      </c>
      <c r="M9" s="82">
        <v>100</v>
      </c>
      <c r="N9" s="82">
        <v>86</v>
      </c>
      <c r="O9" s="82">
        <v>269</v>
      </c>
      <c r="P9" s="82">
        <v>1151</v>
      </c>
      <c r="Q9" s="82">
        <v>290</v>
      </c>
      <c r="R9" s="82">
        <v>207</v>
      </c>
      <c r="S9" s="82">
        <v>25</v>
      </c>
      <c r="T9" s="82">
        <v>20</v>
      </c>
      <c r="U9" s="82">
        <v>0</v>
      </c>
      <c r="V9" s="82">
        <v>0</v>
      </c>
    </row>
    <row r="10" spans="1:22" s="79" customFormat="1" ht="14.25" customHeight="1" x14ac:dyDescent="0.2">
      <c r="A10" s="111"/>
      <c r="B10" s="80" t="s">
        <v>152</v>
      </c>
      <c r="C10" s="81" t="s">
        <v>163</v>
      </c>
      <c r="D10" s="82">
        <v>499</v>
      </c>
      <c r="E10" s="82">
        <v>229</v>
      </c>
      <c r="F10" s="82">
        <v>270</v>
      </c>
      <c r="G10" s="82">
        <v>0</v>
      </c>
      <c r="H10" s="82">
        <v>0</v>
      </c>
      <c r="I10" s="82">
        <v>1</v>
      </c>
      <c r="J10" s="82">
        <v>0</v>
      </c>
      <c r="K10" s="82">
        <v>140</v>
      </c>
      <c r="L10" s="82">
        <v>96</v>
      </c>
      <c r="M10" s="82">
        <v>10</v>
      </c>
      <c r="N10" s="82">
        <v>8</v>
      </c>
      <c r="O10" s="82">
        <v>38</v>
      </c>
      <c r="P10" s="82">
        <v>140</v>
      </c>
      <c r="Q10" s="82">
        <v>37</v>
      </c>
      <c r="R10" s="82">
        <v>26</v>
      </c>
      <c r="S10" s="82">
        <v>3</v>
      </c>
      <c r="T10" s="82">
        <v>0</v>
      </c>
      <c r="U10" s="82">
        <v>0</v>
      </c>
      <c r="V10" s="82">
        <v>0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1014</v>
      </c>
      <c r="E11" s="31">
        <v>463</v>
      </c>
      <c r="F11" s="31">
        <v>551</v>
      </c>
      <c r="G11" s="31">
        <v>0</v>
      </c>
      <c r="H11" s="31">
        <v>0</v>
      </c>
      <c r="I11" s="31">
        <v>0</v>
      </c>
      <c r="J11" s="31">
        <v>0</v>
      </c>
      <c r="K11" s="31">
        <v>325</v>
      </c>
      <c r="L11" s="31">
        <v>210</v>
      </c>
      <c r="M11" s="31">
        <v>36</v>
      </c>
      <c r="N11" s="31">
        <v>21</v>
      </c>
      <c r="O11" s="31">
        <v>60</v>
      </c>
      <c r="P11" s="31">
        <v>289</v>
      </c>
      <c r="Q11" s="31">
        <v>35</v>
      </c>
      <c r="R11" s="31">
        <v>23</v>
      </c>
      <c r="S11" s="31">
        <v>7</v>
      </c>
      <c r="T11" s="31">
        <v>8</v>
      </c>
      <c r="U11" s="31">
        <v>0</v>
      </c>
      <c r="V11" s="31">
        <v>0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960</v>
      </c>
      <c r="E12" s="19">
        <v>444</v>
      </c>
      <c r="F12" s="19">
        <v>516</v>
      </c>
      <c r="G12" s="19">
        <v>0</v>
      </c>
      <c r="H12" s="19">
        <v>0</v>
      </c>
      <c r="I12" s="19">
        <v>0</v>
      </c>
      <c r="J12" s="19">
        <v>0</v>
      </c>
      <c r="K12" s="19">
        <v>309</v>
      </c>
      <c r="L12" s="19">
        <v>195</v>
      </c>
      <c r="M12" s="19">
        <v>35</v>
      </c>
      <c r="N12" s="19">
        <v>20</v>
      </c>
      <c r="O12" s="19">
        <v>59</v>
      </c>
      <c r="P12" s="19">
        <v>270</v>
      </c>
      <c r="Q12" s="19">
        <v>34</v>
      </c>
      <c r="R12" s="19">
        <v>23</v>
      </c>
      <c r="S12" s="19">
        <v>7</v>
      </c>
      <c r="T12" s="19">
        <v>8</v>
      </c>
      <c r="U12" s="19">
        <v>0</v>
      </c>
      <c r="V12" s="19">
        <v>0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54</v>
      </c>
      <c r="E13" s="19">
        <v>19</v>
      </c>
      <c r="F13" s="19">
        <v>35</v>
      </c>
      <c r="G13" s="19">
        <v>0</v>
      </c>
      <c r="H13" s="19">
        <v>0</v>
      </c>
      <c r="I13" s="19">
        <v>0</v>
      </c>
      <c r="J13" s="19">
        <v>0</v>
      </c>
      <c r="K13" s="19">
        <v>16</v>
      </c>
      <c r="L13" s="19">
        <v>15</v>
      </c>
      <c r="M13" s="19">
        <v>1</v>
      </c>
      <c r="N13" s="19">
        <v>1</v>
      </c>
      <c r="O13" s="19">
        <v>1</v>
      </c>
      <c r="P13" s="19">
        <v>19</v>
      </c>
      <c r="Q13" s="19">
        <v>1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506</v>
      </c>
      <c r="E14" s="31">
        <v>246</v>
      </c>
      <c r="F14" s="31">
        <v>260</v>
      </c>
      <c r="G14" s="31">
        <v>0</v>
      </c>
      <c r="H14" s="31">
        <v>0</v>
      </c>
      <c r="I14" s="31">
        <v>0</v>
      </c>
      <c r="J14" s="31">
        <v>0</v>
      </c>
      <c r="K14" s="31">
        <v>156</v>
      </c>
      <c r="L14" s="31">
        <v>108</v>
      </c>
      <c r="M14" s="31">
        <v>4</v>
      </c>
      <c r="N14" s="31">
        <v>6</v>
      </c>
      <c r="O14" s="31">
        <v>36</v>
      </c>
      <c r="P14" s="31">
        <v>107</v>
      </c>
      <c r="Q14" s="31">
        <v>49</v>
      </c>
      <c r="R14" s="31">
        <v>38</v>
      </c>
      <c r="S14" s="31">
        <v>1</v>
      </c>
      <c r="T14" s="31">
        <v>1</v>
      </c>
      <c r="U14" s="31">
        <v>0</v>
      </c>
      <c r="V14" s="31">
        <v>0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500</v>
      </c>
      <c r="E15" s="19">
        <v>243</v>
      </c>
      <c r="F15" s="19">
        <v>257</v>
      </c>
      <c r="G15" s="19">
        <v>0</v>
      </c>
      <c r="H15" s="19">
        <v>0</v>
      </c>
      <c r="I15" s="19">
        <v>0</v>
      </c>
      <c r="J15" s="19">
        <v>0</v>
      </c>
      <c r="K15" s="19">
        <v>153</v>
      </c>
      <c r="L15" s="19">
        <v>105</v>
      </c>
      <c r="M15" s="19">
        <v>4</v>
      </c>
      <c r="N15" s="19">
        <v>6</v>
      </c>
      <c r="O15" s="19">
        <v>36</v>
      </c>
      <c r="P15" s="19">
        <v>107</v>
      </c>
      <c r="Q15" s="19">
        <v>49</v>
      </c>
      <c r="R15" s="19">
        <v>38</v>
      </c>
      <c r="S15" s="19">
        <v>1</v>
      </c>
      <c r="T15" s="19">
        <v>1</v>
      </c>
      <c r="U15" s="19">
        <v>0</v>
      </c>
      <c r="V15" s="19">
        <v>0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6</v>
      </c>
      <c r="E16" s="19">
        <v>3</v>
      </c>
      <c r="F16" s="19">
        <v>3</v>
      </c>
      <c r="G16" s="19">
        <v>0</v>
      </c>
      <c r="H16" s="19">
        <v>0</v>
      </c>
      <c r="I16" s="19">
        <v>0</v>
      </c>
      <c r="J16" s="19">
        <v>0</v>
      </c>
      <c r="K16" s="19">
        <v>3</v>
      </c>
      <c r="L16" s="19">
        <v>3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545</v>
      </c>
      <c r="E17" s="31">
        <v>259</v>
      </c>
      <c r="F17" s="31">
        <v>286</v>
      </c>
      <c r="G17" s="31">
        <v>0</v>
      </c>
      <c r="H17" s="31">
        <v>0</v>
      </c>
      <c r="I17" s="31">
        <v>0</v>
      </c>
      <c r="J17" s="31">
        <v>0</v>
      </c>
      <c r="K17" s="31">
        <v>213</v>
      </c>
      <c r="L17" s="31">
        <v>132</v>
      </c>
      <c r="M17" s="31">
        <v>1</v>
      </c>
      <c r="N17" s="31">
        <v>0</v>
      </c>
      <c r="O17" s="31">
        <v>28</v>
      </c>
      <c r="P17" s="31">
        <v>149</v>
      </c>
      <c r="Q17" s="31">
        <v>17</v>
      </c>
      <c r="R17" s="31">
        <v>4</v>
      </c>
      <c r="S17" s="31">
        <v>0</v>
      </c>
      <c r="T17" s="31">
        <v>1</v>
      </c>
      <c r="U17" s="31">
        <v>0</v>
      </c>
      <c r="V17" s="31">
        <v>0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447</v>
      </c>
      <c r="E18" s="19">
        <v>205</v>
      </c>
      <c r="F18" s="19">
        <v>242</v>
      </c>
      <c r="G18" s="19">
        <v>0</v>
      </c>
      <c r="H18" s="19">
        <v>0</v>
      </c>
      <c r="I18" s="19">
        <v>0</v>
      </c>
      <c r="J18" s="19">
        <v>0</v>
      </c>
      <c r="K18" s="19">
        <v>171</v>
      </c>
      <c r="L18" s="19">
        <v>115</v>
      </c>
      <c r="M18" s="19">
        <v>0</v>
      </c>
      <c r="N18" s="19">
        <v>0</v>
      </c>
      <c r="O18" s="19">
        <v>22</v>
      </c>
      <c r="P18" s="19">
        <v>124</v>
      </c>
      <c r="Q18" s="19">
        <v>12</v>
      </c>
      <c r="R18" s="19">
        <v>2</v>
      </c>
      <c r="S18" s="19">
        <v>0</v>
      </c>
      <c r="T18" s="19">
        <v>1</v>
      </c>
      <c r="U18" s="19">
        <v>0</v>
      </c>
      <c r="V18" s="19">
        <v>0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98</v>
      </c>
      <c r="E19" s="19">
        <v>54</v>
      </c>
      <c r="F19" s="19">
        <v>44</v>
      </c>
      <c r="G19" s="19">
        <v>0</v>
      </c>
      <c r="H19" s="19">
        <v>0</v>
      </c>
      <c r="I19" s="19">
        <v>0</v>
      </c>
      <c r="J19" s="19">
        <v>0</v>
      </c>
      <c r="K19" s="19">
        <v>42</v>
      </c>
      <c r="L19" s="19">
        <v>17</v>
      </c>
      <c r="M19" s="19">
        <v>1</v>
      </c>
      <c r="N19" s="19">
        <v>0</v>
      </c>
      <c r="O19" s="19">
        <v>6</v>
      </c>
      <c r="P19" s="19">
        <v>25</v>
      </c>
      <c r="Q19" s="19">
        <v>5</v>
      </c>
      <c r="R19" s="19">
        <v>2</v>
      </c>
      <c r="S19" s="19">
        <v>0</v>
      </c>
      <c r="T19" s="19">
        <v>0</v>
      </c>
      <c r="U19" s="19">
        <v>0</v>
      </c>
      <c r="V19" s="19">
        <v>0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622</v>
      </c>
      <c r="E20" s="31">
        <v>315</v>
      </c>
      <c r="F20" s="31">
        <v>307</v>
      </c>
      <c r="G20" s="31">
        <v>0</v>
      </c>
      <c r="H20" s="31">
        <v>0</v>
      </c>
      <c r="I20" s="31">
        <v>0</v>
      </c>
      <c r="J20" s="31">
        <v>0</v>
      </c>
      <c r="K20" s="31">
        <v>216</v>
      </c>
      <c r="L20" s="31">
        <v>142</v>
      </c>
      <c r="M20" s="31">
        <v>10</v>
      </c>
      <c r="N20" s="31">
        <v>10</v>
      </c>
      <c r="O20" s="31">
        <v>50</v>
      </c>
      <c r="P20" s="31">
        <v>130</v>
      </c>
      <c r="Q20" s="31">
        <v>30</v>
      </c>
      <c r="R20" s="31">
        <v>21</v>
      </c>
      <c r="S20" s="31">
        <v>9</v>
      </c>
      <c r="T20" s="31">
        <v>4</v>
      </c>
      <c r="U20" s="31">
        <v>0</v>
      </c>
      <c r="V20" s="31">
        <v>0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589</v>
      </c>
      <c r="E21" s="19">
        <v>303</v>
      </c>
      <c r="F21" s="19">
        <v>286</v>
      </c>
      <c r="G21" s="19">
        <v>0</v>
      </c>
      <c r="H21" s="19">
        <v>0</v>
      </c>
      <c r="I21" s="19">
        <v>0</v>
      </c>
      <c r="J21" s="19">
        <v>0</v>
      </c>
      <c r="K21" s="19">
        <v>209</v>
      </c>
      <c r="L21" s="19">
        <v>132</v>
      </c>
      <c r="M21" s="19">
        <v>7</v>
      </c>
      <c r="N21" s="19">
        <v>10</v>
      </c>
      <c r="O21" s="19">
        <v>48</v>
      </c>
      <c r="P21" s="19">
        <v>120</v>
      </c>
      <c r="Q21" s="19">
        <v>30</v>
      </c>
      <c r="R21" s="19">
        <v>20</v>
      </c>
      <c r="S21" s="19">
        <v>9</v>
      </c>
      <c r="T21" s="19">
        <v>4</v>
      </c>
      <c r="U21" s="19">
        <v>0</v>
      </c>
      <c r="V21" s="19">
        <v>0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33</v>
      </c>
      <c r="E22" s="19">
        <v>12</v>
      </c>
      <c r="F22" s="19">
        <v>21</v>
      </c>
      <c r="G22" s="19">
        <v>0</v>
      </c>
      <c r="H22" s="19">
        <v>0</v>
      </c>
      <c r="I22" s="19">
        <v>0</v>
      </c>
      <c r="J22" s="19">
        <v>0</v>
      </c>
      <c r="K22" s="19">
        <v>7</v>
      </c>
      <c r="L22" s="19">
        <v>10</v>
      </c>
      <c r="M22" s="19">
        <v>3</v>
      </c>
      <c r="N22" s="19">
        <v>0</v>
      </c>
      <c r="O22" s="19">
        <v>2</v>
      </c>
      <c r="P22" s="19">
        <v>10</v>
      </c>
      <c r="Q22" s="19">
        <v>0</v>
      </c>
      <c r="R22" s="19">
        <v>1</v>
      </c>
      <c r="S22" s="19">
        <v>0</v>
      </c>
      <c r="T22" s="19">
        <v>0</v>
      </c>
      <c r="U22" s="19">
        <v>0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263</v>
      </c>
      <c r="E23" s="31">
        <v>128</v>
      </c>
      <c r="F23" s="31">
        <v>135</v>
      </c>
      <c r="G23" s="31">
        <v>0</v>
      </c>
      <c r="H23" s="31">
        <v>0</v>
      </c>
      <c r="I23" s="31">
        <v>1</v>
      </c>
      <c r="J23" s="31">
        <v>0</v>
      </c>
      <c r="K23" s="31">
        <v>78</v>
      </c>
      <c r="L23" s="31">
        <v>64</v>
      </c>
      <c r="M23" s="31">
        <v>5</v>
      </c>
      <c r="N23" s="31">
        <v>4</v>
      </c>
      <c r="O23" s="31">
        <v>13</v>
      </c>
      <c r="P23" s="31">
        <v>49</v>
      </c>
      <c r="Q23" s="31">
        <v>31</v>
      </c>
      <c r="R23" s="31">
        <v>18</v>
      </c>
      <c r="S23" s="31">
        <v>0</v>
      </c>
      <c r="T23" s="31">
        <v>0</v>
      </c>
      <c r="U23" s="31">
        <v>0</v>
      </c>
      <c r="V23" s="31">
        <v>0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248</v>
      </c>
      <c r="E24" s="19">
        <v>118</v>
      </c>
      <c r="F24" s="19">
        <v>130</v>
      </c>
      <c r="G24" s="19">
        <v>0</v>
      </c>
      <c r="H24" s="19">
        <v>0</v>
      </c>
      <c r="I24" s="19">
        <v>1</v>
      </c>
      <c r="J24" s="19">
        <v>0</v>
      </c>
      <c r="K24" s="19">
        <v>71</v>
      </c>
      <c r="L24" s="19">
        <v>61</v>
      </c>
      <c r="M24" s="19">
        <v>5</v>
      </c>
      <c r="N24" s="19">
        <v>4</v>
      </c>
      <c r="O24" s="19">
        <v>12</v>
      </c>
      <c r="P24" s="19">
        <v>47</v>
      </c>
      <c r="Q24" s="19">
        <v>29</v>
      </c>
      <c r="R24" s="19">
        <v>18</v>
      </c>
      <c r="S24" s="19">
        <v>0</v>
      </c>
      <c r="T24" s="19">
        <v>0</v>
      </c>
      <c r="U24" s="19">
        <v>0</v>
      </c>
      <c r="V24" s="19">
        <v>0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15</v>
      </c>
      <c r="E25" s="19">
        <v>10</v>
      </c>
      <c r="F25" s="19">
        <v>5</v>
      </c>
      <c r="G25" s="19">
        <v>0</v>
      </c>
      <c r="H25" s="19">
        <v>0</v>
      </c>
      <c r="I25" s="19">
        <v>0</v>
      </c>
      <c r="J25" s="19">
        <v>0</v>
      </c>
      <c r="K25" s="19">
        <v>7</v>
      </c>
      <c r="L25" s="19">
        <v>3</v>
      </c>
      <c r="M25" s="19">
        <v>0</v>
      </c>
      <c r="N25" s="19">
        <v>0</v>
      </c>
      <c r="O25" s="19">
        <v>1</v>
      </c>
      <c r="P25" s="19">
        <v>2</v>
      </c>
      <c r="Q25" s="19">
        <v>2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553</v>
      </c>
      <c r="E26" s="31">
        <v>259</v>
      </c>
      <c r="F26" s="31">
        <v>294</v>
      </c>
      <c r="G26" s="31">
        <v>1</v>
      </c>
      <c r="H26" s="31">
        <v>0</v>
      </c>
      <c r="I26" s="31">
        <v>0</v>
      </c>
      <c r="J26" s="31">
        <v>1</v>
      </c>
      <c r="K26" s="31">
        <v>184</v>
      </c>
      <c r="L26" s="31">
        <v>123</v>
      </c>
      <c r="M26" s="31">
        <v>11</v>
      </c>
      <c r="N26" s="31">
        <v>13</v>
      </c>
      <c r="O26" s="31">
        <v>24</v>
      </c>
      <c r="P26" s="31">
        <v>135</v>
      </c>
      <c r="Q26" s="31">
        <v>36</v>
      </c>
      <c r="R26" s="31">
        <v>21</v>
      </c>
      <c r="S26" s="31">
        <v>3</v>
      </c>
      <c r="T26" s="31">
        <v>1</v>
      </c>
      <c r="U26" s="31">
        <v>0</v>
      </c>
      <c r="V26" s="31">
        <v>0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516</v>
      </c>
      <c r="E27" s="19">
        <v>244</v>
      </c>
      <c r="F27" s="19">
        <v>272</v>
      </c>
      <c r="G27" s="19">
        <v>1</v>
      </c>
      <c r="H27" s="19">
        <v>0</v>
      </c>
      <c r="I27" s="19">
        <v>0</v>
      </c>
      <c r="J27" s="19">
        <v>1</v>
      </c>
      <c r="K27" s="19">
        <v>177</v>
      </c>
      <c r="L27" s="19">
        <v>116</v>
      </c>
      <c r="M27" s="19">
        <v>10</v>
      </c>
      <c r="N27" s="19">
        <v>11</v>
      </c>
      <c r="O27" s="19">
        <v>21</v>
      </c>
      <c r="P27" s="19">
        <v>123</v>
      </c>
      <c r="Q27" s="19">
        <v>34</v>
      </c>
      <c r="R27" s="19">
        <v>20</v>
      </c>
      <c r="S27" s="19">
        <v>1</v>
      </c>
      <c r="T27" s="19">
        <v>1</v>
      </c>
      <c r="U27" s="19">
        <v>0</v>
      </c>
      <c r="V27" s="19">
        <v>0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37</v>
      </c>
      <c r="E28" s="19">
        <v>15</v>
      </c>
      <c r="F28" s="19">
        <v>22</v>
      </c>
      <c r="G28" s="19">
        <v>0</v>
      </c>
      <c r="H28" s="19">
        <v>0</v>
      </c>
      <c r="I28" s="19">
        <v>0</v>
      </c>
      <c r="J28" s="19">
        <v>0</v>
      </c>
      <c r="K28" s="19">
        <v>7</v>
      </c>
      <c r="L28" s="19">
        <v>7</v>
      </c>
      <c r="M28" s="19">
        <v>1</v>
      </c>
      <c r="N28" s="19">
        <v>2</v>
      </c>
      <c r="O28" s="19">
        <v>3</v>
      </c>
      <c r="P28" s="19">
        <v>12</v>
      </c>
      <c r="Q28" s="19">
        <v>2</v>
      </c>
      <c r="R28" s="19">
        <v>1</v>
      </c>
      <c r="S28" s="19">
        <v>2</v>
      </c>
      <c r="T28" s="19">
        <v>0</v>
      </c>
      <c r="U28" s="19">
        <v>0</v>
      </c>
      <c r="V28" s="19">
        <v>0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47</v>
      </c>
      <c r="E29" s="31">
        <v>21</v>
      </c>
      <c r="F29" s="31">
        <v>26</v>
      </c>
      <c r="G29" s="31">
        <v>0</v>
      </c>
      <c r="H29" s="31">
        <v>0</v>
      </c>
      <c r="I29" s="31">
        <v>0</v>
      </c>
      <c r="J29" s="31">
        <v>0</v>
      </c>
      <c r="K29" s="31">
        <v>13</v>
      </c>
      <c r="L29" s="31">
        <v>5</v>
      </c>
      <c r="M29" s="31">
        <v>1</v>
      </c>
      <c r="N29" s="31">
        <v>2</v>
      </c>
      <c r="O29" s="31">
        <v>2</v>
      </c>
      <c r="P29" s="31">
        <v>18</v>
      </c>
      <c r="Q29" s="31">
        <v>5</v>
      </c>
      <c r="R29" s="31">
        <v>1</v>
      </c>
      <c r="S29" s="31">
        <v>0</v>
      </c>
      <c r="T29" s="31">
        <v>0</v>
      </c>
      <c r="U29" s="31">
        <v>0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44</v>
      </c>
      <c r="E30" s="19">
        <v>19</v>
      </c>
      <c r="F30" s="19">
        <v>25</v>
      </c>
      <c r="G30" s="19">
        <v>0</v>
      </c>
      <c r="H30" s="19">
        <v>0</v>
      </c>
      <c r="I30" s="19">
        <v>0</v>
      </c>
      <c r="J30" s="19">
        <v>0</v>
      </c>
      <c r="K30" s="19">
        <v>13</v>
      </c>
      <c r="L30" s="19">
        <v>5</v>
      </c>
      <c r="M30" s="19">
        <v>1</v>
      </c>
      <c r="N30" s="19">
        <v>2</v>
      </c>
      <c r="O30" s="19">
        <v>0</v>
      </c>
      <c r="P30" s="19">
        <v>17</v>
      </c>
      <c r="Q30" s="19">
        <v>5</v>
      </c>
      <c r="R30" s="19">
        <v>1</v>
      </c>
      <c r="S30" s="19">
        <v>0</v>
      </c>
      <c r="T30" s="19">
        <v>0</v>
      </c>
      <c r="U30" s="19">
        <v>0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3</v>
      </c>
      <c r="E31" s="19">
        <v>2</v>
      </c>
      <c r="F31" s="19">
        <v>1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1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212</v>
      </c>
      <c r="E32" s="31">
        <v>95</v>
      </c>
      <c r="F32" s="31">
        <v>117</v>
      </c>
      <c r="G32" s="31">
        <v>0</v>
      </c>
      <c r="H32" s="31">
        <v>1</v>
      </c>
      <c r="I32" s="31">
        <v>1</v>
      </c>
      <c r="J32" s="31">
        <v>0</v>
      </c>
      <c r="K32" s="31">
        <v>65</v>
      </c>
      <c r="L32" s="31">
        <v>54</v>
      </c>
      <c r="M32" s="31">
        <v>5</v>
      </c>
      <c r="N32" s="31">
        <v>5</v>
      </c>
      <c r="O32" s="31">
        <v>5</v>
      </c>
      <c r="P32" s="31">
        <v>45</v>
      </c>
      <c r="Q32" s="31">
        <v>17</v>
      </c>
      <c r="R32" s="31">
        <v>12</v>
      </c>
      <c r="S32" s="31">
        <v>2</v>
      </c>
      <c r="T32" s="31">
        <v>0</v>
      </c>
      <c r="U32" s="31">
        <v>0</v>
      </c>
      <c r="V32" s="31">
        <v>0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175</v>
      </c>
      <c r="E33" s="19">
        <v>77</v>
      </c>
      <c r="F33" s="19">
        <v>98</v>
      </c>
      <c r="G33" s="19">
        <v>0</v>
      </c>
      <c r="H33" s="19">
        <v>1</v>
      </c>
      <c r="I33" s="19">
        <v>0</v>
      </c>
      <c r="J33" s="19">
        <v>0</v>
      </c>
      <c r="K33" s="19">
        <v>56</v>
      </c>
      <c r="L33" s="19">
        <v>47</v>
      </c>
      <c r="M33" s="19">
        <v>5</v>
      </c>
      <c r="N33" s="19">
        <v>4</v>
      </c>
      <c r="O33" s="19">
        <v>4</v>
      </c>
      <c r="P33" s="19">
        <v>38</v>
      </c>
      <c r="Q33" s="19">
        <v>10</v>
      </c>
      <c r="R33" s="19">
        <v>8</v>
      </c>
      <c r="S33" s="19">
        <v>2</v>
      </c>
      <c r="T33" s="19">
        <v>0</v>
      </c>
      <c r="U33" s="19">
        <v>0</v>
      </c>
      <c r="V33" s="19">
        <v>0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37</v>
      </c>
      <c r="E34" s="19">
        <v>18</v>
      </c>
      <c r="F34" s="19">
        <v>19</v>
      </c>
      <c r="G34" s="19">
        <v>0</v>
      </c>
      <c r="H34" s="19">
        <v>0</v>
      </c>
      <c r="I34" s="19">
        <v>1</v>
      </c>
      <c r="J34" s="19">
        <v>0</v>
      </c>
      <c r="K34" s="19">
        <v>9</v>
      </c>
      <c r="L34" s="19">
        <v>7</v>
      </c>
      <c r="M34" s="19">
        <v>0</v>
      </c>
      <c r="N34" s="19">
        <v>1</v>
      </c>
      <c r="O34" s="19">
        <v>1</v>
      </c>
      <c r="P34" s="19">
        <v>7</v>
      </c>
      <c r="Q34" s="19">
        <v>7</v>
      </c>
      <c r="R34" s="19">
        <v>4</v>
      </c>
      <c r="S34" s="19">
        <v>0</v>
      </c>
      <c r="T34" s="19">
        <v>0</v>
      </c>
      <c r="U34" s="19">
        <v>0</v>
      </c>
      <c r="V34" s="19">
        <v>0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75</v>
      </c>
      <c r="E35" s="31">
        <v>25</v>
      </c>
      <c r="F35" s="31">
        <v>50</v>
      </c>
      <c r="G35" s="31">
        <v>0</v>
      </c>
      <c r="H35" s="31">
        <v>0</v>
      </c>
      <c r="I35" s="31">
        <v>0</v>
      </c>
      <c r="J35" s="31">
        <v>0</v>
      </c>
      <c r="K35" s="31">
        <v>15</v>
      </c>
      <c r="L35" s="31">
        <v>16</v>
      </c>
      <c r="M35" s="31">
        <v>1</v>
      </c>
      <c r="N35" s="31">
        <v>2</v>
      </c>
      <c r="O35" s="31">
        <v>3</v>
      </c>
      <c r="P35" s="31">
        <v>30</v>
      </c>
      <c r="Q35" s="31">
        <v>6</v>
      </c>
      <c r="R35" s="31">
        <v>2</v>
      </c>
      <c r="S35" s="31">
        <v>0</v>
      </c>
      <c r="T35" s="31">
        <v>0</v>
      </c>
      <c r="U35" s="31">
        <v>0</v>
      </c>
      <c r="V35" s="31">
        <v>0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66</v>
      </c>
      <c r="E36" s="19">
        <v>22</v>
      </c>
      <c r="F36" s="19">
        <v>44</v>
      </c>
      <c r="G36" s="19">
        <v>0</v>
      </c>
      <c r="H36" s="19">
        <v>0</v>
      </c>
      <c r="I36" s="19">
        <v>0</v>
      </c>
      <c r="J36" s="19">
        <v>0</v>
      </c>
      <c r="K36" s="19">
        <v>13</v>
      </c>
      <c r="L36" s="19">
        <v>13</v>
      </c>
      <c r="M36" s="19">
        <v>1</v>
      </c>
      <c r="N36" s="19">
        <v>1</v>
      </c>
      <c r="O36" s="19">
        <v>2</v>
      </c>
      <c r="P36" s="19">
        <v>28</v>
      </c>
      <c r="Q36" s="19">
        <v>6</v>
      </c>
      <c r="R36" s="19">
        <v>2</v>
      </c>
      <c r="S36" s="19">
        <v>0</v>
      </c>
      <c r="T36" s="19">
        <v>0</v>
      </c>
      <c r="U36" s="19">
        <v>0</v>
      </c>
      <c r="V36" s="19">
        <v>0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9</v>
      </c>
      <c r="E37" s="19">
        <v>3</v>
      </c>
      <c r="F37" s="19">
        <v>6</v>
      </c>
      <c r="G37" s="19">
        <v>0</v>
      </c>
      <c r="H37" s="19">
        <v>0</v>
      </c>
      <c r="I37" s="19">
        <v>0</v>
      </c>
      <c r="J37" s="19">
        <v>0</v>
      </c>
      <c r="K37" s="19">
        <v>2</v>
      </c>
      <c r="L37" s="19">
        <v>3</v>
      </c>
      <c r="M37" s="19">
        <v>0</v>
      </c>
      <c r="N37" s="19">
        <v>1</v>
      </c>
      <c r="O37" s="19">
        <v>1</v>
      </c>
      <c r="P37" s="19">
        <v>2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260</v>
      </c>
      <c r="E38" s="31">
        <v>107</v>
      </c>
      <c r="F38" s="31">
        <v>153</v>
      </c>
      <c r="G38" s="31">
        <v>0</v>
      </c>
      <c r="H38" s="31">
        <v>0</v>
      </c>
      <c r="I38" s="31">
        <v>0</v>
      </c>
      <c r="J38" s="31">
        <v>0</v>
      </c>
      <c r="K38" s="31">
        <v>52</v>
      </c>
      <c r="L38" s="31">
        <v>41</v>
      </c>
      <c r="M38" s="31">
        <v>17</v>
      </c>
      <c r="N38" s="31">
        <v>8</v>
      </c>
      <c r="O38" s="31">
        <v>20</v>
      </c>
      <c r="P38" s="31">
        <v>83</v>
      </c>
      <c r="Q38" s="31">
        <v>18</v>
      </c>
      <c r="R38" s="31">
        <v>20</v>
      </c>
      <c r="S38" s="31">
        <v>0</v>
      </c>
      <c r="T38" s="31">
        <v>1</v>
      </c>
      <c r="U38" s="31">
        <v>0</v>
      </c>
      <c r="V38" s="31">
        <v>0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242</v>
      </c>
      <c r="E39" s="19">
        <v>103</v>
      </c>
      <c r="F39" s="19">
        <v>139</v>
      </c>
      <c r="G39" s="19">
        <v>0</v>
      </c>
      <c r="H39" s="19">
        <v>0</v>
      </c>
      <c r="I39" s="19">
        <v>0</v>
      </c>
      <c r="J39" s="19">
        <v>0</v>
      </c>
      <c r="K39" s="19">
        <v>50</v>
      </c>
      <c r="L39" s="19">
        <v>38</v>
      </c>
      <c r="M39" s="19">
        <v>16</v>
      </c>
      <c r="N39" s="19">
        <v>8</v>
      </c>
      <c r="O39" s="19">
        <v>20</v>
      </c>
      <c r="P39" s="19">
        <v>73</v>
      </c>
      <c r="Q39" s="19">
        <v>17</v>
      </c>
      <c r="R39" s="19">
        <v>19</v>
      </c>
      <c r="S39" s="19">
        <v>0</v>
      </c>
      <c r="T39" s="19">
        <v>1</v>
      </c>
      <c r="U39" s="19">
        <v>0</v>
      </c>
      <c r="V39" s="19">
        <v>0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18</v>
      </c>
      <c r="E40" s="19">
        <v>4</v>
      </c>
      <c r="F40" s="19">
        <v>14</v>
      </c>
      <c r="G40" s="19">
        <v>0</v>
      </c>
      <c r="H40" s="19">
        <v>0</v>
      </c>
      <c r="I40" s="19">
        <v>0</v>
      </c>
      <c r="J40" s="19">
        <v>0</v>
      </c>
      <c r="K40" s="19">
        <v>2</v>
      </c>
      <c r="L40" s="19">
        <v>3</v>
      </c>
      <c r="M40" s="19">
        <v>1</v>
      </c>
      <c r="N40" s="19">
        <v>0</v>
      </c>
      <c r="O40" s="19">
        <v>0</v>
      </c>
      <c r="P40" s="19">
        <v>10</v>
      </c>
      <c r="Q40" s="19">
        <v>1</v>
      </c>
      <c r="R40" s="19">
        <v>1</v>
      </c>
      <c r="S40" s="19">
        <v>0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107</v>
      </c>
      <c r="E41" s="31">
        <v>50</v>
      </c>
      <c r="F41" s="31">
        <v>57</v>
      </c>
      <c r="G41" s="31">
        <v>0</v>
      </c>
      <c r="H41" s="31">
        <v>0</v>
      </c>
      <c r="I41" s="31">
        <v>0</v>
      </c>
      <c r="J41" s="31">
        <v>0</v>
      </c>
      <c r="K41" s="31">
        <v>18</v>
      </c>
      <c r="L41" s="31">
        <v>14</v>
      </c>
      <c r="M41" s="31">
        <v>3</v>
      </c>
      <c r="N41" s="31">
        <v>4</v>
      </c>
      <c r="O41" s="31">
        <v>9</v>
      </c>
      <c r="P41" s="31">
        <v>23</v>
      </c>
      <c r="Q41" s="31">
        <v>19</v>
      </c>
      <c r="R41" s="31">
        <v>15</v>
      </c>
      <c r="S41" s="31">
        <v>1</v>
      </c>
      <c r="T41" s="31">
        <v>1</v>
      </c>
      <c r="U41" s="31">
        <v>0</v>
      </c>
      <c r="V41" s="31">
        <v>0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95</v>
      </c>
      <c r="E42" s="19">
        <v>45</v>
      </c>
      <c r="F42" s="19">
        <v>50</v>
      </c>
      <c r="G42" s="19">
        <v>0</v>
      </c>
      <c r="H42" s="19">
        <v>0</v>
      </c>
      <c r="I42" s="19">
        <v>0</v>
      </c>
      <c r="J42" s="19">
        <v>0</v>
      </c>
      <c r="K42" s="19">
        <v>16</v>
      </c>
      <c r="L42" s="19">
        <v>13</v>
      </c>
      <c r="M42" s="19">
        <v>3</v>
      </c>
      <c r="N42" s="19">
        <v>4</v>
      </c>
      <c r="O42" s="19">
        <v>6</v>
      </c>
      <c r="P42" s="19">
        <v>17</v>
      </c>
      <c r="Q42" s="19">
        <v>19</v>
      </c>
      <c r="R42" s="19">
        <v>15</v>
      </c>
      <c r="S42" s="19">
        <v>1</v>
      </c>
      <c r="T42" s="19">
        <v>1</v>
      </c>
      <c r="U42" s="19">
        <v>0</v>
      </c>
      <c r="V42" s="19">
        <v>0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12</v>
      </c>
      <c r="E43" s="19">
        <v>5</v>
      </c>
      <c r="F43" s="19">
        <v>7</v>
      </c>
      <c r="G43" s="19">
        <v>0</v>
      </c>
      <c r="H43" s="19">
        <v>0</v>
      </c>
      <c r="I43" s="19">
        <v>0</v>
      </c>
      <c r="J43" s="19">
        <v>0</v>
      </c>
      <c r="K43" s="19">
        <v>2</v>
      </c>
      <c r="L43" s="19">
        <v>1</v>
      </c>
      <c r="M43" s="19">
        <v>0</v>
      </c>
      <c r="N43" s="19">
        <v>0</v>
      </c>
      <c r="O43" s="19">
        <v>3</v>
      </c>
      <c r="P43" s="19">
        <v>6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142</v>
      </c>
      <c r="E44" s="31">
        <v>50</v>
      </c>
      <c r="F44" s="31">
        <v>92</v>
      </c>
      <c r="G44" s="31">
        <v>0</v>
      </c>
      <c r="H44" s="31">
        <v>0</v>
      </c>
      <c r="I44" s="31">
        <v>0</v>
      </c>
      <c r="J44" s="31">
        <v>0</v>
      </c>
      <c r="K44" s="31">
        <v>38</v>
      </c>
      <c r="L44" s="31">
        <v>40</v>
      </c>
      <c r="M44" s="31">
        <v>2</v>
      </c>
      <c r="N44" s="31">
        <v>4</v>
      </c>
      <c r="O44" s="31">
        <v>6</v>
      </c>
      <c r="P44" s="31">
        <v>39</v>
      </c>
      <c r="Q44" s="31">
        <v>4</v>
      </c>
      <c r="R44" s="31">
        <v>9</v>
      </c>
      <c r="S44" s="31">
        <v>0</v>
      </c>
      <c r="T44" s="31">
        <v>0</v>
      </c>
      <c r="U44" s="31">
        <v>0</v>
      </c>
      <c r="V44" s="31">
        <v>0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137</v>
      </c>
      <c r="E45" s="19">
        <v>48</v>
      </c>
      <c r="F45" s="19">
        <v>89</v>
      </c>
      <c r="G45" s="19">
        <v>0</v>
      </c>
      <c r="H45" s="19">
        <v>0</v>
      </c>
      <c r="I45" s="19">
        <v>0</v>
      </c>
      <c r="J45" s="19">
        <v>0</v>
      </c>
      <c r="K45" s="19">
        <v>36</v>
      </c>
      <c r="L45" s="19">
        <v>39</v>
      </c>
      <c r="M45" s="19">
        <v>2</v>
      </c>
      <c r="N45" s="19">
        <v>4</v>
      </c>
      <c r="O45" s="19">
        <v>6</v>
      </c>
      <c r="P45" s="19">
        <v>37</v>
      </c>
      <c r="Q45" s="19">
        <v>4</v>
      </c>
      <c r="R45" s="19">
        <v>9</v>
      </c>
      <c r="S45" s="19">
        <v>0</v>
      </c>
      <c r="T45" s="19">
        <v>0</v>
      </c>
      <c r="U45" s="19">
        <v>0</v>
      </c>
      <c r="V45" s="19">
        <v>0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5</v>
      </c>
      <c r="E46" s="19">
        <v>2</v>
      </c>
      <c r="F46" s="19">
        <v>3</v>
      </c>
      <c r="G46" s="19">
        <v>0</v>
      </c>
      <c r="H46" s="19">
        <v>0</v>
      </c>
      <c r="I46" s="19">
        <v>0</v>
      </c>
      <c r="J46" s="19">
        <v>0</v>
      </c>
      <c r="K46" s="19">
        <v>2</v>
      </c>
      <c r="L46" s="19">
        <v>1</v>
      </c>
      <c r="M46" s="19">
        <v>0</v>
      </c>
      <c r="N46" s="19">
        <v>0</v>
      </c>
      <c r="O46" s="19">
        <v>0</v>
      </c>
      <c r="P46" s="19">
        <v>2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78</v>
      </c>
      <c r="E47" s="31">
        <v>36</v>
      </c>
      <c r="F47" s="31">
        <v>42</v>
      </c>
      <c r="G47" s="31">
        <v>0</v>
      </c>
      <c r="H47" s="31">
        <v>0</v>
      </c>
      <c r="I47" s="31">
        <v>0</v>
      </c>
      <c r="J47" s="31">
        <v>0</v>
      </c>
      <c r="K47" s="31">
        <v>19</v>
      </c>
      <c r="L47" s="31">
        <v>13</v>
      </c>
      <c r="M47" s="31">
        <v>0</v>
      </c>
      <c r="N47" s="31">
        <v>0</v>
      </c>
      <c r="O47" s="31">
        <v>7</v>
      </c>
      <c r="P47" s="31">
        <v>21</v>
      </c>
      <c r="Q47" s="31">
        <v>10</v>
      </c>
      <c r="R47" s="31">
        <v>8</v>
      </c>
      <c r="S47" s="31">
        <v>0</v>
      </c>
      <c r="T47" s="31">
        <v>0</v>
      </c>
      <c r="U47" s="31">
        <v>0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68</v>
      </c>
      <c r="E48" s="19">
        <v>29</v>
      </c>
      <c r="F48" s="19">
        <v>39</v>
      </c>
      <c r="G48" s="19">
        <v>0</v>
      </c>
      <c r="H48" s="19">
        <v>0</v>
      </c>
      <c r="I48" s="19">
        <v>0</v>
      </c>
      <c r="J48" s="19">
        <v>0</v>
      </c>
      <c r="K48" s="19">
        <v>18</v>
      </c>
      <c r="L48" s="19">
        <v>12</v>
      </c>
      <c r="M48" s="19">
        <v>0</v>
      </c>
      <c r="N48" s="19">
        <v>0</v>
      </c>
      <c r="O48" s="19">
        <v>2</v>
      </c>
      <c r="P48" s="19">
        <v>21</v>
      </c>
      <c r="Q48" s="19">
        <v>9</v>
      </c>
      <c r="R48" s="19">
        <v>6</v>
      </c>
      <c r="S48" s="19">
        <v>0</v>
      </c>
      <c r="T48" s="19">
        <v>0</v>
      </c>
      <c r="U48" s="19">
        <v>0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10</v>
      </c>
      <c r="E49" s="19">
        <v>7</v>
      </c>
      <c r="F49" s="19">
        <v>3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1</v>
      </c>
      <c r="M49" s="19">
        <v>0</v>
      </c>
      <c r="N49" s="19">
        <v>0</v>
      </c>
      <c r="O49" s="19">
        <v>5</v>
      </c>
      <c r="P49" s="19">
        <v>0</v>
      </c>
      <c r="Q49" s="19">
        <v>1</v>
      </c>
      <c r="R49" s="19">
        <v>2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165</v>
      </c>
      <c r="E50" s="31">
        <v>67</v>
      </c>
      <c r="F50" s="31">
        <v>98</v>
      </c>
      <c r="G50" s="31">
        <v>0</v>
      </c>
      <c r="H50" s="31">
        <v>0</v>
      </c>
      <c r="I50" s="31">
        <v>2</v>
      </c>
      <c r="J50" s="31">
        <v>0</v>
      </c>
      <c r="K50" s="31">
        <v>38</v>
      </c>
      <c r="L50" s="31">
        <v>41</v>
      </c>
      <c r="M50" s="31">
        <v>5</v>
      </c>
      <c r="N50" s="31">
        <v>6</v>
      </c>
      <c r="O50" s="31">
        <v>11</v>
      </c>
      <c r="P50" s="31">
        <v>49</v>
      </c>
      <c r="Q50" s="31">
        <v>9</v>
      </c>
      <c r="R50" s="31">
        <v>2</v>
      </c>
      <c r="S50" s="31">
        <v>2</v>
      </c>
      <c r="T50" s="31">
        <v>0</v>
      </c>
      <c r="U50" s="31">
        <v>0</v>
      </c>
      <c r="V50" s="31">
        <v>0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149</v>
      </c>
      <c r="E51" s="19">
        <v>63</v>
      </c>
      <c r="F51" s="19">
        <v>86</v>
      </c>
      <c r="G51" s="19">
        <v>0</v>
      </c>
      <c r="H51" s="19">
        <v>0</v>
      </c>
      <c r="I51" s="19">
        <v>2</v>
      </c>
      <c r="J51" s="19">
        <v>0</v>
      </c>
      <c r="K51" s="19">
        <v>37</v>
      </c>
      <c r="L51" s="19">
        <v>35</v>
      </c>
      <c r="M51" s="19">
        <v>5</v>
      </c>
      <c r="N51" s="19">
        <v>6</v>
      </c>
      <c r="O51" s="19">
        <v>9</v>
      </c>
      <c r="P51" s="19">
        <v>43</v>
      </c>
      <c r="Q51" s="19">
        <v>8</v>
      </c>
      <c r="R51" s="19">
        <v>2</v>
      </c>
      <c r="S51" s="19">
        <v>2</v>
      </c>
      <c r="T51" s="19">
        <v>0</v>
      </c>
      <c r="U51" s="19">
        <v>0</v>
      </c>
      <c r="V51" s="19">
        <v>0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16</v>
      </c>
      <c r="E52" s="19">
        <v>4</v>
      </c>
      <c r="F52" s="19">
        <v>12</v>
      </c>
      <c r="G52" s="19">
        <v>0</v>
      </c>
      <c r="H52" s="19">
        <v>0</v>
      </c>
      <c r="I52" s="19">
        <v>0</v>
      </c>
      <c r="J52" s="19">
        <v>0</v>
      </c>
      <c r="K52" s="19">
        <v>1</v>
      </c>
      <c r="L52" s="19">
        <v>6</v>
      </c>
      <c r="M52" s="19">
        <v>0</v>
      </c>
      <c r="N52" s="19">
        <v>0</v>
      </c>
      <c r="O52" s="19">
        <v>2</v>
      </c>
      <c r="P52" s="19">
        <v>6</v>
      </c>
      <c r="Q52" s="19">
        <v>1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42</v>
      </c>
      <c r="E53" s="31">
        <v>15</v>
      </c>
      <c r="F53" s="31">
        <v>27</v>
      </c>
      <c r="G53" s="31">
        <v>0</v>
      </c>
      <c r="H53" s="31">
        <v>0</v>
      </c>
      <c r="I53" s="31">
        <v>0</v>
      </c>
      <c r="J53" s="31">
        <v>0</v>
      </c>
      <c r="K53" s="31">
        <v>8</v>
      </c>
      <c r="L53" s="31">
        <v>6</v>
      </c>
      <c r="M53" s="31">
        <v>0</v>
      </c>
      <c r="N53" s="31">
        <v>0</v>
      </c>
      <c r="O53" s="31">
        <v>5</v>
      </c>
      <c r="P53" s="31">
        <v>18</v>
      </c>
      <c r="Q53" s="31">
        <v>2</v>
      </c>
      <c r="R53" s="31">
        <v>2</v>
      </c>
      <c r="S53" s="31">
        <v>0</v>
      </c>
      <c r="T53" s="31">
        <v>1</v>
      </c>
      <c r="U53" s="31">
        <v>0</v>
      </c>
      <c r="V53" s="31">
        <v>0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12</v>
      </c>
      <c r="E54" s="19">
        <v>4</v>
      </c>
      <c r="F54" s="19">
        <v>8</v>
      </c>
      <c r="G54" s="19">
        <v>0</v>
      </c>
      <c r="H54" s="19">
        <v>0</v>
      </c>
      <c r="I54" s="19">
        <v>0</v>
      </c>
      <c r="J54" s="19">
        <v>0</v>
      </c>
      <c r="K54" s="19">
        <v>2</v>
      </c>
      <c r="L54" s="19">
        <v>3</v>
      </c>
      <c r="M54" s="19">
        <v>0</v>
      </c>
      <c r="N54" s="19">
        <v>0</v>
      </c>
      <c r="O54" s="19">
        <v>2</v>
      </c>
      <c r="P54" s="19">
        <v>4</v>
      </c>
      <c r="Q54" s="19">
        <v>0</v>
      </c>
      <c r="R54" s="19">
        <v>0</v>
      </c>
      <c r="S54" s="19">
        <v>0</v>
      </c>
      <c r="T54" s="19">
        <v>1</v>
      </c>
      <c r="U54" s="19">
        <v>0</v>
      </c>
      <c r="V54" s="19">
        <v>0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30</v>
      </c>
      <c r="E55" s="19">
        <v>11</v>
      </c>
      <c r="F55" s="19">
        <v>19</v>
      </c>
      <c r="G55" s="19">
        <v>0</v>
      </c>
      <c r="H55" s="19">
        <v>0</v>
      </c>
      <c r="I55" s="19">
        <v>0</v>
      </c>
      <c r="J55" s="19">
        <v>0</v>
      </c>
      <c r="K55" s="19">
        <v>6</v>
      </c>
      <c r="L55" s="19">
        <v>3</v>
      </c>
      <c r="M55" s="19">
        <v>0</v>
      </c>
      <c r="N55" s="19">
        <v>0</v>
      </c>
      <c r="O55" s="19">
        <v>3</v>
      </c>
      <c r="P55" s="19">
        <v>14</v>
      </c>
      <c r="Q55" s="19">
        <v>2</v>
      </c>
      <c r="R55" s="19">
        <v>2</v>
      </c>
      <c r="S55" s="19">
        <v>0</v>
      </c>
      <c r="T55" s="19">
        <v>0</v>
      </c>
      <c r="U55" s="19">
        <v>0</v>
      </c>
      <c r="V55" s="19">
        <v>0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151</v>
      </c>
      <c r="E56" s="31">
        <v>68</v>
      </c>
      <c r="F56" s="31">
        <v>83</v>
      </c>
      <c r="G56" s="31">
        <v>0</v>
      </c>
      <c r="H56" s="31">
        <v>0</v>
      </c>
      <c r="I56" s="31">
        <v>0</v>
      </c>
      <c r="J56" s="31">
        <v>0</v>
      </c>
      <c r="K56" s="31">
        <v>38</v>
      </c>
      <c r="L56" s="31">
        <v>26</v>
      </c>
      <c r="M56" s="31">
        <v>4</v>
      </c>
      <c r="N56" s="31">
        <v>2</v>
      </c>
      <c r="O56" s="31">
        <v>7</v>
      </c>
      <c r="P56" s="31">
        <v>39</v>
      </c>
      <c r="Q56" s="31">
        <v>17</v>
      </c>
      <c r="R56" s="31">
        <v>15</v>
      </c>
      <c r="S56" s="31">
        <v>2</v>
      </c>
      <c r="T56" s="31">
        <v>1</v>
      </c>
      <c r="U56" s="31">
        <v>0</v>
      </c>
      <c r="V56" s="31">
        <v>0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52</v>
      </c>
      <c r="E57" s="19">
        <v>15</v>
      </c>
      <c r="F57" s="19">
        <v>37</v>
      </c>
      <c r="G57" s="19">
        <v>0</v>
      </c>
      <c r="H57" s="19">
        <v>0</v>
      </c>
      <c r="I57" s="19">
        <v>0</v>
      </c>
      <c r="J57" s="19">
        <v>0</v>
      </c>
      <c r="K57" s="19">
        <v>8</v>
      </c>
      <c r="L57" s="19">
        <v>14</v>
      </c>
      <c r="M57" s="19">
        <v>1</v>
      </c>
      <c r="N57" s="19">
        <v>0</v>
      </c>
      <c r="O57" s="19">
        <v>1</v>
      </c>
      <c r="P57" s="19">
        <v>17</v>
      </c>
      <c r="Q57" s="19">
        <v>4</v>
      </c>
      <c r="R57" s="19">
        <v>5</v>
      </c>
      <c r="S57" s="19">
        <v>1</v>
      </c>
      <c r="T57" s="19">
        <v>1</v>
      </c>
      <c r="U57" s="19">
        <v>0</v>
      </c>
      <c r="V57" s="19">
        <v>0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99</v>
      </c>
      <c r="E58" s="19">
        <v>53</v>
      </c>
      <c r="F58" s="19">
        <v>46</v>
      </c>
      <c r="G58" s="19">
        <v>0</v>
      </c>
      <c r="H58" s="19">
        <v>0</v>
      </c>
      <c r="I58" s="19">
        <v>0</v>
      </c>
      <c r="J58" s="19">
        <v>0</v>
      </c>
      <c r="K58" s="19">
        <v>30</v>
      </c>
      <c r="L58" s="19">
        <v>12</v>
      </c>
      <c r="M58" s="19">
        <v>3</v>
      </c>
      <c r="N58" s="19">
        <v>2</v>
      </c>
      <c r="O58" s="19">
        <v>6</v>
      </c>
      <c r="P58" s="19">
        <v>22</v>
      </c>
      <c r="Q58" s="19">
        <v>13</v>
      </c>
      <c r="R58" s="19">
        <v>10</v>
      </c>
      <c r="S58" s="19">
        <v>1</v>
      </c>
      <c r="T58" s="19">
        <v>0</v>
      </c>
      <c r="U58" s="19">
        <v>0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6</v>
      </c>
      <c r="E59" s="31">
        <v>2</v>
      </c>
      <c r="F59" s="31">
        <v>4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3</v>
      </c>
      <c r="Q59" s="31">
        <v>2</v>
      </c>
      <c r="R59" s="31">
        <v>1</v>
      </c>
      <c r="S59" s="31">
        <v>0</v>
      </c>
      <c r="T59" s="31">
        <v>0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6</v>
      </c>
      <c r="E60" s="19">
        <v>2</v>
      </c>
      <c r="F60" s="19">
        <v>4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3</v>
      </c>
      <c r="Q60" s="19">
        <v>2</v>
      </c>
      <c r="R60" s="19">
        <v>1</v>
      </c>
      <c r="S60" s="19">
        <v>0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62</v>
      </c>
      <c r="E62" s="31">
        <v>25</v>
      </c>
      <c r="F62" s="31">
        <v>37</v>
      </c>
      <c r="G62" s="31">
        <v>0</v>
      </c>
      <c r="H62" s="31">
        <v>0</v>
      </c>
      <c r="I62" s="31">
        <v>0</v>
      </c>
      <c r="J62" s="31">
        <v>0</v>
      </c>
      <c r="K62" s="31">
        <v>20</v>
      </c>
      <c r="L62" s="31">
        <v>16</v>
      </c>
      <c r="M62" s="31">
        <v>1</v>
      </c>
      <c r="N62" s="31">
        <v>1</v>
      </c>
      <c r="O62" s="31">
        <v>4</v>
      </c>
      <c r="P62" s="31">
        <v>20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57</v>
      </c>
      <c r="E63" s="19">
        <v>23</v>
      </c>
      <c r="F63" s="19">
        <v>34</v>
      </c>
      <c r="G63" s="19">
        <v>0</v>
      </c>
      <c r="H63" s="19">
        <v>0</v>
      </c>
      <c r="I63" s="19">
        <v>0</v>
      </c>
      <c r="J63" s="19">
        <v>0</v>
      </c>
      <c r="K63" s="19">
        <v>18</v>
      </c>
      <c r="L63" s="19">
        <v>13</v>
      </c>
      <c r="M63" s="19">
        <v>1</v>
      </c>
      <c r="N63" s="19">
        <v>1</v>
      </c>
      <c r="O63" s="19">
        <v>4</v>
      </c>
      <c r="P63" s="19">
        <v>20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5</v>
      </c>
      <c r="E64" s="19">
        <v>2</v>
      </c>
      <c r="F64" s="19">
        <v>3</v>
      </c>
      <c r="G64" s="19">
        <v>0</v>
      </c>
      <c r="H64" s="19">
        <v>0</v>
      </c>
      <c r="I64" s="19">
        <v>0</v>
      </c>
      <c r="J64" s="19">
        <v>0</v>
      </c>
      <c r="K64" s="19">
        <v>2</v>
      </c>
      <c r="L64" s="19">
        <v>3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101</v>
      </c>
      <c r="E65" s="31">
        <v>40</v>
      </c>
      <c r="F65" s="31">
        <v>61</v>
      </c>
      <c r="G65" s="31">
        <v>0</v>
      </c>
      <c r="H65" s="31">
        <v>0</v>
      </c>
      <c r="I65" s="31">
        <v>1</v>
      </c>
      <c r="J65" s="31">
        <v>0</v>
      </c>
      <c r="K65" s="31">
        <v>17</v>
      </c>
      <c r="L65" s="31">
        <v>21</v>
      </c>
      <c r="M65" s="31">
        <v>1</v>
      </c>
      <c r="N65" s="31">
        <v>3</v>
      </c>
      <c r="O65" s="31">
        <v>13</v>
      </c>
      <c r="P65" s="31">
        <v>27</v>
      </c>
      <c r="Q65" s="31">
        <v>7</v>
      </c>
      <c r="R65" s="31">
        <v>9</v>
      </c>
      <c r="S65" s="31">
        <v>1</v>
      </c>
      <c r="T65" s="31">
        <v>1</v>
      </c>
      <c r="U65" s="31">
        <v>0</v>
      </c>
      <c r="V65" s="31">
        <v>0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91</v>
      </c>
      <c r="E66" s="19">
        <v>35</v>
      </c>
      <c r="F66" s="19">
        <v>56</v>
      </c>
      <c r="G66" s="19">
        <v>0</v>
      </c>
      <c r="H66" s="19">
        <v>0</v>
      </c>
      <c r="I66" s="19">
        <v>1</v>
      </c>
      <c r="J66" s="19">
        <v>0</v>
      </c>
      <c r="K66" s="19">
        <v>16</v>
      </c>
      <c r="L66" s="19">
        <v>20</v>
      </c>
      <c r="M66" s="19">
        <v>1</v>
      </c>
      <c r="N66" s="19">
        <v>3</v>
      </c>
      <c r="O66" s="19">
        <v>11</v>
      </c>
      <c r="P66" s="19">
        <v>25</v>
      </c>
      <c r="Q66" s="19">
        <v>5</v>
      </c>
      <c r="R66" s="19">
        <v>7</v>
      </c>
      <c r="S66" s="19">
        <v>1</v>
      </c>
      <c r="T66" s="19">
        <v>1</v>
      </c>
      <c r="U66" s="19">
        <v>0</v>
      </c>
      <c r="V66" s="19">
        <v>0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10</v>
      </c>
      <c r="E67" s="19">
        <v>5</v>
      </c>
      <c r="F67" s="19">
        <v>5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1</v>
      </c>
      <c r="M67" s="19">
        <v>0</v>
      </c>
      <c r="N67" s="19">
        <v>0</v>
      </c>
      <c r="O67" s="19">
        <v>2</v>
      </c>
      <c r="P67" s="19">
        <v>2</v>
      </c>
      <c r="Q67" s="19">
        <v>2</v>
      </c>
      <c r="R67" s="19">
        <v>2</v>
      </c>
      <c r="S67" s="19">
        <v>0</v>
      </c>
      <c r="T67" s="19">
        <v>0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55</v>
      </c>
      <c r="E68" s="31">
        <v>29</v>
      </c>
      <c r="F68" s="31">
        <v>26</v>
      </c>
      <c r="G68" s="31">
        <v>1</v>
      </c>
      <c r="H68" s="31">
        <v>0</v>
      </c>
      <c r="I68" s="31">
        <v>0</v>
      </c>
      <c r="J68" s="31">
        <v>0</v>
      </c>
      <c r="K68" s="31">
        <v>13</v>
      </c>
      <c r="L68" s="31">
        <v>9</v>
      </c>
      <c r="M68" s="31">
        <v>3</v>
      </c>
      <c r="N68" s="31">
        <v>2</v>
      </c>
      <c r="O68" s="31">
        <v>4</v>
      </c>
      <c r="P68" s="31">
        <v>8</v>
      </c>
      <c r="Q68" s="31">
        <v>8</v>
      </c>
      <c r="R68" s="31">
        <v>7</v>
      </c>
      <c r="S68" s="31">
        <v>0</v>
      </c>
      <c r="T68" s="31">
        <v>0</v>
      </c>
      <c r="U68" s="31">
        <v>0</v>
      </c>
      <c r="V68" s="31">
        <v>0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55</v>
      </c>
      <c r="E69" s="19">
        <v>29</v>
      </c>
      <c r="F69" s="19">
        <v>26</v>
      </c>
      <c r="G69" s="19">
        <v>1</v>
      </c>
      <c r="H69" s="19">
        <v>0</v>
      </c>
      <c r="I69" s="19">
        <v>0</v>
      </c>
      <c r="J69" s="19">
        <v>0</v>
      </c>
      <c r="K69" s="19">
        <v>13</v>
      </c>
      <c r="L69" s="19">
        <v>9</v>
      </c>
      <c r="M69" s="19">
        <v>3</v>
      </c>
      <c r="N69" s="19">
        <v>2</v>
      </c>
      <c r="O69" s="19">
        <v>4</v>
      </c>
      <c r="P69" s="19">
        <v>8</v>
      </c>
      <c r="Q69" s="19">
        <v>8</v>
      </c>
      <c r="R69" s="19">
        <v>7</v>
      </c>
      <c r="S69" s="19">
        <v>0</v>
      </c>
      <c r="T69" s="19">
        <v>0</v>
      </c>
      <c r="U69" s="19">
        <v>0</v>
      </c>
      <c r="V69" s="19">
        <v>0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26</v>
      </c>
      <c r="E71" s="31">
        <v>11</v>
      </c>
      <c r="F71" s="31">
        <v>15</v>
      </c>
      <c r="G71" s="31">
        <v>0</v>
      </c>
      <c r="H71" s="31">
        <v>0</v>
      </c>
      <c r="I71" s="31">
        <v>0</v>
      </c>
      <c r="J71" s="31">
        <v>0</v>
      </c>
      <c r="K71" s="31">
        <v>7</v>
      </c>
      <c r="L71" s="31">
        <v>3</v>
      </c>
      <c r="M71" s="31">
        <v>0</v>
      </c>
      <c r="N71" s="31">
        <v>0</v>
      </c>
      <c r="O71" s="31">
        <v>0</v>
      </c>
      <c r="P71" s="31">
        <v>9</v>
      </c>
      <c r="Q71" s="31">
        <v>4</v>
      </c>
      <c r="R71" s="31">
        <v>3</v>
      </c>
      <c r="S71" s="31">
        <v>0</v>
      </c>
      <c r="T71" s="31">
        <v>0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26</v>
      </c>
      <c r="E72" s="19">
        <v>11</v>
      </c>
      <c r="F72" s="19">
        <v>15</v>
      </c>
      <c r="G72" s="19">
        <v>0</v>
      </c>
      <c r="H72" s="19">
        <v>0</v>
      </c>
      <c r="I72" s="19">
        <v>0</v>
      </c>
      <c r="J72" s="19">
        <v>0</v>
      </c>
      <c r="K72" s="19">
        <v>7</v>
      </c>
      <c r="L72" s="19">
        <v>3</v>
      </c>
      <c r="M72" s="19">
        <v>0</v>
      </c>
      <c r="N72" s="19">
        <v>0</v>
      </c>
      <c r="O72" s="19">
        <v>0</v>
      </c>
      <c r="P72" s="19">
        <v>9</v>
      </c>
      <c r="Q72" s="19">
        <v>4</v>
      </c>
      <c r="R72" s="19">
        <v>3</v>
      </c>
      <c r="S72" s="19">
        <v>0</v>
      </c>
      <c r="T72" s="19">
        <v>0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7</v>
      </c>
      <c r="E74" s="31">
        <v>4</v>
      </c>
      <c r="F74" s="31">
        <v>3</v>
      </c>
      <c r="G74" s="31">
        <v>0</v>
      </c>
      <c r="H74" s="31">
        <v>0</v>
      </c>
      <c r="I74" s="31">
        <v>0</v>
      </c>
      <c r="J74" s="31">
        <v>0</v>
      </c>
      <c r="K74" s="31">
        <v>3</v>
      </c>
      <c r="L74" s="31">
        <v>0</v>
      </c>
      <c r="M74" s="31">
        <v>0</v>
      </c>
      <c r="N74" s="31">
        <v>1</v>
      </c>
      <c r="O74" s="31">
        <v>0</v>
      </c>
      <c r="P74" s="31">
        <v>0</v>
      </c>
      <c r="Q74" s="31">
        <v>1</v>
      </c>
      <c r="R74" s="31">
        <v>2</v>
      </c>
      <c r="S74" s="31">
        <v>0</v>
      </c>
      <c r="T74" s="31">
        <v>0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5</v>
      </c>
      <c r="E75" s="19">
        <v>4</v>
      </c>
      <c r="F75" s="19">
        <v>1</v>
      </c>
      <c r="G75" s="19">
        <v>0</v>
      </c>
      <c r="H75" s="19">
        <v>0</v>
      </c>
      <c r="I75" s="19">
        <v>0</v>
      </c>
      <c r="J75" s="19">
        <v>0</v>
      </c>
      <c r="K75" s="19">
        <v>3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1</v>
      </c>
      <c r="R75" s="19">
        <v>1</v>
      </c>
      <c r="S75" s="19">
        <v>0</v>
      </c>
      <c r="T75" s="19">
        <v>0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2</v>
      </c>
      <c r="E76" s="39">
        <v>0</v>
      </c>
      <c r="F76" s="39">
        <v>2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1</v>
      </c>
      <c r="O76" s="39">
        <v>0</v>
      </c>
      <c r="P76" s="39">
        <v>0</v>
      </c>
      <c r="Q76" s="39">
        <v>0</v>
      </c>
      <c r="R76" s="39">
        <v>1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>
      <c r="A79" s="66" t="s">
        <v>165</v>
      </c>
    </row>
    <row r="80" spans="1:22" ht="14.25" customHeight="1" x14ac:dyDescent="0.2"/>
  </sheetData>
  <mergeCells count="36">
    <mergeCell ref="A72:A73"/>
    <mergeCell ref="A75:A76"/>
    <mergeCell ref="A54:A55"/>
    <mergeCell ref="A57:A58"/>
    <mergeCell ref="A60:A61"/>
    <mergeCell ref="A63:A64"/>
    <mergeCell ref="A66:A67"/>
    <mergeCell ref="A69:A70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15:A16"/>
    <mergeCell ref="A4:C7"/>
    <mergeCell ref="D4:V4"/>
    <mergeCell ref="D5:F6"/>
    <mergeCell ref="G5:J5"/>
    <mergeCell ref="K5:R5"/>
    <mergeCell ref="S5:T6"/>
    <mergeCell ref="U5:V6"/>
    <mergeCell ref="G6:H6"/>
    <mergeCell ref="I6:J6"/>
    <mergeCell ref="K6:L6"/>
    <mergeCell ref="M6:N6"/>
    <mergeCell ref="O6:P6"/>
    <mergeCell ref="Q6:R6"/>
    <mergeCell ref="A9:A10"/>
    <mergeCell ref="A12:A1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19"/>
  <sheetViews>
    <sheetView workbookViewId="0">
      <pane xSplit="4" ySplit="8" topLeftCell="E9" activePane="bottomRight" state="frozen"/>
      <selection activeCell="R24" sqref="R24"/>
      <selection pane="topRight" activeCell="R24" sqref="R24"/>
      <selection pane="bottomLeft" activeCell="R24" sqref="R24"/>
      <selection pane="bottomRight" activeCell="R24" sqref="R24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5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5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5" s="6" customFormat="1" ht="12.75" customHeight="1" x14ac:dyDescent="0.2">
      <c r="A3" s="67" t="s">
        <v>171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5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5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26</v>
      </c>
      <c r="V5" s="101"/>
    </row>
    <row r="6" spans="1:25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5" s="11" customFormat="1" ht="30.75" customHeight="1" x14ac:dyDescent="0.25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  <c r="X7" s="72"/>
    </row>
    <row r="8" spans="1:25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5771</v>
      </c>
      <c r="E8" s="78">
        <v>2521</v>
      </c>
      <c r="F8" s="78">
        <v>3250</v>
      </c>
      <c r="G8" s="78">
        <v>3</v>
      </c>
      <c r="H8" s="78">
        <v>5</v>
      </c>
      <c r="I8" s="78">
        <v>5</v>
      </c>
      <c r="J8" s="78">
        <v>3</v>
      </c>
      <c r="K8" s="78">
        <v>1804</v>
      </c>
      <c r="L8" s="78">
        <v>1242</v>
      </c>
      <c r="M8" s="78">
        <v>144</v>
      </c>
      <c r="N8" s="78">
        <v>144</v>
      </c>
      <c r="O8" s="78">
        <v>278</v>
      </c>
      <c r="P8" s="78">
        <v>1591</v>
      </c>
      <c r="Q8" s="78">
        <v>273</v>
      </c>
      <c r="R8" s="78">
        <v>243</v>
      </c>
      <c r="S8" s="78">
        <v>9</v>
      </c>
      <c r="T8" s="78">
        <v>11</v>
      </c>
      <c r="U8" s="78">
        <v>5</v>
      </c>
      <c r="V8" s="78">
        <v>11</v>
      </c>
      <c r="X8" s="83"/>
      <c r="Y8" s="83"/>
    </row>
    <row r="9" spans="1:25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5255</v>
      </c>
      <c r="E9" s="82">
        <v>2289</v>
      </c>
      <c r="F9" s="82">
        <v>2966</v>
      </c>
      <c r="G9" s="82">
        <v>3</v>
      </c>
      <c r="H9" s="82">
        <v>5</v>
      </c>
      <c r="I9" s="82">
        <v>5</v>
      </c>
      <c r="J9" s="82">
        <v>3</v>
      </c>
      <c r="K9" s="82">
        <v>1659</v>
      </c>
      <c r="L9" s="82">
        <v>1167</v>
      </c>
      <c r="M9" s="82">
        <v>132</v>
      </c>
      <c r="N9" s="82">
        <v>126</v>
      </c>
      <c r="O9" s="82">
        <v>237</v>
      </c>
      <c r="P9" s="82">
        <v>1430</v>
      </c>
      <c r="Q9" s="82">
        <v>241</v>
      </c>
      <c r="R9" s="82">
        <v>222</v>
      </c>
      <c r="S9" s="82">
        <v>9</v>
      </c>
      <c r="T9" s="82">
        <v>9</v>
      </c>
      <c r="U9" s="82">
        <v>3</v>
      </c>
      <c r="V9" s="82">
        <v>4</v>
      </c>
      <c r="X9" s="83"/>
    </row>
    <row r="10" spans="1:25" s="79" customFormat="1" ht="14.25" customHeight="1" x14ac:dyDescent="0.2">
      <c r="A10" s="111"/>
      <c r="B10" s="80" t="s">
        <v>152</v>
      </c>
      <c r="C10" s="81" t="s">
        <v>163</v>
      </c>
      <c r="D10" s="82">
        <v>516</v>
      </c>
      <c r="E10" s="82">
        <v>232</v>
      </c>
      <c r="F10" s="82">
        <v>284</v>
      </c>
      <c r="G10" s="82">
        <v>0</v>
      </c>
      <c r="H10" s="82">
        <v>0</v>
      </c>
      <c r="I10" s="82">
        <v>0</v>
      </c>
      <c r="J10" s="82">
        <v>0</v>
      </c>
      <c r="K10" s="82">
        <v>145</v>
      </c>
      <c r="L10" s="82">
        <v>75</v>
      </c>
      <c r="M10" s="82">
        <v>12</v>
      </c>
      <c r="N10" s="82">
        <v>18</v>
      </c>
      <c r="O10" s="82">
        <v>41</v>
      </c>
      <c r="P10" s="82">
        <v>161</v>
      </c>
      <c r="Q10" s="82">
        <v>32</v>
      </c>
      <c r="R10" s="82">
        <v>21</v>
      </c>
      <c r="S10" s="82">
        <v>0</v>
      </c>
      <c r="T10" s="82">
        <v>2</v>
      </c>
      <c r="U10" s="82">
        <v>2</v>
      </c>
      <c r="V10" s="82">
        <v>7</v>
      </c>
      <c r="X10" s="83"/>
    </row>
    <row r="11" spans="1:25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1208</v>
      </c>
      <c r="E11" s="31">
        <v>511</v>
      </c>
      <c r="F11" s="31">
        <v>697</v>
      </c>
      <c r="G11" s="31">
        <v>0</v>
      </c>
      <c r="H11" s="31">
        <v>0</v>
      </c>
      <c r="I11" s="31">
        <v>0</v>
      </c>
      <c r="J11" s="31">
        <v>0</v>
      </c>
      <c r="K11" s="31">
        <v>411</v>
      </c>
      <c r="L11" s="31">
        <v>275</v>
      </c>
      <c r="M11" s="31">
        <v>27</v>
      </c>
      <c r="N11" s="31">
        <v>32</v>
      </c>
      <c r="O11" s="31">
        <v>43</v>
      </c>
      <c r="P11" s="31">
        <v>361</v>
      </c>
      <c r="Q11" s="31">
        <v>27</v>
      </c>
      <c r="R11" s="31">
        <v>26</v>
      </c>
      <c r="S11" s="31">
        <v>3</v>
      </c>
      <c r="T11" s="31">
        <v>3</v>
      </c>
      <c r="U11" s="31">
        <v>0</v>
      </c>
      <c r="V11" s="31">
        <v>0</v>
      </c>
      <c r="X11" s="71"/>
    </row>
    <row r="12" spans="1:25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1132</v>
      </c>
      <c r="E12" s="19">
        <v>473</v>
      </c>
      <c r="F12" s="19">
        <v>659</v>
      </c>
      <c r="G12" s="19">
        <v>0</v>
      </c>
      <c r="H12" s="19">
        <v>0</v>
      </c>
      <c r="I12" s="19">
        <v>0</v>
      </c>
      <c r="J12" s="19">
        <v>0</v>
      </c>
      <c r="K12" s="19">
        <v>379</v>
      </c>
      <c r="L12" s="19">
        <v>261</v>
      </c>
      <c r="M12" s="19">
        <v>25</v>
      </c>
      <c r="N12" s="19">
        <v>27</v>
      </c>
      <c r="O12" s="19">
        <v>40</v>
      </c>
      <c r="P12" s="19">
        <v>344</v>
      </c>
      <c r="Q12" s="19">
        <v>26</v>
      </c>
      <c r="R12" s="19">
        <v>24</v>
      </c>
      <c r="S12" s="19">
        <v>3</v>
      </c>
      <c r="T12" s="19">
        <v>3</v>
      </c>
      <c r="U12" s="19">
        <v>0</v>
      </c>
      <c r="V12" s="19">
        <v>0</v>
      </c>
      <c r="X12" s="71"/>
    </row>
    <row r="13" spans="1:25" s="32" customFormat="1" ht="14.25" customHeight="1" x14ac:dyDescent="0.2">
      <c r="A13" s="108"/>
      <c r="B13" s="33" t="s">
        <v>39</v>
      </c>
      <c r="C13" s="34" t="s">
        <v>163</v>
      </c>
      <c r="D13" s="19">
        <v>76</v>
      </c>
      <c r="E13" s="19">
        <v>38</v>
      </c>
      <c r="F13" s="19">
        <v>38</v>
      </c>
      <c r="G13" s="19">
        <v>0</v>
      </c>
      <c r="H13" s="19">
        <v>0</v>
      </c>
      <c r="I13" s="19">
        <v>0</v>
      </c>
      <c r="J13" s="19">
        <v>0</v>
      </c>
      <c r="K13" s="19">
        <v>32</v>
      </c>
      <c r="L13" s="19">
        <v>14</v>
      </c>
      <c r="M13" s="19">
        <v>2</v>
      </c>
      <c r="N13" s="19">
        <v>5</v>
      </c>
      <c r="O13" s="19">
        <v>3</v>
      </c>
      <c r="P13" s="19">
        <v>17</v>
      </c>
      <c r="Q13" s="19">
        <v>1</v>
      </c>
      <c r="R13" s="19">
        <v>2</v>
      </c>
      <c r="S13" s="19">
        <v>0</v>
      </c>
      <c r="T13" s="19">
        <v>0</v>
      </c>
      <c r="U13" s="19">
        <v>0</v>
      </c>
      <c r="V13" s="19">
        <v>0</v>
      </c>
      <c r="X13" s="71"/>
    </row>
    <row r="14" spans="1:25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571</v>
      </c>
      <c r="E14" s="31">
        <v>252</v>
      </c>
      <c r="F14" s="31">
        <v>319</v>
      </c>
      <c r="G14" s="31">
        <v>0</v>
      </c>
      <c r="H14" s="31">
        <v>0</v>
      </c>
      <c r="I14" s="31">
        <v>0</v>
      </c>
      <c r="J14" s="31">
        <v>0</v>
      </c>
      <c r="K14" s="31">
        <v>172</v>
      </c>
      <c r="L14" s="31">
        <v>122</v>
      </c>
      <c r="M14" s="31">
        <v>8</v>
      </c>
      <c r="N14" s="31">
        <v>7</v>
      </c>
      <c r="O14" s="31">
        <v>44</v>
      </c>
      <c r="P14" s="31">
        <v>155</v>
      </c>
      <c r="Q14" s="31">
        <v>28</v>
      </c>
      <c r="R14" s="31">
        <v>34</v>
      </c>
      <c r="S14" s="31">
        <v>0</v>
      </c>
      <c r="T14" s="31">
        <v>1</v>
      </c>
      <c r="U14" s="31">
        <v>0</v>
      </c>
      <c r="V14" s="31">
        <v>0</v>
      </c>
      <c r="X14" s="71"/>
    </row>
    <row r="15" spans="1:25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551</v>
      </c>
      <c r="E15" s="19">
        <v>240</v>
      </c>
      <c r="F15" s="19">
        <v>311</v>
      </c>
      <c r="G15" s="19">
        <v>0</v>
      </c>
      <c r="H15" s="19">
        <v>0</v>
      </c>
      <c r="I15" s="19">
        <v>0</v>
      </c>
      <c r="J15" s="19">
        <v>0</v>
      </c>
      <c r="K15" s="19">
        <v>164</v>
      </c>
      <c r="L15" s="19">
        <v>120</v>
      </c>
      <c r="M15" s="19">
        <v>8</v>
      </c>
      <c r="N15" s="19">
        <v>7</v>
      </c>
      <c r="O15" s="19">
        <v>44</v>
      </c>
      <c r="P15" s="19">
        <v>150</v>
      </c>
      <c r="Q15" s="19">
        <v>24</v>
      </c>
      <c r="R15" s="19">
        <v>33</v>
      </c>
      <c r="S15" s="19">
        <v>0</v>
      </c>
      <c r="T15" s="19">
        <v>1</v>
      </c>
      <c r="U15" s="19">
        <v>0</v>
      </c>
      <c r="V15" s="19">
        <v>0</v>
      </c>
      <c r="X15" s="71"/>
    </row>
    <row r="16" spans="1:25" s="32" customFormat="1" ht="14.25" customHeight="1" x14ac:dyDescent="0.2">
      <c r="A16" s="108"/>
      <c r="B16" s="36" t="s">
        <v>39</v>
      </c>
      <c r="C16" s="37" t="s">
        <v>163</v>
      </c>
      <c r="D16" s="19">
        <v>20</v>
      </c>
      <c r="E16" s="19">
        <v>12</v>
      </c>
      <c r="F16" s="19">
        <v>8</v>
      </c>
      <c r="G16" s="19">
        <v>0</v>
      </c>
      <c r="H16" s="19">
        <v>0</v>
      </c>
      <c r="I16" s="19">
        <v>0</v>
      </c>
      <c r="J16" s="19">
        <v>0</v>
      </c>
      <c r="K16" s="19">
        <v>8</v>
      </c>
      <c r="L16" s="19">
        <v>2</v>
      </c>
      <c r="M16" s="19">
        <v>0</v>
      </c>
      <c r="N16" s="19">
        <v>0</v>
      </c>
      <c r="O16" s="19">
        <v>0</v>
      </c>
      <c r="P16" s="19">
        <v>5</v>
      </c>
      <c r="Q16" s="19">
        <v>4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X16" s="71"/>
    </row>
    <row r="17" spans="1:24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505</v>
      </c>
      <c r="E17" s="31">
        <v>232</v>
      </c>
      <c r="F17" s="31">
        <v>273</v>
      </c>
      <c r="G17" s="31">
        <v>0</v>
      </c>
      <c r="H17" s="31">
        <v>0</v>
      </c>
      <c r="I17" s="31">
        <v>0</v>
      </c>
      <c r="J17" s="31">
        <v>0</v>
      </c>
      <c r="K17" s="31">
        <v>181</v>
      </c>
      <c r="L17" s="31">
        <v>117</v>
      </c>
      <c r="M17" s="31">
        <v>11</v>
      </c>
      <c r="N17" s="31">
        <v>9</v>
      </c>
      <c r="O17" s="31">
        <v>22</v>
      </c>
      <c r="P17" s="31">
        <v>139</v>
      </c>
      <c r="Q17" s="31">
        <v>18</v>
      </c>
      <c r="R17" s="31">
        <v>8</v>
      </c>
      <c r="S17" s="31">
        <v>0</v>
      </c>
      <c r="T17" s="31">
        <v>0</v>
      </c>
      <c r="U17" s="31">
        <v>0</v>
      </c>
      <c r="V17" s="31">
        <v>0</v>
      </c>
      <c r="X17" s="71"/>
    </row>
    <row r="18" spans="1:24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445</v>
      </c>
      <c r="E18" s="19">
        <v>204</v>
      </c>
      <c r="F18" s="19">
        <v>241</v>
      </c>
      <c r="G18" s="19">
        <v>0</v>
      </c>
      <c r="H18" s="19">
        <v>0</v>
      </c>
      <c r="I18" s="19">
        <v>0</v>
      </c>
      <c r="J18" s="19">
        <v>0</v>
      </c>
      <c r="K18" s="19">
        <v>156</v>
      </c>
      <c r="L18" s="19">
        <v>108</v>
      </c>
      <c r="M18" s="19">
        <v>11</v>
      </c>
      <c r="N18" s="19">
        <v>9</v>
      </c>
      <c r="O18" s="19">
        <v>19</v>
      </c>
      <c r="P18" s="19">
        <v>116</v>
      </c>
      <c r="Q18" s="19">
        <v>18</v>
      </c>
      <c r="R18" s="19">
        <v>8</v>
      </c>
      <c r="S18" s="19">
        <v>0</v>
      </c>
      <c r="T18" s="19">
        <v>0</v>
      </c>
      <c r="U18" s="19">
        <v>0</v>
      </c>
      <c r="V18" s="19">
        <v>0</v>
      </c>
      <c r="X18" s="71"/>
    </row>
    <row r="19" spans="1:24" s="32" customFormat="1" ht="14.25" customHeight="1" x14ac:dyDescent="0.2">
      <c r="A19" s="108"/>
      <c r="B19" s="36" t="s">
        <v>39</v>
      </c>
      <c r="C19" s="37" t="s">
        <v>163</v>
      </c>
      <c r="D19" s="19">
        <v>60</v>
      </c>
      <c r="E19" s="19">
        <v>28</v>
      </c>
      <c r="F19" s="19">
        <v>32</v>
      </c>
      <c r="G19" s="19">
        <v>0</v>
      </c>
      <c r="H19" s="19">
        <v>0</v>
      </c>
      <c r="I19" s="19">
        <v>0</v>
      </c>
      <c r="J19" s="19">
        <v>0</v>
      </c>
      <c r="K19" s="19">
        <v>25</v>
      </c>
      <c r="L19" s="19">
        <v>9</v>
      </c>
      <c r="M19" s="19">
        <v>0</v>
      </c>
      <c r="N19" s="19">
        <v>0</v>
      </c>
      <c r="O19" s="19">
        <v>3</v>
      </c>
      <c r="P19" s="19">
        <v>23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X19" s="71"/>
    </row>
    <row r="20" spans="1:24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717</v>
      </c>
      <c r="E20" s="31">
        <v>339</v>
      </c>
      <c r="F20" s="31">
        <v>378</v>
      </c>
      <c r="G20" s="31">
        <v>0</v>
      </c>
      <c r="H20" s="31">
        <v>0</v>
      </c>
      <c r="I20" s="31">
        <v>1</v>
      </c>
      <c r="J20" s="31">
        <v>0</v>
      </c>
      <c r="K20" s="31">
        <v>273</v>
      </c>
      <c r="L20" s="31">
        <v>179</v>
      </c>
      <c r="M20" s="31">
        <v>22</v>
      </c>
      <c r="N20" s="31">
        <v>25</v>
      </c>
      <c r="O20" s="31">
        <v>20</v>
      </c>
      <c r="P20" s="31">
        <v>158</v>
      </c>
      <c r="Q20" s="31">
        <v>23</v>
      </c>
      <c r="R20" s="31">
        <v>15</v>
      </c>
      <c r="S20" s="31">
        <v>0</v>
      </c>
      <c r="T20" s="31">
        <v>1</v>
      </c>
      <c r="U20" s="31">
        <v>0</v>
      </c>
      <c r="V20" s="31">
        <v>0</v>
      </c>
      <c r="X20" s="71"/>
    </row>
    <row r="21" spans="1:24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675</v>
      </c>
      <c r="E21" s="19">
        <v>316</v>
      </c>
      <c r="F21" s="19">
        <v>359</v>
      </c>
      <c r="G21" s="19">
        <v>0</v>
      </c>
      <c r="H21" s="19">
        <v>0</v>
      </c>
      <c r="I21" s="19">
        <v>1</v>
      </c>
      <c r="J21" s="19">
        <v>0</v>
      </c>
      <c r="K21" s="19">
        <v>255</v>
      </c>
      <c r="L21" s="19">
        <v>173</v>
      </c>
      <c r="M21" s="19">
        <v>22</v>
      </c>
      <c r="N21" s="19">
        <v>24</v>
      </c>
      <c r="O21" s="19">
        <v>18</v>
      </c>
      <c r="P21" s="19">
        <v>148</v>
      </c>
      <c r="Q21" s="19">
        <v>20</v>
      </c>
      <c r="R21" s="19">
        <v>14</v>
      </c>
      <c r="S21" s="19">
        <v>0</v>
      </c>
      <c r="T21" s="19">
        <v>0</v>
      </c>
      <c r="U21" s="19">
        <v>0</v>
      </c>
      <c r="V21" s="19">
        <v>0</v>
      </c>
      <c r="X21" s="71"/>
    </row>
    <row r="22" spans="1:24" s="32" customFormat="1" ht="14.25" customHeight="1" x14ac:dyDescent="0.2">
      <c r="A22" s="108"/>
      <c r="B22" s="36" t="s">
        <v>39</v>
      </c>
      <c r="C22" s="37" t="s">
        <v>163</v>
      </c>
      <c r="D22" s="19">
        <v>42</v>
      </c>
      <c r="E22" s="19">
        <v>23</v>
      </c>
      <c r="F22" s="19">
        <v>19</v>
      </c>
      <c r="G22" s="19">
        <v>0</v>
      </c>
      <c r="H22" s="19">
        <v>0</v>
      </c>
      <c r="I22" s="19">
        <v>0</v>
      </c>
      <c r="J22" s="19">
        <v>0</v>
      </c>
      <c r="K22" s="19">
        <v>18</v>
      </c>
      <c r="L22" s="19">
        <v>6</v>
      </c>
      <c r="M22" s="19">
        <v>0</v>
      </c>
      <c r="N22" s="19">
        <v>1</v>
      </c>
      <c r="O22" s="19">
        <v>2</v>
      </c>
      <c r="P22" s="19">
        <v>10</v>
      </c>
      <c r="Q22" s="19">
        <v>3</v>
      </c>
      <c r="R22" s="19">
        <v>1</v>
      </c>
      <c r="S22" s="19">
        <v>0</v>
      </c>
      <c r="T22" s="19">
        <v>1</v>
      </c>
      <c r="U22" s="19">
        <v>0</v>
      </c>
      <c r="V22" s="19">
        <v>0</v>
      </c>
      <c r="X22" s="71"/>
    </row>
    <row r="23" spans="1:24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309</v>
      </c>
      <c r="E23" s="31">
        <v>143</v>
      </c>
      <c r="F23" s="31">
        <v>166</v>
      </c>
      <c r="G23" s="31">
        <v>0</v>
      </c>
      <c r="H23" s="31">
        <v>0</v>
      </c>
      <c r="I23" s="31">
        <v>3</v>
      </c>
      <c r="J23" s="31">
        <v>2</v>
      </c>
      <c r="K23" s="31">
        <v>100</v>
      </c>
      <c r="L23" s="31">
        <v>75</v>
      </c>
      <c r="M23" s="31">
        <v>1</v>
      </c>
      <c r="N23" s="31">
        <v>3</v>
      </c>
      <c r="O23" s="31">
        <v>10</v>
      </c>
      <c r="P23" s="31">
        <v>66</v>
      </c>
      <c r="Q23" s="31">
        <v>28</v>
      </c>
      <c r="R23" s="31">
        <v>19</v>
      </c>
      <c r="S23" s="31">
        <v>1</v>
      </c>
      <c r="T23" s="31">
        <v>1</v>
      </c>
      <c r="U23" s="31">
        <v>0</v>
      </c>
      <c r="V23" s="31">
        <v>0</v>
      </c>
      <c r="X23" s="71"/>
    </row>
    <row r="24" spans="1:24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300</v>
      </c>
      <c r="E24" s="19">
        <v>142</v>
      </c>
      <c r="F24" s="19">
        <v>158</v>
      </c>
      <c r="G24" s="19">
        <v>0</v>
      </c>
      <c r="H24" s="19">
        <v>0</v>
      </c>
      <c r="I24" s="19">
        <v>3</v>
      </c>
      <c r="J24" s="19">
        <v>2</v>
      </c>
      <c r="K24" s="19">
        <v>99</v>
      </c>
      <c r="L24" s="19">
        <v>74</v>
      </c>
      <c r="M24" s="19">
        <v>1</v>
      </c>
      <c r="N24" s="19">
        <v>3</v>
      </c>
      <c r="O24" s="19">
        <v>10</v>
      </c>
      <c r="P24" s="19">
        <v>61</v>
      </c>
      <c r="Q24" s="19">
        <v>28</v>
      </c>
      <c r="R24" s="19">
        <v>17</v>
      </c>
      <c r="S24" s="19">
        <v>1</v>
      </c>
      <c r="T24" s="19">
        <v>1</v>
      </c>
      <c r="U24" s="19">
        <v>0</v>
      </c>
      <c r="V24" s="19">
        <v>0</v>
      </c>
      <c r="X24" s="71"/>
    </row>
    <row r="25" spans="1:24" s="32" customFormat="1" ht="14.25" customHeight="1" x14ac:dyDescent="0.2">
      <c r="A25" s="108"/>
      <c r="B25" s="36" t="s">
        <v>39</v>
      </c>
      <c r="C25" s="37" t="s">
        <v>163</v>
      </c>
      <c r="D25" s="19">
        <v>9</v>
      </c>
      <c r="E25" s="19">
        <v>1</v>
      </c>
      <c r="F25" s="19">
        <v>8</v>
      </c>
      <c r="G25" s="19">
        <v>0</v>
      </c>
      <c r="H25" s="19">
        <v>0</v>
      </c>
      <c r="I25" s="19">
        <v>0</v>
      </c>
      <c r="J25" s="19">
        <v>0</v>
      </c>
      <c r="K25" s="19">
        <v>1</v>
      </c>
      <c r="L25" s="19">
        <v>1</v>
      </c>
      <c r="M25" s="19">
        <v>0</v>
      </c>
      <c r="N25" s="19">
        <v>0</v>
      </c>
      <c r="O25" s="19">
        <v>0</v>
      </c>
      <c r="P25" s="19">
        <v>5</v>
      </c>
      <c r="Q25" s="19">
        <v>0</v>
      </c>
      <c r="R25" s="19">
        <v>2</v>
      </c>
      <c r="S25" s="19">
        <v>0</v>
      </c>
      <c r="T25" s="19">
        <v>0</v>
      </c>
      <c r="U25" s="19">
        <v>0</v>
      </c>
      <c r="V25" s="19">
        <v>0</v>
      </c>
      <c r="X25" s="71"/>
    </row>
    <row r="26" spans="1:24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604</v>
      </c>
      <c r="E26" s="31">
        <v>283</v>
      </c>
      <c r="F26" s="31">
        <v>321</v>
      </c>
      <c r="G26" s="31">
        <v>2</v>
      </c>
      <c r="H26" s="31">
        <v>5</v>
      </c>
      <c r="I26" s="31">
        <v>0</v>
      </c>
      <c r="J26" s="31">
        <v>0</v>
      </c>
      <c r="K26" s="31">
        <v>217</v>
      </c>
      <c r="L26" s="31">
        <v>138</v>
      </c>
      <c r="M26" s="31">
        <v>15</v>
      </c>
      <c r="N26" s="31">
        <v>17</v>
      </c>
      <c r="O26" s="31">
        <v>27</v>
      </c>
      <c r="P26" s="31">
        <v>128</v>
      </c>
      <c r="Q26" s="31">
        <v>21</v>
      </c>
      <c r="R26" s="31">
        <v>33</v>
      </c>
      <c r="S26" s="31">
        <v>1</v>
      </c>
      <c r="T26" s="31">
        <v>0</v>
      </c>
      <c r="U26" s="31">
        <v>0</v>
      </c>
      <c r="V26" s="31">
        <v>0</v>
      </c>
      <c r="X26" s="71"/>
    </row>
    <row r="27" spans="1:24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568</v>
      </c>
      <c r="E27" s="19">
        <v>265</v>
      </c>
      <c r="F27" s="19">
        <v>303</v>
      </c>
      <c r="G27" s="19">
        <v>2</v>
      </c>
      <c r="H27" s="19">
        <v>5</v>
      </c>
      <c r="I27" s="19">
        <v>0</v>
      </c>
      <c r="J27" s="19">
        <v>0</v>
      </c>
      <c r="K27" s="19">
        <v>210</v>
      </c>
      <c r="L27" s="19">
        <v>130</v>
      </c>
      <c r="M27" s="19">
        <v>13</v>
      </c>
      <c r="N27" s="19">
        <v>15</v>
      </c>
      <c r="O27" s="19">
        <v>22</v>
      </c>
      <c r="P27" s="19">
        <v>122</v>
      </c>
      <c r="Q27" s="19">
        <v>17</v>
      </c>
      <c r="R27" s="19">
        <v>31</v>
      </c>
      <c r="S27" s="19">
        <v>1</v>
      </c>
      <c r="T27" s="19">
        <v>0</v>
      </c>
      <c r="U27" s="19">
        <v>0</v>
      </c>
      <c r="V27" s="19">
        <v>0</v>
      </c>
      <c r="X27" s="71"/>
    </row>
    <row r="28" spans="1:24" s="32" customFormat="1" ht="14.25" customHeight="1" x14ac:dyDescent="0.2">
      <c r="A28" s="108"/>
      <c r="B28" s="36" t="s">
        <v>39</v>
      </c>
      <c r="C28" s="37" t="s">
        <v>163</v>
      </c>
      <c r="D28" s="19">
        <v>36</v>
      </c>
      <c r="E28" s="19">
        <v>18</v>
      </c>
      <c r="F28" s="19">
        <v>18</v>
      </c>
      <c r="G28" s="19">
        <v>0</v>
      </c>
      <c r="H28" s="19">
        <v>0</v>
      </c>
      <c r="I28" s="19">
        <v>0</v>
      </c>
      <c r="J28" s="19">
        <v>0</v>
      </c>
      <c r="K28" s="19">
        <v>7</v>
      </c>
      <c r="L28" s="19">
        <v>8</v>
      </c>
      <c r="M28" s="19">
        <v>2</v>
      </c>
      <c r="N28" s="19">
        <v>2</v>
      </c>
      <c r="O28" s="19">
        <v>5</v>
      </c>
      <c r="P28" s="19">
        <v>6</v>
      </c>
      <c r="Q28" s="19">
        <v>4</v>
      </c>
      <c r="R28" s="19">
        <v>2</v>
      </c>
      <c r="S28" s="19">
        <v>0</v>
      </c>
      <c r="T28" s="19">
        <v>0</v>
      </c>
      <c r="U28" s="19">
        <v>0</v>
      </c>
      <c r="V28" s="19">
        <v>0</v>
      </c>
      <c r="X28" s="71"/>
    </row>
    <row r="29" spans="1:24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94</v>
      </c>
      <c r="E29" s="31">
        <v>31</v>
      </c>
      <c r="F29" s="31">
        <v>63</v>
      </c>
      <c r="G29" s="31">
        <v>0</v>
      </c>
      <c r="H29" s="31">
        <v>0</v>
      </c>
      <c r="I29" s="31">
        <v>0</v>
      </c>
      <c r="J29" s="31">
        <v>0</v>
      </c>
      <c r="K29" s="31">
        <v>23</v>
      </c>
      <c r="L29" s="31">
        <v>20</v>
      </c>
      <c r="M29" s="31">
        <v>1</v>
      </c>
      <c r="N29" s="31">
        <v>4</v>
      </c>
      <c r="O29" s="31">
        <v>2</v>
      </c>
      <c r="P29" s="31">
        <v>36</v>
      </c>
      <c r="Q29" s="31">
        <v>5</v>
      </c>
      <c r="R29" s="31">
        <v>3</v>
      </c>
      <c r="S29" s="31">
        <v>0</v>
      </c>
      <c r="T29" s="31">
        <v>0</v>
      </c>
      <c r="U29" s="31">
        <v>0</v>
      </c>
      <c r="V29" s="31">
        <v>0</v>
      </c>
      <c r="X29" s="71"/>
    </row>
    <row r="30" spans="1:24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84</v>
      </c>
      <c r="E30" s="19">
        <v>26</v>
      </c>
      <c r="F30" s="19">
        <v>58</v>
      </c>
      <c r="G30" s="19">
        <v>0</v>
      </c>
      <c r="H30" s="19">
        <v>0</v>
      </c>
      <c r="I30" s="19">
        <v>0</v>
      </c>
      <c r="J30" s="19">
        <v>0</v>
      </c>
      <c r="K30" s="19">
        <v>21</v>
      </c>
      <c r="L30" s="19">
        <v>20</v>
      </c>
      <c r="M30" s="19">
        <v>0</v>
      </c>
      <c r="N30" s="19">
        <v>4</v>
      </c>
      <c r="O30" s="19">
        <v>0</v>
      </c>
      <c r="P30" s="19">
        <v>31</v>
      </c>
      <c r="Q30" s="19">
        <v>5</v>
      </c>
      <c r="R30" s="19">
        <v>3</v>
      </c>
      <c r="S30" s="19">
        <v>0</v>
      </c>
      <c r="T30" s="19">
        <v>0</v>
      </c>
      <c r="U30" s="19">
        <v>0</v>
      </c>
      <c r="V30" s="19">
        <v>0</v>
      </c>
      <c r="X30" s="71"/>
    </row>
    <row r="31" spans="1:24" s="32" customFormat="1" ht="14.25" customHeight="1" x14ac:dyDescent="0.2">
      <c r="A31" s="108"/>
      <c r="B31" s="36" t="s">
        <v>39</v>
      </c>
      <c r="C31" s="37" t="s">
        <v>163</v>
      </c>
      <c r="D31" s="19">
        <v>10</v>
      </c>
      <c r="E31" s="19">
        <v>5</v>
      </c>
      <c r="F31" s="19">
        <v>5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0</v>
      </c>
      <c r="M31" s="19">
        <v>1</v>
      </c>
      <c r="N31" s="19">
        <v>0</v>
      </c>
      <c r="O31" s="19">
        <v>2</v>
      </c>
      <c r="P31" s="19">
        <v>5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X31" s="71"/>
    </row>
    <row r="32" spans="1:24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204</v>
      </c>
      <c r="E32" s="31">
        <v>86</v>
      </c>
      <c r="F32" s="31">
        <v>118</v>
      </c>
      <c r="G32" s="31">
        <v>0</v>
      </c>
      <c r="H32" s="31">
        <v>0</v>
      </c>
      <c r="I32" s="31">
        <v>1</v>
      </c>
      <c r="J32" s="31">
        <v>0</v>
      </c>
      <c r="K32" s="31">
        <v>38</v>
      </c>
      <c r="L32" s="31">
        <v>30</v>
      </c>
      <c r="M32" s="31">
        <v>7</v>
      </c>
      <c r="N32" s="31">
        <v>1</v>
      </c>
      <c r="O32" s="31">
        <v>20</v>
      </c>
      <c r="P32" s="31">
        <v>73</v>
      </c>
      <c r="Q32" s="31">
        <v>18</v>
      </c>
      <c r="R32" s="31">
        <v>14</v>
      </c>
      <c r="S32" s="31">
        <v>2</v>
      </c>
      <c r="T32" s="31">
        <v>0</v>
      </c>
      <c r="U32" s="31">
        <v>0</v>
      </c>
      <c r="V32" s="31">
        <v>0</v>
      </c>
      <c r="X32" s="71"/>
    </row>
    <row r="33" spans="1:24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170</v>
      </c>
      <c r="E33" s="19">
        <v>67</v>
      </c>
      <c r="F33" s="19">
        <v>103</v>
      </c>
      <c r="G33" s="19">
        <v>0</v>
      </c>
      <c r="H33" s="19">
        <v>0</v>
      </c>
      <c r="I33" s="19">
        <v>1</v>
      </c>
      <c r="J33" s="19">
        <v>0</v>
      </c>
      <c r="K33" s="19">
        <v>31</v>
      </c>
      <c r="L33" s="19">
        <v>29</v>
      </c>
      <c r="M33" s="19">
        <v>7</v>
      </c>
      <c r="N33" s="19">
        <v>1</v>
      </c>
      <c r="O33" s="19">
        <v>13</v>
      </c>
      <c r="P33" s="19">
        <v>64</v>
      </c>
      <c r="Q33" s="19">
        <v>13</v>
      </c>
      <c r="R33" s="19">
        <v>9</v>
      </c>
      <c r="S33" s="19">
        <v>2</v>
      </c>
      <c r="T33" s="19">
        <v>0</v>
      </c>
      <c r="U33" s="19">
        <v>0</v>
      </c>
      <c r="V33" s="19">
        <v>0</v>
      </c>
      <c r="X33" s="71"/>
    </row>
    <row r="34" spans="1:24" s="32" customFormat="1" ht="14.25" customHeight="1" x14ac:dyDescent="0.2">
      <c r="A34" s="108"/>
      <c r="B34" s="36" t="s">
        <v>39</v>
      </c>
      <c r="C34" s="37" t="s">
        <v>163</v>
      </c>
      <c r="D34" s="19">
        <v>34</v>
      </c>
      <c r="E34" s="19">
        <v>19</v>
      </c>
      <c r="F34" s="19">
        <v>15</v>
      </c>
      <c r="G34" s="19">
        <v>0</v>
      </c>
      <c r="H34" s="19">
        <v>0</v>
      </c>
      <c r="I34" s="19">
        <v>0</v>
      </c>
      <c r="J34" s="19">
        <v>0</v>
      </c>
      <c r="K34" s="19">
        <v>7</v>
      </c>
      <c r="L34" s="19">
        <v>1</v>
      </c>
      <c r="M34" s="19">
        <v>0</v>
      </c>
      <c r="N34" s="19">
        <v>0</v>
      </c>
      <c r="O34" s="19">
        <v>7</v>
      </c>
      <c r="P34" s="19">
        <v>9</v>
      </c>
      <c r="Q34" s="19">
        <v>5</v>
      </c>
      <c r="R34" s="19">
        <v>5</v>
      </c>
      <c r="S34" s="19">
        <v>0</v>
      </c>
      <c r="T34" s="19">
        <v>0</v>
      </c>
      <c r="U34" s="19">
        <v>0</v>
      </c>
      <c r="V34" s="19">
        <v>0</v>
      </c>
      <c r="X34" s="71"/>
    </row>
    <row r="35" spans="1:24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73</v>
      </c>
      <c r="E35" s="31">
        <v>21</v>
      </c>
      <c r="F35" s="31">
        <v>52</v>
      </c>
      <c r="G35" s="31">
        <v>0</v>
      </c>
      <c r="H35" s="31">
        <v>0</v>
      </c>
      <c r="I35" s="31">
        <v>0</v>
      </c>
      <c r="J35" s="31">
        <v>0</v>
      </c>
      <c r="K35" s="31">
        <v>9</v>
      </c>
      <c r="L35" s="31">
        <v>8</v>
      </c>
      <c r="M35" s="31">
        <v>2</v>
      </c>
      <c r="N35" s="31">
        <v>2</v>
      </c>
      <c r="O35" s="31">
        <v>6</v>
      </c>
      <c r="P35" s="31">
        <v>34</v>
      </c>
      <c r="Q35" s="31">
        <v>4</v>
      </c>
      <c r="R35" s="31">
        <v>8</v>
      </c>
      <c r="S35" s="31">
        <v>0</v>
      </c>
      <c r="T35" s="31">
        <v>0</v>
      </c>
      <c r="U35" s="31">
        <v>0</v>
      </c>
      <c r="V35" s="31">
        <v>0</v>
      </c>
      <c r="X35" s="71"/>
    </row>
    <row r="36" spans="1:24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65</v>
      </c>
      <c r="E36" s="19">
        <v>19</v>
      </c>
      <c r="F36" s="19">
        <v>46</v>
      </c>
      <c r="G36" s="19">
        <v>0</v>
      </c>
      <c r="H36" s="19">
        <v>0</v>
      </c>
      <c r="I36" s="19">
        <v>0</v>
      </c>
      <c r="J36" s="19">
        <v>0</v>
      </c>
      <c r="K36" s="19">
        <v>9</v>
      </c>
      <c r="L36" s="19">
        <v>7</v>
      </c>
      <c r="M36" s="19">
        <v>2</v>
      </c>
      <c r="N36" s="19">
        <v>1</v>
      </c>
      <c r="O36" s="19">
        <v>6</v>
      </c>
      <c r="P36" s="19">
        <v>30</v>
      </c>
      <c r="Q36" s="19">
        <v>2</v>
      </c>
      <c r="R36" s="19">
        <v>8</v>
      </c>
      <c r="S36" s="19">
        <v>0</v>
      </c>
      <c r="T36" s="19">
        <v>0</v>
      </c>
      <c r="U36" s="19">
        <v>0</v>
      </c>
      <c r="V36" s="19">
        <v>0</v>
      </c>
      <c r="X36" s="71"/>
    </row>
    <row r="37" spans="1:24" s="32" customFormat="1" ht="14.25" customHeight="1" x14ac:dyDescent="0.2">
      <c r="A37" s="108"/>
      <c r="B37" s="36" t="s">
        <v>39</v>
      </c>
      <c r="C37" s="37" t="s">
        <v>163</v>
      </c>
      <c r="D37" s="19">
        <v>8</v>
      </c>
      <c r="E37" s="19">
        <v>2</v>
      </c>
      <c r="F37" s="19">
        <v>6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1</v>
      </c>
      <c r="M37" s="19">
        <v>0</v>
      </c>
      <c r="N37" s="19">
        <v>1</v>
      </c>
      <c r="O37" s="19">
        <v>0</v>
      </c>
      <c r="P37" s="19">
        <v>4</v>
      </c>
      <c r="Q37" s="19">
        <v>2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X37" s="71"/>
    </row>
    <row r="38" spans="1:24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284</v>
      </c>
      <c r="E38" s="31">
        <v>119</v>
      </c>
      <c r="F38" s="31">
        <v>165</v>
      </c>
      <c r="G38" s="31">
        <v>0</v>
      </c>
      <c r="H38" s="31">
        <v>0</v>
      </c>
      <c r="I38" s="31">
        <v>0</v>
      </c>
      <c r="J38" s="31">
        <v>0</v>
      </c>
      <c r="K38" s="31">
        <v>72</v>
      </c>
      <c r="L38" s="31">
        <v>48</v>
      </c>
      <c r="M38" s="31">
        <v>21</v>
      </c>
      <c r="N38" s="31">
        <v>16</v>
      </c>
      <c r="O38" s="31">
        <v>13</v>
      </c>
      <c r="P38" s="31">
        <v>89</v>
      </c>
      <c r="Q38" s="31">
        <v>13</v>
      </c>
      <c r="R38" s="31">
        <v>12</v>
      </c>
      <c r="S38" s="31">
        <v>0</v>
      </c>
      <c r="T38" s="31">
        <v>0</v>
      </c>
      <c r="U38" s="31">
        <v>0</v>
      </c>
      <c r="V38" s="31">
        <v>0</v>
      </c>
      <c r="X38" s="71"/>
    </row>
    <row r="39" spans="1:24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275</v>
      </c>
      <c r="E39" s="19">
        <v>113</v>
      </c>
      <c r="F39" s="19">
        <v>162</v>
      </c>
      <c r="G39" s="19">
        <v>0</v>
      </c>
      <c r="H39" s="19">
        <v>0</v>
      </c>
      <c r="I39" s="19">
        <v>0</v>
      </c>
      <c r="J39" s="19">
        <v>0</v>
      </c>
      <c r="K39" s="19">
        <v>70</v>
      </c>
      <c r="L39" s="19">
        <v>46</v>
      </c>
      <c r="M39" s="19">
        <v>21</v>
      </c>
      <c r="N39" s="19">
        <v>16</v>
      </c>
      <c r="O39" s="19">
        <v>9</v>
      </c>
      <c r="P39" s="19">
        <v>88</v>
      </c>
      <c r="Q39" s="19">
        <v>13</v>
      </c>
      <c r="R39" s="19">
        <v>12</v>
      </c>
      <c r="S39" s="19">
        <v>0</v>
      </c>
      <c r="T39" s="19">
        <v>0</v>
      </c>
      <c r="U39" s="19">
        <v>0</v>
      </c>
      <c r="V39" s="19">
        <v>0</v>
      </c>
      <c r="X39" s="71"/>
    </row>
    <row r="40" spans="1:24" s="32" customFormat="1" ht="14.25" customHeight="1" x14ac:dyDescent="0.2">
      <c r="A40" s="108"/>
      <c r="B40" s="36" t="s">
        <v>39</v>
      </c>
      <c r="C40" s="37" t="s">
        <v>163</v>
      </c>
      <c r="D40" s="19">
        <v>9</v>
      </c>
      <c r="E40" s="19">
        <v>6</v>
      </c>
      <c r="F40" s="19">
        <v>3</v>
      </c>
      <c r="G40" s="19">
        <v>0</v>
      </c>
      <c r="H40" s="19">
        <v>0</v>
      </c>
      <c r="I40" s="19">
        <v>0</v>
      </c>
      <c r="J40" s="19">
        <v>0</v>
      </c>
      <c r="K40" s="19">
        <v>2</v>
      </c>
      <c r="L40" s="19">
        <v>2</v>
      </c>
      <c r="M40" s="19">
        <v>0</v>
      </c>
      <c r="N40" s="19">
        <v>0</v>
      </c>
      <c r="O40" s="19">
        <v>4</v>
      </c>
      <c r="P40" s="19">
        <v>1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X40" s="71"/>
    </row>
    <row r="41" spans="1:24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114</v>
      </c>
      <c r="E41" s="31">
        <v>51</v>
      </c>
      <c r="F41" s="31">
        <v>63</v>
      </c>
      <c r="G41" s="31">
        <v>0</v>
      </c>
      <c r="H41" s="31">
        <v>0</v>
      </c>
      <c r="I41" s="31">
        <v>0</v>
      </c>
      <c r="J41" s="31">
        <v>0</v>
      </c>
      <c r="K41" s="31">
        <v>35</v>
      </c>
      <c r="L41" s="31">
        <v>27</v>
      </c>
      <c r="M41" s="31">
        <v>3</v>
      </c>
      <c r="N41" s="31">
        <v>3</v>
      </c>
      <c r="O41" s="31">
        <v>5</v>
      </c>
      <c r="P41" s="31">
        <v>29</v>
      </c>
      <c r="Q41" s="31">
        <v>8</v>
      </c>
      <c r="R41" s="31">
        <v>4</v>
      </c>
      <c r="S41" s="31">
        <v>0</v>
      </c>
      <c r="T41" s="31">
        <v>0</v>
      </c>
      <c r="U41" s="31">
        <v>0</v>
      </c>
      <c r="V41" s="31">
        <v>0</v>
      </c>
      <c r="X41" s="71"/>
    </row>
    <row r="42" spans="1:24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99</v>
      </c>
      <c r="E42" s="19">
        <v>46</v>
      </c>
      <c r="F42" s="19">
        <v>53</v>
      </c>
      <c r="G42" s="19">
        <v>0</v>
      </c>
      <c r="H42" s="19">
        <v>0</v>
      </c>
      <c r="I42" s="19">
        <v>0</v>
      </c>
      <c r="J42" s="19">
        <v>0</v>
      </c>
      <c r="K42" s="19">
        <v>31</v>
      </c>
      <c r="L42" s="19">
        <v>23</v>
      </c>
      <c r="M42" s="19">
        <v>3</v>
      </c>
      <c r="N42" s="19">
        <v>2</v>
      </c>
      <c r="O42" s="19">
        <v>4</v>
      </c>
      <c r="P42" s="19">
        <v>24</v>
      </c>
      <c r="Q42" s="19">
        <v>8</v>
      </c>
      <c r="R42" s="19">
        <v>4</v>
      </c>
      <c r="S42" s="19">
        <v>0</v>
      </c>
      <c r="T42" s="19">
        <v>0</v>
      </c>
      <c r="U42" s="19">
        <v>0</v>
      </c>
      <c r="V42" s="19">
        <v>0</v>
      </c>
      <c r="X42" s="71"/>
    </row>
    <row r="43" spans="1:24" s="32" customFormat="1" ht="14.25" customHeight="1" x14ac:dyDescent="0.2">
      <c r="A43" s="108"/>
      <c r="B43" s="36" t="s">
        <v>39</v>
      </c>
      <c r="C43" s="37" t="s">
        <v>163</v>
      </c>
      <c r="D43" s="19">
        <v>15</v>
      </c>
      <c r="E43" s="19">
        <v>5</v>
      </c>
      <c r="F43" s="19">
        <v>10</v>
      </c>
      <c r="G43" s="19">
        <v>0</v>
      </c>
      <c r="H43" s="19">
        <v>0</v>
      </c>
      <c r="I43" s="19">
        <v>0</v>
      </c>
      <c r="J43" s="19">
        <v>0</v>
      </c>
      <c r="K43" s="19">
        <v>4</v>
      </c>
      <c r="L43" s="19">
        <v>4</v>
      </c>
      <c r="M43" s="19">
        <v>0</v>
      </c>
      <c r="N43" s="19">
        <v>1</v>
      </c>
      <c r="O43" s="19">
        <v>1</v>
      </c>
      <c r="P43" s="19">
        <v>5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X43" s="71"/>
    </row>
    <row r="44" spans="1:24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182</v>
      </c>
      <c r="E44" s="31">
        <v>70</v>
      </c>
      <c r="F44" s="31">
        <v>112</v>
      </c>
      <c r="G44" s="31">
        <v>0</v>
      </c>
      <c r="H44" s="31">
        <v>0</v>
      </c>
      <c r="I44" s="31">
        <v>0</v>
      </c>
      <c r="J44" s="31">
        <v>0</v>
      </c>
      <c r="K44" s="31">
        <v>50</v>
      </c>
      <c r="L44" s="31">
        <v>30</v>
      </c>
      <c r="M44" s="31">
        <v>4</v>
      </c>
      <c r="N44" s="31">
        <v>5</v>
      </c>
      <c r="O44" s="31">
        <v>9</v>
      </c>
      <c r="P44" s="31">
        <v>67</v>
      </c>
      <c r="Q44" s="31">
        <v>7</v>
      </c>
      <c r="R44" s="31">
        <v>7</v>
      </c>
      <c r="S44" s="31">
        <v>0</v>
      </c>
      <c r="T44" s="31">
        <v>3</v>
      </c>
      <c r="U44" s="31">
        <v>0</v>
      </c>
      <c r="V44" s="31">
        <v>0</v>
      </c>
      <c r="X44" s="71"/>
    </row>
    <row r="45" spans="1:24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180</v>
      </c>
      <c r="E45" s="19">
        <v>70</v>
      </c>
      <c r="F45" s="19">
        <v>110</v>
      </c>
      <c r="G45" s="19">
        <v>0</v>
      </c>
      <c r="H45" s="19">
        <v>0</v>
      </c>
      <c r="I45" s="19">
        <v>0</v>
      </c>
      <c r="J45" s="19">
        <v>0</v>
      </c>
      <c r="K45" s="19">
        <v>50</v>
      </c>
      <c r="L45" s="19">
        <v>28</v>
      </c>
      <c r="M45" s="19">
        <v>4</v>
      </c>
      <c r="N45" s="19">
        <v>5</v>
      </c>
      <c r="O45" s="19">
        <v>9</v>
      </c>
      <c r="P45" s="19">
        <v>67</v>
      </c>
      <c r="Q45" s="19">
        <v>7</v>
      </c>
      <c r="R45" s="19">
        <v>7</v>
      </c>
      <c r="S45" s="19">
        <v>0</v>
      </c>
      <c r="T45" s="19">
        <v>3</v>
      </c>
      <c r="U45" s="19">
        <v>0</v>
      </c>
      <c r="V45" s="19">
        <v>0</v>
      </c>
      <c r="X45" s="71"/>
    </row>
    <row r="46" spans="1:24" s="32" customFormat="1" ht="14.25" customHeight="1" x14ac:dyDescent="0.2">
      <c r="A46" s="108"/>
      <c r="B46" s="36" t="s">
        <v>39</v>
      </c>
      <c r="C46" s="37" t="s">
        <v>163</v>
      </c>
      <c r="D46" s="19">
        <v>2</v>
      </c>
      <c r="E46" s="19">
        <v>0</v>
      </c>
      <c r="F46" s="19">
        <v>2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2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X46" s="71"/>
    </row>
    <row r="47" spans="1:24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126</v>
      </c>
      <c r="E47" s="31">
        <v>62</v>
      </c>
      <c r="F47" s="31">
        <v>64</v>
      </c>
      <c r="G47" s="31">
        <v>0</v>
      </c>
      <c r="H47" s="31">
        <v>0</v>
      </c>
      <c r="I47" s="31">
        <v>0</v>
      </c>
      <c r="J47" s="31">
        <v>0</v>
      </c>
      <c r="K47" s="31">
        <v>36</v>
      </c>
      <c r="L47" s="31">
        <v>30</v>
      </c>
      <c r="M47" s="31">
        <v>5</v>
      </c>
      <c r="N47" s="31">
        <v>3</v>
      </c>
      <c r="O47" s="31">
        <v>6</v>
      </c>
      <c r="P47" s="31">
        <v>18</v>
      </c>
      <c r="Q47" s="31">
        <v>15</v>
      </c>
      <c r="R47" s="31">
        <v>13</v>
      </c>
      <c r="S47" s="31">
        <v>0</v>
      </c>
      <c r="T47" s="31">
        <v>0</v>
      </c>
      <c r="U47" s="31">
        <v>0</v>
      </c>
      <c r="V47" s="31">
        <v>0</v>
      </c>
      <c r="X47" s="71"/>
    </row>
    <row r="48" spans="1:24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121</v>
      </c>
      <c r="E48" s="19">
        <v>61</v>
      </c>
      <c r="F48" s="19">
        <v>60</v>
      </c>
      <c r="G48" s="19">
        <v>0</v>
      </c>
      <c r="H48" s="19">
        <v>0</v>
      </c>
      <c r="I48" s="19">
        <v>0</v>
      </c>
      <c r="J48" s="19">
        <v>0</v>
      </c>
      <c r="K48" s="19">
        <v>36</v>
      </c>
      <c r="L48" s="19">
        <v>28</v>
      </c>
      <c r="M48" s="19">
        <v>4</v>
      </c>
      <c r="N48" s="19">
        <v>3</v>
      </c>
      <c r="O48" s="19">
        <v>6</v>
      </c>
      <c r="P48" s="19">
        <v>16</v>
      </c>
      <c r="Q48" s="19">
        <v>15</v>
      </c>
      <c r="R48" s="19">
        <v>13</v>
      </c>
      <c r="S48" s="19">
        <v>0</v>
      </c>
      <c r="T48" s="19">
        <v>0</v>
      </c>
      <c r="U48" s="19">
        <v>0</v>
      </c>
      <c r="V48" s="19">
        <v>0</v>
      </c>
      <c r="X48" s="71"/>
    </row>
    <row r="49" spans="1:24" s="32" customFormat="1" ht="14.25" customHeight="1" x14ac:dyDescent="0.2">
      <c r="A49" s="108"/>
      <c r="B49" s="36" t="s">
        <v>39</v>
      </c>
      <c r="C49" s="37" t="s">
        <v>163</v>
      </c>
      <c r="D49" s="19">
        <v>5</v>
      </c>
      <c r="E49" s="19">
        <v>1</v>
      </c>
      <c r="F49" s="19">
        <v>4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2</v>
      </c>
      <c r="M49" s="19">
        <v>1</v>
      </c>
      <c r="N49" s="19">
        <v>0</v>
      </c>
      <c r="O49" s="19">
        <v>0</v>
      </c>
      <c r="P49" s="19">
        <v>2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X49" s="71"/>
    </row>
    <row r="50" spans="1:24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210</v>
      </c>
      <c r="E50" s="31">
        <v>96</v>
      </c>
      <c r="F50" s="31">
        <v>114</v>
      </c>
      <c r="G50" s="31">
        <v>0</v>
      </c>
      <c r="H50" s="31">
        <v>0</v>
      </c>
      <c r="I50" s="31">
        <v>0</v>
      </c>
      <c r="J50" s="31">
        <v>0</v>
      </c>
      <c r="K50" s="31">
        <v>58</v>
      </c>
      <c r="L50" s="31">
        <v>36</v>
      </c>
      <c r="M50" s="31">
        <v>7</v>
      </c>
      <c r="N50" s="31">
        <v>7</v>
      </c>
      <c r="O50" s="31">
        <v>13</v>
      </c>
      <c r="P50" s="31">
        <v>60</v>
      </c>
      <c r="Q50" s="31">
        <v>17</v>
      </c>
      <c r="R50" s="31">
        <v>11</v>
      </c>
      <c r="S50" s="31">
        <v>1</v>
      </c>
      <c r="T50" s="31">
        <v>0</v>
      </c>
      <c r="U50" s="31">
        <v>0</v>
      </c>
      <c r="V50" s="31">
        <v>0</v>
      </c>
      <c r="X50" s="71"/>
    </row>
    <row r="51" spans="1:24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171</v>
      </c>
      <c r="E51" s="19">
        <v>81</v>
      </c>
      <c r="F51" s="19">
        <v>90</v>
      </c>
      <c r="G51" s="19">
        <v>0</v>
      </c>
      <c r="H51" s="19">
        <v>0</v>
      </c>
      <c r="I51" s="19">
        <v>0</v>
      </c>
      <c r="J51" s="19">
        <v>0</v>
      </c>
      <c r="K51" s="19">
        <v>47</v>
      </c>
      <c r="L51" s="19">
        <v>28</v>
      </c>
      <c r="M51" s="19">
        <v>5</v>
      </c>
      <c r="N51" s="19">
        <v>3</v>
      </c>
      <c r="O51" s="19">
        <v>12</v>
      </c>
      <c r="P51" s="19">
        <v>48</v>
      </c>
      <c r="Q51" s="19">
        <v>16</v>
      </c>
      <c r="R51" s="19">
        <v>11</v>
      </c>
      <c r="S51" s="19">
        <v>1</v>
      </c>
      <c r="T51" s="19">
        <v>0</v>
      </c>
      <c r="U51" s="19">
        <v>0</v>
      </c>
      <c r="V51" s="19">
        <v>0</v>
      </c>
      <c r="X51" s="71"/>
    </row>
    <row r="52" spans="1:24" s="32" customFormat="1" ht="14.25" customHeight="1" x14ac:dyDescent="0.2">
      <c r="A52" s="108"/>
      <c r="B52" s="36" t="s">
        <v>39</v>
      </c>
      <c r="C52" s="37" t="s">
        <v>163</v>
      </c>
      <c r="D52" s="19">
        <v>39</v>
      </c>
      <c r="E52" s="19">
        <v>15</v>
      </c>
      <c r="F52" s="19">
        <v>24</v>
      </c>
      <c r="G52" s="19">
        <v>0</v>
      </c>
      <c r="H52" s="19">
        <v>0</v>
      </c>
      <c r="I52" s="19">
        <v>0</v>
      </c>
      <c r="J52" s="19">
        <v>0</v>
      </c>
      <c r="K52" s="19">
        <v>11</v>
      </c>
      <c r="L52" s="19">
        <v>8</v>
      </c>
      <c r="M52" s="19">
        <v>2</v>
      </c>
      <c r="N52" s="19">
        <v>4</v>
      </c>
      <c r="O52" s="19">
        <v>1</v>
      </c>
      <c r="P52" s="19">
        <v>12</v>
      </c>
      <c r="Q52" s="19">
        <v>1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X52" s="71"/>
    </row>
    <row r="53" spans="1:24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65</v>
      </c>
      <c r="E53" s="31">
        <v>25</v>
      </c>
      <c r="F53" s="31">
        <v>40</v>
      </c>
      <c r="G53" s="31">
        <v>0</v>
      </c>
      <c r="H53" s="31">
        <v>0</v>
      </c>
      <c r="I53" s="31">
        <v>0</v>
      </c>
      <c r="J53" s="31">
        <v>1</v>
      </c>
      <c r="K53" s="31">
        <v>9</v>
      </c>
      <c r="L53" s="31">
        <v>5</v>
      </c>
      <c r="M53" s="31">
        <v>0</v>
      </c>
      <c r="N53" s="31">
        <v>1</v>
      </c>
      <c r="O53" s="31">
        <v>8</v>
      </c>
      <c r="P53" s="31">
        <v>21</v>
      </c>
      <c r="Q53" s="31">
        <v>3</v>
      </c>
      <c r="R53" s="31">
        <v>1</v>
      </c>
      <c r="S53" s="31">
        <v>0</v>
      </c>
      <c r="T53" s="31">
        <v>0</v>
      </c>
      <c r="U53" s="31">
        <v>5</v>
      </c>
      <c r="V53" s="31">
        <v>11</v>
      </c>
      <c r="X53" s="71"/>
    </row>
    <row r="54" spans="1:24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27</v>
      </c>
      <c r="E54" s="19">
        <v>10</v>
      </c>
      <c r="F54" s="19">
        <v>17</v>
      </c>
      <c r="G54" s="19">
        <v>0</v>
      </c>
      <c r="H54" s="19">
        <v>0</v>
      </c>
      <c r="I54" s="19">
        <v>0</v>
      </c>
      <c r="J54" s="19">
        <v>1</v>
      </c>
      <c r="K54" s="19">
        <v>4</v>
      </c>
      <c r="L54" s="19">
        <v>2</v>
      </c>
      <c r="M54" s="19">
        <v>0</v>
      </c>
      <c r="N54" s="19">
        <v>1</v>
      </c>
      <c r="O54" s="19">
        <v>1</v>
      </c>
      <c r="P54" s="19">
        <v>8</v>
      </c>
      <c r="Q54" s="19">
        <v>2</v>
      </c>
      <c r="R54" s="19">
        <v>1</v>
      </c>
      <c r="S54" s="19">
        <v>0</v>
      </c>
      <c r="T54" s="19">
        <v>0</v>
      </c>
      <c r="U54" s="19">
        <v>3</v>
      </c>
      <c r="V54" s="19">
        <v>4</v>
      </c>
      <c r="X54" s="71"/>
    </row>
    <row r="55" spans="1:24" s="32" customFormat="1" ht="14.25" customHeight="1" x14ac:dyDescent="0.2">
      <c r="A55" s="108"/>
      <c r="B55" s="36" t="s">
        <v>39</v>
      </c>
      <c r="C55" s="37" t="s">
        <v>163</v>
      </c>
      <c r="D55" s="19">
        <v>38</v>
      </c>
      <c r="E55" s="19">
        <v>15</v>
      </c>
      <c r="F55" s="19">
        <v>23</v>
      </c>
      <c r="G55" s="19">
        <v>0</v>
      </c>
      <c r="H55" s="19">
        <v>0</v>
      </c>
      <c r="I55" s="19">
        <v>0</v>
      </c>
      <c r="J55" s="19">
        <v>0</v>
      </c>
      <c r="K55" s="19">
        <v>5</v>
      </c>
      <c r="L55" s="19">
        <v>3</v>
      </c>
      <c r="M55" s="19">
        <v>0</v>
      </c>
      <c r="N55" s="19">
        <v>0</v>
      </c>
      <c r="O55" s="19">
        <v>7</v>
      </c>
      <c r="P55" s="19">
        <v>13</v>
      </c>
      <c r="Q55" s="19">
        <v>1</v>
      </c>
      <c r="R55" s="19">
        <v>0</v>
      </c>
      <c r="S55" s="19">
        <v>0</v>
      </c>
      <c r="T55" s="19">
        <v>0</v>
      </c>
      <c r="U55" s="19">
        <v>2</v>
      </c>
      <c r="V55" s="19">
        <v>7</v>
      </c>
      <c r="X55" s="71"/>
    </row>
    <row r="56" spans="1:24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175</v>
      </c>
      <c r="E56" s="31">
        <v>70</v>
      </c>
      <c r="F56" s="31">
        <v>105</v>
      </c>
      <c r="G56" s="31">
        <v>1</v>
      </c>
      <c r="H56" s="31">
        <v>0</v>
      </c>
      <c r="I56" s="31">
        <v>0</v>
      </c>
      <c r="J56" s="31">
        <v>0</v>
      </c>
      <c r="K56" s="31">
        <v>38</v>
      </c>
      <c r="L56" s="31">
        <v>25</v>
      </c>
      <c r="M56" s="31">
        <v>5</v>
      </c>
      <c r="N56" s="31">
        <v>7</v>
      </c>
      <c r="O56" s="31">
        <v>7</v>
      </c>
      <c r="P56" s="31">
        <v>58</v>
      </c>
      <c r="Q56" s="31">
        <v>19</v>
      </c>
      <c r="R56" s="31">
        <v>15</v>
      </c>
      <c r="S56" s="31">
        <v>0</v>
      </c>
      <c r="T56" s="31">
        <v>0</v>
      </c>
      <c r="U56" s="31">
        <v>0</v>
      </c>
      <c r="V56" s="31">
        <v>0</v>
      </c>
      <c r="X56" s="71"/>
    </row>
    <row r="57" spans="1:24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73</v>
      </c>
      <c r="E57" s="19">
        <v>27</v>
      </c>
      <c r="F57" s="19">
        <v>46</v>
      </c>
      <c r="G57" s="19">
        <v>1</v>
      </c>
      <c r="H57" s="19">
        <v>0</v>
      </c>
      <c r="I57" s="19">
        <v>0</v>
      </c>
      <c r="J57" s="19">
        <v>0</v>
      </c>
      <c r="K57" s="19">
        <v>15</v>
      </c>
      <c r="L57" s="19">
        <v>14</v>
      </c>
      <c r="M57" s="19">
        <v>1</v>
      </c>
      <c r="N57" s="19">
        <v>3</v>
      </c>
      <c r="O57" s="19">
        <v>2</v>
      </c>
      <c r="P57" s="19">
        <v>22</v>
      </c>
      <c r="Q57" s="19">
        <v>8</v>
      </c>
      <c r="R57" s="19">
        <v>7</v>
      </c>
      <c r="S57" s="19">
        <v>0</v>
      </c>
      <c r="T57" s="19">
        <v>0</v>
      </c>
      <c r="U57" s="19">
        <v>0</v>
      </c>
      <c r="V57" s="19">
        <v>0</v>
      </c>
      <c r="X57" s="71"/>
    </row>
    <row r="58" spans="1:24" s="32" customFormat="1" ht="14.25" customHeight="1" x14ac:dyDescent="0.2">
      <c r="A58" s="108"/>
      <c r="B58" s="36" t="s">
        <v>39</v>
      </c>
      <c r="C58" s="37" t="s">
        <v>163</v>
      </c>
      <c r="D58" s="19">
        <v>102</v>
      </c>
      <c r="E58" s="19">
        <v>43</v>
      </c>
      <c r="F58" s="19">
        <v>59</v>
      </c>
      <c r="G58" s="19">
        <v>0</v>
      </c>
      <c r="H58" s="19">
        <v>0</v>
      </c>
      <c r="I58" s="19">
        <v>0</v>
      </c>
      <c r="J58" s="19">
        <v>0</v>
      </c>
      <c r="K58" s="19">
        <v>23</v>
      </c>
      <c r="L58" s="19">
        <v>11</v>
      </c>
      <c r="M58" s="19">
        <v>4</v>
      </c>
      <c r="N58" s="19">
        <v>4</v>
      </c>
      <c r="O58" s="19">
        <v>5</v>
      </c>
      <c r="P58" s="19">
        <v>36</v>
      </c>
      <c r="Q58" s="19">
        <v>11</v>
      </c>
      <c r="R58" s="19">
        <v>8</v>
      </c>
      <c r="S58" s="19">
        <v>0</v>
      </c>
      <c r="T58" s="19">
        <v>0</v>
      </c>
      <c r="U58" s="19">
        <v>0</v>
      </c>
      <c r="V58" s="19">
        <v>0</v>
      </c>
      <c r="X58" s="71"/>
    </row>
    <row r="59" spans="1:24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25</v>
      </c>
      <c r="E59" s="31">
        <v>4</v>
      </c>
      <c r="F59" s="31">
        <v>21</v>
      </c>
      <c r="G59" s="31">
        <v>0</v>
      </c>
      <c r="H59" s="31">
        <v>0</v>
      </c>
      <c r="I59" s="31">
        <v>0</v>
      </c>
      <c r="J59" s="31">
        <v>0</v>
      </c>
      <c r="K59" s="31">
        <v>3</v>
      </c>
      <c r="L59" s="31">
        <v>3</v>
      </c>
      <c r="M59" s="31">
        <v>0</v>
      </c>
      <c r="N59" s="31">
        <v>0</v>
      </c>
      <c r="O59" s="31">
        <v>1</v>
      </c>
      <c r="P59" s="31">
        <v>17</v>
      </c>
      <c r="Q59" s="31">
        <v>0</v>
      </c>
      <c r="R59" s="31">
        <v>0</v>
      </c>
      <c r="S59" s="31">
        <v>0</v>
      </c>
      <c r="T59" s="31">
        <v>1</v>
      </c>
      <c r="U59" s="31">
        <v>0</v>
      </c>
      <c r="V59" s="31">
        <v>0</v>
      </c>
      <c r="X59" s="71"/>
    </row>
    <row r="60" spans="1:24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23</v>
      </c>
      <c r="E60" s="19">
        <v>4</v>
      </c>
      <c r="F60" s="19">
        <v>19</v>
      </c>
      <c r="G60" s="19">
        <v>0</v>
      </c>
      <c r="H60" s="19">
        <v>0</v>
      </c>
      <c r="I60" s="19">
        <v>0</v>
      </c>
      <c r="J60" s="19">
        <v>0</v>
      </c>
      <c r="K60" s="19">
        <v>3</v>
      </c>
      <c r="L60" s="19">
        <v>3</v>
      </c>
      <c r="M60" s="19">
        <v>0</v>
      </c>
      <c r="N60" s="19">
        <v>0</v>
      </c>
      <c r="O60" s="19">
        <v>1</v>
      </c>
      <c r="P60" s="19">
        <v>16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X60" s="71"/>
    </row>
    <row r="61" spans="1:24" s="32" customFormat="1" ht="14.25" customHeight="1" x14ac:dyDescent="0.2">
      <c r="A61" s="108"/>
      <c r="B61" s="36" t="s">
        <v>39</v>
      </c>
      <c r="C61" s="37" t="s">
        <v>163</v>
      </c>
      <c r="D61" s="19">
        <v>2</v>
      </c>
      <c r="E61" s="19">
        <v>0</v>
      </c>
      <c r="F61" s="19">
        <v>2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1</v>
      </c>
      <c r="Q61" s="19">
        <v>0</v>
      </c>
      <c r="R61" s="19">
        <v>0</v>
      </c>
      <c r="S61" s="19">
        <v>0</v>
      </c>
      <c r="T61" s="19">
        <v>1</v>
      </c>
      <c r="U61" s="19">
        <v>0</v>
      </c>
      <c r="V61" s="19">
        <v>0</v>
      </c>
      <c r="X61" s="71"/>
    </row>
    <row r="62" spans="1:24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87</v>
      </c>
      <c r="E62" s="31">
        <v>28</v>
      </c>
      <c r="F62" s="31">
        <v>59</v>
      </c>
      <c r="G62" s="31">
        <v>0</v>
      </c>
      <c r="H62" s="31">
        <v>0</v>
      </c>
      <c r="I62" s="31">
        <v>0</v>
      </c>
      <c r="J62" s="31">
        <v>0</v>
      </c>
      <c r="K62" s="31">
        <v>19</v>
      </c>
      <c r="L62" s="31">
        <v>23</v>
      </c>
      <c r="M62" s="31">
        <v>0</v>
      </c>
      <c r="N62" s="31">
        <v>1</v>
      </c>
      <c r="O62" s="31">
        <v>9</v>
      </c>
      <c r="P62" s="31">
        <v>35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X62" s="71"/>
    </row>
    <row r="63" spans="1:24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81</v>
      </c>
      <c r="E63" s="19">
        <v>27</v>
      </c>
      <c r="F63" s="19">
        <v>54</v>
      </c>
      <c r="G63" s="19">
        <v>0</v>
      </c>
      <c r="H63" s="19">
        <v>0</v>
      </c>
      <c r="I63" s="19">
        <v>0</v>
      </c>
      <c r="J63" s="19">
        <v>0</v>
      </c>
      <c r="K63" s="19">
        <v>19</v>
      </c>
      <c r="L63" s="19">
        <v>22</v>
      </c>
      <c r="M63" s="19">
        <v>0</v>
      </c>
      <c r="N63" s="19">
        <v>1</v>
      </c>
      <c r="O63" s="19">
        <v>8</v>
      </c>
      <c r="P63" s="19">
        <v>31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X63" s="71"/>
    </row>
    <row r="64" spans="1:24" s="32" customFormat="1" ht="14.25" customHeight="1" x14ac:dyDescent="0.2">
      <c r="A64" s="108"/>
      <c r="B64" s="36" t="s">
        <v>39</v>
      </c>
      <c r="C64" s="37" t="s">
        <v>163</v>
      </c>
      <c r="D64" s="19">
        <v>6</v>
      </c>
      <c r="E64" s="19">
        <v>1</v>
      </c>
      <c r="F64" s="19">
        <v>5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</v>
      </c>
      <c r="M64" s="19">
        <v>0</v>
      </c>
      <c r="N64" s="19">
        <v>0</v>
      </c>
      <c r="O64" s="19">
        <v>1</v>
      </c>
      <c r="P64" s="19">
        <v>4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X64" s="71"/>
    </row>
    <row r="65" spans="1:24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118</v>
      </c>
      <c r="E65" s="31">
        <v>52</v>
      </c>
      <c r="F65" s="31">
        <v>66</v>
      </c>
      <c r="G65" s="31">
        <v>0</v>
      </c>
      <c r="H65" s="31">
        <v>0</v>
      </c>
      <c r="I65" s="31">
        <v>0</v>
      </c>
      <c r="J65" s="31">
        <v>0</v>
      </c>
      <c r="K65" s="31">
        <v>31</v>
      </c>
      <c r="L65" s="31">
        <v>27</v>
      </c>
      <c r="M65" s="31">
        <v>1</v>
      </c>
      <c r="N65" s="31">
        <v>0</v>
      </c>
      <c r="O65" s="31">
        <v>8</v>
      </c>
      <c r="P65" s="31">
        <v>31</v>
      </c>
      <c r="Q65" s="31">
        <v>11</v>
      </c>
      <c r="R65" s="31">
        <v>7</v>
      </c>
      <c r="S65" s="31">
        <v>1</v>
      </c>
      <c r="T65" s="31">
        <v>1</v>
      </c>
      <c r="U65" s="31">
        <v>0</v>
      </c>
      <c r="V65" s="31">
        <v>0</v>
      </c>
      <c r="X65" s="71"/>
    </row>
    <row r="66" spans="1:24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116</v>
      </c>
      <c r="E66" s="19">
        <v>52</v>
      </c>
      <c r="F66" s="19">
        <v>64</v>
      </c>
      <c r="G66" s="19">
        <v>0</v>
      </c>
      <c r="H66" s="19">
        <v>0</v>
      </c>
      <c r="I66" s="19">
        <v>0</v>
      </c>
      <c r="J66" s="19">
        <v>0</v>
      </c>
      <c r="K66" s="19">
        <v>31</v>
      </c>
      <c r="L66" s="19">
        <v>27</v>
      </c>
      <c r="M66" s="19">
        <v>1</v>
      </c>
      <c r="N66" s="19">
        <v>0</v>
      </c>
      <c r="O66" s="19">
        <v>8</v>
      </c>
      <c r="P66" s="19">
        <v>29</v>
      </c>
      <c r="Q66" s="19">
        <v>11</v>
      </c>
      <c r="R66" s="19">
        <v>7</v>
      </c>
      <c r="S66" s="19">
        <v>1</v>
      </c>
      <c r="T66" s="19">
        <v>1</v>
      </c>
      <c r="U66" s="19">
        <v>0</v>
      </c>
      <c r="V66" s="19">
        <v>0</v>
      </c>
      <c r="X66" s="71"/>
    </row>
    <row r="67" spans="1:24" s="32" customFormat="1" ht="14.25" customHeight="1" x14ac:dyDescent="0.2">
      <c r="A67" s="108"/>
      <c r="B67" s="36" t="s">
        <v>39</v>
      </c>
      <c r="C67" s="37" t="s">
        <v>163</v>
      </c>
      <c r="D67" s="19">
        <v>2</v>
      </c>
      <c r="E67" s="19">
        <v>0</v>
      </c>
      <c r="F67" s="19">
        <v>2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2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X67" s="71"/>
    </row>
    <row r="68" spans="1:24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72</v>
      </c>
      <c r="E68" s="31">
        <v>31</v>
      </c>
      <c r="F68" s="31">
        <v>41</v>
      </c>
      <c r="G68" s="31">
        <v>0</v>
      </c>
      <c r="H68" s="31">
        <v>0</v>
      </c>
      <c r="I68" s="31">
        <v>0</v>
      </c>
      <c r="J68" s="31">
        <v>0</v>
      </c>
      <c r="K68" s="31">
        <v>19</v>
      </c>
      <c r="L68" s="31">
        <v>19</v>
      </c>
      <c r="M68" s="31">
        <v>2</v>
      </c>
      <c r="N68" s="31">
        <v>1</v>
      </c>
      <c r="O68" s="31">
        <v>4</v>
      </c>
      <c r="P68" s="31">
        <v>13</v>
      </c>
      <c r="Q68" s="31">
        <v>6</v>
      </c>
      <c r="R68" s="31">
        <v>8</v>
      </c>
      <c r="S68" s="31">
        <v>0</v>
      </c>
      <c r="T68" s="31">
        <v>0</v>
      </c>
      <c r="U68" s="31">
        <v>0</v>
      </c>
      <c r="V68" s="31">
        <v>0</v>
      </c>
      <c r="X68" s="71"/>
    </row>
    <row r="69" spans="1:24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72</v>
      </c>
      <c r="E69" s="19">
        <v>31</v>
      </c>
      <c r="F69" s="19">
        <v>41</v>
      </c>
      <c r="G69" s="19">
        <v>0</v>
      </c>
      <c r="H69" s="19">
        <v>0</v>
      </c>
      <c r="I69" s="19">
        <v>0</v>
      </c>
      <c r="J69" s="19">
        <v>0</v>
      </c>
      <c r="K69" s="19">
        <v>19</v>
      </c>
      <c r="L69" s="19">
        <v>19</v>
      </c>
      <c r="M69" s="19">
        <v>2</v>
      </c>
      <c r="N69" s="19">
        <v>1</v>
      </c>
      <c r="O69" s="19">
        <v>4</v>
      </c>
      <c r="P69" s="19">
        <v>13</v>
      </c>
      <c r="Q69" s="19">
        <v>6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X69" s="71"/>
    </row>
    <row r="70" spans="1:24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X70" s="71"/>
    </row>
    <row r="71" spans="1:24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20</v>
      </c>
      <c r="E71" s="31">
        <v>13</v>
      </c>
      <c r="F71" s="31">
        <v>7</v>
      </c>
      <c r="G71" s="31">
        <v>0</v>
      </c>
      <c r="H71" s="31">
        <v>0</v>
      </c>
      <c r="I71" s="31">
        <v>0</v>
      </c>
      <c r="J71" s="31">
        <v>0</v>
      </c>
      <c r="K71" s="31">
        <v>8</v>
      </c>
      <c r="L71" s="31">
        <v>4</v>
      </c>
      <c r="M71" s="31">
        <v>2</v>
      </c>
      <c r="N71" s="31">
        <v>0</v>
      </c>
      <c r="O71" s="31">
        <v>1</v>
      </c>
      <c r="P71" s="31">
        <v>0</v>
      </c>
      <c r="Q71" s="31">
        <v>2</v>
      </c>
      <c r="R71" s="31">
        <v>3</v>
      </c>
      <c r="S71" s="31">
        <v>0</v>
      </c>
      <c r="T71" s="31">
        <v>0</v>
      </c>
      <c r="U71" s="31">
        <v>0</v>
      </c>
      <c r="V71" s="31">
        <v>0</v>
      </c>
      <c r="X71" s="71"/>
    </row>
    <row r="72" spans="1:24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20</v>
      </c>
      <c r="E72" s="19">
        <v>13</v>
      </c>
      <c r="F72" s="19">
        <v>7</v>
      </c>
      <c r="G72" s="19">
        <v>0</v>
      </c>
      <c r="H72" s="19">
        <v>0</v>
      </c>
      <c r="I72" s="19">
        <v>0</v>
      </c>
      <c r="J72" s="19">
        <v>0</v>
      </c>
      <c r="K72" s="19">
        <v>8</v>
      </c>
      <c r="L72" s="19">
        <v>4</v>
      </c>
      <c r="M72" s="19">
        <v>2</v>
      </c>
      <c r="N72" s="19">
        <v>0</v>
      </c>
      <c r="O72" s="19">
        <v>1</v>
      </c>
      <c r="P72" s="19">
        <v>0</v>
      </c>
      <c r="Q72" s="19">
        <v>2</v>
      </c>
      <c r="R72" s="19">
        <v>3</v>
      </c>
      <c r="S72" s="19">
        <v>0</v>
      </c>
      <c r="T72" s="19">
        <v>0</v>
      </c>
      <c r="U72" s="19">
        <v>0</v>
      </c>
      <c r="V72" s="19">
        <v>0</v>
      </c>
      <c r="X72" s="71"/>
    </row>
    <row r="73" spans="1:24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X73" s="71"/>
    </row>
    <row r="74" spans="1:24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8</v>
      </c>
      <c r="E74" s="31">
        <v>2</v>
      </c>
      <c r="F74" s="31">
        <v>6</v>
      </c>
      <c r="G74" s="31">
        <v>0</v>
      </c>
      <c r="H74" s="31">
        <v>0</v>
      </c>
      <c r="I74" s="31">
        <v>0</v>
      </c>
      <c r="J74" s="31">
        <v>0</v>
      </c>
      <c r="K74" s="31">
        <v>2</v>
      </c>
      <c r="L74" s="31">
        <v>1</v>
      </c>
      <c r="M74" s="31">
        <v>0</v>
      </c>
      <c r="N74" s="31">
        <v>0</v>
      </c>
      <c r="O74" s="31">
        <v>0</v>
      </c>
      <c r="P74" s="31">
        <v>3</v>
      </c>
      <c r="Q74" s="31">
        <v>0</v>
      </c>
      <c r="R74" s="31">
        <v>2</v>
      </c>
      <c r="S74" s="31">
        <v>0</v>
      </c>
      <c r="T74" s="31">
        <v>0</v>
      </c>
      <c r="U74" s="31">
        <v>0</v>
      </c>
      <c r="V74" s="31">
        <v>0</v>
      </c>
      <c r="X74" s="71"/>
    </row>
    <row r="75" spans="1:24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7</v>
      </c>
      <c r="E75" s="19">
        <v>2</v>
      </c>
      <c r="F75" s="19">
        <v>5</v>
      </c>
      <c r="G75" s="19">
        <v>0</v>
      </c>
      <c r="H75" s="19">
        <v>0</v>
      </c>
      <c r="I75" s="19">
        <v>0</v>
      </c>
      <c r="J75" s="19">
        <v>0</v>
      </c>
      <c r="K75" s="19">
        <v>2</v>
      </c>
      <c r="L75" s="19">
        <v>1</v>
      </c>
      <c r="M75" s="19">
        <v>0</v>
      </c>
      <c r="N75" s="19">
        <v>0</v>
      </c>
      <c r="O75" s="19">
        <v>0</v>
      </c>
      <c r="P75" s="19">
        <v>2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X75" s="71"/>
    </row>
    <row r="76" spans="1:24" s="32" customFormat="1" ht="14.25" customHeight="1" x14ac:dyDescent="0.2">
      <c r="A76" s="108"/>
      <c r="B76" s="36" t="s">
        <v>39</v>
      </c>
      <c r="C76" s="37" t="s">
        <v>163</v>
      </c>
      <c r="D76" s="39">
        <v>1</v>
      </c>
      <c r="E76" s="39">
        <v>0</v>
      </c>
      <c r="F76" s="39">
        <v>1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1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X76" s="71"/>
    </row>
    <row r="77" spans="1:24" ht="14.25" customHeight="1" x14ac:dyDescent="0.2">
      <c r="A77" s="6" t="s">
        <v>28</v>
      </c>
    </row>
    <row r="78" spans="1:24" ht="14.25" customHeight="1" x14ac:dyDescent="0.2">
      <c r="A78" s="40" t="s">
        <v>29</v>
      </c>
    </row>
    <row r="79" spans="1:24" ht="14.25" customHeight="1" x14ac:dyDescent="0.2">
      <c r="A79" s="66" t="s">
        <v>162</v>
      </c>
    </row>
    <row r="81" spans="1:25" s="79" customFormat="1" ht="18" hidden="1" customHeight="1" x14ac:dyDescent="0.2">
      <c r="A81" s="75" t="s">
        <v>149</v>
      </c>
      <c r="B81" s="76" t="s">
        <v>150</v>
      </c>
      <c r="C81" s="77" t="s">
        <v>36</v>
      </c>
      <c r="D81" s="78">
        <v>5648</v>
      </c>
      <c r="E81" s="78">
        <v>2454</v>
      </c>
      <c r="F81" s="78">
        <v>3194</v>
      </c>
      <c r="G81" s="78">
        <v>6</v>
      </c>
      <c r="H81" s="78">
        <v>1</v>
      </c>
      <c r="I81" s="78">
        <v>4</v>
      </c>
      <c r="J81" s="78">
        <v>4</v>
      </c>
      <c r="K81" s="78">
        <v>1479</v>
      </c>
      <c r="L81" s="78">
        <v>1054</v>
      </c>
      <c r="M81" s="78">
        <v>135</v>
      </c>
      <c r="N81" s="78">
        <v>154</v>
      </c>
      <c r="O81" s="78">
        <v>377</v>
      </c>
      <c r="P81" s="78">
        <v>1608</v>
      </c>
      <c r="Q81" s="78">
        <v>323</v>
      </c>
      <c r="R81" s="78">
        <v>315</v>
      </c>
      <c r="S81" s="78">
        <v>22</v>
      </c>
      <c r="T81" s="78">
        <v>21</v>
      </c>
      <c r="U81" s="78">
        <v>108</v>
      </c>
      <c r="V81" s="78">
        <v>37</v>
      </c>
      <c r="X81" s="83"/>
      <c r="Y81" s="83"/>
    </row>
    <row r="82" spans="1:25" s="79" customFormat="1" ht="14.25" hidden="1" customHeight="1" x14ac:dyDescent="0.2">
      <c r="A82" s="111" t="s">
        <v>36</v>
      </c>
      <c r="B82" s="80" t="s">
        <v>151</v>
      </c>
      <c r="C82" s="81" t="s">
        <v>38</v>
      </c>
      <c r="D82" s="82">
        <v>5051</v>
      </c>
      <c r="E82" s="82">
        <v>2211</v>
      </c>
      <c r="F82" s="82">
        <v>2840</v>
      </c>
      <c r="G82" s="82">
        <v>6</v>
      </c>
      <c r="H82" s="82">
        <v>1</v>
      </c>
      <c r="I82" s="82">
        <v>4</v>
      </c>
      <c r="J82" s="82">
        <v>3</v>
      </c>
      <c r="K82" s="82">
        <v>1342</v>
      </c>
      <c r="L82" s="82">
        <v>953</v>
      </c>
      <c r="M82" s="82">
        <v>123</v>
      </c>
      <c r="N82" s="82">
        <v>143</v>
      </c>
      <c r="O82" s="82">
        <v>339</v>
      </c>
      <c r="P82" s="82">
        <v>1419</v>
      </c>
      <c r="Q82" s="82">
        <v>277</v>
      </c>
      <c r="R82" s="82">
        <v>268</v>
      </c>
      <c r="S82" s="82">
        <v>19</v>
      </c>
      <c r="T82" s="82">
        <v>19</v>
      </c>
      <c r="U82" s="82">
        <v>101</v>
      </c>
      <c r="V82" s="82">
        <v>34</v>
      </c>
      <c r="X82" s="83"/>
    </row>
    <row r="83" spans="1:25" s="79" customFormat="1" ht="14.25" hidden="1" customHeight="1" x14ac:dyDescent="0.2">
      <c r="A83" s="111"/>
      <c r="B83" s="80" t="s">
        <v>152</v>
      </c>
      <c r="C83" s="81" t="s">
        <v>163</v>
      </c>
      <c r="D83" s="82">
        <v>597</v>
      </c>
      <c r="E83" s="82">
        <v>243</v>
      </c>
      <c r="F83" s="82">
        <v>354</v>
      </c>
      <c r="G83" s="82">
        <v>0</v>
      </c>
      <c r="H83" s="82">
        <v>0</v>
      </c>
      <c r="I83" s="82">
        <v>0</v>
      </c>
      <c r="J83" s="82">
        <v>1</v>
      </c>
      <c r="K83" s="82">
        <v>137</v>
      </c>
      <c r="L83" s="82">
        <v>101</v>
      </c>
      <c r="M83" s="82">
        <v>12</v>
      </c>
      <c r="N83" s="82">
        <v>11</v>
      </c>
      <c r="O83" s="82">
        <v>38</v>
      </c>
      <c r="P83" s="82">
        <v>189</v>
      </c>
      <c r="Q83" s="82">
        <v>46</v>
      </c>
      <c r="R83" s="82">
        <v>47</v>
      </c>
      <c r="S83" s="82">
        <v>3</v>
      </c>
      <c r="T83" s="82">
        <v>2</v>
      </c>
      <c r="U83" s="82">
        <v>7</v>
      </c>
      <c r="V83" s="82">
        <v>3</v>
      </c>
      <c r="X83" s="83"/>
    </row>
    <row r="84" spans="1:25" s="32" customFormat="1" ht="14.25" hidden="1" customHeight="1" x14ac:dyDescent="0.2">
      <c r="A84" s="35" t="s">
        <v>40</v>
      </c>
      <c r="B84" s="29" t="s">
        <v>35</v>
      </c>
      <c r="C84" s="30" t="s">
        <v>36</v>
      </c>
      <c r="D84" s="31">
        <v>1050</v>
      </c>
      <c r="E84" s="31">
        <v>466</v>
      </c>
      <c r="F84" s="31">
        <v>584</v>
      </c>
      <c r="G84" s="31">
        <v>0</v>
      </c>
      <c r="H84" s="31">
        <v>0</v>
      </c>
      <c r="I84" s="31">
        <v>1</v>
      </c>
      <c r="J84" s="31">
        <v>0</v>
      </c>
      <c r="K84" s="31">
        <v>294</v>
      </c>
      <c r="L84" s="31">
        <v>197</v>
      </c>
      <c r="M84" s="31">
        <v>30</v>
      </c>
      <c r="N84" s="31">
        <v>33</v>
      </c>
      <c r="O84" s="31">
        <v>93</v>
      </c>
      <c r="P84" s="31">
        <v>325</v>
      </c>
      <c r="Q84" s="31">
        <v>21</v>
      </c>
      <c r="R84" s="31">
        <v>20</v>
      </c>
      <c r="S84" s="31">
        <v>8</v>
      </c>
      <c r="T84" s="31">
        <v>4</v>
      </c>
      <c r="U84" s="31">
        <v>19</v>
      </c>
      <c r="V84" s="31">
        <v>5</v>
      </c>
      <c r="X84" s="71"/>
    </row>
    <row r="85" spans="1:25" s="32" customFormat="1" ht="14.25" hidden="1" customHeight="1" x14ac:dyDescent="0.2">
      <c r="A85" s="108" t="s">
        <v>41</v>
      </c>
      <c r="B85" s="33" t="s">
        <v>37</v>
      </c>
      <c r="C85" s="34" t="s">
        <v>38</v>
      </c>
      <c r="D85" s="19">
        <v>980</v>
      </c>
      <c r="E85" s="19">
        <v>439</v>
      </c>
      <c r="F85" s="19">
        <v>541</v>
      </c>
      <c r="G85" s="19">
        <v>0</v>
      </c>
      <c r="H85" s="19">
        <v>0</v>
      </c>
      <c r="I85" s="19">
        <v>1</v>
      </c>
      <c r="J85" s="19">
        <v>0</v>
      </c>
      <c r="K85" s="19">
        <v>281</v>
      </c>
      <c r="L85" s="19">
        <v>180</v>
      </c>
      <c r="M85" s="19">
        <v>28</v>
      </c>
      <c r="N85" s="19">
        <v>32</v>
      </c>
      <c r="O85" s="19">
        <v>85</v>
      </c>
      <c r="P85" s="19">
        <v>304</v>
      </c>
      <c r="Q85" s="19">
        <v>20</v>
      </c>
      <c r="R85" s="19">
        <v>16</v>
      </c>
      <c r="S85" s="19">
        <v>7</v>
      </c>
      <c r="T85" s="19">
        <v>4</v>
      </c>
      <c r="U85" s="19">
        <v>17</v>
      </c>
      <c r="V85" s="19">
        <v>5</v>
      </c>
      <c r="X85" s="71"/>
    </row>
    <row r="86" spans="1:25" s="32" customFormat="1" ht="14.25" hidden="1" customHeight="1" x14ac:dyDescent="0.2">
      <c r="A86" s="108"/>
      <c r="B86" s="33" t="s">
        <v>39</v>
      </c>
      <c r="C86" s="34" t="s">
        <v>163</v>
      </c>
      <c r="D86" s="19">
        <v>70</v>
      </c>
      <c r="E86" s="19">
        <v>27</v>
      </c>
      <c r="F86" s="19">
        <v>43</v>
      </c>
      <c r="G86" s="19">
        <v>0</v>
      </c>
      <c r="H86" s="19">
        <v>0</v>
      </c>
      <c r="I86" s="19">
        <v>0</v>
      </c>
      <c r="J86" s="19">
        <v>0</v>
      </c>
      <c r="K86" s="19">
        <v>13</v>
      </c>
      <c r="L86" s="19">
        <v>17</v>
      </c>
      <c r="M86" s="19">
        <v>2</v>
      </c>
      <c r="N86" s="19">
        <v>1</v>
      </c>
      <c r="O86" s="19">
        <v>8</v>
      </c>
      <c r="P86" s="19">
        <v>21</v>
      </c>
      <c r="Q86" s="19">
        <v>1</v>
      </c>
      <c r="R86" s="19">
        <v>4</v>
      </c>
      <c r="S86" s="19">
        <v>1</v>
      </c>
      <c r="T86" s="19">
        <v>0</v>
      </c>
      <c r="U86" s="19">
        <v>2</v>
      </c>
      <c r="V86" s="19">
        <v>0</v>
      </c>
      <c r="X86" s="71"/>
    </row>
    <row r="87" spans="1:25" s="32" customFormat="1" ht="14.25" hidden="1" customHeight="1" x14ac:dyDescent="0.2">
      <c r="A87" s="35" t="s">
        <v>42</v>
      </c>
      <c r="B87" s="29" t="s">
        <v>35</v>
      </c>
      <c r="C87" s="30" t="s">
        <v>36</v>
      </c>
      <c r="D87" s="31">
        <v>444</v>
      </c>
      <c r="E87" s="31">
        <v>191</v>
      </c>
      <c r="F87" s="31">
        <v>253</v>
      </c>
      <c r="G87" s="31">
        <v>1</v>
      </c>
      <c r="H87" s="31">
        <v>0</v>
      </c>
      <c r="I87" s="31">
        <v>0</v>
      </c>
      <c r="J87" s="31">
        <v>1</v>
      </c>
      <c r="K87" s="31">
        <v>134</v>
      </c>
      <c r="L87" s="31">
        <v>115</v>
      </c>
      <c r="M87" s="31">
        <v>7</v>
      </c>
      <c r="N87" s="31">
        <v>5</v>
      </c>
      <c r="O87" s="31">
        <v>34</v>
      </c>
      <c r="P87" s="31">
        <v>109</v>
      </c>
      <c r="Q87" s="31">
        <v>13</v>
      </c>
      <c r="R87" s="31">
        <v>19</v>
      </c>
      <c r="S87" s="31">
        <v>0</v>
      </c>
      <c r="T87" s="31">
        <v>2</v>
      </c>
      <c r="U87" s="31">
        <v>2</v>
      </c>
      <c r="V87" s="31">
        <v>2</v>
      </c>
      <c r="X87" s="71"/>
    </row>
    <row r="88" spans="1:25" s="32" customFormat="1" ht="14.25" hidden="1" customHeight="1" x14ac:dyDescent="0.2">
      <c r="A88" s="108" t="s">
        <v>43</v>
      </c>
      <c r="B88" s="33" t="s">
        <v>37</v>
      </c>
      <c r="C88" s="34" t="s">
        <v>38</v>
      </c>
      <c r="D88" s="19">
        <v>434</v>
      </c>
      <c r="E88" s="19">
        <v>188</v>
      </c>
      <c r="F88" s="19">
        <v>246</v>
      </c>
      <c r="G88" s="19">
        <v>1</v>
      </c>
      <c r="H88" s="19">
        <v>0</v>
      </c>
      <c r="I88" s="19">
        <v>0</v>
      </c>
      <c r="J88" s="19">
        <v>1</v>
      </c>
      <c r="K88" s="19">
        <v>132</v>
      </c>
      <c r="L88" s="19">
        <v>113</v>
      </c>
      <c r="M88" s="19">
        <v>7</v>
      </c>
      <c r="N88" s="19">
        <v>5</v>
      </c>
      <c r="O88" s="19">
        <v>34</v>
      </c>
      <c r="P88" s="19">
        <v>106</v>
      </c>
      <c r="Q88" s="19">
        <v>12</v>
      </c>
      <c r="R88" s="19">
        <v>17</v>
      </c>
      <c r="S88" s="19">
        <v>0</v>
      </c>
      <c r="T88" s="19">
        <v>2</v>
      </c>
      <c r="U88" s="19">
        <v>2</v>
      </c>
      <c r="V88" s="19">
        <v>2</v>
      </c>
      <c r="X88" s="71"/>
    </row>
    <row r="89" spans="1:25" s="32" customFormat="1" ht="14.25" hidden="1" customHeight="1" x14ac:dyDescent="0.2">
      <c r="A89" s="108"/>
      <c r="B89" s="36" t="s">
        <v>39</v>
      </c>
      <c r="C89" s="37" t="s">
        <v>163</v>
      </c>
      <c r="D89" s="19">
        <v>10</v>
      </c>
      <c r="E89" s="19">
        <v>3</v>
      </c>
      <c r="F89" s="19">
        <v>7</v>
      </c>
      <c r="G89" s="19">
        <v>0</v>
      </c>
      <c r="H89" s="19">
        <v>0</v>
      </c>
      <c r="I89" s="19">
        <v>0</v>
      </c>
      <c r="J89" s="19">
        <v>0</v>
      </c>
      <c r="K89" s="19">
        <v>2</v>
      </c>
      <c r="L89" s="19">
        <v>2</v>
      </c>
      <c r="M89" s="19">
        <v>0</v>
      </c>
      <c r="N89" s="19">
        <v>0</v>
      </c>
      <c r="O89" s="19">
        <v>0</v>
      </c>
      <c r="P89" s="19">
        <v>3</v>
      </c>
      <c r="Q89" s="19">
        <v>1</v>
      </c>
      <c r="R89" s="19">
        <v>2</v>
      </c>
      <c r="S89" s="19">
        <v>0</v>
      </c>
      <c r="T89" s="19">
        <v>0</v>
      </c>
      <c r="U89" s="19">
        <v>0</v>
      </c>
      <c r="V89" s="19">
        <v>0</v>
      </c>
      <c r="X89" s="71"/>
    </row>
    <row r="90" spans="1:25" s="32" customFormat="1" ht="14.25" hidden="1" customHeight="1" x14ac:dyDescent="0.2">
      <c r="A90" s="35" t="s">
        <v>44</v>
      </c>
      <c r="B90" s="29" t="s">
        <v>35</v>
      </c>
      <c r="C90" s="30" t="s">
        <v>36</v>
      </c>
      <c r="D90" s="31">
        <v>666</v>
      </c>
      <c r="E90" s="31">
        <v>282</v>
      </c>
      <c r="F90" s="31">
        <v>384</v>
      </c>
      <c r="G90" s="31">
        <v>1</v>
      </c>
      <c r="H90" s="31">
        <v>1</v>
      </c>
      <c r="I90" s="31">
        <v>2</v>
      </c>
      <c r="J90" s="31">
        <v>0</v>
      </c>
      <c r="K90" s="31">
        <v>192</v>
      </c>
      <c r="L90" s="31">
        <v>145</v>
      </c>
      <c r="M90" s="31">
        <v>8</v>
      </c>
      <c r="N90" s="31">
        <v>4</v>
      </c>
      <c r="O90" s="31">
        <v>42</v>
      </c>
      <c r="P90" s="31">
        <v>195</v>
      </c>
      <c r="Q90" s="31">
        <v>31</v>
      </c>
      <c r="R90" s="31">
        <v>36</v>
      </c>
      <c r="S90" s="31">
        <v>0</v>
      </c>
      <c r="T90" s="31">
        <v>0</v>
      </c>
      <c r="U90" s="31">
        <v>6</v>
      </c>
      <c r="V90" s="31">
        <v>3</v>
      </c>
      <c r="X90" s="71"/>
    </row>
    <row r="91" spans="1:25" s="32" customFormat="1" ht="14.25" hidden="1" customHeight="1" x14ac:dyDescent="0.2">
      <c r="A91" s="108" t="s">
        <v>45</v>
      </c>
      <c r="B91" s="33" t="s">
        <v>37</v>
      </c>
      <c r="C91" s="34" t="s">
        <v>38</v>
      </c>
      <c r="D91" s="19">
        <v>546</v>
      </c>
      <c r="E91" s="19">
        <v>235</v>
      </c>
      <c r="F91" s="19">
        <v>311</v>
      </c>
      <c r="G91" s="19">
        <v>1</v>
      </c>
      <c r="H91" s="19">
        <v>1</v>
      </c>
      <c r="I91" s="19">
        <v>2</v>
      </c>
      <c r="J91" s="19">
        <v>0</v>
      </c>
      <c r="K91" s="19">
        <v>161</v>
      </c>
      <c r="L91" s="19">
        <v>119</v>
      </c>
      <c r="M91" s="19">
        <v>8</v>
      </c>
      <c r="N91" s="19">
        <v>4</v>
      </c>
      <c r="O91" s="19">
        <v>36</v>
      </c>
      <c r="P91" s="19">
        <v>161</v>
      </c>
      <c r="Q91" s="19">
        <v>23</v>
      </c>
      <c r="R91" s="19">
        <v>24</v>
      </c>
      <c r="S91" s="19">
        <v>0</v>
      </c>
      <c r="T91" s="19">
        <v>0</v>
      </c>
      <c r="U91" s="19">
        <v>4</v>
      </c>
      <c r="V91" s="19">
        <v>2</v>
      </c>
      <c r="X91" s="71"/>
    </row>
    <row r="92" spans="1:25" s="32" customFormat="1" ht="14.25" hidden="1" customHeight="1" x14ac:dyDescent="0.2">
      <c r="A92" s="108"/>
      <c r="B92" s="36" t="s">
        <v>39</v>
      </c>
      <c r="C92" s="37" t="s">
        <v>163</v>
      </c>
      <c r="D92" s="19">
        <v>120</v>
      </c>
      <c r="E92" s="19">
        <v>47</v>
      </c>
      <c r="F92" s="19">
        <v>73</v>
      </c>
      <c r="G92" s="19">
        <v>0</v>
      </c>
      <c r="H92" s="19">
        <v>0</v>
      </c>
      <c r="I92" s="19">
        <v>0</v>
      </c>
      <c r="J92" s="19">
        <v>0</v>
      </c>
      <c r="K92" s="19">
        <v>31</v>
      </c>
      <c r="L92" s="19">
        <v>26</v>
      </c>
      <c r="M92" s="19">
        <v>0</v>
      </c>
      <c r="N92" s="19">
        <v>0</v>
      </c>
      <c r="O92" s="19">
        <v>6</v>
      </c>
      <c r="P92" s="19">
        <v>34</v>
      </c>
      <c r="Q92" s="19">
        <v>8</v>
      </c>
      <c r="R92" s="19">
        <v>12</v>
      </c>
      <c r="S92" s="19">
        <v>0</v>
      </c>
      <c r="T92" s="19">
        <v>0</v>
      </c>
      <c r="U92" s="19">
        <v>2</v>
      </c>
      <c r="V92" s="19">
        <v>1</v>
      </c>
      <c r="X92" s="71"/>
    </row>
    <row r="93" spans="1:25" s="32" customFormat="1" ht="14.25" hidden="1" customHeight="1" x14ac:dyDescent="0.2">
      <c r="A93" s="35" t="s">
        <v>46</v>
      </c>
      <c r="B93" s="29" t="s">
        <v>35</v>
      </c>
      <c r="C93" s="30" t="s">
        <v>36</v>
      </c>
      <c r="D93" s="31">
        <v>942</v>
      </c>
      <c r="E93" s="31">
        <v>445</v>
      </c>
      <c r="F93" s="31">
        <v>497</v>
      </c>
      <c r="G93" s="31">
        <v>1</v>
      </c>
      <c r="H93" s="31">
        <v>0</v>
      </c>
      <c r="I93" s="31">
        <v>0</v>
      </c>
      <c r="J93" s="31">
        <v>0</v>
      </c>
      <c r="K93" s="31">
        <v>272</v>
      </c>
      <c r="L93" s="31">
        <v>175</v>
      </c>
      <c r="M93" s="31">
        <v>44</v>
      </c>
      <c r="N93" s="31">
        <v>47</v>
      </c>
      <c r="O93" s="31">
        <v>36</v>
      </c>
      <c r="P93" s="31">
        <v>185</v>
      </c>
      <c r="Q93" s="31">
        <v>78</v>
      </c>
      <c r="R93" s="31">
        <v>88</v>
      </c>
      <c r="S93" s="31">
        <v>3</v>
      </c>
      <c r="T93" s="31">
        <v>2</v>
      </c>
      <c r="U93" s="31">
        <v>11</v>
      </c>
      <c r="V93" s="31">
        <v>0</v>
      </c>
      <c r="X93" s="71"/>
    </row>
    <row r="94" spans="1:25" s="32" customFormat="1" ht="14.25" hidden="1" customHeight="1" x14ac:dyDescent="0.2">
      <c r="A94" s="108" t="s">
        <v>47</v>
      </c>
      <c r="B94" s="33" t="s">
        <v>37</v>
      </c>
      <c r="C94" s="34" t="s">
        <v>38</v>
      </c>
      <c r="D94" s="19">
        <v>900</v>
      </c>
      <c r="E94" s="19">
        <v>423</v>
      </c>
      <c r="F94" s="19">
        <v>477</v>
      </c>
      <c r="G94" s="19">
        <v>1</v>
      </c>
      <c r="H94" s="19">
        <v>0</v>
      </c>
      <c r="I94" s="19">
        <v>0</v>
      </c>
      <c r="J94" s="19">
        <v>0</v>
      </c>
      <c r="K94" s="19">
        <v>259</v>
      </c>
      <c r="L94" s="19">
        <v>168</v>
      </c>
      <c r="M94" s="19">
        <v>41</v>
      </c>
      <c r="N94" s="19">
        <v>44</v>
      </c>
      <c r="O94" s="19">
        <v>36</v>
      </c>
      <c r="P94" s="19">
        <v>180</v>
      </c>
      <c r="Q94" s="19">
        <v>73</v>
      </c>
      <c r="R94" s="19">
        <v>83</v>
      </c>
      <c r="S94" s="19">
        <v>3</v>
      </c>
      <c r="T94" s="19">
        <v>2</v>
      </c>
      <c r="U94" s="19">
        <v>10</v>
      </c>
      <c r="V94" s="19">
        <v>0</v>
      </c>
      <c r="X94" s="71"/>
    </row>
    <row r="95" spans="1:25" s="32" customFormat="1" ht="14.25" hidden="1" customHeight="1" x14ac:dyDescent="0.2">
      <c r="A95" s="108"/>
      <c r="B95" s="36" t="s">
        <v>39</v>
      </c>
      <c r="C95" s="37" t="s">
        <v>163</v>
      </c>
      <c r="D95" s="19">
        <v>42</v>
      </c>
      <c r="E95" s="19">
        <v>22</v>
      </c>
      <c r="F95" s="19">
        <v>20</v>
      </c>
      <c r="G95" s="19">
        <v>0</v>
      </c>
      <c r="H95" s="19">
        <v>0</v>
      </c>
      <c r="I95" s="19">
        <v>0</v>
      </c>
      <c r="J95" s="19">
        <v>0</v>
      </c>
      <c r="K95" s="19">
        <v>13</v>
      </c>
      <c r="L95" s="19">
        <v>7</v>
      </c>
      <c r="M95" s="19">
        <v>3</v>
      </c>
      <c r="N95" s="19">
        <v>3</v>
      </c>
      <c r="O95" s="19">
        <v>0</v>
      </c>
      <c r="P95" s="19">
        <v>5</v>
      </c>
      <c r="Q95" s="19">
        <v>5</v>
      </c>
      <c r="R95" s="19">
        <v>5</v>
      </c>
      <c r="S95" s="19">
        <v>0</v>
      </c>
      <c r="T95" s="19">
        <v>0</v>
      </c>
      <c r="U95" s="19">
        <v>1</v>
      </c>
      <c r="V95" s="19">
        <v>0</v>
      </c>
      <c r="X95" s="71"/>
    </row>
    <row r="96" spans="1:25" s="32" customFormat="1" ht="14.25" hidden="1" customHeight="1" x14ac:dyDescent="0.2">
      <c r="A96" s="35" t="s">
        <v>48</v>
      </c>
      <c r="B96" s="29" t="s">
        <v>35</v>
      </c>
      <c r="C96" s="30" t="s">
        <v>36</v>
      </c>
      <c r="D96" s="31">
        <v>341</v>
      </c>
      <c r="E96" s="31">
        <v>173</v>
      </c>
      <c r="F96" s="31">
        <v>168</v>
      </c>
      <c r="G96" s="31">
        <v>0</v>
      </c>
      <c r="H96" s="31">
        <v>0</v>
      </c>
      <c r="I96" s="31">
        <v>0</v>
      </c>
      <c r="J96" s="31">
        <v>0</v>
      </c>
      <c r="K96" s="31">
        <v>120</v>
      </c>
      <c r="L96" s="31">
        <v>56</v>
      </c>
      <c r="M96" s="31">
        <v>6</v>
      </c>
      <c r="N96" s="31">
        <v>3</v>
      </c>
      <c r="O96" s="31">
        <v>15</v>
      </c>
      <c r="P96" s="31">
        <v>94</v>
      </c>
      <c r="Q96" s="31">
        <v>19</v>
      </c>
      <c r="R96" s="31">
        <v>12</v>
      </c>
      <c r="S96" s="31">
        <v>1</v>
      </c>
      <c r="T96" s="31">
        <v>1</v>
      </c>
      <c r="U96" s="31">
        <v>12</v>
      </c>
      <c r="V96" s="31">
        <v>2</v>
      </c>
      <c r="X96" s="71"/>
    </row>
    <row r="97" spans="1:24" s="32" customFormat="1" ht="14.25" hidden="1" customHeight="1" x14ac:dyDescent="0.2">
      <c r="A97" s="108" t="s">
        <v>49</v>
      </c>
      <c r="B97" s="33" t="s">
        <v>37</v>
      </c>
      <c r="C97" s="34" t="s">
        <v>38</v>
      </c>
      <c r="D97" s="19">
        <v>330</v>
      </c>
      <c r="E97" s="19">
        <v>168</v>
      </c>
      <c r="F97" s="19">
        <v>162</v>
      </c>
      <c r="G97" s="19">
        <v>0</v>
      </c>
      <c r="H97" s="19">
        <v>0</v>
      </c>
      <c r="I97" s="19">
        <v>0</v>
      </c>
      <c r="J97" s="19">
        <v>0</v>
      </c>
      <c r="K97" s="19">
        <v>116</v>
      </c>
      <c r="L97" s="19">
        <v>55</v>
      </c>
      <c r="M97" s="19">
        <v>5</v>
      </c>
      <c r="N97" s="19">
        <v>2</v>
      </c>
      <c r="O97" s="19">
        <v>15</v>
      </c>
      <c r="P97" s="19">
        <v>91</v>
      </c>
      <c r="Q97" s="19">
        <v>19</v>
      </c>
      <c r="R97" s="19">
        <v>11</v>
      </c>
      <c r="S97" s="19">
        <v>1</v>
      </c>
      <c r="T97" s="19">
        <v>1</v>
      </c>
      <c r="U97" s="19">
        <v>12</v>
      </c>
      <c r="V97" s="19">
        <v>2</v>
      </c>
      <c r="X97" s="71"/>
    </row>
    <row r="98" spans="1:24" s="32" customFormat="1" ht="14.25" hidden="1" customHeight="1" x14ac:dyDescent="0.2">
      <c r="A98" s="108"/>
      <c r="B98" s="36" t="s">
        <v>39</v>
      </c>
      <c r="C98" s="37" t="s">
        <v>163</v>
      </c>
      <c r="D98" s="19">
        <v>11</v>
      </c>
      <c r="E98" s="19">
        <v>5</v>
      </c>
      <c r="F98" s="19">
        <v>6</v>
      </c>
      <c r="G98" s="19">
        <v>0</v>
      </c>
      <c r="H98" s="19">
        <v>0</v>
      </c>
      <c r="I98" s="19">
        <v>0</v>
      </c>
      <c r="J98" s="19">
        <v>0</v>
      </c>
      <c r="K98" s="19">
        <v>4</v>
      </c>
      <c r="L98" s="19">
        <v>1</v>
      </c>
      <c r="M98" s="19">
        <v>1</v>
      </c>
      <c r="N98" s="19">
        <v>1</v>
      </c>
      <c r="O98" s="19">
        <v>0</v>
      </c>
      <c r="P98" s="19">
        <v>3</v>
      </c>
      <c r="Q98" s="19">
        <v>0</v>
      </c>
      <c r="R98" s="19">
        <v>1</v>
      </c>
      <c r="S98" s="19">
        <v>0</v>
      </c>
      <c r="T98" s="19">
        <v>0</v>
      </c>
      <c r="U98" s="19">
        <v>0</v>
      </c>
      <c r="V98" s="19">
        <v>0</v>
      </c>
      <c r="X98" s="71"/>
    </row>
    <row r="99" spans="1:24" s="32" customFormat="1" ht="14.25" hidden="1" customHeight="1" x14ac:dyDescent="0.2">
      <c r="A99" s="35" t="s">
        <v>50</v>
      </c>
      <c r="B99" s="29" t="s">
        <v>35</v>
      </c>
      <c r="C99" s="30" t="s">
        <v>36</v>
      </c>
      <c r="D99" s="31">
        <v>603</v>
      </c>
      <c r="E99" s="31">
        <v>258</v>
      </c>
      <c r="F99" s="31">
        <v>345</v>
      </c>
      <c r="G99" s="31">
        <v>0</v>
      </c>
      <c r="H99" s="31">
        <v>0</v>
      </c>
      <c r="I99" s="31">
        <v>0</v>
      </c>
      <c r="J99" s="31">
        <v>0</v>
      </c>
      <c r="K99" s="31">
        <v>132</v>
      </c>
      <c r="L99" s="31">
        <v>107</v>
      </c>
      <c r="M99" s="31">
        <v>4</v>
      </c>
      <c r="N99" s="31">
        <v>25</v>
      </c>
      <c r="O99" s="31">
        <v>40</v>
      </c>
      <c r="P99" s="31">
        <v>166</v>
      </c>
      <c r="Q99" s="31">
        <v>56</v>
      </c>
      <c r="R99" s="31">
        <v>33</v>
      </c>
      <c r="S99" s="31">
        <v>1</v>
      </c>
      <c r="T99" s="31">
        <v>0</v>
      </c>
      <c r="U99" s="31">
        <v>25</v>
      </c>
      <c r="V99" s="31">
        <v>14</v>
      </c>
      <c r="X99" s="71"/>
    </row>
    <row r="100" spans="1:24" s="32" customFormat="1" ht="14.25" hidden="1" customHeight="1" x14ac:dyDescent="0.2">
      <c r="A100" s="108" t="s">
        <v>51</v>
      </c>
      <c r="B100" s="33" t="s">
        <v>37</v>
      </c>
      <c r="C100" s="34" t="s">
        <v>38</v>
      </c>
      <c r="D100" s="19">
        <v>555</v>
      </c>
      <c r="E100" s="19">
        <v>238</v>
      </c>
      <c r="F100" s="19">
        <v>317</v>
      </c>
      <c r="G100" s="19">
        <v>0</v>
      </c>
      <c r="H100" s="19">
        <v>0</v>
      </c>
      <c r="I100" s="19">
        <v>0</v>
      </c>
      <c r="J100" s="19">
        <v>0</v>
      </c>
      <c r="K100" s="19">
        <v>123</v>
      </c>
      <c r="L100" s="19">
        <v>96</v>
      </c>
      <c r="M100" s="19">
        <v>3</v>
      </c>
      <c r="N100" s="19">
        <v>23</v>
      </c>
      <c r="O100" s="19">
        <v>36</v>
      </c>
      <c r="P100" s="19">
        <v>155</v>
      </c>
      <c r="Q100" s="19">
        <v>50</v>
      </c>
      <c r="R100" s="19">
        <v>29</v>
      </c>
      <c r="S100" s="19">
        <v>1</v>
      </c>
      <c r="T100" s="19">
        <v>0</v>
      </c>
      <c r="U100" s="19">
        <v>25</v>
      </c>
      <c r="V100" s="19">
        <v>14</v>
      </c>
      <c r="X100" s="71"/>
    </row>
    <row r="101" spans="1:24" s="32" customFormat="1" ht="14.25" hidden="1" customHeight="1" x14ac:dyDescent="0.2">
      <c r="A101" s="108"/>
      <c r="B101" s="36" t="s">
        <v>39</v>
      </c>
      <c r="C101" s="37" t="s">
        <v>163</v>
      </c>
      <c r="D101" s="19">
        <v>48</v>
      </c>
      <c r="E101" s="19">
        <v>20</v>
      </c>
      <c r="F101" s="19">
        <v>28</v>
      </c>
      <c r="G101" s="19">
        <v>0</v>
      </c>
      <c r="H101" s="19">
        <v>0</v>
      </c>
      <c r="I101" s="19">
        <v>0</v>
      </c>
      <c r="J101" s="19">
        <v>0</v>
      </c>
      <c r="K101" s="19">
        <v>9</v>
      </c>
      <c r="L101" s="19">
        <v>11</v>
      </c>
      <c r="M101" s="19">
        <v>1</v>
      </c>
      <c r="N101" s="19">
        <v>2</v>
      </c>
      <c r="O101" s="19">
        <v>4</v>
      </c>
      <c r="P101" s="19">
        <v>11</v>
      </c>
      <c r="Q101" s="19">
        <v>6</v>
      </c>
      <c r="R101" s="19">
        <v>4</v>
      </c>
      <c r="S101" s="19">
        <v>0</v>
      </c>
      <c r="T101" s="19">
        <v>0</v>
      </c>
      <c r="U101" s="19">
        <v>0</v>
      </c>
      <c r="V101" s="19">
        <v>0</v>
      </c>
      <c r="X101" s="71"/>
    </row>
    <row r="102" spans="1:24" s="32" customFormat="1" ht="14.25" hidden="1" customHeight="1" x14ac:dyDescent="0.2">
      <c r="A102" s="38" t="s">
        <v>52</v>
      </c>
      <c r="B102" s="29" t="s">
        <v>35</v>
      </c>
      <c r="C102" s="30" t="s">
        <v>36</v>
      </c>
      <c r="D102" s="31">
        <v>67</v>
      </c>
      <c r="E102" s="31">
        <v>21</v>
      </c>
      <c r="F102" s="31">
        <v>46</v>
      </c>
      <c r="G102" s="31">
        <v>1</v>
      </c>
      <c r="H102" s="31">
        <v>0</v>
      </c>
      <c r="I102" s="31">
        <v>0</v>
      </c>
      <c r="J102" s="31">
        <v>1</v>
      </c>
      <c r="K102" s="31">
        <v>8</v>
      </c>
      <c r="L102" s="31">
        <v>14</v>
      </c>
      <c r="M102" s="31">
        <v>2</v>
      </c>
      <c r="N102" s="31">
        <v>0</v>
      </c>
      <c r="O102" s="31">
        <v>4</v>
      </c>
      <c r="P102" s="31">
        <v>31</v>
      </c>
      <c r="Q102" s="31">
        <v>4</v>
      </c>
      <c r="R102" s="31">
        <v>0</v>
      </c>
      <c r="S102" s="31">
        <v>0</v>
      </c>
      <c r="T102" s="31">
        <v>0</v>
      </c>
      <c r="U102" s="31">
        <v>2</v>
      </c>
      <c r="V102" s="31">
        <v>0</v>
      </c>
      <c r="X102" s="71"/>
    </row>
    <row r="103" spans="1:24" s="32" customFormat="1" ht="14.25" hidden="1" customHeight="1" x14ac:dyDescent="0.2">
      <c r="A103" s="108" t="s">
        <v>53</v>
      </c>
      <c r="B103" s="33" t="s">
        <v>37</v>
      </c>
      <c r="C103" s="34" t="s">
        <v>38</v>
      </c>
      <c r="D103" s="19">
        <v>53</v>
      </c>
      <c r="E103" s="19">
        <v>19</v>
      </c>
      <c r="F103" s="19">
        <v>34</v>
      </c>
      <c r="G103" s="19">
        <v>1</v>
      </c>
      <c r="H103" s="19">
        <v>0</v>
      </c>
      <c r="I103" s="19">
        <v>0</v>
      </c>
      <c r="J103" s="19">
        <v>0</v>
      </c>
      <c r="K103" s="19">
        <v>8</v>
      </c>
      <c r="L103" s="19">
        <v>13</v>
      </c>
      <c r="M103" s="19">
        <v>1</v>
      </c>
      <c r="N103" s="19">
        <v>0</v>
      </c>
      <c r="O103" s="19">
        <v>4</v>
      </c>
      <c r="P103" s="19">
        <v>21</v>
      </c>
      <c r="Q103" s="19">
        <v>3</v>
      </c>
      <c r="R103" s="19">
        <v>0</v>
      </c>
      <c r="S103" s="19">
        <v>0</v>
      </c>
      <c r="T103" s="19">
        <v>0</v>
      </c>
      <c r="U103" s="19">
        <v>2</v>
      </c>
      <c r="V103" s="19">
        <v>0</v>
      </c>
      <c r="X103" s="71"/>
    </row>
    <row r="104" spans="1:24" s="32" customFormat="1" ht="14.25" hidden="1" customHeight="1" x14ac:dyDescent="0.2">
      <c r="A104" s="108"/>
      <c r="B104" s="36" t="s">
        <v>39</v>
      </c>
      <c r="C104" s="37" t="s">
        <v>163</v>
      </c>
      <c r="D104" s="19">
        <v>14</v>
      </c>
      <c r="E104" s="19">
        <v>2</v>
      </c>
      <c r="F104" s="19">
        <v>12</v>
      </c>
      <c r="G104" s="19">
        <v>0</v>
      </c>
      <c r="H104" s="19">
        <v>0</v>
      </c>
      <c r="I104" s="19">
        <v>0</v>
      </c>
      <c r="J104" s="19">
        <v>1</v>
      </c>
      <c r="K104" s="19">
        <v>0</v>
      </c>
      <c r="L104" s="19">
        <v>1</v>
      </c>
      <c r="M104" s="19">
        <v>1</v>
      </c>
      <c r="N104" s="19">
        <v>0</v>
      </c>
      <c r="O104" s="19">
        <v>0</v>
      </c>
      <c r="P104" s="19">
        <v>10</v>
      </c>
      <c r="Q104" s="19">
        <v>1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X104" s="71"/>
    </row>
    <row r="105" spans="1:24" s="32" customFormat="1" ht="14.25" hidden="1" customHeight="1" x14ac:dyDescent="0.2">
      <c r="A105" s="38" t="s">
        <v>54</v>
      </c>
      <c r="B105" s="29" t="s">
        <v>35</v>
      </c>
      <c r="C105" s="30" t="s">
        <v>36</v>
      </c>
      <c r="D105" s="31">
        <v>149</v>
      </c>
      <c r="E105" s="31">
        <v>56</v>
      </c>
      <c r="F105" s="31">
        <v>93</v>
      </c>
      <c r="G105" s="31">
        <v>0</v>
      </c>
      <c r="H105" s="31">
        <v>0</v>
      </c>
      <c r="I105" s="31">
        <v>0</v>
      </c>
      <c r="J105" s="31">
        <v>0</v>
      </c>
      <c r="K105" s="31">
        <v>29</v>
      </c>
      <c r="L105" s="31">
        <v>30</v>
      </c>
      <c r="M105" s="31">
        <v>1</v>
      </c>
      <c r="N105" s="31">
        <v>4</v>
      </c>
      <c r="O105" s="31">
        <v>11</v>
      </c>
      <c r="P105" s="31">
        <v>53</v>
      </c>
      <c r="Q105" s="31">
        <v>10</v>
      </c>
      <c r="R105" s="31">
        <v>6</v>
      </c>
      <c r="S105" s="31">
        <v>0</v>
      </c>
      <c r="T105" s="31">
        <v>0</v>
      </c>
      <c r="U105" s="31">
        <v>5</v>
      </c>
      <c r="V105" s="31">
        <v>0</v>
      </c>
      <c r="X105" s="71"/>
    </row>
    <row r="106" spans="1:24" s="32" customFormat="1" ht="14.25" hidden="1" customHeight="1" x14ac:dyDescent="0.2">
      <c r="A106" s="108" t="s">
        <v>55</v>
      </c>
      <c r="B106" s="33" t="s">
        <v>37</v>
      </c>
      <c r="C106" s="34" t="s">
        <v>38</v>
      </c>
      <c r="D106" s="19">
        <v>111</v>
      </c>
      <c r="E106" s="19">
        <v>40</v>
      </c>
      <c r="F106" s="19">
        <v>71</v>
      </c>
      <c r="G106" s="19">
        <v>0</v>
      </c>
      <c r="H106" s="19">
        <v>0</v>
      </c>
      <c r="I106" s="19">
        <v>0</v>
      </c>
      <c r="J106" s="19">
        <v>0</v>
      </c>
      <c r="K106" s="19">
        <v>27</v>
      </c>
      <c r="L106" s="19">
        <v>26</v>
      </c>
      <c r="M106" s="19">
        <v>1</v>
      </c>
      <c r="N106" s="19">
        <v>4</v>
      </c>
      <c r="O106" s="19">
        <v>5</v>
      </c>
      <c r="P106" s="19">
        <v>38</v>
      </c>
      <c r="Q106" s="19">
        <v>2</v>
      </c>
      <c r="R106" s="19">
        <v>3</v>
      </c>
      <c r="S106" s="19">
        <v>0</v>
      </c>
      <c r="T106" s="19">
        <v>0</v>
      </c>
      <c r="U106" s="19">
        <v>5</v>
      </c>
      <c r="V106" s="19">
        <v>0</v>
      </c>
      <c r="X106" s="71"/>
    </row>
    <row r="107" spans="1:24" s="32" customFormat="1" ht="14.25" hidden="1" customHeight="1" x14ac:dyDescent="0.2">
      <c r="A107" s="108"/>
      <c r="B107" s="36" t="s">
        <v>39</v>
      </c>
      <c r="C107" s="37" t="s">
        <v>163</v>
      </c>
      <c r="D107" s="19">
        <v>38</v>
      </c>
      <c r="E107" s="19">
        <v>16</v>
      </c>
      <c r="F107" s="19">
        <v>22</v>
      </c>
      <c r="G107" s="19">
        <v>0</v>
      </c>
      <c r="H107" s="19">
        <v>0</v>
      </c>
      <c r="I107" s="19">
        <v>0</v>
      </c>
      <c r="J107" s="19">
        <v>0</v>
      </c>
      <c r="K107" s="19">
        <v>2</v>
      </c>
      <c r="L107" s="19">
        <v>4</v>
      </c>
      <c r="M107" s="19">
        <v>0</v>
      </c>
      <c r="N107" s="19">
        <v>0</v>
      </c>
      <c r="O107" s="19">
        <v>6</v>
      </c>
      <c r="P107" s="19">
        <v>15</v>
      </c>
      <c r="Q107" s="19">
        <v>8</v>
      </c>
      <c r="R107" s="19">
        <v>3</v>
      </c>
      <c r="S107" s="19">
        <v>0</v>
      </c>
      <c r="T107" s="19">
        <v>0</v>
      </c>
      <c r="U107" s="19">
        <v>0</v>
      </c>
      <c r="V107" s="19">
        <v>0</v>
      </c>
      <c r="X107" s="71"/>
    </row>
    <row r="108" spans="1:24" s="32" customFormat="1" ht="14.25" hidden="1" customHeight="1" x14ac:dyDescent="0.2">
      <c r="A108" s="38" t="s">
        <v>56</v>
      </c>
      <c r="B108" s="29" t="s">
        <v>35</v>
      </c>
      <c r="C108" s="30" t="s">
        <v>36</v>
      </c>
      <c r="D108" s="31">
        <v>66</v>
      </c>
      <c r="E108" s="31">
        <v>13</v>
      </c>
      <c r="F108" s="31">
        <v>53</v>
      </c>
      <c r="G108" s="31">
        <v>0</v>
      </c>
      <c r="H108" s="31">
        <v>0</v>
      </c>
      <c r="I108" s="31">
        <v>0</v>
      </c>
      <c r="J108" s="31">
        <v>0</v>
      </c>
      <c r="K108" s="31">
        <v>4</v>
      </c>
      <c r="L108" s="31">
        <v>5</v>
      </c>
      <c r="M108" s="31">
        <v>1</v>
      </c>
      <c r="N108" s="31">
        <v>1</v>
      </c>
      <c r="O108" s="31">
        <v>4</v>
      </c>
      <c r="P108" s="31">
        <v>42</v>
      </c>
      <c r="Q108" s="31">
        <v>2</v>
      </c>
      <c r="R108" s="31">
        <v>5</v>
      </c>
      <c r="S108" s="31">
        <v>0</v>
      </c>
      <c r="T108" s="31">
        <v>0</v>
      </c>
      <c r="U108" s="31">
        <v>2</v>
      </c>
      <c r="V108" s="31">
        <v>0</v>
      </c>
      <c r="X108" s="71"/>
    </row>
    <row r="109" spans="1:24" s="32" customFormat="1" ht="14.25" hidden="1" customHeight="1" x14ac:dyDescent="0.2">
      <c r="A109" s="108" t="s">
        <v>57</v>
      </c>
      <c r="B109" s="33" t="s">
        <v>37</v>
      </c>
      <c r="C109" s="34" t="s">
        <v>38</v>
      </c>
      <c r="D109" s="19">
        <v>60</v>
      </c>
      <c r="E109" s="19">
        <v>12</v>
      </c>
      <c r="F109" s="19">
        <v>48</v>
      </c>
      <c r="G109" s="19">
        <v>0</v>
      </c>
      <c r="H109" s="19">
        <v>0</v>
      </c>
      <c r="I109" s="19">
        <v>0</v>
      </c>
      <c r="J109" s="19">
        <v>0</v>
      </c>
      <c r="K109" s="19">
        <v>3</v>
      </c>
      <c r="L109" s="19">
        <v>4</v>
      </c>
      <c r="M109" s="19">
        <v>1</v>
      </c>
      <c r="N109" s="19">
        <v>1</v>
      </c>
      <c r="O109" s="19">
        <v>4</v>
      </c>
      <c r="P109" s="19">
        <v>38</v>
      </c>
      <c r="Q109" s="19">
        <v>2</v>
      </c>
      <c r="R109" s="19">
        <v>5</v>
      </c>
      <c r="S109" s="19">
        <v>0</v>
      </c>
      <c r="T109" s="19">
        <v>0</v>
      </c>
      <c r="U109" s="19">
        <v>2</v>
      </c>
      <c r="V109" s="19">
        <v>0</v>
      </c>
      <c r="X109" s="71"/>
    </row>
    <row r="110" spans="1:24" s="32" customFormat="1" ht="14.25" hidden="1" customHeight="1" x14ac:dyDescent="0.2">
      <c r="A110" s="108"/>
      <c r="B110" s="36" t="s">
        <v>39</v>
      </c>
      <c r="C110" s="37" t="s">
        <v>163</v>
      </c>
      <c r="D110" s="19">
        <v>6</v>
      </c>
      <c r="E110" s="19">
        <v>1</v>
      </c>
      <c r="F110" s="19">
        <v>5</v>
      </c>
      <c r="G110" s="19">
        <v>0</v>
      </c>
      <c r="H110" s="19">
        <v>0</v>
      </c>
      <c r="I110" s="19">
        <v>0</v>
      </c>
      <c r="J110" s="19">
        <v>0</v>
      </c>
      <c r="K110" s="19">
        <v>1</v>
      </c>
      <c r="L110" s="19">
        <v>1</v>
      </c>
      <c r="M110" s="19">
        <v>0</v>
      </c>
      <c r="N110" s="19">
        <v>0</v>
      </c>
      <c r="O110" s="19">
        <v>0</v>
      </c>
      <c r="P110" s="19">
        <v>4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X110" s="71"/>
    </row>
    <row r="111" spans="1:24" s="32" customFormat="1" ht="14.25" hidden="1" customHeight="1" x14ac:dyDescent="0.2">
      <c r="A111" s="38" t="s">
        <v>58</v>
      </c>
      <c r="B111" s="29" t="s">
        <v>35</v>
      </c>
      <c r="C111" s="30" t="s">
        <v>36</v>
      </c>
      <c r="D111" s="31">
        <v>228</v>
      </c>
      <c r="E111" s="31">
        <v>96</v>
      </c>
      <c r="F111" s="31">
        <v>132</v>
      </c>
      <c r="G111" s="31">
        <v>0</v>
      </c>
      <c r="H111" s="31">
        <v>0</v>
      </c>
      <c r="I111" s="31">
        <v>0</v>
      </c>
      <c r="J111" s="31">
        <v>0</v>
      </c>
      <c r="K111" s="31">
        <v>50</v>
      </c>
      <c r="L111" s="31">
        <v>24</v>
      </c>
      <c r="M111" s="31">
        <v>6</v>
      </c>
      <c r="N111" s="31">
        <v>6</v>
      </c>
      <c r="O111" s="31">
        <v>14</v>
      </c>
      <c r="P111" s="31">
        <v>80</v>
      </c>
      <c r="Q111" s="31">
        <v>22</v>
      </c>
      <c r="R111" s="31">
        <v>22</v>
      </c>
      <c r="S111" s="31">
        <v>0</v>
      </c>
      <c r="T111" s="31">
        <v>0</v>
      </c>
      <c r="U111" s="31">
        <v>4</v>
      </c>
      <c r="V111" s="31">
        <v>0</v>
      </c>
      <c r="X111" s="71"/>
    </row>
    <row r="112" spans="1:24" s="32" customFormat="1" ht="14.25" hidden="1" customHeight="1" x14ac:dyDescent="0.2">
      <c r="A112" s="108" t="s">
        <v>59</v>
      </c>
      <c r="B112" s="33" t="s">
        <v>37</v>
      </c>
      <c r="C112" s="34" t="s">
        <v>38</v>
      </c>
      <c r="D112" s="19">
        <v>214</v>
      </c>
      <c r="E112" s="19">
        <v>93</v>
      </c>
      <c r="F112" s="19">
        <v>121</v>
      </c>
      <c r="G112" s="19">
        <v>0</v>
      </c>
      <c r="H112" s="19">
        <v>0</v>
      </c>
      <c r="I112" s="19">
        <v>0</v>
      </c>
      <c r="J112" s="19">
        <v>0</v>
      </c>
      <c r="K112" s="19">
        <v>48</v>
      </c>
      <c r="L112" s="19">
        <v>24</v>
      </c>
      <c r="M112" s="19">
        <v>6</v>
      </c>
      <c r="N112" s="19">
        <v>5</v>
      </c>
      <c r="O112" s="19">
        <v>14</v>
      </c>
      <c r="P112" s="19">
        <v>74</v>
      </c>
      <c r="Q112" s="19">
        <v>21</v>
      </c>
      <c r="R112" s="19">
        <v>18</v>
      </c>
      <c r="S112" s="19">
        <v>0</v>
      </c>
      <c r="T112" s="19">
        <v>0</v>
      </c>
      <c r="U112" s="19">
        <v>4</v>
      </c>
      <c r="V112" s="19">
        <v>0</v>
      </c>
      <c r="X112" s="71"/>
    </row>
    <row r="113" spans="1:24" s="32" customFormat="1" ht="14.25" hidden="1" customHeight="1" x14ac:dyDescent="0.2">
      <c r="A113" s="108"/>
      <c r="B113" s="36" t="s">
        <v>39</v>
      </c>
      <c r="C113" s="37" t="s">
        <v>163</v>
      </c>
      <c r="D113" s="19">
        <v>14</v>
      </c>
      <c r="E113" s="19">
        <v>3</v>
      </c>
      <c r="F113" s="19">
        <v>11</v>
      </c>
      <c r="G113" s="19">
        <v>0</v>
      </c>
      <c r="H113" s="19">
        <v>0</v>
      </c>
      <c r="I113" s="19">
        <v>0</v>
      </c>
      <c r="J113" s="19">
        <v>0</v>
      </c>
      <c r="K113" s="19">
        <v>2</v>
      </c>
      <c r="L113" s="19">
        <v>0</v>
      </c>
      <c r="M113" s="19">
        <v>0</v>
      </c>
      <c r="N113" s="19">
        <v>1</v>
      </c>
      <c r="O113" s="19">
        <v>0</v>
      </c>
      <c r="P113" s="19">
        <v>6</v>
      </c>
      <c r="Q113" s="19">
        <v>1</v>
      </c>
      <c r="R113" s="19">
        <v>4</v>
      </c>
      <c r="S113" s="19">
        <v>0</v>
      </c>
      <c r="T113" s="19">
        <v>0</v>
      </c>
      <c r="U113" s="19">
        <v>0</v>
      </c>
      <c r="V113" s="19">
        <v>0</v>
      </c>
      <c r="X113" s="71"/>
    </row>
    <row r="114" spans="1:24" s="32" customFormat="1" ht="14.25" hidden="1" customHeight="1" x14ac:dyDescent="0.2">
      <c r="A114" s="38" t="s">
        <v>60</v>
      </c>
      <c r="B114" s="29" t="s">
        <v>35</v>
      </c>
      <c r="C114" s="30" t="s">
        <v>36</v>
      </c>
      <c r="D114" s="31">
        <v>142</v>
      </c>
      <c r="E114" s="31">
        <v>67</v>
      </c>
      <c r="F114" s="31">
        <v>75</v>
      </c>
      <c r="G114" s="31">
        <v>0</v>
      </c>
      <c r="H114" s="31">
        <v>0</v>
      </c>
      <c r="I114" s="31">
        <v>0</v>
      </c>
      <c r="J114" s="31">
        <v>0</v>
      </c>
      <c r="K114" s="31">
        <v>44</v>
      </c>
      <c r="L114" s="31">
        <v>26</v>
      </c>
      <c r="M114" s="31">
        <v>3</v>
      </c>
      <c r="N114" s="31">
        <v>2</v>
      </c>
      <c r="O114" s="31">
        <v>7</v>
      </c>
      <c r="P114" s="31">
        <v>26</v>
      </c>
      <c r="Q114" s="31">
        <v>7</v>
      </c>
      <c r="R114" s="31">
        <v>19</v>
      </c>
      <c r="S114" s="31">
        <v>1</v>
      </c>
      <c r="T114" s="31">
        <v>0</v>
      </c>
      <c r="U114" s="31">
        <v>5</v>
      </c>
      <c r="V114" s="31">
        <v>2</v>
      </c>
      <c r="X114" s="71"/>
    </row>
    <row r="115" spans="1:24" s="32" customFormat="1" ht="14.25" hidden="1" customHeight="1" x14ac:dyDescent="0.2">
      <c r="A115" s="108" t="s">
        <v>61</v>
      </c>
      <c r="B115" s="33" t="s">
        <v>37</v>
      </c>
      <c r="C115" s="34" t="s">
        <v>38</v>
      </c>
      <c r="D115" s="19">
        <v>87</v>
      </c>
      <c r="E115" s="19">
        <v>31</v>
      </c>
      <c r="F115" s="19">
        <v>56</v>
      </c>
      <c r="G115" s="19">
        <v>0</v>
      </c>
      <c r="H115" s="19">
        <v>0</v>
      </c>
      <c r="I115" s="19">
        <v>0</v>
      </c>
      <c r="J115" s="19">
        <v>0</v>
      </c>
      <c r="K115" s="19">
        <v>18</v>
      </c>
      <c r="L115" s="19">
        <v>14</v>
      </c>
      <c r="M115" s="19">
        <v>1</v>
      </c>
      <c r="N115" s="19">
        <v>2</v>
      </c>
      <c r="O115" s="19">
        <v>5</v>
      </c>
      <c r="P115" s="19">
        <v>20</v>
      </c>
      <c r="Q115" s="19">
        <v>3</v>
      </c>
      <c r="R115" s="19">
        <v>18</v>
      </c>
      <c r="S115" s="19">
        <v>0</v>
      </c>
      <c r="T115" s="19">
        <v>0</v>
      </c>
      <c r="U115" s="19">
        <v>4</v>
      </c>
      <c r="V115" s="19">
        <v>2</v>
      </c>
      <c r="X115" s="71"/>
    </row>
    <row r="116" spans="1:24" s="32" customFormat="1" ht="14.25" hidden="1" customHeight="1" x14ac:dyDescent="0.2">
      <c r="A116" s="108"/>
      <c r="B116" s="36" t="s">
        <v>39</v>
      </c>
      <c r="C116" s="37" t="s">
        <v>163</v>
      </c>
      <c r="D116" s="19">
        <v>55</v>
      </c>
      <c r="E116" s="19">
        <v>36</v>
      </c>
      <c r="F116" s="19">
        <v>19</v>
      </c>
      <c r="G116" s="19">
        <v>0</v>
      </c>
      <c r="H116" s="19">
        <v>0</v>
      </c>
      <c r="I116" s="19">
        <v>0</v>
      </c>
      <c r="J116" s="19">
        <v>0</v>
      </c>
      <c r="K116" s="19">
        <v>26</v>
      </c>
      <c r="L116" s="19">
        <v>12</v>
      </c>
      <c r="M116" s="19">
        <v>2</v>
      </c>
      <c r="N116" s="19">
        <v>0</v>
      </c>
      <c r="O116" s="19">
        <v>2</v>
      </c>
      <c r="P116" s="19">
        <v>6</v>
      </c>
      <c r="Q116" s="19">
        <v>4</v>
      </c>
      <c r="R116" s="19">
        <v>1</v>
      </c>
      <c r="S116" s="19">
        <v>1</v>
      </c>
      <c r="T116" s="19">
        <v>0</v>
      </c>
      <c r="U116" s="19">
        <v>1</v>
      </c>
      <c r="V116" s="19">
        <v>0</v>
      </c>
      <c r="X116" s="71"/>
    </row>
    <row r="117" spans="1:24" s="32" customFormat="1" ht="14.25" hidden="1" customHeight="1" x14ac:dyDescent="0.2">
      <c r="A117" s="38" t="s">
        <v>62</v>
      </c>
      <c r="B117" s="29" t="s">
        <v>35</v>
      </c>
      <c r="C117" s="30" t="s">
        <v>36</v>
      </c>
      <c r="D117" s="31">
        <v>155</v>
      </c>
      <c r="E117" s="31">
        <v>65</v>
      </c>
      <c r="F117" s="31">
        <v>90</v>
      </c>
      <c r="G117" s="31">
        <v>1</v>
      </c>
      <c r="H117" s="31">
        <v>0</v>
      </c>
      <c r="I117" s="31">
        <v>0</v>
      </c>
      <c r="J117" s="31">
        <v>0</v>
      </c>
      <c r="K117" s="31">
        <v>31</v>
      </c>
      <c r="L117" s="31">
        <v>25</v>
      </c>
      <c r="M117" s="31">
        <v>5</v>
      </c>
      <c r="N117" s="31">
        <v>5</v>
      </c>
      <c r="O117" s="31">
        <v>15</v>
      </c>
      <c r="P117" s="31">
        <v>45</v>
      </c>
      <c r="Q117" s="31">
        <v>9</v>
      </c>
      <c r="R117" s="31">
        <v>11</v>
      </c>
      <c r="S117" s="31">
        <v>2</v>
      </c>
      <c r="T117" s="31">
        <v>3</v>
      </c>
      <c r="U117" s="31">
        <v>2</v>
      </c>
      <c r="V117" s="31">
        <v>1</v>
      </c>
      <c r="X117" s="71"/>
    </row>
    <row r="118" spans="1:24" s="32" customFormat="1" ht="14.25" hidden="1" customHeight="1" x14ac:dyDescent="0.2">
      <c r="A118" s="108" t="s">
        <v>63</v>
      </c>
      <c r="B118" s="33" t="s">
        <v>37</v>
      </c>
      <c r="C118" s="34" t="s">
        <v>38</v>
      </c>
      <c r="D118" s="19">
        <v>153</v>
      </c>
      <c r="E118" s="19">
        <v>63</v>
      </c>
      <c r="F118" s="19">
        <v>90</v>
      </c>
      <c r="G118" s="19">
        <v>1</v>
      </c>
      <c r="H118" s="19">
        <v>0</v>
      </c>
      <c r="I118" s="19">
        <v>0</v>
      </c>
      <c r="J118" s="19">
        <v>0</v>
      </c>
      <c r="K118" s="19">
        <v>30</v>
      </c>
      <c r="L118" s="19">
        <v>25</v>
      </c>
      <c r="M118" s="19">
        <v>5</v>
      </c>
      <c r="N118" s="19">
        <v>5</v>
      </c>
      <c r="O118" s="19">
        <v>15</v>
      </c>
      <c r="P118" s="19">
        <v>45</v>
      </c>
      <c r="Q118" s="19">
        <v>8</v>
      </c>
      <c r="R118" s="19">
        <v>11</v>
      </c>
      <c r="S118" s="19">
        <v>2</v>
      </c>
      <c r="T118" s="19">
        <v>3</v>
      </c>
      <c r="U118" s="19">
        <v>2</v>
      </c>
      <c r="V118" s="19">
        <v>1</v>
      </c>
      <c r="X118" s="71"/>
    </row>
    <row r="119" spans="1:24" s="32" customFormat="1" ht="14.25" hidden="1" customHeight="1" x14ac:dyDescent="0.2">
      <c r="A119" s="108"/>
      <c r="B119" s="36" t="s">
        <v>39</v>
      </c>
      <c r="C119" s="37" t="s">
        <v>163</v>
      </c>
      <c r="D119" s="19">
        <v>2</v>
      </c>
      <c r="E119" s="19">
        <v>2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1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1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X119" s="71"/>
    </row>
    <row r="120" spans="1:24" s="32" customFormat="1" ht="14.25" hidden="1" customHeight="1" x14ac:dyDescent="0.2">
      <c r="A120" s="38" t="s">
        <v>64</v>
      </c>
      <c r="B120" s="29" t="s">
        <v>35</v>
      </c>
      <c r="C120" s="30" t="s">
        <v>36</v>
      </c>
      <c r="D120" s="31">
        <v>84</v>
      </c>
      <c r="E120" s="31">
        <v>39</v>
      </c>
      <c r="F120" s="31">
        <v>45</v>
      </c>
      <c r="G120" s="31">
        <v>0</v>
      </c>
      <c r="H120" s="31">
        <v>0</v>
      </c>
      <c r="I120" s="31">
        <v>0</v>
      </c>
      <c r="J120" s="31">
        <v>1</v>
      </c>
      <c r="K120" s="31">
        <v>17</v>
      </c>
      <c r="L120" s="31">
        <v>12</v>
      </c>
      <c r="M120" s="31">
        <v>1</v>
      </c>
      <c r="N120" s="31">
        <v>2</v>
      </c>
      <c r="O120" s="31">
        <v>9</v>
      </c>
      <c r="P120" s="31">
        <v>28</v>
      </c>
      <c r="Q120" s="31">
        <v>9</v>
      </c>
      <c r="R120" s="31">
        <v>2</v>
      </c>
      <c r="S120" s="31">
        <v>0</v>
      </c>
      <c r="T120" s="31">
        <v>0</v>
      </c>
      <c r="U120" s="31">
        <v>3</v>
      </c>
      <c r="V120" s="31">
        <v>0</v>
      </c>
      <c r="X120" s="71"/>
    </row>
    <row r="121" spans="1:24" s="32" customFormat="1" ht="14.25" hidden="1" customHeight="1" x14ac:dyDescent="0.2">
      <c r="A121" s="108" t="s">
        <v>65</v>
      </c>
      <c r="B121" s="33" t="s">
        <v>37</v>
      </c>
      <c r="C121" s="34" t="s">
        <v>38</v>
      </c>
      <c r="D121" s="19">
        <v>81</v>
      </c>
      <c r="E121" s="19">
        <v>38</v>
      </c>
      <c r="F121" s="19">
        <v>43</v>
      </c>
      <c r="G121" s="19">
        <v>0</v>
      </c>
      <c r="H121" s="19">
        <v>0</v>
      </c>
      <c r="I121" s="19">
        <v>0</v>
      </c>
      <c r="J121" s="19">
        <v>1</v>
      </c>
      <c r="K121" s="19">
        <v>17</v>
      </c>
      <c r="L121" s="19">
        <v>12</v>
      </c>
      <c r="M121" s="19">
        <v>1</v>
      </c>
      <c r="N121" s="19">
        <v>1</v>
      </c>
      <c r="O121" s="19">
        <v>9</v>
      </c>
      <c r="P121" s="19">
        <v>28</v>
      </c>
      <c r="Q121" s="19">
        <v>8</v>
      </c>
      <c r="R121" s="19">
        <v>1</v>
      </c>
      <c r="S121" s="19">
        <v>0</v>
      </c>
      <c r="T121" s="19">
        <v>0</v>
      </c>
      <c r="U121" s="19">
        <v>3</v>
      </c>
      <c r="V121" s="19">
        <v>0</v>
      </c>
      <c r="X121" s="71"/>
    </row>
    <row r="122" spans="1:24" s="32" customFormat="1" ht="14.25" hidden="1" customHeight="1" x14ac:dyDescent="0.2">
      <c r="A122" s="108"/>
      <c r="B122" s="36" t="s">
        <v>39</v>
      </c>
      <c r="C122" s="37" t="s">
        <v>163</v>
      </c>
      <c r="D122" s="19">
        <v>3</v>
      </c>
      <c r="E122" s="19">
        <v>1</v>
      </c>
      <c r="F122" s="19">
        <v>2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1</v>
      </c>
      <c r="O122" s="19">
        <v>0</v>
      </c>
      <c r="P122" s="19">
        <v>0</v>
      </c>
      <c r="Q122" s="19">
        <v>1</v>
      </c>
      <c r="R122" s="19">
        <v>1</v>
      </c>
      <c r="S122" s="19">
        <v>0</v>
      </c>
      <c r="T122" s="19">
        <v>0</v>
      </c>
      <c r="U122" s="19">
        <v>0</v>
      </c>
      <c r="V122" s="19">
        <v>0</v>
      </c>
      <c r="X122" s="71"/>
    </row>
    <row r="123" spans="1:24" s="32" customFormat="1" ht="14.25" hidden="1" customHeight="1" x14ac:dyDescent="0.2">
      <c r="A123" s="38" t="s">
        <v>66</v>
      </c>
      <c r="B123" s="29" t="s">
        <v>35</v>
      </c>
      <c r="C123" s="30" t="s">
        <v>36</v>
      </c>
      <c r="D123" s="31">
        <v>212</v>
      </c>
      <c r="E123" s="31">
        <v>81</v>
      </c>
      <c r="F123" s="31">
        <v>131</v>
      </c>
      <c r="G123" s="31">
        <v>0</v>
      </c>
      <c r="H123" s="31">
        <v>0</v>
      </c>
      <c r="I123" s="31">
        <v>1</v>
      </c>
      <c r="J123" s="31">
        <v>0</v>
      </c>
      <c r="K123" s="31">
        <v>46</v>
      </c>
      <c r="L123" s="31">
        <v>53</v>
      </c>
      <c r="M123" s="31">
        <v>6</v>
      </c>
      <c r="N123" s="31">
        <v>4</v>
      </c>
      <c r="O123" s="31">
        <v>15</v>
      </c>
      <c r="P123" s="31">
        <v>69</v>
      </c>
      <c r="Q123" s="31">
        <v>5</v>
      </c>
      <c r="R123" s="31">
        <v>2</v>
      </c>
      <c r="S123" s="31">
        <v>2</v>
      </c>
      <c r="T123" s="31">
        <v>3</v>
      </c>
      <c r="U123" s="31">
        <v>6</v>
      </c>
      <c r="V123" s="31">
        <v>0</v>
      </c>
      <c r="X123" s="71"/>
    </row>
    <row r="124" spans="1:24" s="32" customFormat="1" ht="14.25" hidden="1" customHeight="1" x14ac:dyDescent="0.2">
      <c r="A124" s="108" t="s">
        <v>67</v>
      </c>
      <c r="B124" s="33" t="s">
        <v>37</v>
      </c>
      <c r="C124" s="34" t="s">
        <v>38</v>
      </c>
      <c r="D124" s="19">
        <v>185</v>
      </c>
      <c r="E124" s="19">
        <v>71</v>
      </c>
      <c r="F124" s="19">
        <v>114</v>
      </c>
      <c r="G124" s="19">
        <v>0</v>
      </c>
      <c r="H124" s="19">
        <v>0</v>
      </c>
      <c r="I124" s="19">
        <v>1</v>
      </c>
      <c r="J124" s="19">
        <v>0</v>
      </c>
      <c r="K124" s="19">
        <v>40</v>
      </c>
      <c r="L124" s="19">
        <v>49</v>
      </c>
      <c r="M124" s="19">
        <v>5</v>
      </c>
      <c r="N124" s="19">
        <v>4</v>
      </c>
      <c r="O124" s="19">
        <v>15</v>
      </c>
      <c r="P124" s="19">
        <v>57</v>
      </c>
      <c r="Q124" s="19">
        <v>3</v>
      </c>
      <c r="R124" s="19">
        <v>1</v>
      </c>
      <c r="S124" s="19">
        <v>1</v>
      </c>
      <c r="T124" s="19">
        <v>3</v>
      </c>
      <c r="U124" s="19">
        <v>6</v>
      </c>
      <c r="V124" s="19">
        <v>0</v>
      </c>
      <c r="X124" s="71"/>
    </row>
    <row r="125" spans="1:24" s="32" customFormat="1" ht="14.25" hidden="1" customHeight="1" x14ac:dyDescent="0.2">
      <c r="A125" s="108"/>
      <c r="B125" s="36" t="s">
        <v>39</v>
      </c>
      <c r="C125" s="37" t="s">
        <v>163</v>
      </c>
      <c r="D125" s="19">
        <v>27</v>
      </c>
      <c r="E125" s="19">
        <v>10</v>
      </c>
      <c r="F125" s="19">
        <v>17</v>
      </c>
      <c r="G125" s="19">
        <v>0</v>
      </c>
      <c r="H125" s="19">
        <v>0</v>
      </c>
      <c r="I125" s="19">
        <v>0</v>
      </c>
      <c r="J125" s="19">
        <v>0</v>
      </c>
      <c r="K125" s="19">
        <v>6</v>
      </c>
      <c r="L125" s="19">
        <v>4</v>
      </c>
      <c r="M125" s="19">
        <v>1</v>
      </c>
      <c r="N125" s="19">
        <v>0</v>
      </c>
      <c r="O125" s="19">
        <v>0</v>
      </c>
      <c r="P125" s="19">
        <v>12</v>
      </c>
      <c r="Q125" s="19">
        <v>2</v>
      </c>
      <c r="R125" s="19">
        <v>1</v>
      </c>
      <c r="S125" s="19">
        <v>1</v>
      </c>
      <c r="T125" s="19">
        <v>0</v>
      </c>
      <c r="U125" s="19">
        <v>0</v>
      </c>
      <c r="V125" s="19">
        <v>0</v>
      </c>
      <c r="X125" s="71"/>
    </row>
    <row r="126" spans="1:24" s="32" customFormat="1" ht="14.25" hidden="1" customHeight="1" x14ac:dyDescent="0.2">
      <c r="A126" s="38" t="s">
        <v>68</v>
      </c>
      <c r="B126" s="29" t="s">
        <v>35</v>
      </c>
      <c r="C126" s="30" t="s">
        <v>36</v>
      </c>
      <c r="D126" s="31">
        <v>26</v>
      </c>
      <c r="E126" s="31">
        <v>10</v>
      </c>
      <c r="F126" s="31">
        <v>16</v>
      </c>
      <c r="G126" s="31">
        <v>0</v>
      </c>
      <c r="H126" s="31">
        <v>0</v>
      </c>
      <c r="I126" s="31">
        <v>0</v>
      </c>
      <c r="J126" s="31">
        <v>0</v>
      </c>
      <c r="K126" s="31">
        <v>6</v>
      </c>
      <c r="L126" s="31">
        <v>8</v>
      </c>
      <c r="M126" s="31">
        <v>1</v>
      </c>
      <c r="N126" s="31">
        <v>3</v>
      </c>
      <c r="O126" s="31">
        <v>0</v>
      </c>
      <c r="P126" s="31">
        <v>0</v>
      </c>
      <c r="Q126" s="31">
        <v>3</v>
      </c>
      <c r="R126" s="31">
        <v>5</v>
      </c>
      <c r="S126" s="31">
        <v>0</v>
      </c>
      <c r="T126" s="31">
        <v>0</v>
      </c>
      <c r="U126" s="31">
        <v>0</v>
      </c>
      <c r="V126" s="31">
        <v>0</v>
      </c>
      <c r="X126" s="71"/>
    </row>
    <row r="127" spans="1:24" s="32" customFormat="1" ht="14.25" hidden="1" customHeight="1" x14ac:dyDescent="0.2">
      <c r="A127" s="108" t="s">
        <v>69</v>
      </c>
      <c r="B127" s="33" t="s">
        <v>37</v>
      </c>
      <c r="C127" s="34" t="s">
        <v>38</v>
      </c>
      <c r="D127" s="19">
        <v>10</v>
      </c>
      <c r="E127" s="19">
        <v>6</v>
      </c>
      <c r="F127" s="19">
        <v>4</v>
      </c>
      <c r="G127" s="19">
        <v>0</v>
      </c>
      <c r="H127" s="19">
        <v>0</v>
      </c>
      <c r="I127" s="19">
        <v>0</v>
      </c>
      <c r="J127" s="19">
        <v>0</v>
      </c>
      <c r="K127" s="19">
        <v>4</v>
      </c>
      <c r="L127" s="19">
        <v>2</v>
      </c>
      <c r="M127" s="19">
        <v>0</v>
      </c>
      <c r="N127" s="19">
        <v>1</v>
      </c>
      <c r="O127" s="19">
        <v>0</v>
      </c>
      <c r="P127" s="19">
        <v>0</v>
      </c>
      <c r="Q127" s="19">
        <v>2</v>
      </c>
      <c r="R127" s="19">
        <v>1</v>
      </c>
      <c r="S127" s="19">
        <v>0</v>
      </c>
      <c r="T127" s="19">
        <v>0</v>
      </c>
      <c r="U127" s="19">
        <v>0</v>
      </c>
      <c r="V127" s="19">
        <v>0</v>
      </c>
      <c r="X127" s="71"/>
    </row>
    <row r="128" spans="1:24" s="32" customFormat="1" ht="14.25" hidden="1" customHeight="1" x14ac:dyDescent="0.2">
      <c r="A128" s="108"/>
      <c r="B128" s="36" t="s">
        <v>39</v>
      </c>
      <c r="C128" s="37" t="s">
        <v>163</v>
      </c>
      <c r="D128" s="19">
        <v>16</v>
      </c>
      <c r="E128" s="19">
        <v>4</v>
      </c>
      <c r="F128" s="19">
        <v>12</v>
      </c>
      <c r="G128" s="19">
        <v>0</v>
      </c>
      <c r="H128" s="19">
        <v>0</v>
      </c>
      <c r="I128" s="19">
        <v>0</v>
      </c>
      <c r="J128" s="19">
        <v>0</v>
      </c>
      <c r="K128" s="19">
        <v>2</v>
      </c>
      <c r="L128" s="19">
        <v>6</v>
      </c>
      <c r="M128" s="19">
        <v>1</v>
      </c>
      <c r="N128" s="19">
        <v>2</v>
      </c>
      <c r="O128" s="19">
        <v>0</v>
      </c>
      <c r="P128" s="19">
        <v>0</v>
      </c>
      <c r="Q128" s="19">
        <v>1</v>
      </c>
      <c r="R128" s="19">
        <v>4</v>
      </c>
      <c r="S128" s="19">
        <v>0</v>
      </c>
      <c r="T128" s="19">
        <v>0</v>
      </c>
      <c r="U128" s="19">
        <v>0</v>
      </c>
      <c r="V128" s="19">
        <v>0</v>
      </c>
      <c r="X128" s="71"/>
    </row>
    <row r="129" spans="1:24" s="32" customFormat="1" ht="14.25" hidden="1" customHeight="1" x14ac:dyDescent="0.2">
      <c r="A129" s="38" t="s">
        <v>70</v>
      </c>
      <c r="B129" s="29" t="s">
        <v>35</v>
      </c>
      <c r="C129" s="30" t="s">
        <v>36</v>
      </c>
      <c r="D129" s="31">
        <v>141</v>
      </c>
      <c r="E129" s="31">
        <v>57</v>
      </c>
      <c r="F129" s="31">
        <v>84</v>
      </c>
      <c r="G129" s="31">
        <v>0</v>
      </c>
      <c r="H129" s="31">
        <v>0</v>
      </c>
      <c r="I129" s="31">
        <v>0</v>
      </c>
      <c r="J129" s="31">
        <v>0</v>
      </c>
      <c r="K129" s="31">
        <v>28</v>
      </c>
      <c r="L129" s="31">
        <v>14</v>
      </c>
      <c r="M129" s="31">
        <v>2</v>
      </c>
      <c r="N129" s="31">
        <v>1</v>
      </c>
      <c r="O129" s="31">
        <v>14</v>
      </c>
      <c r="P129" s="31">
        <v>63</v>
      </c>
      <c r="Q129" s="31">
        <v>11</v>
      </c>
      <c r="R129" s="31">
        <v>4</v>
      </c>
      <c r="S129" s="31">
        <v>1</v>
      </c>
      <c r="T129" s="31">
        <v>2</v>
      </c>
      <c r="U129" s="31">
        <v>1</v>
      </c>
      <c r="V129" s="31">
        <v>0</v>
      </c>
      <c r="X129" s="71"/>
    </row>
    <row r="130" spans="1:24" s="32" customFormat="1" ht="14.25" hidden="1" customHeight="1" x14ac:dyDescent="0.2">
      <c r="A130" s="108" t="s">
        <v>71</v>
      </c>
      <c r="B130" s="33" t="s">
        <v>37</v>
      </c>
      <c r="C130" s="34" t="s">
        <v>38</v>
      </c>
      <c r="D130" s="19">
        <v>41</v>
      </c>
      <c r="E130" s="19">
        <v>18</v>
      </c>
      <c r="F130" s="19">
        <v>23</v>
      </c>
      <c r="G130" s="19">
        <v>0</v>
      </c>
      <c r="H130" s="19">
        <v>0</v>
      </c>
      <c r="I130" s="19">
        <v>0</v>
      </c>
      <c r="J130" s="19">
        <v>0</v>
      </c>
      <c r="K130" s="19">
        <v>7</v>
      </c>
      <c r="L130" s="19">
        <v>6</v>
      </c>
      <c r="M130" s="19">
        <v>2</v>
      </c>
      <c r="N130" s="19">
        <v>1</v>
      </c>
      <c r="O130" s="19">
        <v>3</v>
      </c>
      <c r="P130" s="19">
        <v>14</v>
      </c>
      <c r="Q130" s="19">
        <v>5</v>
      </c>
      <c r="R130" s="19">
        <v>1</v>
      </c>
      <c r="S130" s="19">
        <v>1</v>
      </c>
      <c r="T130" s="19">
        <v>1</v>
      </c>
      <c r="U130" s="19">
        <v>0</v>
      </c>
      <c r="V130" s="19">
        <v>0</v>
      </c>
      <c r="X130" s="71"/>
    </row>
    <row r="131" spans="1:24" s="32" customFormat="1" ht="14.25" hidden="1" customHeight="1" x14ac:dyDescent="0.2">
      <c r="A131" s="108"/>
      <c r="B131" s="36" t="s">
        <v>39</v>
      </c>
      <c r="C131" s="37" t="s">
        <v>163</v>
      </c>
      <c r="D131" s="19">
        <v>100</v>
      </c>
      <c r="E131" s="19">
        <v>39</v>
      </c>
      <c r="F131" s="19">
        <v>61</v>
      </c>
      <c r="G131" s="19">
        <v>0</v>
      </c>
      <c r="H131" s="19">
        <v>0</v>
      </c>
      <c r="I131" s="19">
        <v>0</v>
      </c>
      <c r="J131" s="19">
        <v>0</v>
      </c>
      <c r="K131" s="19">
        <v>21</v>
      </c>
      <c r="L131" s="19">
        <v>8</v>
      </c>
      <c r="M131" s="19">
        <v>0</v>
      </c>
      <c r="N131" s="19">
        <v>0</v>
      </c>
      <c r="O131" s="19">
        <v>11</v>
      </c>
      <c r="P131" s="19">
        <v>49</v>
      </c>
      <c r="Q131" s="19">
        <v>6</v>
      </c>
      <c r="R131" s="19">
        <v>3</v>
      </c>
      <c r="S131" s="19">
        <v>0</v>
      </c>
      <c r="T131" s="19">
        <v>1</v>
      </c>
      <c r="U131" s="19">
        <v>1</v>
      </c>
      <c r="V131" s="19">
        <v>0</v>
      </c>
      <c r="X131" s="71"/>
    </row>
    <row r="132" spans="1:24" s="32" customFormat="1" ht="14.25" hidden="1" customHeight="1" x14ac:dyDescent="0.2">
      <c r="A132" s="38" t="s">
        <v>72</v>
      </c>
      <c r="B132" s="29" t="s">
        <v>35</v>
      </c>
      <c r="C132" s="30" t="s">
        <v>36</v>
      </c>
      <c r="D132" s="31">
        <v>18</v>
      </c>
      <c r="E132" s="31">
        <v>3</v>
      </c>
      <c r="F132" s="31">
        <v>15</v>
      </c>
      <c r="G132" s="31">
        <v>0</v>
      </c>
      <c r="H132" s="31">
        <v>0</v>
      </c>
      <c r="I132" s="31">
        <v>0</v>
      </c>
      <c r="J132" s="31">
        <v>0</v>
      </c>
      <c r="K132" s="31">
        <v>1</v>
      </c>
      <c r="L132" s="31">
        <v>6</v>
      </c>
      <c r="M132" s="31">
        <v>0</v>
      </c>
      <c r="N132" s="31">
        <v>0</v>
      </c>
      <c r="O132" s="31">
        <v>1</v>
      </c>
      <c r="P132" s="31">
        <v>6</v>
      </c>
      <c r="Q132" s="31">
        <v>1</v>
      </c>
      <c r="R132" s="31">
        <v>3</v>
      </c>
      <c r="S132" s="31">
        <v>0</v>
      </c>
      <c r="T132" s="31">
        <v>0</v>
      </c>
      <c r="U132" s="31">
        <v>0</v>
      </c>
      <c r="V132" s="31">
        <v>0</v>
      </c>
      <c r="X132" s="71"/>
    </row>
    <row r="133" spans="1:24" s="32" customFormat="1" ht="14.25" hidden="1" customHeight="1" x14ac:dyDescent="0.2">
      <c r="A133" s="108" t="s">
        <v>73</v>
      </c>
      <c r="B133" s="33" t="s">
        <v>37</v>
      </c>
      <c r="C133" s="34" t="s">
        <v>38</v>
      </c>
      <c r="D133" s="19">
        <v>16</v>
      </c>
      <c r="E133" s="19">
        <v>3</v>
      </c>
      <c r="F133" s="19">
        <v>13</v>
      </c>
      <c r="G133" s="19">
        <v>0</v>
      </c>
      <c r="H133" s="19">
        <v>0</v>
      </c>
      <c r="I133" s="19">
        <v>0</v>
      </c>
      <c r="J133" s="19">
        <v>0</v>
      </c>
      <c r="K133" s="19">
        <v>1</v>
      </c>
      <c r="L133" s="19">
        <v>5</v>
      </c>
      <c r="M133" s="19">
        <v>0</v>
      </c>
      <c r="N133" s="19">
        <v>0</v>
      </c>
      <c r="O133" s="19">
        <v>1</v>
      </c>
      <c r="P133" s="19">
        <v>5</v>
      </c>
      <c r="Q133" s="19">
        <v>1</v>
      </c>
      <c r="R133" s="19">
        <v>3</v>
      </c>
      <c r="S133" s="19">
        <v>0</v>
      </c>
      <c r="T133" s="19">
        <v>0</v>
      </c>
      <c r="U133" s="19">
        <v>0</v>
      </c>
      <c r="V133" s="19">
        <v>0</v>
      </c>
      <c r="X133" s="71"/>
    </row>
    <row r="134" spans="1:24" s="32" customFormat="1" ht="14.25" hidden="1" customHeight="1" x14ac:dyDescent="0.2">
      <c r="A134" s="108"/>
      <c r="B134" s="36" t="s">
        <v>39</v>
      </c>
      <c r="C134" s="37" t="s">
        <v>163</v>
      </c>
      <c r="D134" s="19">
        <v>2</v>
      </c>
      <c r="E134" s="19">
        <v>0</v>
      </c>
      <c r="F134" s="19">
        <v>2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1</v>
      </c>
      <c r="M134" s="19">
        <v>0</v>
      </c>
      <c r="N134" s="19">
        <v>0</v>
      </c>
      <c r="O134" s="19">
        <v>0</v>
      </c>
      <c r="P134" s="19">
        <v>1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X134" s="71"/>
    </row>
    <row r="135" spans="1:24" s="32" customFormat="1" ht="14.25" hidden="1" customHeight="1" x14ac:dyDescent="0.2">
      <c r="A135" s="38" t="s">
        <v>74</v>
      </c>
      <c r="B135" s="29" t="s">
        <v>35</v>
      </c>
      <c r="C135" s="30" t="s">
        <v>36</v>
      </c>
      <c r="D135" s="31">
        <v>102</v>
      </c>
      <c r="E135" s="31">
        <v>46</v>
      </c>
      <c r="F135" s="31">
        <v>56</v>
      </c>
      <c r="G135" s="31">
        <v>0</v>
      </c>
      <c r="H135" s="31">
        <v>0</v>
      </c>
      <c r="I135" s="31">
        <v>0</v>
      </c>
      <c r="J135" s="31">
        <v>0</v>
      </c>
      <c r="K135" s="31">
        <v>29</v>
      </c>
      <c r="L135" s="31">
        <v>15</v>
      </c>
      <c r="M135" s="31">
        <v>2</v>
      </c>
      <c r="N135" s="31">
        <v>3</v>
      </c>
      <c r="O135" s="31">
        <v>7</v>
      </c>
      <c r="P135" s="31">
        <v>32</v>
      </c>
      <c r="Q135" s="31">
        <v>4</v>
      </c>
      <c r="R135" s="31">
        <v>3</v>
      </c>
      <c r="S135" s="31">
        <v>2</v>
      </c>
      <c r="T135" s="31">
        <v>0</v>
      </c>
      <c r="U135" s="31">
        <v>2</v>
      </c>
      <c r="V135" s="31">
        <v>3</v>
      </c>
      <c r="X135" s="71"/>
    </row>
    <row r="136" spans="1:24" s="32" customFormat="1" ht="14.25" hidden="1" customHeight="1" x14ac:dyDescent="0.2">
      <c r="A136" s="108" t="s">
        <v>75</v>
      </c>
      <c r="B136" s="33" t="s">
        <v>37</v>
      </c>
      <c r="C136" s="34" t="s">
        <v>38</v>
      </c>
      <c r="D136" s="19">
        <v>91</v>
      </c>
      <c r="E136" s="19">
        <v>42</v>
      </c>
      <c r="F136" s="19">
        <v>49</v>
      </c>
      <c r="G136" s="19">
        <v>0</v>
      </c>
      <c r="H136" s="19">
        <v>0</v>
      </c>
      <c r="I136" s="19">
        <v>0</v>
      </c>
      <c r="J136" s="19">
        <v>0</v>
      </c>
      <c r="K136" s="19">
        <v>25</v>
      </c>
      <c r="L136" s="19">
        <v>15</v>
      </c>
      <c r="M136" s="19">
        <v>2</v>
      </c>
      <c r="N136" s="19">
        <v>3</v>
      </c>
      <c r="O136" s="19">
        <v>7</v>
      </c>
      <c r="P136" s="19">
        <v>27</v>
      </c>
      <c r="Q136" s="19">
        <v>4</v>
      </c>
      <c r="R136" s="19">
        <v>3</v>
      </c>
      <c r="S136" s="19">
        <v>2</v>
      </c>
      <c r="T136" s="19">
        <v>0</v>
      </c>
      <c r="U136" s="19">
        <v>2</v>
      </c>
      <c r="V136" s="19">
        <v>1</v>
      </c>
      <c r="X136" s="71"/>
    </row>
    <row r="137" spans="1:24" s="32" customFormat="1" ht="14.25" hidden="1" customHeight="1" x14ac:dyDescent="0.2">
      <c r="A137" s="108"/>
      <c r="B137" s="36" t="s">
        <v>39</v>
      </c>
      <c r="C137" s="37" t="s">
        <v>163</v>
      </c>
      <c r="D137" s="19">
        <v>11</v>
      </c>
      <c r="E137" s="19">
        <v>4</v>
      </c>
      <c r="F137" s="19">
        <v>7</v>
      </c>
      <c r="G137" s="19">
        <v>0</v>
      </c>
      <c r="H137" s="19">
        <v>0</v>
      </c>
      <c r="I137" s="19">
        <v>0</v>
      </c>
      <c r="J137" s="19">
        <v>0</v>
      </c>
      <c r="K137" s="19">
        <v>4</v>
      </c>
      <c r="L137" s="19">
        <v>0</v>
      </c>
      <c r="M137" s="19">
        <v>0</v>
      </c>
      <c r="N137" s="19">
        <v>0</v>
      </c>
      <c r="O137" s="19">
        <v>0</v>
      </c>
      <c r="P137" s="19">
        <v>5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2</v>
      </c>
      <c r="X137" s="71"/>
    </row>
    <row r="138" spans="1:24" s="32" customFormat="1" ht="14.25" hidden="1" customHeight="1" x14ac:dyDescent="0.2">
      <c r="A138" s="38" t="s">
        <v>76</v>
      </c>
      <c r="B138" s="29" t="s">
        <v>35</v>
      </c>
      <c r="C138" s="30" t="s">
        <v>36</v>
      </c>
      <c r="D138" s="31">
        <v>113</v>
      </c>
      <c r="E138" s="31">
        <v>41</v>
      </c>
      <c r="F138" s="31">
        <v>72</v>
      </c>
      <c r="G138" s="31">
        <v>0</v>
      </c>
      <c r="H138" s="31">
        <v>0</v>
      </c>
      <c r="I138" s="31">
        <v>0</v>
      </c>
      <c r="J138" s="31">
        <v>0</v>
      </c>
      <c r="K138" s="31">
        <v>15</v>
      </c>
      <c r="L138" s="31">
        <v>14</v>
      </c>
      <c r="M138" s="31">
        <v>1</v>
      </c>
      <c r="N138" s="31">
        <v>2</v>
      </c>
      <c r="O138" s="31">
        <v>13</v>
      </c>
      <c r="P138" s="31">
        <v>38</v>
      </c>
      <c r="Q138" s="31">
        <v>10</v>
      </c>
      <c r="R138" s="31">
        <v>9</v>
      </c>
      <c r="S138" s="31">
        <v>1</v>
      </c>
      <c r="T138" s="31">
        <v>4</v>
      </c>
      <c r="U138" s="31">
        <v>1</v>
      </c>
      <c r="V138" s="31">
        <v>5</v>
      </c>
      <c r="X138" s="71"/>
    </row>
    <row r="139" spans="1:24" s="32" customFormat="1" ht="14.25" hidden="1" customHeight="1" x14ac:dyDescent="0.2">
      <c r="A139" s="108" t="s">
        <v>77</v>
      </c>
      <c r="B139" s="33" t="s">
        <v>37</v>
      </c>
      <c r="C139" s="34" t="s">
        <v>38</v>
      </c>
      <c r="D139" s="19">
        <v>107</v>
      </c>
      <c r="E139" s="19">
        <v>40</v>
      </c>
      <c r="F139" s="19">
        <v>67</v>
      </c>
      <c r="G139" s="19">
        <v>0</v>
      </c>
      <c r="H139" s="19">
        <v>0</v>
      </c>
      <c r="I139" s="19">
        <v>0</v>
      </c>
      <c r="J139" s="19">
        <v>0</v>
      </c>
      <c r="K139" s="19">
        <v>15</v>
      </c>
      <c r="L139" s="19">
        <v>14</v>
      </c>
      <c r="M139" s="19">
        <v>1</v>
      </c>
      <c r="N139" s="19">
        <v>2</v>
      </c>
      <c r="O139" s="19">
        <v>12</v>
      </c>
      <c r="P139" s="19">
        <v>35</v>
      </c>
      <c r="Q139" s="19">
        <v>10</v>
      </c>
      <c r="R139" s="19">
        <v>8</v>
      </c>
      <c r="S139" s="19">
        <v>1</v>
      </c>
      <c r="T139" s="19">
        <v>3</v>
      </c>
      <c r="U139" s="19">
        <v>1</v>
      </c>
      <c r="V139" s="19">
        <v>5</v>
      </c>
      <c r="X139" s="71"/>
    </row>
    <row r="140" spans="1:24" s="32" customFormat="1" ht="14.25" hidden="1" customHeight="1" x14ac:dyDescent="0.2">
      <c r="A140" s="108"/>
      <c r="B140" s="36" t="s">
        <v>39</v>
      </c>
      <c r="C140" s="37" t="s">
        <v>163</v>
      </c>
      <c r="D140" s="19">
        <v>6</v>
      </c>
      <c r="E140" s="19">
        <v>1</v>
      </c>
      <c r="F140" s="19">
        <v>5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1</v>
      </c>
      <c r="P140" s="19">
        <v>3</v>
      </c>
      <c r="Q140" s="19">
        <v>0</v>
      </c>
      <c r="R140" s="19">
        <v>1</v>
      </c>
      <c r="S140" s="19">
        <v>0</v>
      </c>
      <c r="T140" s="19">
        <v>1</v>
      </c>
      <c r="U140" s="19">
        <v>0</v>
      </c>
      <c r="V140" s="19">
        <v>0</v>
      </c>
      <c r="X140" s="71"/>
    </row>
    <row r="141" spans="1:24" s="32" customFormat="1" ht="14.25" hidden="1" customHeight="1" x14ac:dyDescent="0.2">
      <c r="A141" s="38" t="s">
        <v>78</v>
      </c>
      <c r="B141" s="29" t="s">
        <v>35</v>
      </c>
      <c r="C141" s="30" t="s">
        <v>36</v>
      </c>
      <c r="D141" s="31">
        <v>68</v>
      </c>
      <c r="E141" s="31">
        <v>31</v>
      </c>
      <c r="F141" s="31">
        <v>37</v>
      </c>
      <c r="G141" s="31">
        <v>1</v>
      </c>
      <c r="H141" s="31">
        <v>0</v>
      </c>
      <c r="I141" s="31">
        <v>0</v>
      </c>
      <c r="J141" s="31">
        <v>1</v>
      </c>
      <c r="K141" s="31">
        <v>19</v>
      </c>
      <c r="L141" s="31">
        <v>9</v>
      </c>
      <c r="M141" s="31">
        <v>3</v>
      </c>
      <c r="N141" s="31">
        <v>2</v>
      </c>
      <c r="O141" s="31">
        <v>2</v>
      </c>
      <c r="P141" s="31">
        <v>18</v>
      </c>
      <c r="Q141" s="31">
        <v>6</v>
      </c>
      <c r="R141" s="31">
        <v>7</v>
      </c>
      <c r="S141" s="31">
        <v>0</v>
      </c>
      <c r="T141" s="31">
        <v>0</v>
      </c>
      <c r="U141" s="31">
        <v>0</v>
      </c>
      <c r="V141" s="31">
        <v>0</v>
      </c>
      <c r="X141" s="71"/>
    </row>
    <row r="142" spans="1:24" s="32" customFormat="1" ht="14.25" hidden="1" customHeight="1" x14ac:dyDescent="0.2">
      <c r="A142" s="108" t="s">
        <v>79</v>
      </c>
      <c r="B142" s="33" t="s">
        <v>37</v>
      </c>
      <c r="C142" s="34" t="s">
        <v>38</v>
      </c>
      <c r="D142" s="19">
        <v>68</v>
      </c>
      <c r="E142" s="19">
        <v>31</v>
      </c>
      <c r="F142" s="19">
        <v>37</v>
      </c>
      <c r="G142" s="19">
        <v>1</v>
      </c>
      <c r="H142" s="19">
        <v>0</v>
      </c>
      <c r="I142" s="19">
        <v>0</v>
      </c>
      <c r="J142" s="19">
        <v>1</v>
      </c>
      <c r="K142" s="19">
        <v>19</v>
      </c>
      <c r="L142" s="19">
        <v>9</v>
      </c>
      <c r="M142" s="19">
        <v>3</v>
      </c>
      <c r="N142" s="19">
        <v>2</v>
      </c>
      <c r="O142" s="19">
        <v>2</v>
      </c>
      <c r="P142" s="19">
        <v>18</v>
      </c>
      <c r="Q142" s="19">
        <v>6</v>
      </c>
      <c r="R142" s="19">
        <v>7</v>
      </c>
      <c r="S142" s="19">
        <v>0</v>
      </c>
      <c r="T142" s="19">
        <v>0</v>
      </c>
      <c r="U142" s="19">
        <v>0</v>
      </c>
      <c r="V142" s="19">
        <v>0</v>
      </c>
      <c r="X142" s="71"/>
    </row>
    <row r="143" spans="1:24" s="32" customFormat="1" ht="14.25" hidden="1" customHeight="1" x14ac:dyDescent="0.2">
      <c r="A143" s="108"/>
      <c r="B143" s="36" t="s">
        <v>39</v>
      </c>
      <c r="C143" s="37" t="s">
        <v>163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X143" s="71"/>
    </row>
    <row r="144" spans="1:24" s="32" customFormat="1" ht="14.25" hidden="1" customHeight="1" x14ac:dyDescent="0.2">
      <c r="A144" s="38" t="s">
        <v>80</v>
      </c>
      <c r="B144" s="29" t="s">
        <v>35</v>
      </c>
      <c r="C144" s="30" t="s">
        <v>36</v>
      </c>
      <c r="D144" s="31">
        <v>27</v>
      </c>
      <c r="E144" s="31">
        <v>12</v>
      </c>
      <c r="F144" s="31">
        <v>15</v>
      </c>
      <c r="G144" s="31">
        <v>0</v>
      </c>
      <c r="H144" s="31">
        <v>0</v>
      </c>
      <c r="I144" s="31">
        <v>0</v>
      </c>
      <c r="J144" s="31">
        <v>0</v>
      </c>
      <c r="K144" s="31">
        <v>8</v>
      </c>
      <c r="L144" s="31">
        <v>4</v>
      </c>
      <c r="M144" s="31">
        <v>2</v>
      </c>
      <c r="N144" s="31">
        <v>2</v>
      </c>
      <c r="O144" s="31">
        <v>0</v>
      </c>
      <c r="P144" s="31">
        <v>2</v>
      </c>
      <c r="Q144" s="31">
        <v>2</v>
      </c>
      <c r="R144" s="31">
        <v>7</v>
      </c>
      <c r="S144" s="31">
        <v>0</v>
      </c>
      <c r="T144" s="31">
        <v>0</v>
      </c>
      <c r="U144" s="31">
        <v>0</v>
      </c>
      <c r="V144" s="31">
        <v>0</v>
      </c>
      <c r="X144" s="71"/>
    </row>
    <row r="145" spans="1:25" s="32" customFormat="1" ht="14.25" hidden="1" customHeight="1" x14ac:dyDescent="0.2">
      <c r="A145" s="108" t="s">
        <v>81</v>
      </c>
      <c r="B145" s="33" t="s">
        <v>37</v>
      </c>
      <c r="C145" s="34" t="s">
        <v>38</v>
      </c>
      <c r="D145" s="19">
        <v>27</v>
      </c>
      <c r="E145" s="19">
        <v>12</v>
      </c>
      <c r="F145" s="19">
        <v>15</v>
      </c>
      <c r="G145" s="19">
        <v>0</v>
      </c>
      <c r="H145" s="19">
        <v>0</v>
      </c>
      <c r="I145" s="19">
        <v>0</v>
      </c>
      <c r="J145" s="19">
        <v>0</v>
      </c>
      <c r="K145" s="19">
        <v>8</v>
      </c>
      <c r="L145" s="19">
        <v>4</v>
      </c>
      <c r="M145" s="19">
        <v>2</v>
      </c>
      <c r="N145" s="19">
        <v>2</v>
      </c>
      <c r="O145" s="19">
        <v>0</v>
      </c>
      <c r="P145" s="19">
        <v>2</v>
      </c>
      <c r="Q145" s="19">
        <v>2</v>
      </c>
      <c r="R145" s="19">
        <v>7</v>
      </c>
      <c r="S145" s="19">
        <v>0</v>
      </c>
      <c r="T145" s="19">
        <v>0</v>
      </c>
      <c r="U145" s="19">
        <v>0</v>
      </c>
      <c r="V145" s="19">
        <v>0</v>
      </c>
      <c r="X145" s="71"/>
    </row>
    <row r="146" spans="1:25" s="32" customFormat="1" ht="14.25" hidden="1" customHeight="1" x14ac:dyDescent="0.2">
      <c r="A146" s="108"/>
      <c r="B146" s="36" t="s">
        <v>39</v>
      </c>
      <c r="C146" s="37" t="s">
        <v>163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X146" s="71"/>
    </row>
    <row r="147" spans="1:25" s="32" customFormat="1" ht="14.25" hidden="1" customHeight="1" x14ac:dyDescent="0.2">
      <c r="A147" s="38" t="s">
        <v>82</v>
      </c>
      <c r="B147" s="29" t="s">
        <v>35</v>
      </c>
      <c r="C147" s="30" t="s">
        <v>36</v>
      </c>
      <c r="D147" s="31">
        <v>4</v>
      </c>
      <c r="E147" s="31">
        <v>1</v>
      </c>
      <c r="F147" s="31">
        <v>3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1</v>
      </c>
      <c r="P147" s="31">
        <v>1</v>
      </c>
      <c r="Q147" s="31">
        <v>0</v>
      </c>
      <c r="R147" s="31">
        <v>2</v>
      </c>
      <c r="S147" s="31">
        <v>0</v>
      </c>
      <c r="T147" s="31">
        <v>0</v>
      </c>
      <c r="U147" s="31">
        <v>0</v>
      </c>
      <c r="V147" s="31">
        <v>0</v>
      </c>
      <c r="X147" s="71"/>
    </row>
    <row r="148" spans="1:25" s="32" customFormat="1" ht="14.25" hidden="1" customHeight="1" x14ac:dyDescent="0.2">
      <c r="A148" s="108" t="s">
        <v>83</v>
      </c>
      <c r="B148" s="33" t="s">
        <v>37</v>
      </c>
      <c r="C148" s="34" t="s">
        <v>38</v>
      </c>
      <c r="D148" s="19">
        <v>2</v>
      </c>
      <c r="E148" s="19">
        <v>1</v>
      </c>
      <c r="F148" s="19">
        <v>1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1</v>
      </c>
      <c r="P148" s="19">
        <v>0</v>
      </c>
      <c r="Q148" s="19">
        <v>0</v>
      </c>
      <c r="R148" s="19">
        <v>1</v>
      </c>
      <c r="S148" s="19">
        <v>0</v>
      </c>
      <c r="T148" s="19">
        <v>0</v>
      </c>
      <c r="U148" s="19">
        <v>0</v>
      </c>
      <c r="V148" s="19">
        <v>0</v>
      </c>
      <c r="X148" s="71"/>
    </row>
    <row r="149" spans="1:25" s="32" customFormat="1" ht="14.25" hidden="1" customHeight="1" x14ac:dyDescent="0.2">
      <c r="A149" s="108"/>
      <c r="B149" s="36" t="s">
        <v>39</v>
      </c>
      <c r="C149" s="37" t="s">
        <v>163</v>
      </c>
      <c r="D149" s="39">
        <v>2</v>
      </c>
      <c r="E149" s="39">
        <v>0</v>
      </c>
      <c r="F149" s="39">
        <v>2</v>
      </c>
      <c r="G149" s="39">
        <v>0</v>
      </c>
      <c r="H149" s="39">
        <v>0</v>
      </c>
      <c r="I149" s="39">
        <v>0</v>
      </c>
      <c r="J149" s="39">
        <v>0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1</v>
      </c>
      <c r="Q149" s="39">
        <v>0</v>
      </c>
      <c r="R149" s="39">
        <v>1</v>
      </c>
      <c r="S149" s="39">
        <v>0</v>
      </c>
      <c r="T149" s="39">
        <v>0</v>
      </c>
      <c r="U149" s="39">
        <v>0</v>
      </c>
      <c r="V149" s="39">
        <v>0</v>
      </c>
      <c r="X149" s="71"/>
    </row>
    <row r="150" spans="1:25" ht="11.1" hidden="1" customHeight="1" x14ac:dyDescent="0.2"/>
    <row r="151" spans="1:25" s="32" customFormat="1" ht="18" hidden="1" customHeight="1" x14ac:dyDescent="0.2">
      <c r="A151" s="28" t="s">
        <v>34</v>
      </c>
      <c r="B151" s="29" t="s">
        <v>35</v>
      </c>
      <c r="C151" s="30" t="s">
        <v>36</v>
      </c>
      <c r="D151" s="31" t="str">
        <f t="shared" ref="D151:V164" si="2">IF(D81=D8,"","*")</f>
        <v>*</v>
      </c>
      <c r="E151" s="31" t="str">
        <f t="shared" si="2"/>
        <v>*</v>
      </c>
      <c r="F151" s="31" t="str">
        <f t="shared" si="2"/>
        <v>*</v>
      </c>
      <c r="G151" s="31" t="str">
        <f t="shared" si="2"/>
        <v>*</v>
      </c>
      <c r="H151" s="31" t="str">
        <f t="shared" si="2"/>
        <v>*</v>
      </c>
      <c r="I151" s="31" t="str">
        <f t="shared" si="2"/>
        <v>*</v>
      </c>
      <c r="J151" s="31" t="str">
        <f t="shared" si="2"/>
        <v>*</v>
      </c>
      <c r="K151" s="31" t="str">
        <f t="shared" si="2"/>
        <v>*</v>
      </c>
      <c r="L151" s="31" t="str">
        <f t="shared" si="2"/>
        <v>*</v>
      </c>
      <c r="M151" s="31" t="str">
        <f t="shared" si="2"/>
        <v>*</v>
      </c>
      <c r="N151" s="31" t="str">
        <f t="shared" si="2"/>
        <v>*</v>
      </c>
      <c r="O151" s="31" t="str">
        <f t="shared" si="2"/>
        <v>*</v>
      </c>
      <c r="P151" s="31" t="str">
        <f t="shared" si="2"/>
        <v>*</v>
      </c>
      <c r="Q151" s="31" t="str">
        <f t="shared" si="2"/>
        <v>*</v>
      </c>
      <c r="R151" s="31" t="str">
        <f t="shared" si="2"/>
        <v>*</v>
      </c>
      <c r="S151" s="31" t="str">
        <f t="shared" si="2"/>
        <v>*</v>
      </c>
      <c r="T151" s="31" t="str">
        <f t="shared" si="2"/>
        <v>*</v>
      </c>
      <c r="U151" s="31" t="str">
        <f t="shared" si="2"/>
        <v>*</v>
      </c>
      <c r="V151" s="31" t="str">
        <f t="shared" si="2"/>
        <v>*</v>
      </c>
      <c r="X151" s="71"/>
      <c r="Y151" s="71"/>
    </row>
    <row r="152" spans="1:25" s="32" customFormat="1" ht="14.25" hidden="1" customHeight="1" x14ac:dyDescent="0.2">
      <c r="A152" s="112" t="s">
        <v>36</v>
      </c>
      <c r="B152" s="33" t="s">
        <v>37</v>
      </c>
      <c r="C152" s="34" t="s">
        <v>38</v>
      </c>
      <c r="D152" s="19" t="str">
        <f t="shared" si="2"/>
        <v>*</v>
      </c>
      <c r="E152" s="19" t="str">
        <f t="shared" si="2"/>
        <v>*</v>
      </c>
      <c r="F152" s="19" t="str">
        <f t="shared" si="2"/>
        <v>*</v>
      </c>
      <c r="G152" s="19" t="str">
        <f t="shared" si="2"/>
        <v>*</v>
      </c>
      <c r="H152" s="19" t="str">
        <f t="shared" si="2"/>
        <v>*</v>
      </c>
      <c r="I152" s="19" t="str">
        <f t="shared" si="2"/>
        <v>*</v>
      </c>
      <c r="J152" s="19" t="str">
        <f t="shared" si="2"/>
        <v/>
      </c>
      <c r="K152" s="19" t="str">
        <f t="shared" si="2"/>
        <v>*</v>
      </c>
      <c r="L152" s="19" t="str">
        <f t="shared" si="2"/>
        <v>*</v>
      </c>
      <c r="M152" s="19" t="str">
        <f t="shared" si="2"/>
        <v>*</v>
      </c>
      <c r="N152" s="19" t="str">
        <f t="shared" si="2"/>
        <v>*</v>
      </c>
      <c r="O152" s="19" t="str">
        <f t="shared" si="2"/>
        <v>*</v>
      </c>
      <c r="P152" s="19" t="str">
        <f t="shared" si="2"/>
        <v>*</v>
      </c>
      <c r="Q152" s="19" t="str">
        <f t="shared" si="2"/>
        <v>*</v>
      </c>
      <c r="R152" s="19" t="str">
        <f t="shared" si="2"/>
        <v>*</v>
      </c>
      <c r="S152" s="19" t="str">
        <f t="shared" si="2"/>
        <v>*</v>
      </c>
      <c r="T152" s="19" t="str">
        <f t="shared" si="2"/>
        <v>*</v>
      </c>
      <c r="U152" s="19" t="str">
        <f t="shared" si="2"/>
        <v>*</v>
      </c>
      <c r="V152" s="19" t="str">
        <f t="shared" si="2"/>
        <v>*</v>
      </c>
      <c r="X152" s="71"/>
    </row>
    <row r="153" spans="1:25" s="32" customFormat="1" ht="14.25" hidden="1" customHeight="1" x14ac:dyDescent="0.2">
      <c r="A153" s="112"/>
      <c r="B153" s="33" t="s">
        <v>39</v>
      </c>
      <c r="C153" s="34" t="s">
        <v>163</v>
      </c>
      <c r="D153" s="19" t="str">
        <f t="shared" si="2"/>
        <v>*</v>
      </c>
      <c r="E153" s="19" t="str">
        <f t="shared" si="2"/>
        <v>*</v>
      </c>
      <c r="F153" s="19" t="str">
        <f t="shared" si="2"/>
        <v>*</v>
      </c>
      <c r="G153" s="19" t="str">
        <f t="shared" si="2"/>
        <v/>
      </c>
      <c r="H153" s="19" t="str">
        <f t="shared" si="2"/>
        <v/>
      </c>
      <c r="I153" s="19" t="str">
        <f t="shared" si="2"/>
        <v/>
      </c>
      <c r="J153" s="19" t="str">
        <f t="shared" si="2"/>
        <v>*</v>
      </c>
      <c r="K153" s="19" t="str">
        <f t="shared" si="2"/>
        <v>*</v>
      </c>
      <c r="L153" s="19" t="str">
        <f t="shared" si="2"/>
        <v>*</v>
      </c>
      <c r="M153" s="19" t="str">
        <f t="shared" si="2"/>
        <v/>
      </c>
      <c r="N153" s="19" t="str">
        <f t="shared" si="2"/>
        <v>*</v>
      </c>
      <c r="O153" s="19" t="str">
        <f t="shared" si="2"/>
        <v>*</v>
      </c>
      <c r="P153" s="19" t="str">
        <f t="shared" si="2"/>
        <v>*</v>
      </c>
      <c r="Q153" s="19" t="str">
        <f t="shared" si="2"/>
        <v>*</v>
      </c>
      <c r="R153" s="19" t="str">
        <f t="shared" si="2"/>
        <v>*</v>
      </c>
      <c r="S153" s="19" t="str">
        <f t="shared" si="2"/>
        <v>*</v>
      </c>
      <c r="T153" s="19" t="str">
        <f t="shared" si="2"/>
        <v/>
      </c>
      <c r="U153" s="19" t="str">
        <f t="shared" si="2"/>
        <v>*</v>
      </c>
      <c r="V153" s="19" t="str">
        <f t="shared" si="2"/>
        <v>*</v>
      </c>
      <c r="X153" s="71"/>
    </row>
    <row r="154" spans="1:25" s="32" customFormat="1" ht="14.25" hidden="1" customHeight="1" x14ac:dyDescent="0.2">
      <c r="A154" s="35" t="s">
        <v>40</v>
      </c>
      <c r="B154" s="29" t="s">
        <v>35</v>
      </c>
      <c r="C154" s="30" t="s">
        <v>36</v>
      </c>
      <c r="D154" s="31" t="str">
        <f t="shared" si="2"/>
        <v>*</v>
      </c>
      <c r="E154" s="31" t="str">
        <f t="shared" si="2"/>
        <v>*</v>
      </c>
      <c r="F154" s="31" t="str">
        <f t="shared" si="2"/>
        <v>*</v>
      </c>
      <c r="G154" s="31" t="str">
        <f t="shared" si="2"/>
        <v/>
      </c>
      <c r="H154" s="31" t="str">
        <f t="shared" si="2"/>
        <v/>
      </c>
      <c r="I154" s="31" t="str">
        <f t="shared" si="2"/>
        <v>*</v>
      </c>
      <c r="J154" s="31" t="str">
        <f t="shared" si="2"/>
        <v/>
      </c>
      <c r="K154" s="31" t="str">
        <f t="shared" si="2"/>
        <v>*</v>
      </c>
      <c r="L154" s="31" t="str">
        <f t="shared" si="2"/>
        <v>*</v>
      </c>
      <c r="M154" s="31" t="str">
        <f t="shared" si="2"/>
        <v>*</v>
      </c>
      <c r="N154" s="31" t="str">
        <f t="shared" si="2"/>
        <v>*</v>
      </c>
      <c r="O154" s="31" t="str">
        <f t="shared" si="2"/>
        <v>*</v>
      </c>
      <c r="P154" s="31" t="str">
        <f t="shared" si="2"/>
        <v>*</v>
      </c>
      <c r="Q154" s="31" t="str">
        <f t="shared" si="2"/>
        <v>*</v>
      </c>
      <c r="R154" s="31" t="str">
        <f t="shared" si="2"/>
        <v>*</v>
      </c>
      <c r="S154" s="31" t="str">
        <f t="shared" si="2"/>
        <v>*</v>
      </c>
      <c r="T154" s="31" t="str">
        <f t="shared" si="2"/>
        <v>*</v>
      </c>
      <c r="U154" s="31" t="str">
        <f t="shared" si="2"/>
        <v>*</v>
      </c>
      <c r="V154" s="31" t="str">
        <f t="shared" si="2"/>
        <v>*</v>
      </c>
      <c r="X154" s="71"/>
    </row>
    <row r="155" spans="1:25" s="32" customFormat="1" ht="14.25" hidden="1" customHeight="1" x14ac:dyDescent="0.2">
      <c r="A155" s="108" t="s">
        <v>41</v>
      </c>
      <c r="B155" s="33" t="s">
        <v>37</v>
      </c>
      <c r="C155" s="34" t="s">
        <v>38</v>
      </c>
      <c r="D155" s="19" t="str">
        <f t="shared" si="2"/>
        <v>*</v>
      </c>
      <c r="E155" s="19" t="str">
        <f t="shared" si="2"/>
        <v>*</v>
      </c>
      <c r="F155" s="19" t="str">
        <f t="shared" si="2"/>
        <v>*</v>
      </c>
      <c r="G155" s="19" t="str">
        <f t="shared" si="2"/>
        <v/>
      </c>
      <c r="H155" s="19" t="str">
        <f t="shared" si="2"/>
        <v/>
      </c>
      <c r="I155" s="19" t="str">
        <f t="shared" si="2"/>
        <v>*</v>
      </c>
      <c r="J155" s="19" t="str">
        <f t="shared" si="2"/>
        <v/>
      </c>
      <c r="K155" s="19" t="str">
        <f t="shared" si="2"/>
        <v>*</v>
      </c>
      <c r="L155" s="19" t="str">
        <f t="shared" si="2"/>
        <v>*</v>
      </c>
      <c r="M155" s="19" t="str">
        <f t="shared" si="2"/>
        <v>*</v>
      </c>
      <c r="N155" s="19" t="str">
        <f t="shared" si="2"/>
        <v>*</v>
      </c>
      <c r="O155" s="19" t="str">
        <f t="shared" si="2"/>
        <v>*</v>
      </c>
      <c r="P155" s="19" t="str">
        <f t="shared" si="2"/>
        <v>*</v>
      </c>
      <c r="Q155" s="19" t="str">
        <f t="shared" si="2"/>
        <v>*</v>
      </c>
      <c r="R155" s="19" t="str">
        <f t="shared" si="2"/>
        <v>*</v>
      </c>
      <c r="S155" s="19" t="str">
        <f t="shared" si="2"/>
        <v>*</v>
      </c>
      <c r="T155" s="19" t="str">
        <f t="shared" si="2"/>
        <v>*</v>
      </c>
      <c r="U155" s="19" t="str">
        <f t="shared" si="2"/>
        <v>*</v>
      </c>
      <c r="V155" s="19" t="str">
        <f t="shared" si="2"/>
        <v>*</v>
      </c>
      <c r="X155" s="71"/>
    </row>
    <row r="156" spans="1:25" s="32" customFormat="1" ht="14.25" hidden="1" customHeight="1" x14ac:dyDescent="0.2">
      <c r="A156" s="108"/>
      <c r="B156" s="33" t="s">
        <v>39</v>
      </c>
      <c r="C156" s="34" t="s">
        <v>163</v>
      </c>
      <c r="D156" s="19" t="str">
        <f t="shared" si="2"/>
        <v>*</v>
      </c>
      <c r="E156" s="19" t="str">
        <f t="shared" si="2"/>
        <v>*</v>
      </c>
      <c r="F156" s="19" t="str">
        <f t="shared" si="2"/>
        <v>*</v>
      </c>
      <c r="G156" s="19" t="str">
        <f t="shared" si="2"/>
        <v/>
      </c>
      <c r="H156" s="19" t="str">
        <f t="shared" si="2"/>
        <v/>
      </c>
      <c r="I156" s="19" t="str">
        <f t="shared" si="2"/>
        <v/>
      </c>
      <c r="J156" s="19" t="str">
        <f t="shared" si="2"/>
        <v/>
      </c>
      <c r="K156" s="19" t="str">
        <f t="shared" si="2"/>
        <v>*</v>
      </c>
      <c r="L156" s="19" t="str">
        <f t="shared" si="2"/>
        <v>*</v>
      </c>
      <c r="M156" s="19" t="str">
        <f t="shared" si="2"/>
        <v/>
      </c>
      <c r="N156" s="19" t="str">
        <f t="shared" si="2"/>
        <v>*</v>
      </c>
      <c r="O156" s="19" t="str">
        <f t="shared" si="2"/>
        <v>*</v>
      </c>
      <c r="P156" s="19" t="str">
        <f t="shared" si="2"/>
        <v>*</v>
      </c>
      <c r="Q156" s="19" t="str">
        <f t="shared" si="2"/>
        <v/>
      </c>
      <c r="R156" s="19" t="str">
        <f t="shared" si="2"/>
        <v>*</v>
      </c>
      <c r="S156" s="19" t="str">
        <f t="shared" si="2"/>
        <v>*</v>
      </c>
      <c r="T156" s="19" t="str">
        <f t="shared" si="2"/>
        <v/>
      </c>
      <c r="U156" s="19" t="str">
        <f t="shared" si="2"/>
        <v>*</v>
      </c>
      <c r="V156" s="19" t="str">
        <f t="shared" si="2"/>
        <v/>
      </c>
      <c r="X156" s="71"/>
    </row>
    <row r="157" spans="1:25" s="32" customFormat="1" ht="14.25" hidden="1" customHeight="1" x14ac:dyDescent="0.2">
      <c r="A157" s="35" t="s">
        <v>42</v>
      </c>
      <c r="B157" s="29" t="s">
        <v>35</v>
      </c>
      <c r="C157" s="30" t="s">
        <v>36</v>
      </c>
      <c r="D157" s="31" t="str">
        <f t="shared" si="2"/>
        <v>*</v>
      </c>
      <c r="E157" s="31" t="str">
        <f t="shared" si="2"/>
        <v>*</v>
      </c>
      <c r="F157" s="31" t="str">
        <f t="shared" si="2"/>
        <v>*</v>
      </c>
      <c r="G157" s="31" t="str">
        <f t="shared" si="2"/>
        <v>*</v>
      </c>
      <c r="H157" s="31" t="str">
        <f t="shared" si="2"/>
        <v/>
      </c>
      <c r="I157" s="31" t="str">
        <f t="shared" si="2"/>
        <v/>
      </c>
      <c r="J157" s="31" t="str">
        <f t="shared" si="2"/>
        <v>*</v>
      </c>
      <c r="K157" s="31" t="str">
        <f t="shared" si="2"/>
        <v>*</v>
      </c>
      <c r="L157" s="31" t="str">
        <f t="shared" si="2"/>
        <v>*</v>
      </c>
      <c r="M157" s="31" t="str">
        <f t="shared" si="2"/>
        <v>*</v>
      </c>
      <c r="N157" s="31" t="str">
        <f t="shared" si="2"/>
        <v>*</v>
      </c>
      <c r="O157" s="31" t="str">
        <f t="shared" si="2"/>
        <v>*</v>
      </c>
      <c r="P157" s="31" t="str">
        <f t="shared" si="2"/>
        <v>*</v>
      </c>
      <c r="Q157" s="31" t="str">
        <f t="shared" si="2"/>
        <v>*</v>
      </c>
      <c r="R157" s="31" t="str">
        <f t="shared" si="2"/>
        <v>*</v>
      </c>
      <c r="S157" s="31" t="str">
        <f t="shared" si="2"/>
        <v/>
      </c>
      <c r="T157" s="31" t="str">
        <f t="shared" si="2"/>
        <v>*</v>
      </c>
      <c r="U157" s="31" t="str">
        <f t="shared" si="2"/>
        <v>*</v>
      </c>
      <c r="V157" s="31" t="str">
        <f t="shared" si="2"/>
        <v>*</v>
      </c>
      <c r="X157" s="71"/>
    </row>
    <row r="158" spans="1:25" s="32" customFormat="1" ht="14.25" hidden="1" customHeight="1" x14ac:dyDescent="0.2">
      <c r="A158" s="108" t="s">
        <v>43</v>
      </c>
      <c r="B158" s="33" t="s">
        <v>37</v>
      </c>
      <c r="C158" s="34" t="s">
        <v>38</v>
      </c>
      <c r="D158" s="19" t="str">
        <f t="shared" si="2"/>
        <v>*</v>
      </c>
      <c r="E158" s="19" t="str">
        <f t="shared" si="2"/>
        <v>*</v>
      </c>
      <c r="F158" s="19" t="str">
        <f t="shared" si="2"/>
        <v>*</v>
      </c>
      <c r="G158" s="19" t="str">
        <f t="shared" si="2"/>
        <v>*</v>
      </c>
      <c r="H158" s="19" t="str">
        <f t="shared" si="2"/>
        <v/>
      </c>
      <c r="I158" s="19" t="str">
        <f t="shared" si="2"/>
        <v/>
      </c>
      <c r="J158" s="19" t="str">
        <f t="shared" si="2"/>
        <v>*</v>
      </c>
      <c r="K158" s="19" t="str">
        <f t="shared" si="2"/>
        <v>*</v>
      </c>
      <c r="L158" s="19" t="str">
        <f t="shared" si="2"/>
        <v>*</v>
      </c>
      <c r="M158" s="19" t="str">
        <f t="shared" si="2"/>
        <v>*</v>
      </c>
      <c r="N158" s="19" t="str">
        <f t="shared" si="2"/>
        <v>*</v>
      </c>
      <c r="O158" s="19" t="str">
        <f t="shared" si="2"/>
        <v>*</v>
      </c>
      <c r="P158" s="19" t="str">
        <f t="shared" si="2"/>
        <v>*</v>
      </c>
      <c r="Q158" s="19" t="str">
        <f t="shared" si="2"/>
        <v>*</v>
      </c>
      <c r="R158" s="19" t="str">
        <f t="shared" si="2"/>
        <v>*</v>
      </c>
      <c r="S158" s="19" t="str">
        <f t="shared" si="2"/>
        <v/>
      </c>
      <c r="T158" s="19" t="str">
        <f t="shared" si="2"/>
        <v>*</v>
      </c>
      <c r="U158" s="19" t="str">
        <f t="shared" si="2"/>
        <v>*</v>
      </c>
      <c r="V158" s="19" t="str">
        <f t="shared" si="2"/>
        <v>*</v>
      </c>
      <c r="X158" s="71"/>
    </row>
    <row r="159" spans="1:25" s="32" customFormat="1" ht="14.25" hidden="1" customHeight="1" x14ac:dyDescent="0.2">
      <c r="A159" s="108"/>
      <c r="B159" s="36" t="s">
        <v>39</v>
      </c>
      <c r="C159" s="37" t="s">
        <v>163</v>
      </c>
      <c r="D159" s="19" t="str">
        <f t="shared" si="2"/>
        <v>*</v>
      </c>
      <c r="E159" s="19" t="str">
        <f t="shared" si="2"/>
        <v>*</v>
      </c>
      <c r="F159" s="19" t="str">
        <f t="shared" si="2"/>
        <v>*</v>
      </c>
      <c r="G159" s="19" t="str">
        <f t="shared" si="2"/>
        <v/>
      </c>
      <c r="H159" s="19" t="str">
        <f t="shared" si="2"/>
        <v/>
      </c>
      <c r="I159" s="19" t="str">
        <f t="shared" si="2"/>
        <v/>
      </c>
      <c r="J159" s="19" t="str">
        <f t="shared" si="2"/>
        <v/>
      </c>
      <c r="K159" s="19" t="str">
        <f t="shared" si="2"/>
        <v>*</v>
      </c>
      <c r="L159" s="19" t="str">
        <f t="shared" si="2"/>
        <v/>
      </c>
      <c r="M159" s="19" t="str">
        <f t="shared" si="2"/>
        <v/>
      </c>
      <c r="N159" s="19" t="str">
        <f t="shared" si="2"/>
        <v/>
      </c>
      <c r="O159" s="19" t="str">
        <f t="shared" si="2"/>
        <v/>
      </c>
      <c r="P159" s="19" t="str">
        <f t="shared" si="2"/>
        <v>*</v>
      </c>
      <c r="Q159" s="19" t="str">
        <f t="shared" si="2"/>
        <v>*</v>
      </c>
      <c r="R159" s="19" t="str">
        <f t="shared" si="2"/>
        <v>*</v>
      </c>
      <c r="S159" s="19" t="str">
        <f t="shared" si="2"/>
        <v/>
      </c>
      <c r="T159" s="19" t="str">
        <f t="shared" si="2"/>
        <v/>
      </c>
      <c r="U159" s="19" t="str">
        <f t="shared" si="2"/>
        <v/>
      </c>
      <c r="V159" s="19" t="str">
        <f t="shared" si="2"/>
        <v/>
      </c>
      <c r="X159" s="71"/>
    </row>
    <row r="160" spans="1:25" s="32" customFormat="1" ht="14.25" hidden="1" customHeight="1" x14ac:dyDescent="0.2">
      <c r="A160" s="35" t="s">
        <v>44</v>
      </c>
      <c r="B160" s="29" t="s">
        <v>35</v>
      </c>
      <c r="C160" s="30" t="s">
        <v>36</v>
      </c>
      <c r="D160" s="31" t="str">
        <f t="shared" si="2"/>
        <v>*</v>
      </c>
      <c r="E160" s="31" t="str">
        <f t="shared" si="2"/>
        <v>*</v>
      </c>
      <c r="F160" s="31" t="str">
        <f t="shared" si="2"/>
        <v>*</v>
      </c>
      <c r="G160" s="31" t="str">
        <f t="shared" si="2"/>
        <v>*</v>
      </c>
      <c r="H160" s="31" t="str">
        <f t="shared" si="2"/>
        <v>*</v>
      </c>
      <c r="I160" s="31" t="str">
        <f t="shared" si="2"/>
        <v>*</v>
      </c>
      <c r="J160" s="31" t="str">
        <f t="shared" si="2"/>
        <v/>
      </c>
      <c r="K160" s="31" t="str">
        <f t="shared" si="2"/>
        <v>*</v>
      </c>
      <c r="L160" s="31" t="str">
        <f t="shared" si="2"/>
        <v>*</v>
      </c>
      <c r="M160" s="31" t="str">
        <f t="shared" si="2"/>
        <v>*</v>
      </c>
      <c r="N160" s="31" t="str">
        <f t="shared" si="2"/>
        <v>*</v>
      </c>
      <c r="O160" s="31" t="str">
        <f t="shared" si="2"/>
        <v>*</v>
      </c>
      <c r="P160" s="31" t="str">
        <f t="shared" si="2"/>
        <v>*</v>
      </c>
      <c r="Q160" s="31" t="str">
        <f t="shared" si="2"/>
        <v>*</v>
      </c>
      <c r="R160" s="31" t="str">
        <f t="shared" si="2"/>
        <v>*</v>
      </c>
      <c r="S160" s="31" t="str">
        <f t="shared" si="2"/>
        <v/>
      </c>
      <c r="T160" s="31" t="str">
        <f t="shared" si="2"/>
        <v/>
      </c>
      <c r="U160" s="31" t="str">
        <f t="shared" si="2"/>
        <v>*</v>
      </c>
      <c r="V160" s="31" t="str">
        <f t="shared" si="2"/>
        <v>*</v>
      </c>
      <c r="X160" s="71"/>
    </row>
    <row r="161" spans="1:24" s="32" customFormat="1" ht="14.25" hidden="1" customHeight="1" x14ac:dyDescent="0.2">
      <c r="A161" s="108" t="s">
        <v>45</v>
      </c>
      <c r="B161" s="33" t="s">
        <v>37</v>
      </c>
      <c r="C161" s="34" t="s">
        <v>38</v>
      </c>
      <c r="D161" s="19" t="str">
        <f t="shared" si="2"/>
        <v>*</v>
      </c>
      <c r="E161" s="19" t="str">
        <f t="shared" si="2"/>
        <v>*</v>
      </c>
      <c r="F161" s="19" t="str">
        <f t="shared" si="2"/>
        <v>*</v>
      </c>
      <c r="G161" s="19" t="str">
        <f t="shared" si="2"/>
        <v>*</v>
      </c>
      <c r="H161" s="19" t="str">
        <f t="shared" si="2"/>
        <v>*</v>
      </c>
      <c r="I161" s="19" t="str">
        <f t="shared" si="2"/>
        <v>*</v>
      </c>
      <c r="J161" s="19" t="str">
        <f t="shared" si="2"/>
        <v/>
      </c>
      <c r="K161" s="19" t="str">
        <f t="shared" si="2"/>
        <v>*</v>
      </c>
      <c r="L161" s="19" t="str">
        <f t="shared" si="2"/>
        <v>*</v>
      </c>
      <c r="M161" s="19" t="str">
        <f t="shared" si="2"/>
        <v>*</v>
      </c>
      <c r="N161" s="19" t="str">
        <f t="shared" si="2"/>
        <v>*</v>
      </c>
      <c r="O161" s="19" t="str">
        <f t="shared" si="2"/>
        <v>*</v>
      </c>
      <c r="P161" s="19" t="str">
        <f t="shared" si="2"/>
        <v>*</v>
      </c>
      <c r="Q161" s="19" t="str">
        <f t="shared" si="2"/>
        <v>*</v>
      </c>
      <c r="R161" s="19" t="str">
        <f t="shared" si="2"/>
        <v>*</v>
      </c>
      <c r="S161" s="19" t="str">
        <f t="shared" si="2"/>
        <v/>
      </c>
      <c r="T161" s="19" t="str">
        <f t="shared" si="2"/>
        <v/>
      </c>
      <c r="U161" s="19" t="str">
        <f t="shared" si="2"/>
        <v>*</v>
      </c>
      <c r="V161" s="19" t="str">
        <f t="shared" si="2"/>
        <v>*</v>
      </c>
      <c r="X161" s="71"/>
    </row>
    <row r="162" spans="1:24" s="32" customFormat="1" ht="14.25" hidden="1" customHeight="1" x14ac:dyDescent="0.2">
      <c r="A162" s="108"/>
      <c r="B162" s="36" t="s">
        <v>39</v>
      </c>
      <c r="C162" s="37" t="s">
        <v>163</v>
      </c>
      <c r="D162" s="19" t="str">
        <f t="shared" si="2"/>
        <v>*</v>
      </c>
      <c r="E162" s="19" t="str">
        <f t="shared" si="2"/>
        <v>*</v>
      </c>
      <c r="F162" s="19" t="str">
        <f t="shared" si="2"/>
        <v>*</v>
      </c>
      <c r="G162" s="19" t="str">
        <f t="shared" si="2"/>
        <v/>
      </c>
      <c r="H162" s="19" t="str">
        <f t="shared" si="2"/>
        <v/>
      </c>
      <c r="I162" s="19" t="str">
        <f t="shared" si="2"/>
        <v/>
      </c>
      <c r="J162" s="19" t="str">
        <f t="shared" si="2"/>
        <v/>
      </c>
      <c r="K162" s="19" t="str">
        <f t="shared" si="2"/>
        <v>*</v>
      </c>
      <c r="L162" s="19" t="str">
        <f t="shared" si="2"/>
        <v>*</v>
      </c>
      <c r="M162" s="19" t="str">
        <f t="shared" si="2"/>
        <v/>
      </c>
      <c r="N162" s="19" t="str">
        <f t="shared" si="2"/>
        <v/>
      </c>
      <c r="O162" s="19" t="str">
        <f t="shared" si="2"/>
        <v>*</v>
      </c>
      <c r="P162" s="19" t="str">
        <f t="shared" si="2"/>
        <v>*</v>
      </c>
      <c r="Q162" s="19" t="str">
        <f t="shared" si="2"/>
        <v>*</v>
      </c>
      <c r="R162" s="19" t="str">
        <f t="shared" si="2"/>
        <v>*</v>
      </c>
      <c r="S162" s="19" t="str">
        <f t="shared" si="2"/>
        <v/>
      </c>
      <c r="T162" s="19" t="str">
        <f t="shared" si="2"/>
        <v/>
      </c>
      <c r="U162" s="19" t="str">
        <f t="shared" si="2"/>
        <v>*</v>
      </c>
      <c r="V162" s="19" t="str">
        <f t="shared" si="2"/>
        <v>*</v>
      </c>
      <c r="X162" s="71"/>
    </row>
    <row r="163" spans="1:24" s="32" customFormat="1" ht="14.25" hidden="1" customHeight="1" x14ac:dyDescent="0.2">
      <c r="A163" s="35" t="s">
        <v>46</v>
      </c>
      <c r="B163" s="29" t="s">
        <v>35</v>
      </c>
      <c r="C163" s="30" t="s">
        <v>36</v>
      </c>
      <c r="D163" s="31" t="str">
        <f t="shared" si="2"/>
        <v>*</v>
      </c>
      <c r="E163" s="31" t="str">
        <f t="shared" si="2"/>
        <v>*</v>
      </c>
      <c r="F163" s="31" t="str">
        <f t="shared" si="2"/>
        <v>*</v>
      </c>
      <c r="G163" s="31" t="str">
        <f t="shared" si="2"/>
        <v>*</v>
      </c>
      <c r="H163" s="31" t="str">
        <f t="shared" si="2"/>
        <v/>
      </c>
      <c r="I163" s="31" t="str">
        <f t="shared" si="2"/>
        <v>*</v>
      </c>
      <c r="J163" s="31" t="str">
        <f t="shared" si="2"/>
        <v/>
      </c>
      <c r="K163" s="31" t="str">
        <f t="shared" si="2"/>
        <v>*</v>
      </c>
      <c r="L163" s="31" t="str">
        <f t="shared" si="2"/>
        <v>*</v>
      </c>
      <c r="M163" s="31" t="str">
        <f t="shared" si="2"/>
        <v>*</v>
      </c>
      <c r="N163" s="31" t="str">
        <f t="shared" si="2"/>
        <v>*</v>
      </c>
      <c r="O163" s="31" t="str">
        <f t="shared" si="2"/>
        <v>*</v>
      </c>
      <c r="P163" s="31" t="str">
        <f t="shared" si="2"/>
        <v>*</v>
      </c>
      <c r="Q163" s="31" t="str">
        <f t="shared" si="2"/>
        <v>*</v>
      </c>
      <c r="R163" s="31" t="str">
        <f t="shared" si="2"/>
        <v>*</v>
      </c>
      <c r="S163" s="31" t="str">
        <f t="shared" si="2"/>
        <v>*</v>
      </c>
      <c r="T163" s="31" t="str">
        <f t="shared" si="2"/>
        <v>*</v>
      </c>
      <c r="U163" s="31" t="str">
        <f t="shared" si="2"/>
        <v>*</v>
      </c>
      <c r="V163" s="31" t="str">
        <f t="shared" si="2"/>
        <v/>
      </c>
      <c r="X163" s="71"/>
    </row>
    <row r="164" spans="1:24" s="32" customFormat="1" ht="14.25" hidden="1" customHeight="1" x14ac:dyDescent="0.2">
      <c r="A164" s="108" t="s">
        <v>47</v>
      </c>
      <c r="B164" s="33" t="s">
        <v>37</v>
      </c>
      <c r="C164" s="34" t="s">
        <v>38</v>
      </c>
      <c r="D164" s="19" t="str">
        <f t="shared" si="2"/>
        <v>*</v>
      </c>
      <c r="E164" s="19" t="str">
        <f t="shared" si="2"/>
        <v>*</v>
      </c>
      <c r="F164" s="19" t="str">
        <f t="shared" si="2"/>
        <v>*</v>
      </c>
      <c r="G164" s="19" t="str">
        <f t="shared" si="2"/>
        <v>*</v>
      </c>
      <c r="H164" s="19" t="str">
        <f t="shared" si="2"/>
        <v/>
      </c>
      <c r="I164" s="19" t="str">
        <f t="shared" si="2"/>
        <v>*</v>
      </c>
      <c r="J164" s="19" t="str">
        <f t="shared" si="2"/>
        <v/>
      </c>
      <c r="K164" s="19" t="str">
        <f t="shared" si="2"/>
        <v>*</v>
      </c>
      <c r="L164" s="19" t="str">
        <f t="shared" ref="L164:V164" si="3">IF(L94=L21,"","*")</f>
        <v>*</v>
      </c>
      <c r="M164" s="19" t="str">
        <f t="shared" si="3"/>
        <v>*</v>
      </c>
      <c r="N164" s="19" t="str">
        <f t="shared" si="3"/>
        <v>*</v>
      </c>
      <c r="O164" s="19" t="str">
        <f t="shared" si="3"/>
        <v>*</v>
      </c>
      <c r="P164" s="19" t="str">
        <f t="shared" si="3"/>
        <v>*</v>
      </c>
      <c r="Q164" s="19" t="str">
        <f t="shared" si="3"/>
        <v>*</v>
      </c>
      <c r="R164" s="19" t="str">
        <f t="shared" si="3"/>
        <v>*</v>
      </c>
      <c r="S164" s="19" t="str">
        <f t="shared" si="3"/>
        <v>*</v>
      </c>
      <c r="T164" s="19" t="str">
        <f t="shared" si="3"/>
        <v>*</v>
      </c>
      <c r="U164" s="19" t="str">
        <f t="shared" si="3"/>
        <v>*</v>
      </c>
      <c r="V164" s="19" t="str">
        <f t="shared" si="3"/>
        <v/>
      </c>
      <c r="X164" s="71"/>
    </row>
    <row r="165" spans="1:24" s="32" customFormat="1" ht="14.25" hidden="1" customHeight="1" x14ac:dyDescent="0.2">
      <c r="A165" s="108"/>
      <c r="B165" s="36" t="s">
        <v>39</v>
      </c>
      <c r="C165" s="37" t="s">
        <v>163</v>
      </c>
      <c r="D165" s="19" t="str">
        <f t="shared" ref="D165:V178" si="4">IF(D95=D22,"","*")</f>
        <v/>
      </c>
      <c r="E165" s="19" t="str">
        <f t="shared" si="4"/>
        <v>*</v>
      </c>
      <c r="F165" s="19" t="str">
        <f t="shared" si="4"/>
        <v>*</v>
      </c>
      <c r="G165" s="19" t="str">
        <f t="shared" si="4"/>
        <v/>
      </c>
      <c r="H165" s="19" t="str">
        <f t="shared" si="4"/>
        <v/>
      </c>
      <c r="I165" s="19" t="str">
        <f t="shared" si="4"/>
        <v/>
      </c>
      <c r="J165" s="19" t="str">
        <f t="shared" si="4"/>
        <v/>
      </c>
      <c r="K165" s="19" t="str">
        <f t="shared" si="4"/>
        <v>*</v>
      </c>
      <c r="L165" s="19" t="str">
        <f t="shared" si="4"/>
        <v>*</v>
      </c>
      <c r="M165" s="19" t="str">
        <f t="shared" si="4"/>
        <v>*</v>
      </c>
      <c r="N165" s="19" t="str">
        <f t="shared" si="4"/>
        <v>*</v>
      </c>
      <c r="O165" s="19" t="str">
        <f t="shared" si="4"/>
        <v>*</v>
      </c>
      <c r="P165" s="19" t="str">
        <f t="shared" si="4"/>
        <v>*</v>
      </c>
      <c r="Q165" s="19" t="str">
        <f t="shared" si="4"/>
        <v>*</v>
      </c>
      <c r="R165" s="19" t="str">
        <f t="shared" si="4"/>
        <v>*</v>
      </c>
      <c r="S165" s="19" t="str">
        <f t="shared" si="4"/>
        <v/>
      </c>
      <c r="T165" s="19" t="str">
        <f t="shared" si="4"/>
        <v>*</v>
      </c>
      <c r="U165" s="19" t="str">
        <f t="shared" si="4"/>
        <v>*</v>
      </c>
      <c r="V165" s="19" t="str">
        <f t="shared" si="4"/>
        <v/>
      </c>
      <c r="X165" s="71"/>
    </row>
    <row r="166" spans="1:24" s="32" customFormat="1" ht="14.25" hidden="1" customHeight="1" x14ac:dyDescent="0.2">
      <c r="A166" s="35" t="s">
        <v>48</v>
      </c>
      <c r="B166" s="29" t="s">
        <v>35</v>
      </c>
      <c r="C166" s="30" t="s">
        <v>36</v>
      </c>
      <c r="D166" s="31" t="str">
        <f t="shared" si="4"/>
        <v>*</v>
      </c>
      <c r="E166" s="31" t="str">
        <f t="shared" si="4"/>
        <v>*</v>
      </c>
      <c r="F166" s="31" t="str">
        <f t="shared" si="4"/>
        <v>*</v>
      </c>
      <c r="G166" s="31" t="str">
        <f t="shared" si="4"/>
        <v/>
      </c>
      <c r="H166" s="31" t="str">
        <f t="shared" si="4"/>
        <v/>
      </c>
      <c r="I166" s="31" t="str">
        <f t="shared" si="4"/>
        <v>*</v>
      </c>
      <c r="J166" s="31" t="str">
        <f t="shared" si="4"/>
        <v>*</v>
      </c>
      <c r="K166" s="31" t="str">
        <f t="shared" si="4"/>
        <v>*</v>
      </c>
      <c r="L166" s="31" t="str">
        <f t="shared" si="4"/>
        <v>*</v>
      </c>
      <c r="M166" s="31" t="str">
        <f t="shared" si="4"/>
        <v>*</v>
      </c>
      <c r="N166" s="31" t="str">
        <f t="shared" si="4"/>
        <v/>
      </c>
      <c r="O166" s="31" t="str">
        <f t="shared" si="4"/>
        <v>*</v>
      </c>
      <c r="P166" s="31" t="str">
        <f t="shared" si="4"/>
        <v>*</v>
      </c>
      <c r="Q166" s="31" t="str">
        <f t="shared" si="4"/>
        <v>*</v>
      </c>
      <c r="R166" s="31" t="str">
        <f t="shared" si="4"/>
        <v>*</v>
      </c>
      <c r="S166" s="31" t="str">
        <f t="shared" si="4"/>
        <v/>
      </c>
      <c r="T166" s="31" t="str">
        <f t="shared" si="4"/>
        <v/>
      </c>
      <c r="U166" s="31" t="str">
        <f t="shared" si="4"/>
        <v>*</v>
      </c>
      <c r="V166" s="31" t="str">
        <f t="shared" si="4"/>
        <v>*</v>
      </c>
      <c r="X166" s="71"/>
    </row>
    <row r="167" spans="1:24" s="32" customFormat="1" ht="14.25" hidden="1" customHeight="1" x14ac:dyDescent="0.2">
      <c r="A167" s="108" t="s">
        <v>49</v>
      </c>
      <c r="B167" s="33" t="s">
        <v>37</v>
      </c>
      <c r="C167" s="34" t="s">
        <v>38</v>
      </c>
      <c r="D167" s="19" t="str">
        <f t="shared" si="4"/>
        <v>*</v>
      </c>
      <c r="E167" s="19" t="str">
        <f t="shared" si="4"/>
        <v>*</v>
      </c>
      <c r="F167" s="19" t="str">
        <f t="shared" si="4"/>
        <v>*</v>
      </c>
      <c r="G167" s="19" t="str">
        <f t="shared" si="4"/>
        <v/>
      </c>
      <c r="H167" s="19" t="str">
        <f t="shared" si="4"/>
        <v/>
      </c>
      <c r="I167" s="19" t="str">
        <f t="shared" si="4"/>
        <v>*</v>
      </c>
      <c r="J167" s="19" t="str">
        <f t="shared" si="4"/>
        <v>*</v>
      </c>
      <c r="K167" s="19" t="str">
        <f t="shared" si="4"/>
        <v>*</v>
      </c>
      <c r="L167" s="19" t="str">
        <f t="shared" si="4"/>
        <v>*</v>
      </c>
      <c r="M167" s="19" t="str">
        <f t="shared" si="4"/>
        <v>*</v>
      </c>
      <c r="N167" s="19" t="str">
        <f t="shared" si="4"/>
        <v>*</v>
      </c>
      <c r="O167" s="19" t="str">
        <f t="shared" si="4"/>
        <v>*</v>
      </c>
      <c r="P167" s="19" t="str">
        <f t="shared" si="4"/>
        <v>*</v>
      </c>
      <c r="Q167" s="19" t="str">
        <f t="shared" si="4"/>
        <v>*</v>
      </c>
      <c r="R167" s="19" t="str">
        <f t="shared" si="4"/>
        <v>*</v>
      </c>
      <c r="S167" s="19" t="str">
        <f t="shared" si="4"/>
        <v/>
      </c>
      <c r="T167" s="19" t="str">
        <f t="shared" si="4"/>
        <v/>
      </c>
      <c r="U167" s="19" t="str">
        <f t="shared" si="4"/>
        <v>*</v>
      </c>
      <c r="V167" s="19" t="str">
        <f t="shared" si="4"/>
        <v>*</v>
      </c>
      <c r="X167" s="71"/>
    </row>
    <row r="168" spans="1:24" s="32" customFormat="1" ht="14.25" hidden="1" customHeight="1" x14ac:dyDescent="0.2">
      <c r="A168" s="108"/>
      <c r="B168" s="36" t="s">
        <v>39</v>
      </c>
      <c r="C168" s="37" t="s">
        <v>163</v>
      </c>
      <c r="D168" s="19" t="str">
        <f t="shared" si="4"/>
        <v>*</v>
      </c>
      <c r="E168" s="19" t="str">
        <f t="shared" si="4"/>
        <v>*</v>
      </c>
      <c r="F168" s="19" t="str">
        <f t="shared" si="4"/>
        <v>*</v>
      </c>
      <c r="G168" s="19" t="str">
        <f t="shared" si="4"/>
        <v/>
      </c>
      <c r="H168" s="19" t="str">
        <f t="shared" si="4"/>
        <v/>
      </c>
      <c r="I168" s="19" t="str">
        <f t="shared" si="4"/>
        <v/>
      </c>
      <c r="J168" s="19" t="str">
        <f t="shared" si="4"/>
        <v/>
      </c>
      <c r="K168" s="19" t="str">
        <f t="shared" si="4"/>
        <v>*</v>
      </c>
      <c r="L168" s="19" t="str">
        <f t="shared" si="4"/>
        <v/>
      </c>
      <c r="M168" s="19" t="str">
        <f t="shared" si="4"/>
        <v>*</v>
      </c>
      <c r="N168" s="19" t="str">
        <f t="shared" si="4"/>
        <v>*</v>
      </c>
      <c r="O168" s="19" t="str">
        <f t="shared" si="4"/>
        <v/>
      </c>
      <c r="P168" s="19" t="str">
        <f t="shared" si="4"/>
        <v>*</v>
      </c>
      <c r="Q168" s="19" t="str">
        <f t="shared" si="4"/>
        <v/>
      </c>
      <c r="R168" s="19" t="str">
        <f t="shared" si="4"/>
        <v>*</v>
      </c>
      <c r="S168" s="19" t="str">
        <f t="shared" si="4"/>
        <v/>
      </c>
      <c r="T168" s="19" t="str">
        <f t="shared" si="4"/>
        <v/>
      </c>
      <c r="U168" s="19" t="str">
        <f t="shared" si="4"/>
        <v/>
      </c>
      <c r="V168" s="19" t="str">
        <f t="shared" si="4"/>
        <v/>
      </c>
      <c r="X168" s="71"/>
    </row>
    <row r="169" spans="1:24" s="32" customFormat="1" ht="14.25" hidden="1" customHeight="1" x14ac:dyDescent="0.2">
      <c r="A169" s="35" t="s">
        <v>50</v>
      </c>
      <c r="B169" s="29" t="s">
        <v>35</v>
      </c>
      <c r="C169" s="30" t="s">
        <v>36</v>
      </c>
      <c r="D169" s="31" t="str">
        <f t="shared" si="4"/>
        <v>*</v>
      </c>
      <c r="E169" s="31" t="str">
        <f t="shared" si="4"/>
        <v>*</v>
      </c>
      <c r="F169" s="31" t="str">
        <f t="shared" si="4"/>
        <v>*</v>
      </c>
      <c r="G169" s="31" t="str">
        <f t="shared" si="4"/>
        <v>*</v>
      </c>
      <c r="H169" s="31" t="str">
        <f t="shared" si="4"/>
        <v>*</v>
      </c>
      <c r="I169" s="31" t="str">
        <f t="shared" si="4"/>
        <v/>
      </c>
      <c r="J169" s="31" t="str">
        <f t="shared" si="4"/>
        <v/>
      </c>
      <c r="K169" s="31" t="str">
        <f t="shared" si="4"/>
        <v>*</v>
      </c>
      <c r="L169" s="31" t="str">
        <f t="shared" si="4"/>
        <v>*</v>
      </c>
      <c r="M169" s="31" t="str">
        <f t="shared" si="4"/>
        <v>*</v>
      </c>
      <c r="N169" s="31" t="str">
        <f t="shared" si="4"/>
        <v>*</v>
      </c>
      <c r="O169" s="31" t="str">
        <f t="shared" si="4"/>
        <v>*</v>
      </c>
      <c r="P169" s="31" t="str">
        <f t="shared" si="4"/>
        <v>*</v>
      </c>
      <c r="Q169" s="31" t="str">
        <f t="shared" si="4"/>
        <v>*</v>
      </c>
      <c r="R169" s="31" t="str">
        <f t="shared" si="4"/>
        <v/>
      </c>
      <c r="S169" s="31" t="str">
        <f t="shared" si="4"/>
        <v/>
      </c>
      <c r="T169" s="31" t="str">
        <f t="shared" si="4"/>
        <v/>
      </c>
      <c r="U169" s="31" t="str">
        <f t="shared" si="4"/>
        <v>*</v>
      </c>
      <c r="V169" s="31" t="str">
        <f t="shared" si="4"/>
        <v>*</v>
      </c>
      <c r="X169" s="71"/>
    </row>
    <row r="170" spans="1:24" s="32" customFormat="1" ht="14.25" hidden="1" customHeight="1" x14ac:dyDescent="0.2">
      <c r="A170" s="108" t="s">
        <v>51</v>
      </c>
      <c r="B170" s="33" t="s">
        <v>37</v>
      </c>
      <c r="C170" s="34" t="s">
        <v>38</v>
      </c>
      <c r="D170" s="19" t="str">
        <f t="shared" si="4"/>
        <v>*</v>
      </c>
      <c r="E170" s="19" t="str">
        <f t="shared" si="4"/>
        <v>*</v>
      </c>
      <c r="F170" s="19" t="str">
        <f t="shared" si="4"/>
        <v>*</v>
      </c>
      <c r="G170" s="19" t="str">
        <f t="shared" si="4"/>
        <v>*</v>
      </c>
      <c r="H170" s="19" t="str">
        <f t="shared" si="4"/>
        <v>*</v>
      </c>
      <c r="I170" s="19" t="str">
        <f t="shared" si="4"/>
        <v/>
      </c>
      <c r="J170" s="19" t="str">
        <f t="shared" si="4"/>
        <v/>
      </c>
      <c r="K170" s="19" t="str">
        <f t="shared" si="4"/>
        <v>*</v>
      </c>
      <c r="L170" s="19" t="str">
        <f t="shared" si="4"/>
        <v>*</v>
      </c>
      <c r="M170" s="19" t="str">
        <f t="shared" si="4"/>
        <v>*</v>
      </c>
      <c r="N170" s="19" t="str">
        <f t="shared" si="4"/>
        <v>*</v>
      </c>
      <c r="O170" s="19" t="str">
        <f t="shared" si="4"/>
        <v>*</v>
      </c>
      <c r="P170" s="19" t="str">
        <f t="shared" si="4"/>
        <v>*</v>
      </c>
      <c r="Q170" s="19" t="str">
        <f t="shared" si="4"/>
        <v>*</v>
      </c>
      <c r="R170" s="19" t="str">
        <f t="shared" si="4"/>
        <v>*</v>
      </c>
      <c r="S170" s="19" t="str">
        <f t="shared" si="4"/>
        <v/>
      </c>
      <c r="T170" s="19" t="str">
        <f t="shared" si="4"/>
        <v/>
      </c>
      <c r="U170" s="19" t="str">
        <f t="shared" si="4"/>
        <v>*</v>
      </c>
      <c r="V170" s="19" t="str">
        <f t="shared" si="4"/>
        <v>*</v>
      </c>
      <c r="X170" s="71"/>
    </row>
    <row r="171" spans="1:24" s="32" customFormat="1" ht="14.25" hidden="1" customHeight="1" x14ac:dyDescent="0.2">
      <c r="A171" s="108"/>
      <c r="B171" s="36" t="s">
        <v>39</v>
      </c>
      <c r="C171" s="37" t="s">
        <v>163</v>
      </c>
      <c r="D171" s="19" t="str">
        <f t="shared" si="4"/>
        <v>*</v>
      </c>
      <c r="E171" s="19" t="str">
        <f t="shared" si="4"/>
        <v>*</v>
      </c>
      <c r="F171" s="19" t="str">
        <f t="shared" si="4"/>
        <v>*</v>
      </c>
      <c r="G171" s="19" t="str">
        <f t="shared" si="4"/>
        <v/>
      </c>
      <c r="H171" s="19" t="str">
        <f t="shared" si="4"/>
        <v/>
      </c>
      <c r="I171" s="19" t="str">
        <f t="shared" si="4"/>
        <v/>
      </c>
      <c r="J171" s="19" t="str">
        <f t="shared" si="4"/>
        <v/>
      </c>
      <c r="K171" s="19" t="str">
        <f t="shared" si="4"/>
        <v>*</v>
      </c>
      <c r="L171" s="19" t="str">
        <f t="shared" si="4"/>
        <v>*</v>
      </c>
      <c r="M171" s="19" t="str">
        <f t="shared" si="4"/>
        <v>*</v>
      </c>
      <c r="N171" s="19" t="str">
        <f t="shared" si="4"/>
        <v/>
      </c>
      <c r="O171" s="19" t="str">
        <f t="shared" si="4"/>
        <v>*</v>
      </c>
      <c r="P171" s="19" t="str">
        <f t="shared" si="4"/>
        <v>*</v>
      </c>
      <c r="Q171" s="19" t="str">
        <f t="shared" si="4"/>
        <v>*</v>
      </c>
      <c r="R171" s="19" t="str">
        <f t="shared" si="4"/>
        <v>*</v>
      </c>
      <c r="S171" s="19" t="str">
        <f t="shared" si="4"/>
        <v/>
      </c>
      <c r="T171" s="19" t="str">
        <f t="shared" si="4"/>
        <v/>
      </c>
      <c r="U171" s="19" t="str">
        <f t="shared" si="4"/>
        <v/>
      </c>
      <c r="V171" s="19" t="str">
        <f t="shared" si="4"/>
        <v/>
      </c>
      <c r="X171" s="71"/>
    </row>
    <row r="172" spans="1:24" s="32" customFormat="1" ht="14.25" hidden="1" customHeight="1" x14ac:dyDescent="0.2">
      <c r="A172" s="38" t="s">
        <v>52</v>
      </c>
      <c r="B172" s="29" t="s">
        <v>35</v>
      </c>
      <c r="C172" s="30" t="s">
        <v>36</v>
      </c>
      <c r="D172" s="31" t="str">
        <f t="shared" si="4"/>
        <v>*</v>
      </c>
      <c r="E172" s="31" t="str">
        <f t="shared" si="4"/>
        <v>*</v>
      </c>
      <c r="F172" s="31" t="str">
        <f t="shared" si="4"/>
        <v>*</v>
      </c>
      <c r="G172" s="31" t="str">
        <f t="shared" si="4"/>
        <v>*</v>
      </c>
      <c r="H172" s="31" t="str">
        <f t="shared" si="4"/>
        <v/>
      </c>
      <c r="I172" s="31" t="str">
        <f t="shared" si="4"/>
        <v/>
      </c>
      <c r="J172" s="31" t="str">
        <f t="shared" si="4"/>
        <v>*</v>
      </c>
      <c r="K172" s="31" t="str">
        <f t="shared" si="4"/>
        <v>*</v>
      </c>
      <c r="L172" s="31" t="str">
        <f t="shared" si="4"/>
        <v>*</v>
      </c>
      <c r="M172" s="31" t="str">
        <f t="shared" si="4"/>
        <v>*</v>
      </c>
      <c r="N172" s="31" t="str">
        <f t="shared" si="4"/>
        <v>*</v>
      </c>
      <c r="O172" s="31" t="str">
        <f t="shared" si="4"/>
        <v>*</v>
      </c>
      <c r="P172" s="31" t="str">
        <f t="shared" si="4"/>
        <v>*</v>
      </c>
      <c r="Q172" s="31" t="str">
        <f t="shared" si="4"/>
        <v>*</v>
      </c>
      <c r="R172" s="31" t="str">
        <f t="shared" si="4"/>
        <v>*</v>
      </c>
      <c r="S172" s="31" t="str">
        <f t="shared" si="4"/>
        <v/>
      </c>
      <c r="T172" s="31" t="str">
        <f t="shared" si="4"/>
        <v/>
      </c>
      <c r="U172" s="31" t="str">
        <f t="shared" si="4"/>
        <v>*</v>
      </c>
      <c r="V172" s="31" t="str">
        <f t="shared" si="4"/>
        <v/>
      </c>
      <c r="X172" s="71"/>
    </row>
    <row r="173" spans="1:24" s="32" customFormat="1" ht="14.25" hidden="1" customHeight="1" x14ac:dyDescent="0.2">
      <c r="A173" s="108" t="s">
        <v>53</v>
      </c>
      <c r="B173" s="33" t="s">
        <v>37</v>
      </c>
      <c r="C173" s="34" t="s">
        <v>38</v>
      </c>
      <c r="D173" s="19" t="str">
        <f t="shared" si="4"/>
        <v>*</v>
      </c>
      <c r="E173" s="19" t="str">
        <f t="shared" si="4"/>
        <v>*</v>
      </c>
      <c r="F173" s="19" t="str">
        <f t="shared" si="4"/>
        <v>*</v>
      </c>
      <c r="G173" s="19" t="str">
        <f t="shared" si="4"/>
        <v>*</v>
      </c>
      <c r="H173" s="19" t="str">
        <f t="shared" si="4"/>
        <v/>
      </c>
      <c r="I173" s="19" t="str">
        <f t="shared" si="4"/>
        <v/>
      </c>
      <c r="J173" s="19" t="str">
        <f t="shared" si="4"/>
        <v/>
      </c>
      <c r="K173" s="19" t="str">
        <f t="shared" si="4"/>
        <v>*</v>
      </c>
      <c r="L173" s="19" t="str">
        <f t="shared" si="4"/>
        <v>*</v>
      </c>
      <c r="M173" s="19" t="str">
        <f t="shared" si="4"/>
        <v>*</v>
      </c>
      <c r="N173" s="19" t="str">
        <f t="shared" si="4"/>
        <v>*</v>
      </c>
      <c r="O173" s="19" t="str">
        <f t="shared" si="4"/>
        <v>*</v>
      </c>
      <c r="P173" s="19" t="str">
        <f t="shared" si="4"/>
        <v>*</v>
      </c>
      <c r="Q173" s="19" t="str">
        <f t="shared" si="4"/>
        <v>*</v>
      </c>
      <c r="R173" s="19" t="str">
        <f t="shared" si="4"/>
        <v>*</v>
      </c>
      <c r="S173" s="19" t="str">
        <f t="shared" si="4"/>
        <v/>
      </c>
      <c r="T173" s="19" t="str">
        <f t="shared" si="4"/>
        <v/>
      </c>
      <c r="U173" s="19" t="str">
        <f t="shared" si="4"/>
        <v>*</v>
      </c>
      <c r="V173" s="19" t="str">
        <f t="shared" si="4"/>
        <v/>
      </c>
      <c r="X173" s="71"/>
    </row>
    <row r="174" spans="1:24" s="32" customFormat="1" ht="14.25" hidden="1" customHeight="1" x14ac:dyDescent="0.2">
      <c r="A174" s="108"/>
      <c r="B174" s="36" t="s">
        <v>39</v>
      </c>
      <c r="C174" s="37" t="s">
        <v>163</v>
      </c>
      <c r="D174" s="19" t="str">
        <f t="shared" si="4"/>
        <v>*</v>
      </c>
      <c r="E174" s="19" t="str">
        <f t="shared" si="4"/>
        <v>*</v>
      </c>
      <c r="F174" s="19" t="str">
        <f t="shared" si="4"/>
        <v>*</v>
      </c>
      <c r="G174" s="19" t="str">
        <f t="shared" si="4"/>
        <v/>
      </c>
      <c r="H174" s="19" t="str">
        <f t="shared" si="4"/>
        <v/>
      </c>
      <c r="I174" s="19" t="str">
        <f t="shared" si="4"/>
        <v/>
      </c>
      <c r="J174" s="19" t="str">
        <f t="shared" si="4"/>
        <v>*</v>
      </c>
      <c r="K174" s="19" t="str">
        <f t="shared" si="4"/>
        <v>*</v>
      </c>
      <c r="L174" s="19" t="str">
        <f t="shared" si="4"/>
        <v>*</v>
      </c>
      <c r="M174" s="19" t="str">
        <f t="shared" si="4"/>
        <v/>
      </c>
      <c r="N174" s="19" t="str">
        <f t="shared" si="4"/>
        <v/>
      </c>
      <c r="O174" s="19" t="str">
        <f t="shared" si="4"/>
        <v>*</v>
      </c>
      <c r="P174" s="19" t="str">
        <f t="shared" si="4"/>
        <v>*</v>
      </c>
      <c r="Q174" s="19" t="str">
        <f t="shared" si="4"/>
        <v>*</v>
      </c>
      <c r="R174" s="19" t="str">
        <f t="shared" si="4"/>
        <v/>
      </c>
      <c r="S174" s="19" t="str">
        <f t="shared" si="4"/>
        <v/>
      </c>
      <c r="T174" s="19" t="str">
        <f t="shared" si="4"/>
        <v/>
      </c>
      <c r="U174" s="19" t="str">
        <f t="shared" si="4"/>
        <v/>
      </c>
      <c r="V174" s="19" t="str">
        <f t="shared" si="4"/>
        <v/>
      </c>
      <c r="X174" s="71"/>
    </row>
    <row r="175" spans="1:24" s="32" customFormat="1" ht="14.25" hidden="1" customHeight="1" x14ac:dyDescent="0.2">
      <c r="A175" s="38" t="s">
        <v>54</v>
      </c>
      <c r="B175" s="29" t="s">
        <v>35</v>
      </c>
      <c r="C175" s="30" t="s">
        <v>36</v>
      </c>
      <c r="D175" s="31" t="str">
        <f t="shared" si="4"/>
        <v>*</v>
      </c>
      <c r="E175" s="31" t="str">
        <f t="shared" si="4"/>
        <v>*</v>
      </c>
      <c r="F175" s="31" t="str">
        <f t="shared" si="4"/>
        <v>*</v>
      </c>
      <c r="G175" s="31" t="str">
        <f t="shared" si="4"/>
        <v/>
      </c>
      <c r="H175" s="31" t="str">
        <f t="shared" si="4"/>
        <v/>
      </c>
      <c r="I175" s="31" t="str">
        <f t="shared" si="4"/>
        <v>*</v>
      </c>
      <c r="J175" s="31" t="str">
        <f t="shared" si="4"/>
        <v/>
      </c>
      <c r="K175" s="31" t="str">
        <f t="shared" si="4"/>
        <v>*</v>
      </c>
      <c r="L175" s="31" t="str">
        <f t="shared" si="4"/>
        <v/>
      </c>
      <c r="M175" s="31" t="str">
        <f t="shared" si="4"/>
        <v>*</v>
      </c>
      <c r="N175" s="31" t="str">
        <f t="shared" si="4"/>
        <v>*</v>
      </c>
      <c r="O175" s="31" t="str">
        <f t="shared" si="4"/>
        <v>*</v>
      </c>
      <c r="P175" s="31" t="str">
        <f t="shared" si="4"/>
        <v>*</v>
      </c>
      <c r="Q175" s="31" t="str">
        <f t="shared" si="4"/>
        <v>*</v>
      </c>
      <c r="R175" s="31" t="str">
        <f t="shared" si="4"/>
        <v>*</v>
      </c>
      <c r="S175" s="31" t="str">
        <f t="shared" si="4"/>
        <v>*</v>
      </c>
      <c r="T175" s="31" t="str">
        <f t="shared" si="4"/>
        <v/>
      </c>
      <c r="U175" s="31" t="str">
        <f t="shared" si="4"/>
        <v>*</v>
      </c>
      <c r="V175" s="31" t="str">
        <f t="shared" si="4"/>
        <v/>
      </c>
      <c r="X175" s="71"/>
    </row>
    <row r="176" spans="1:24" s="32" customFormat="1" ht="14.25" hidden="1" customHeight="1" x14ac:dyDescent="0.2">
      <c r="A176" s="108" t="s">
        <v>55</v>
      </c>
      <c r="B176" s="33" t="s">
        <v>37</v>
      </c>
      <c r="C176" s="34" t="s">
        <v>38</v>
      </c>
      <c r="D176" s="19" t="str">
        <f t="shared" si="4"/>
        <v>*</v>
      </c>
      <c r="E176" s="19" t="str">
        <f t="shared" si="4"/>
        <v>*</v>
      </c>
      <c r="F176" s="19" t="str">
        <f t="shared" si="4"/>
        <v>*</v>
      </c>
      <c r="G176" s="19" t="str">
        <f t="shared" si="4"/>
        <v/>
      </c>
      <c r="H176" s="19" t="str">
        <f t="shared" si="4"/>
        <v/>
      </c>
      <c r="I176" s="19" t="str">
        <f t="shared" si="4"/>
        <v>*</v>
      </c>
      <c r="J176" s="19" t="str">
        <f t="shared" si="4"/>
        <v/>
      </c>
      <c r="K176" s="19" t="str">
        <f t="shared" si="4"/>
        <v>*</v>
      </c>
      <c r="L176" s="19" t="str">
        <f t="shared" si="4"/>
        <v>*</v>
      </c>
      <c r="M176" s="19" t="str">
        <f t="shared" si="4"/>
        <v>*</v>
      </c>
      <c r="N176" s="19" t="str">
        <f t="shared" si="4"/>
        <v>*</v>
      </c>
      <c r="O176" s="19" t="str">
        <f t="shared" si="4"/>
        <v>*</v>
      </c>
      <c r="P176" s="19" t="str">
        <f t="shared" si="4"/>
        <v>*</v>
      </c>
      <c r="Q176" s="19" t="str">
        <f t="shared" si="4"/>
        <v>*</v>
      </c>
      <c r="R176" s="19" t="str">
        <f t="shared" si="4"/>
        <v>*</v>
      </c>
      <c r="S176" s="19" t="str">
        <f t="shared" si="4"/>
        <v>*</v>
      </c>
      <c r="T176" s="19" t="str">
        <f t="shared" si="4"/>
        <v/>
      </c>
      <c r="U176" s="19" t="str">
        <f t="shared" si="4"/>
        <v>*</v>
      </c>
      <c r="V176" s="19" t="str">
        <f t="shared" si="4"/>
        <v/>
      </c>
      <c r="X176" s="71"/>
    </row>
    <row r="177" spans="1:24" s="32" customFormat="1" ht="14.25" hidden="1" customHeight="1" x14ac:dyDescent="0.2">
      <c r="A177" s="108"/>
      <c r="B177" s="36" t="s">
        <v>39</v>
      </c>
      <c r="C177" s="37" t="s">
        <v>163</v>
      </c>
      <c r="D177" s="19" t="str">
        <f t="shared" si="4"/>
        <v>*</v>
      </c>
      <c r="E177" s="19" t="str">
        <f t="shared" si="4"/>
        <v>*</v>
      </c>
      <c r="F177" s="19" t="str">
        <f t="shared" si="4"/>
        <v>*</v>
      </c>
      <c r="G177" s="19" t="str">
        <f t="shared" si="4"/>
        <v/>
      </c>
      <c r="H177" s="19" t="str">
        <f t="shared" si="4"/>
        <v/>
      </c>
      <c r="I177" s="19" t="str">
        <f t="shared" si="4"/>
        <v/>
      </c>
      <c r="J177" s="19" t="str">
        <f t="shared" si="4"/>
        <v/>
      </c>
      <c r="K177" s="19" t="str">
        <f t="shared" si="4"/>
        <v>*</v>
      </c>
      <c r="L177" s="19" t="str">
        <f t="shared" si="4"/>
        <v>*</v>
      </c>
      <c r="M177" s="19" t="str">
        <f t="shared" si="4"/>
        <v/>
      </c>
      <c r="N177" s="19" t="str">
        <f t="shared" si="4"/>
        <v/>
      </c>
      <c r="O177" s="19" t="str">
        <f t="shared" si="4"/>
        <v>*</v>
      </c>
      <c r="P177" s="19" t="str">
        <f t="shared" si="4"/>
        <v>*</v>
      </c>
      <c r="Q177" s="19" t="str">
        <f t="shared" si="4"/>
        <v>*</v>
      </c>
      <c r="R177" s="19" t="str">
        <f t="shared" si="4"/>
        <v>*</v>
      </c>
      <c r="S177" s="19" t="str">
        <f t="shared" si="4"/>
        <v/>
      </c>
      <c r="T177" s="19" t="str">
        <f t="shared" si="4"/>
        <v/>
      </c>
      <c r="U177" s="19" t="str">
        <f t="shared" si="4"/>
        <v/>
      </c>
      <c r="V177" s="19" t="str">
        <f t="shared" si="4"/>
        <v/>
      </c>
      <c r="X177" s="71"/>
    </row>
    <row r="178" spans="1:24" s="32" customFormat="1" ht="14.25" hidden="1" customHeight="1" x14ac:dyDescent="0.2">
      <c r="A178" s="38" t="s">
        <v>56</v>
      </c>
      <c r="B178" s="29" t="s">
        <v>35</v>
      </c>
      <c r="C178" s="30" t="s">
        <v>36</v>
      </c>
      <c r="D178" s="31" t="str">
        <f t="shared" si="4"/>
        <v>*</v>
      </c>
      <c r="E178" s="31" t="str">
        <f t="shared" si="4"/>
        <v>*</v>
      </c>
      <c r="F178" s="31" t="str">
        <f t="shared" si="4"/>
        <v>*</v>
      </c>
      <c r="G178" s="31" t="str">
        <f t="shared" si="4"/>
        <v/>
      </c>
      <c r="H178" s="31" t="str">
        <f t="shared" si="4"/>
        <v/>
      </c>
      <c r="I178" s="31" t="str">
        <f t="shared" si="4"/>
        <v/>
      </c>
      <c r="J178" s="31" t="str">
        <f t="shared" si="4"/>
        <v/>
      </c>
      <c r="K178" s="31" t="str">
        <f t="shared" si="4"/>
        <v>*</v>
      </c>
      <c r="L178" s="31" t="str">
        <f t="shared" ref="L178:V178" si="5">IF(L108=L35,"","*")</f>
        <v>*</v>
      </c>
      <c r="M178" s="31" t="str">
        <f t="shared" si="5"/>
        <v>*</v>
      </c>
      <c r="N178" s="31" t="str">
        <f t="shared" si="5"/>
        <v>*</v>
      </c>
      <c r="O178" s="31" t="str">
        <f t="shared" si="5"/>
        <v>*</v>
      </c>
      <c r="P178" s="31" t="str">
        <f t="shared" si="5"/>
        <v>*</v>
      </c>
      <c r="Q178" s="31" t="str">
        <f t="shared" si="5"/>
        <v>*</v>
      </c>
      <c r="R178" s="31" t="str">
        <f t="shared" si="5"/>
        <v>*</v>
      </c>
      <c r="S178" s="31" t="str">
        <f t="shared" si="5"/>
        <v/>
      </c>
      <c r="T178" s="31" t="str">
        <f t="shared" si="5"/>
        <v/>
      </c>
      <c r="U178" s="31" t="str">
        <f t="shared" si="5"/>
        <v>*</v>
      </c>
      <c r="V178" s="31" t="str">
        <f t="shared" si="5"/>
        <v/>
      </c>
      <c r="X178" s="71"/>
    </row>
    <row r="179" spans="1:24" s="32" customFormat="1" ht="14.25" hidden="1" customHeight="1" x14ac:dyDescent="0.2">
      <c r="A179" s="108" t="s">
        <v>57</v>
      </c>
      <c r="B179" s="33" t="s">
        <v>37</v>
      </c>
      <c r="C179" s="34" t="s">
        <v>38</v>
      </c>
      <c r="D179" s="19" t="str">
        <f t="shared" ref="D179:V192" si="6">IF(D109=D36,"","*")</f>
        <v>*</v>
      </c>
      <c r="E179" s="19" t="str">
        <f t="shared" si="6"/>
        <v>*</v>
      </c>
      <c r="F179" s="19" t="str">
        <f t="shared" si="6"/>
        <v>*</v>
      </c>
      <c r="G179" s="19" t="str">
        <f t="shared" si="6"/>
        <v/>
      </c>
      <c r="H179" s="19" t="str">
        <f t="shared" si="6"/>
        <v/>
      </c>
      <c r="I179" s="19" t="str">
        <f t="shared" si="6"/>
        <v/>
      </c>
      <c r="J179" s="19" t="str">
        <f t="shared" si="6"/>
        <v/>
      </c>
      <c r="K179" s="19" t="str">
        <f t="shared" si="6"/>
        <v>*</v>
      </c>
      <c r="L179" s="19" t="str">
        <f t="shared" si="6"/>
        <v>*</v>
      </c>
      <c r="M179" s="19" t="str">
        <f t="shared" si="6"/>
        <v>*</v>
      </c>
      <c r="N179" s="19" t="str">
        <f t="shared" si="6"/>
        <v/>
      </c>
      <c r="O179" s="19" t="str">
        <f t="shared" si="6"/>
        <v>*</v>
      </c>
      <c r="P179" s="19" t="str">
        <f t="shared" si="6"/>
        <v>*</v>
      </c>
      <c r="Q179" s="19" t="str">
        <f t="shared" si="6"/>
        <v/>
      </c>
      <c r="R179" s="19" t="str">
        <f t="shared" si="6"/>
        <v>*</v>
      </c>
      <c r="S179" s="19" t="str">
        <f t="shared" si="6"/>
        <v/>
      </c>
      <c r="T179" s="19" t="str">
        <f t="shared" si="6"/>
        <v/>
      </c>
      <c r="U179" s="19" t="str">
        <f t="shared" si="6"/>
        <v>*</v>
      </c>
      <c r="V179" s="19" t="str">
        <f t="shared" si="6"/>
        <v/>
      </c>
      <c r="X179" s="71"/>
    </row>
    <row r="180" spans="1:24" s="32" customFormat="1" ht="14.25" hidden="1" customHeight="1" x14ac:dyDescent="0.2">
      <c r="A180" s="108"/>
      <c r="B180" s="36" t="s">
        <v>39</v>
      </c>
      <c r="C180" s="37" t="s">
        <v>163</v>
      </c>
      <c r="D180" s="19" t="str">
        <f t="shared" si="6"/>
        <v>*</v>
      </c>
      <c r="E180" s="19" t="str">
        <f t="shared" si="6"/>
        <v>*</v>
      </c>
      <c r="F180" s="19" t="str">
        <f t="shared" si="6"/>
        <v>*</v>
      </c>
      <c r="G180" s="19" t="str">
        <f t="shared" si="6"/>
        <v/>
      </c>
      <c r="H180" s="19" t="str">
        <f t="shared" si="6"/>
        <v/>
      </c>
      <c r="I180" s="19" t="str">
        <f t="shared" si="6"/>
        <v/>
      </c>
      <c r="J180" s="19" t="str">
        <f t="shared" si="6"/>
        <v/>
      </c>
      <c r="K180" s="19" t="str">
        <f t="shared" si="6"/>
        <v>*</v>
      </c>
      <c r="L180" s="19" t="str">
        <f t="shared" si="6"/>
        <v/>
      </c>
      <c r="M180" s="19" t="str">
        <f t="shared" si="6"/>
        <v/>
      </c>
      <c r="N180" s="19" t="str">
        <f t="shared" si="6"/>
        <v>*</v>
      </c>
      <c r="O180" s="19" t="str">
        <f t="shared" si="6"/>
        <v/>
      </c>
      <c r="P180" s="19" t="str">
        <f t="shared" si="6"/>
        <v/>
      </c>
      <c r="Q180" s="19" t="str">
        <f t="shared" si="6"/>
        <v>*</v>
      </c>
      <c r="R180" s="19" t="str">
        <f t="shared" si="6"/>
        <v/>
      </c>
      <c r="S180" s="19" t="str">
        <f t="shared" si="6"/>
        <v/>
      </c>
      <c r="T180" s="19" t="str">
        <f t="shared" si="6"/>
        <v/>
      </c>
      <c r="U180" s="19" t="str">
        <f t="shared" si="6"/>
        <v/>
      </c>
      <c r="V180" s="19" t="str">
        <f t="shared" si="6"/>
        <v/>
      </c>
      <c r="X180" s="71"/>
    </row>
    <row r="181" spans="1:24" s="32" customFormat="1" ht="14.25" hidden="1" customHeight="1" x14ac:dyDescent="0.2">
      <c r="A181" s="38" t="s">
        <v>58</v>
      </c>
      <c r="B181" s="29" t="s">
        <v>35</v>
      </c>
      <c r="C181" s="30" t="s">
        <v>36</v>
      </c>
      <c r="D181" s="31" t="str">
        <f t="shared" si="6"/>
        <v>*</v>
      </c>
      <c r="E181" s="31" t="str">
        <f t="shared" si="6"/>
        <v>*</v>
      </c>
      <c r="F181" s="31" t="str">
        <f t="shared" si="6"/>
        <v>*</v>
      </c>
      <c r="G181" s="31" t="str">
        <f t="shared" si="6"/>
        <v/>
      </c>
      <c r="H181" s="31" t="str">
        <f t="shared" si="6"/>
        <v/>
      </c>
      <c r="I181" s="31" t="str">
        <f t="shared" si="6"/>
        <v/>
      </c>
      <c r="J181" s="31" t="str">
        <f t="shared" si="6"/>
        <v/>
      </c>
      <c r="K181" s="31" t="str">
        <f t="shared" si="6"/>
        <v>*</v>
      </c>
      <c r="L181" s="31" t="str">
        <f t="shared" si="6"/>
        <v>*</v>
      </c>
      <c r="M181" s="31" t="str">
        <f t="shared" si="6"/>
        <v>*</v>
      </c>
      <c r="N181" s="31" t="str">
        <f t="shared" si="6"/>
        <v>*</v>
      </c>
      <c r="O181" s="31" t="str">
        <f t="shared" si="6"/>
        <v>*</v>
      </c>
      <c r="P181" s="31" t="str">
        <f t="shared" si="6"/>
        <v>*</v>
      </c>
      <c r="Q181" s="31" t="str">
        <f t="shared" si="6"/>
        <v>*</v>
      </c>
      <c r="R181" s="31" t="str">
        <f t="shared" si="6"/>
        <v>*</v>
      </c>
      <c r="S181" s="31" t="str">
        <f t="shared" si="6"/>
        <v/>
      </c>
      <c r="T181" s="31" t="str">
        <f t="shared" si="6"/>
        <v/>
      </c>
      <c r="U181" s="31" t="str">
        <f t="shared" si="6"/>
        <v>*</v>
      </c>
      <c r="V181" s="31" t="str">
        <f t="shared" si="6"/>
        <v/>
      </c>
      <c r="X181" s="71"/>
    </row>
    <row r="182" spans="1:24" s="32" customFormat="1" ht="14.25" hidden="1" customHeight="1" x14ac:dyDescent="0.2">
      <c r="A182" s="108" t="s">
        <v>59</v>
      </c>
      <c r="B182" s="33" t="s">
        <v>37</v>
      </c>
      <c r="C182" s="34" t="s">
        <v>38</v>
      </c>
      <c r="D182" s="19" t="str">
        <f t="shared" si="6"/>
        <v>*</v>
      </c>
      <c r="E182" s="19" t="str">
        <f t="shared" si="6"/>
        <v>*</v>
      </c>
      <c r="F182" s="19" t="str">
        <f t="shared" si="6"/>
        <v>*</v>
      </c>
      <c r="G182" s="19" t="str">
        <f t="shared" si="6"/>
        <v/>
      </c>
      <c r="H182" s="19" t="str">
        <f t="shared" si="6"/>
        <v/>
      </c>
      <c r="I182" s="19" t="str">
        <f t="shared" si="6"/>
        <v/>
      </c>
      <c r="J182" s="19" t="str">
        <f t="shared" si="6"/>
        <v/>
      </c>
      <c r="K182" s="19" t="str">
        <f t="shared" si="6"/>
        <v>*</v>
      </c>
      <c r="L182" s="19" t="str">
        <f t="shared" si="6"/>
        <v>*</v>
      </c>
      <c r="M182" s="19" t="str">
        <f t="shared" si="6"/>
        <v>*</v>
      </c>
      <c r="N182" s="19" t="str">
        <f t="shared" si="6"/>
        <v>*</v>
      </c>
      <c r="O182" s="19" t="str">
        <f t="shared" si="6"/>
        <v>*</v>
      </c>
      <c r="P182" s="19" t="str">
        <f t="shared" si="6"/>
        <v>*</v>
      </c>
      <c r="Q182" s="19" t="str">
        <f t="shared" si="6"/>
        <v>*</v>
      </c>
      <c r="R182" s="19" t="str">
        <f t="shared" si="6"/>
        <v>*</v>
      </c>
      <c r="S182" s="19" t="str">
        <f t="shared" si="6"/>
        <v/>
      </c>
      <c r="T182" s="19" t="str">
        <f t="shared" si="6"/>
        <v/>
      </c>
      <c r="U182" s="19" t="str">
        <f t="shared" si="6"/>
        <v>*</v>
      </c>
      <c r="V182" s="19" t="str">
        <f t="shared" si="6"/>
        <v/>
      </c>
      <c r="X182" s="71"/>
    </row>
    <row r="183" spans="1:24" s="32" customFormat="1" ht="14.25" hidden="1" customHeight="1" x14ac:dyDescent="0.2">
      <c r="A183" s="108"/>
      <c r="B183" s="36" t="s">
        <v>39</v>
      </c>
      <c r="C183" s="37" t="s">
        <v>163</v>
      </c>
      <c r="D183" s="19" t="str">
        <f t="shared" si="6"/>
        <v>*</v>
      </c>
      <c r="E183" s="19" t="str">
        <f t="shared" si="6"/>
        <v>*</v>
      </c>
      <c r="F183" s="19" t="str">
        <f t="shared" si="6"/>
        <v>*</v>
      </c>
      <c r="G183" s="19" t="str">
        <f t="shared" si="6"/>
        <v/>
      </c>
      <c r="H183" s="19" t="str">
        <f t="shared" si="6"/>
        <v/>
      </c>
      <c r="I183" s="19" t="str">
        <f t="shared" si="6"/>
        <v/>
      </c>
      <c r="J183" s="19" t="str">
        <f t="shared" si="6"/>
        <v/>
      </c>
      <c r="K183" s="19" t="str">
        <f t="shared" si="6"/>
        <v/>
      </c>
      <c r="L183" s="19" t="str">
        <f t="shared" si="6"/>
        <v>*</v>
      </c>
      <c r="M183" s="19" t="str">
        <f t="shared" si="6"/>
        <v/>
      </c>
      <c r="N183" s="19" t="str">
        <f t="shared" si="6"/>
        <v>*</v>
      </c>
      <c r="O183" s="19" t="str">
        <f t="shared" si="6"/>
        <v>*</v>
      </c>
      <c r="P183" s="19" t="str">
        <f t="shared" si="6"/>
        <v>*</v>
      </c>
      <c r="Q183" s="19" t="str">
        <f t="shared" si="6"/>
        <v>*</v>
      </c>
      <c r="R183" s="19" t="str">
        <f t="shared" si="6"/>
        <v>*</v>
      </c>
      <c r="S183" s="19" t="str">
        <f t="shared" si="6"/>
        <v/>
      </c>
      <c r="T183" s="19" t="str">
        <f t="shared" si="6"/>
        <v/>
      </c>
      <c r="U183" s="19" t="str">
        <f t="shared" si="6"/>
        <v/>
      </c>
      <c r="V183" s="19" t="str">
        <f t="shared" si="6"/>
        <v/>
      </c>
      <c r="X183" s="71"/>
    </row>
    <row r="184" spans="1:24" s="32" customFormat="1" ht="14.25" hidden="1" customHeight="1" x14ac:dyDescent="0.2">
      <c r="A184" s="38" t="s">
        <v>60</v>
      </c>
      <c r="B184" s="29" t="s">
        <v>35</v>
      </c>
      <c r="C184" s="30" t="s">
        <v>36</v>
      </c>
      <c r="D184" s="31" t="str">
        <f t="shared" si="6"/>
        <v>*</v>
      </c>
      <c r="E184" s="31" t="str">
        <f t="shared" si="6"/>
        <v>*</v>
      </c>
      <c r="F184" s="31" t="str">
        <f t="shared" si="6"/>
        <v>*</v>
      </c>
      <c r="G184" s="31" t="str">
        <f t="shared" si="6"/>
        <v/>
      </c>
      <c r="H184" s="31" t="str">
        <f t="shared" si="6"/>
        <v/>
      </c>
      <c r="I184" s="31" t="str">
        <f t="shared" si="6"/>
        <v/>
      </c>
      <c r="J184" s="31" t="str">
        <f t="shared" si="6"/>
        <v/>
      </c>
      <c r="K184" s="31" t="str">
        <f t="shared" si="6"/>
        <v>*</v>
      </c>
      <c r="L184" s="31" t="str">
        <f t="shared" si="6"/>
        <v>*</v>
      </c>
      <c r="M184" s="31" t="str">
        <f t="shared" si="6"/>
        <v/>
      </c>
      <c r="N184" s="31" t="str">
        <f t="shared" si="6"/>
        <v>*</v>
      </c>
      <c r="O184" s="31" t="str">
        <f t="shared" si="6"/>
        <v>*</v>
      </c>
      <c r="P184" s="31" t="str">
        <f t="shared" si="6"/>
        <v>*</v>
      </c>
      <c r="Q184" s="31" t="str">
        <f t="shared" si="6"/>
        <v>*</v>
      </c>
      <c r="R184" s="31" t="str">
        <f t="shared" si="6"/>
        <v>*</v>
      </c>
      <c r="S184" s="31" t="str">
        <f t="shared" si="6"/>
        <v>*</v>
      </c>
      <c r="T184" s="31" t="str">
        <f t="shared" si="6"/>
        <v/>
      </c>
      <c r="U184" s="31" t="str">
        <f t="shared" si="6"/>
        <v>*</v>
      </c>
      <c r="V184" s="31" t="str">
        <f t="shared" si="6"/>
        <v>*</v>
      </c>
      <c r="X184" s="71"/>
    </row>
    <row r="185" spans="1:24" s="32" customFormat="1" ht="14.25" hidden="1" customHeight="1" x14ac:dyDescent="0.2">
      <c r="A185" s="108" t="s">
        <v>61</v>
      </c>
      <c r="B185" s="33" t="s">
        <v>37</v>
      </c>
      <c r="C185" s="34" t="s">
        <v>38</v>
      </c>
      <c r="D185" s="19" t="str">
        <f t="shared" si="6"/>
        <v>*</v>
      </c>
      <c r="E185" s="19" t="str">
        <f t="shared" si="6"/>
        <v>*</v>
      </c>
      <c r="F185" s="19" t="str">
        <f t="shared" si="6"/>
        <v>*</v>
      </c>
      <c r="G185" s="19" t="str">
        <f t="shared" si="6"/>
        <v/>
      </c>
      <c r="H185" s="19" t="str">
        <f t="shared" si="6"/>
        <v/>
      </c>
      <c r="I185" s="19" t="str">
        <f t="shared" si="6"/>
        <v/>
      </c>
      <c r="J185" s="19" t="str">
        <f t="shared" si="6"/>
        <v/>
      </c>
      <c r="K185" s="19" t="str">
        <f t="shared" si="6"/>
        <v>*</v>
      </c>
      <c r="L185" s="19" t="str">
        <f t="shared" si="6"/>
        <v>*</v>
      </c>
      <c r="M185" s="19" t="str">
        <f t="shared" si="6"/>
        <v>*</v>
      </c>
      <c r="N185" s="19" t="str">
        <f t="shared" si="6"/>
        <v/>
      </c>
      <c r="O185" s="19" t="str">
        <f t="shared" si="6"/>
        <v>*</v>
      </c>
      <c r="P185" s="19" t="str">
        <f t="shared" si="6"/>
        <v>*</v>
      </c>
      <c r="Q185" s="19" t="str">
        <f t="shared" si="6"/>
        <v>*</v>
      </c>
      <c r="R185" s="19" t="str">
        <f t="shared" si="6"/>
        <v>*</v>
      </c>
      <c r="S185" s="19" t="str">
        <f t="shared" si="6"/>
        <v/>
      </c>
      <c r="T185" s="19" t="str">
        <f t="shared" si="6"/>
        <v/>
      </c>
      <c r="U185" s="19" t="str">
        <f t="shared" si="6"/>
        <v>*</v>
      </c>
      <c r="V185" s="19" t="str">
        <f t="shared" si="6"/>
        <v>*</v>
      </c>
      <c r="X185" s="71"/>
    </row>
    <row r="186" spans="1:24" s="32" customFormat="1" ht="14.25" hidden="1" customHeight="1" x14ac:dyDescent="0.2">
      <c r="A186" s="108"/>
      <c r="B186" s="36" t="s">
        <v>39</v>
      </c>
      <c r="C186" s="37" t="s">
        <v>163</v>
      </c>
      <c r="D186" s="19" t="str">
        <f t="shared" si="6"/>
        <v>*</v>
      </c>
      <c r="E186" s="19" t="str">
        <f t="shared" si="6"/>
        <v>*</v>
      </c>
      <c r="F186" s="19" t="str">
        <f t="shared" si="6"/>
        <v>*</v>
      </c>
      <c r="G186" s="19" t="str">
        <f t="shared" si="6"/>
        <v/>
      </c>
      <c r="H186" s="19" t="str">
        <f t="shared" si="6"/>
        <v/>
      </c>
      <c r="I186" s="19" t="str">
        <f t="shared" si="6"/>
        <v/>
      </c>
      <c r="J186" s="19" t="str">
        <f t="shared" si="6"/>
        <v/>
      </c>
      <c r="K186" s="19" t="str">
        <f t="shared" si="6"/>
        <v>*</v>
      </c>
      <c r="L186" s="19" t="str">
        <f t="shared" si="6"/>
        <v>*</v>
      </c>
      <c r="M186" s="19" t="str">
        <f t="shared" si="6"/>
        <v>*</v>
      </c>
      <c r="N186" s="19" t="str">
        <f t="shared" si="6"/>
        <v>*</v>
      </c>
      <c r="O186" s="19" t="str">
        <f t="shared" si="6"/>
        <v>*</v>
      </c>
      <c r="P186" s="19" t="str">
        <f t="shared" si="6"/>
        <v>*</v>
      </c>
      <c r="Q186" s="19" t="str">
        <f t="shared" si="6"/>
        <v>*</v>
      </c>
      <c r="R186" s="19" t="str">
        <f t="shared" si="6"/>
        <v>*</v>
      </c>
      <c r="S186" s="19" t="str">
        <f t="shared" si="6"/>
        <v>*</v>
      </c>
      <c r="T186" s="19" t="str">
        <f t="shared" si="6"/>
        <v/>
      </c>
      <c r="U186" s="19" t="str">
        <f t="shared" si="6"/>
        <v>*</v>
      </c>
      <c r="V186" s="19" t="str">
        <f t="shared" si="6"/>
        <v/>
      </c>
      <c r="X186" s="71"/>
    </row>
    <row r="187" spans="1:24" s="32" customFormat="1" ht="14.25" hidden="1" customHeight="1" x14ac:dyDescent="0.2">
      <c r="A187" s="38" t="s">
        <v>62</v>
      </c>
      <c r="B187" s="29" t="s">
        <v>35</v>
      </c>
      <c r="C187" s="30" t="s">
        <v>36</v>
      </c>
      <c r="D187" s="31" t="str">
        <f t="shared" si="6"/>
        <v>*</v>
      </c>
      <c r="E187" s="31" t="str">
        <f t="shared" si="6"/>
        <v>*</v>
      </c>
      <c r="F187" s="31" t="str">
        <f t="shared" si="6"/>
        <v>*</v>
      </c>
      <c r="G187" s="31" t="str">
        <f t="shared" si="6"/>
        <v>*</v>
      </c>
      <c r="H187" s="31" t="str">
        <f t="shared" si="6"/>
        <v/>
      </c>
      <c r="I187" s="31" t="str">
        <f t="shared" si="6"/>
        <v/>
      </c>
      <c r="J187" s="31" t="str">
        <f t="shared" si="6"/>
        <v/>
      </c>
      <c r="K187" s="31" t="str">
        <f t="shared" si="6"/>
        <v>*</v>
      </c>
      <c r="L187" s="31" t="str">
        <f t="shared" si="6"/>
        <v>*</v>
      </c>
      <c r="M187" s="31" t="str">
        <f t="shared" si="6"/>
        <v>*</v>
      </c>
      <c r="N187" s="31" t="str">
        <f t="shared" si="6"/>
        <v/>
      </c>
      <c r="O187" s="31" t="str">
        <f t="shared" si="6"/>
        <v>*</v>
      </c>
      <c r="P187" s="31" t="str">
        <f t="shared" si="6"/>
        <v>*</v>
      </c>
      <c r="Q187" s="31" t="str">
        <f t="shared" si="6"/>
        <v>*</v>
      </c>
      <c r="R187" s="31" t="str">
        <f t="shared" si="6"/>
        <v>*</v>
      </c>
      <c r="S187" s="31" t="str">
        <f t="shared" si="6"/>
        <v>*</v>
      </c>
      <c r="T187" s="31" t="str">
        <f t="shared" si="6"/>
        <v/>
      </c>
      <c r="U187" s="31" t="str">
        <f t="shared" si="6"/>
        <v>*</v>
      </c>
      <c r="V187" s="31" t="str">
        <f t="shared" si="6"/>
        <v>*</v>
      </c>
      <c r="X187" s="71"/>
    </row>
    <row r="188" spans="1:24" s="32" customFormat="1" ht="14.25" hidden="1" customHeight="1" x14ac:dyDescent="0.2">
      <c r="A188" s="108" t="s">
        <v>63</v>
      </c>
      <c r="B188" s="33" t="s">
        <v>37</v>
      </c>
      <c r="C188" s="34" t="s">
        <v>38</v>
      </c>
      <c r="D188" s="19" t="str">
        <f t="shared" si="6"/>
        <v>*</v>
      </c>
      <c r="E188" s="19" t="str">
        <f t="shared" si="6"/>
        <v>*</v>
      </c>
      <c r="F188" s="19" t="str">
        <f t="shared" si="6"/>
        <v>*</v>
      </c>
      <c r="G188" s="19" t="str">
        <f t="shared" si="6"/>
        <v>*</v>
      </c>
      <c r="H188" s="19" t="str">
        <f t="shared" si="6"/>
        <v/>
      </c>
      <c r="I188" s="19" t="str">
        <f t="shared" si="6"/>
        <v/>
      </c>
      <c r="J188" s="19" t="str">
        <f t="shared" si="6"/>
        <v/>
      </c>
      <c r="K188" s="19" t="str">
        <f t="shared" si="6"/>
        <v>*</v>
      </c>
      <c r="L188" s="19" t="str">
        <f t="shared" si="6"/>
        <v>*</v>
      </c>
      <c r="M188" s="19" t="str">
        <f t="shared" si="6"/>
        <v>*</v>
      </c>
      <c r="N188" s="19" t="str">
        <f t="shared" si="6"/>
        <v/>
      </c>
      <c r="O188" s="19" t="str">
        <f t="shared" si="6"/>
        <v>*</v>
      </c>
      <c r="P188" s="19" t="str">
        <f t="shared" si="6"/>
        <v>*</v>
      </c>
      <c r="Q188" s="19" t="str">
        <f t="shared" si="6"/>
        <v>*</v>
      </c>
      <c r="R188" s="19" t="str">
        <f t="shared" si="6"/>
        <v>*</v>
      </c>
      <c r="S188" s="19" t="str">
        <f t="shared" si="6"/>
        <v>*</v>
      </c>
      <c r="T188" s="19" t="str">
        <f t="shared" si="6"/>
        <v/>
      </c>
      <c r="U188" s="19" t="str">
        <f t="shared" si="6"/>
        <v>*</v>
      </c>
      <c r="V188" s="19" t="str">
        <f t="shared" si="6"/>
        <v>*</v>
      </c>
      <c r="X188" s="71"/>
    </row>
    <row r="189" spans="1:24" s="32" customFormat="1" ht="14.25" hidden="1" customHeight="1" x14ac:dyDescent="0.2">
      <c r="A189" s="108"/>
      <c r="B189" s="36" t="s">
        <v>39</v>
      </c>
      <c r="C189" s="37" t="s">
        <v>163</v>
      </c>
      <c r="D189" s="19" t="str">
        <f t="shared" si="6"/>
        <v/>
      </c>
      <c r="E189" s="19" t="str">
        <f t="shared" si="6"/>
        <v>*</v>
      </c>
      <c r="F189" s="19" t="str">
        <f t="shared" si="6"/>
        <v>*</v>
      </c>
      <c r="G189" s="19" t="str">
        <f t="shared" si="6"/>
        <v/>
      </c>
      <c r="H189" s="19" t="str">
        <f t="shared" si="6"/>
        <v/>
      </c>
      <c r="I189" s="19" t="str">
        <f t="shared" si="6"/>
        <v/>
      </c>
      <c r="J189" s="19" t="str">
        <f t="shared" si="6"/>
        <v/>
      </c>
      <c r="K189" s="19" t="str">
        <f t="shared" si="6"/>
        <v>*</v>
      </c>
      <c r="L189" s="19" t="str">
        <f t="shared" si="6"/>
        <v>*</v>
      </c>
      <c r="M189" s="19" t="str">
        <f t="shared" si="6"/>
        <v/>
      </c>
      <c r="N189" s="19" t="str">
        <f t="shared" si="6"/>
        <v/>
      </c>
      <c r="O189" s="19" t="str">
        <f t="shared" si="6"/>
        <v/>
      </c>
      <c r="P189" s="19" t="str">
        <f t="shared" si="6"/>
        <v/>
      </c>
      <c r="Q189" s="19" t="str">
        <f t="shared" si="6"/>
        <v>*</v>
      </c>
      <c r="R189" s="19" t="str">
        <f t="shared" si="6"/>
        <v/>
      </c>
      <c r="S189" s="19" t="str">
        <f t="shared" si="6"/>
        <v/>
      </c>
      <c r="T189" s="19" t="str">
        <f t="shared" si="6"/>
        <v/>
      </c>
      <c r="U189" s="19" t="str">
        <f t="shared" si="6"/>
        <v/>
      </c>
      <c r="V189" s="19" t="str">
        <f t="shared" si="6"/>
        <v/>
      </c>
      <c r="X189" s="71"/>
    </row>
    <row r="190" spans="1:24" s="32" customFormat="1" ht="14.25" hidden="1" customHeight="1" x14ac:dyDescent="0.2">
      <c r="A190" s="38" t="s">
        <v>64</v>
      </c>
      <c r="B190" s="29" t="s">
        <v>35</v>
      </c>
      <c r="C190" s="30" t="s">
        <v>36</v>
      </c>
      <c r="D190" s="31" t="str">
        <f t="shared" si="6"/>
        <v>*</v>
      </c>
      <c r="E190" s="31" t="str">
        <f t="shared" si="6"/>
        <v>*</v>
      </c>
      <c r="F190" s="31" t="str">
        <f t="shared" si="6"/>
        <v>*</v>
      </c>
      <c r="G190" s="31" t="str">
        <f t="shared" si="6"/>
        <v/>
      </c>
      <c r="H190" s="31" t="str">
        <f t="shared" si="6"/>
        <v/>
      </c>
      <c r="I190" s="31" t="str">
        <f t="shared" si="6"/>
        <v/>
      </c>
      <c r="J190" s="31" t="str">
        <f t="shared" si="6"/>
        <v>*</v>
      </c>
      <c r="K190" s="31" t="str">
        <f t="shared" si="6"/>
        <v>*</v>
      </c>
      <c r="L190" s="31" t="str">
        <f t="shared" si="6"/>
        <v>*</v>
      </c>
      <c r="M190" s="31" t="str">
        <f t="shared" si="6"/>
        <v>*</v>
      </c>
      <c r="N190" s="31" t="str">
        <f t="shared" si="6"/>
        <v>*</v>
      </c>
      <c r="O190" s="31" t="str">
        <f t="shared" si="6"/>
        <v>*</v>
      </c>
      <c r="P190" s="31" t="str">
        <f t="shared" si="6"/>
        <v>*</v>
      </c>
      <c r="Q190" s="31" t="str">
        <f t="shared" si="6"/>
        <v>*</v>
      </c>
      <c r="R190" s="31" t="str">
        <f t="shared" si="6"/>
        <v>*</v>
      </c>
      <c r="S190" s="31" t="str">
        <f t="shared" si="6"/>
        <v/>
      </c>
      <c r="T190" s="31" t="str">
        <f t="shared" si="6"/>
        <v/>
      </c>
      <c r="U190" s="31" t="str">
        <f t="shared" si="6"/>
        <v>*</v>
      </c>
      <c r="V190" s="31" t="str">
        <f t="shared" si="6"/>
        <v/>
      </c>
      <c r="X190" s="71"/>
    </row>
    <row r="191" spans="1:24" s="32" customFormat="1" ht="14.25" hidden="1" customHeight="1" x14ac:dyDescent="0.2">
      <c r="A191" s="108" t="s">
        <v>65</v>
      </c>
      <c r="B191" s="33" t="s">
        <v>37</v>
      </c>
      <c r="C191" s="34" t="s">
        <v>38</v>
      </c>
      <c r="D191" s="19" t="str">
        <f t="shared" si="6"/>
        <v>*</v>
      </c>
      <c r="E191" s="19" t="str">
        <f t="shared" si="6"/>
        <v>*</v>
      </c>
      <c r="F191" s="19" t="str">
        <f t="shared" si="6"/>
        <v>*</v>
      </c>
      <c r="G191" s="19" t="str">
        <f t="shared" si="6"/>
        <v/>
      </c>
      <c r="H191" s="19" t="str">
        <f t="shared" si="6"/>
        <v/>
      </c>
      <c r="I191" s="19" t="str">
        <f t="shared" si="6"/>
        <v/>
      </c>
      <c r="J191" s="19" t="str">
        <f t="shared" si="6"/>
        <v>*</v>
      </c>
      <c r="K191" s="19" t="str">
        <f t="shared" si="6"/>
        <v>*</v>
      </c>
      <c r="L191" s="19" t="str">
        <f t="shared" si="6"/>
        <v>*</v>
      </c>
      <c r="M191" s="19" t="str">
        <f t="shared" si="6"/>
        <v>*</v>
      </c>
      <c r="N191" s="19" t="str">
        <f t="shared" si="6"/>
        <v>*</v>
      </c>
      <c r="O191" s="19" t="str">
        <f t="shared" si="6"/>
        <v>*</v>
      </c>
      <c r="P191" s="19" t="str">
        <f t="shared" si="6"/>
        <v>*</v>
      </c>
      <c r="Q191" s="19" t="str">
        <f t="shared" si="6"/>
        <v>*</v>
      </c>
      <c r="R191" s="19" t="str">
        <f t="shared" si="6"/>
        <v>*</v>
      </c>
      <c r="S191" s="19" t="str">
        <f t="shared" si="6"/>
        <v/>
      </c>
      <c r="T191" s="19" t="str">
        <f t="shared" si="6"/>
        <v/>
      </c>
      <c r="U191" s="19" t="str">
        <f t="shared" si="6"/>
        <v>*</v>
      </c>
      <c r="V191" s="19" t="str">
        <f t="shared" si="6"/>
        <v/>
      </c>
      <c r="X191" s="71"/>
    </row>
    <row r="192" spans="1:24" s="32" customFormat="1" ht="14.25" hidden="1" customHeight="1" x14ac:dyDescent="0.2">
      <c r="A192" s="108"/>
      <c r="B192" s="36" t="s">
        <v>39</v>
      </c>
      <c r="C192" s="37" t="s">
        <v>163</v>
      </c>
      <c r="D192" s="19" t="str">
        <f t="shared" si="6"/>
        <v>*</v>
      </c>
      <c r="E192" s="19" t="str">
        <f t="shared" si="6"/>
        <v/>
      </c>
      <c r="F192" s="19" t="str">
        <f t="shared" si="6"/>
        <v>*</v>
      </c>
      <c r="G192" s="19" t="str">
        <f t="shared" si="6"/>
        <v/>
      </c>
      <c r="H192" s="19" t="str">
        <f t="shared" si="6"/>
        <v/>
      </c>
      <c r="I192" s="19" t="str">
        <f t="shared" si="6"/>
        <v/>
      </c>
      <c r="J192" s="19" t="str">
        <f t="shared" si="6"/>
        <v/>
      </c>
      <c r="K192" s="19" t="str">
        <f t="shared" si="6"/>
        <v/>
      </c>
      <c r="L192" s="19" t="str">
        <f t="shared" ref="L192:V192" si="7">IF(L122=L49,"","*")</f>
        <v>*</v>
      </c>
      <c r="M192" s="19" t="str">
        <f t="shared" si="7"/>
        <v>*</v>
      </c>
      <c r="N192" s="19" t="str">
        <f t="shared" si="7"/>
        <v>*</v>
      </c>
      <c r="O192" s="19" t="str">
        <f t="shared" si="7"/>
        <v/>
      </c>
      <c r="P192" s="19" t="str">
        <f t="shared" si="7"/>
        <v>*</v>
      </c>
      <c r="Q192" s="19" t="str">
        <f t="shared" si="7"/>
        <v>*</v>
      </c>
      <c r="R192" s="19" t="str">
        <f t="shared" si="7"/>
        <v>*</v>
      </c>
      <c r="S192" s="19" t="str">
        <f t="shared" si="7"/>
        <v/>
      </c>
      <c r="T192" s="19" t="str">
        <f t="shared" si="7"/>
        <v/>
      </c>
      <c r="U192" s="19" t="str">
        <f t="shared" si="7"/>
        <v/>
      </c>
      <c r="V192" s="19" t="str">
        <f t="shared" si="7"/>
        <v/>
      </c>
      <c r="X192" s="71"/>
    </row>
    <row r="193" spans="1:24" s="32" customFormat="1" ht="14.25" hidden="1" customHeight="1" x14ac:dyDescent="0.2">
      <c r="A193" s="38" t="s">
        <v>66</v>
      </c>
      <c r="B193" s="29" t="s">
        <v>35</v>
      </c>
      <c r="C193" s="30" t="s">
        <v>36</v>
      </c>
      <c r="D193" s="31" t="str">
        <f t="shared" ref="D193:V206" si="8">IF(D123=D50,"","*")</f>
        <v>*</v>
      </c>
      <c r="E193" s="31" t="str">
        <f t="shared" si="8"/>
        <v>*</v>
      </c>
      <c r="F193" s="31" t="str">
        <f t="shared" si="8"/>
        <v>*</v>
      </c>
      <c r="G193" s="31" t="str">
        <f t="shared" si="8"/>
        <v/>
      </c>
      <c r="H193" s="31" t="str">
        <f t="shared" si="8"/>
        <v/>
      </c>
      <c r="I193" s="31" t="str">
        <f t="shared" si="8"/>
        <v>*</v>
      </c>
      <c r="J193" s="31" t="str">
        <f t="shared" si="8"/>
        <v/>
      </c>
      <c r="K193" s="31" t="str">
        <f t="shared" si="8"/>
        <v>*</v>
      </c>
      <c r="L193" s="31" t="str">
        <f t="shared" si="8"/>
        <v>*</v>
      </c>
      <c r="M193" s="31" t="str">
        <f t="shared" si="8"/>
        <v>*</v>
      </c>
      <c r="N193" s="31" t="str">
        <f t="shared" si="8"/>
        <v>*</v>
      </c>
      <c r="O193" s="31" t="str">
        <f t="shared" si="8"/>
        <v>*</v>
      </c>
      <c r="P193" s="31" t="str">
        <f t="shared" si="8"/>
        <v>*</v>
      </c>
      <c r="Q193" s="31" t="str">
        <f t="shared" si="8"/>
        <v>*</v>
      </c>
      <c r="R193" s="31" t="str">
        <f t="shared" si="8"/>
        <v>*</v>
      </c>
      <c r="S193" s="31" t="str">
        <f t="shared" si="8"/>
        <v>*</v>
      </c>
      <c r="T193" s="31" t="str">
        <f t="shared" si="8"/>
        <v>*</v>
      </c>
      <c r="U193" s="31" t="str">
        <f t="shared" si="8"/>
        <v>*</v>
      </c>
      <c r="V193" s="31" t="str">
        <f t="shared" si="8"/>
        <v/>
      </c>
      <c r="X193" s="71"/>
    </row>
    <row r="194" spans="1:24" s="32" customFormat="1" ht="14.25" hidden="1" customHeight="1" x14ac:dyDescent="0.2">
      <c r="A194" s="108" t="s">
        <v>67</v>
      </c>
      <c r="B194" s="33" t="s">
        <v>37</v>
      </c>
      <c r="C194" s="34" t="s">
        <v>38</v>
      </c>
      <c r="D194" s="19" t="str">
        <f t="shared" si="8"/>
        <v>*</v>
      </c>
      <c r="E194" s="19" t="str">
        <f t="shared" si="8"/>
        <v>*</v>
      </c>
      <c r="F194" s="19" t="str">
        <f t="shared" si="8"/>
        <v>*</v>
      </c>
      <c r="G194" s="19" t="str">
        <f t="shared" si="8"/>
        <v/>
      </c>
      <c r="H194" s="19" t="str">
        <f t="shared" si="8"/>
        <v/>
      </c>
      <c r="I194" s="19" t="str">
        <f t="shared" si="8"/>
        <v>*</v>
      </c>
      <c r="J194" s="19" t="str">
        <f t="shared" si="8"/>
        <v/>
      </c>
      <c r="K194" s="19" t="str">
        <f t="shared" si="8"/>
        <v>*</v>
      </c>
      <c r="L194" s="19" t="str">
        <f t="shared" si="8"/>
        <v>*</v>
      </c>
      <c r="M194" s="19" t="str">
        <f t="shared" si="8"/>
        <v/>
      </c>
      <c r="N194" s="19" t="str">
        <f t="shared" si="8"/>
        <v>*</v>
      </c>
      <c r="O194" s="19" t="str">
        <f t="shared" si="8"/>
        <v>*</v>
      </c>
      <c r="P194" s="19" t="str">
        <f t="shared" si="8"/>
        <v>*</v>
      </c>
      <c r="Q194" s="19" t="str">
        <f t="shared" si="8"/>
        <v>*</v>
      </c>
      <c r="R194" s="19" t="str">
        <f t="shared" si="8"/>
        <v>*</v>
      </c>
      <c r="S194" s="19" t="str">
        <f t="shared" si="8"/>
        <v/>
      </c>
      <c r="T194" s="19" t="str">
        <f t="shared" si="8"/>
        <v>*</v>
      </c>
      <c r="U194" s="19" t="str">
        <f t="shared" si="8"/>
        <v>*</v>
      </c>
      <c r="V194" s="19" t="str">
        <f t="shared" si="8"/>
        <v/>
      </c>
      <c r="X194" s="71"/>
    </row>
    <row r="195" spans="1:24" s="32" customFormat="1" ht="14.25" hidden="1" customHeight="1" x14ac:dyDescent="0.2">
      <c r="A195" s="108"/>
      <c r="B195" s="36" t="s">
        <v>39</v>
      </c>
      <c r="C195" s="37" t="s">
        <v>163</v>
      </c>
      <c r="D195" s="19" t="str">
        <f t="shared" si="8"/>
        <v>*</v>
      </c>
      <c r="E195" s="19" t="str">
        <f t="shared" si="8"/>
        <v>*</v>
      </c>
      <c r="F195" s="19" t="str">
        <f t="shared" si="8"/>
        <v>*</v>
      </c>
      <c r="G195" s="19" t="str">
        <f t="shared" si="8"/>
        <v/>
      </c>
      <c r="H195" s="19" t="str">
        <f t="shared" si="8"/>
        <v/>
      </c>
      <c r="I195" s="19" t="str">
        <f t="shared" si="8"/>
        <v/>
      </c>
      <c r="J195" s="19" t="str">
        <f t="shared" si="8"/>
        <v/>
      </c>
      <c r="K195" s="19" t="str">
        <f t="shared" si="8"/>
        <v>*</v>
      </c>
      <c r="L195" s="19" t="str">
        <f t="shared" si="8"/>
        <v>*</v>
      </c>
      <c r="M195" s="19" t="str">
        <f t="shared" si="8"/>
        <v>*</v>
      </c>
      <c r="N195" s="19" t="str">
        <f t="shared" si="8"/>
        <v>*</v>
      </c>
      <c r="O195" s="19" t="str">
        <f t="shared" si="8"/>
        <v>*</v>
      </c>
      <c r="P195" s="19" t="str">
        <f t="shared" si="8"/>
        <v/>
      </c>
      <c r="Q195" s="19" t="str">
        <f t="shared" si="8"/>
        <v>*</v>
      </c>
      <c r="R195" s="19" t="str">
        <f t="shared" si="8"/>
        <v>*</v>
      </c>
      <c r="S195" s="19" t="str">
        <f t="shared" si="8"/>
        <v>*</v>
      </c>
      <c r="T195" s="19" t="str">
        <f t="shared" si="8"/>
        <v/>
      </c>
      <c r="U195" s="19" t="str">
        <f t="shared" si="8"/>
        <v/>
      </c>
      <c r="V195" s="19" t="str">
        <f t="shared" si="8"/>
        <v/>
      </c>
      <c r="X195" s="71"/>
    </row>
    <row r="196" spans="1:24" s="32" customFormat="1" ht="14.25" hidden="1" customHeight="1" x14ac:dyDescent="0.2">
      <c r="A196" s="38" t="s">
        <v>68</v>
      </c>
      <c r="B196" s="29" t="s">
        <v>35</v>
      </c>
      <c r="C196" s="30" t="s">
        <v>36</v>
      </c>
      <c r="D196" s="31" t="str">
        <f t="shared" si="8"/>
        <v>*</v>
      </c>
      <c r="E196" s="31" t="str">
        <f t="shared" si="8"/>
        <v>*</v>
      </c>
      <c r="F196" s="31" t="str">
        <f t="shared" si="8"/>
        <v>*</v>
      </c>
      <c r="G196" s="31" t="str">
        <f t="shared" si="8"/>
        <v/>
      </c>
      <c r="H196" s="31" t="str">
        <f t="shared" si="8"/>
        <v/>
      </c>
      <c r="I196" s="31" t="str">
        <f t="shared" si="8"/>
        <v/>
      </c>
      <c r="J196" s="31" t="str">
        <f t="shared" si="8"/>
        <v>*</v>
      </c>
      <c r="K196" s="31" t="str">
        <f t="shared" si="8"/>
        <v>*</v>
      </c>
      <c r="L196" s="31" t="str">
        <f t="shared" si="8"/>
        <v>*</v>
      </c>
      <c r="M196" s="31" t="str">
        <f t="shared" si="8"/>
        <v>*</v>
      </c>
      <c r="N196" s="31" t="str">
        <f t="shared" si="8"/>
        <v>*</v>
      </c>
      <c r="O196" s="31" t="str">
        <f t="shared" si="8"/>
        <v>*</v>
      </c>
      <c r="P196" s="31" t="str">
        <f t="shared" si="8"/>
        <v>*</v>
      </c>
      <c r="Q196" s="31" t="str">
        <f t="shared" si="8"/>
        <v/>
      </c>
      <c r="R196" s="31" t="str">
        <f t="shared" si="8"/>
        <v>*</v>
      </c>
      <c r="S196" s="31" t="str">
        <f t="shared" si="8"/>
        <v/>
      </c>
      <c r="T196" s="31" t="str">
        <f t="shared" si="8"/>
        <v/>
      </c>
      <c r="U196" s="31" t="str">
        <f t="shared" si="8"/>
        <v>*</v>
      </c>
      <c r="V196" s="31" t="str">
        <f t="shared" si="8"/>
        <v>*</v>
      </c>
      <c r="X196" s="71"/>
    </row>
    <row r="197" spans="1:24" s="32" customFormat="1" ht="14.25" hidden="1" customHeight="1" x14ac:dyDescent="0.2">
      <c r="A197" s="108" t="s">
        <v>69</v>
      </c>
      <c r="B197" s="33" t="s">
        <v>37</v>
      </c>
      <c r="C197" s="34" t="s">
        <v>38</v>
      </c>
      <c r="D197" s="19" t="str">
        <f t="shared" si="8"/>
        <v>*</v>
      </c>
      <c r="E197" s="19" t="str">
        <f t="shared" si="8"/>
        <v>*</v>
      </c>
      <c r="F197" s="19" t="str">
        <f t="shared" si="8"/>
        <v>*</v>
      </c>
      <c r="G197" s="19" t="str">
        <f t="shared" si="8"/>
        <v/>
      </c>
      <c r="H197" s="19" t="str">
        <f t="shared" si="8"/>
        <v/>
      </c>
      <c r="I197" s="19" t="str">
        <f t="shared" si="8"/>
        <v/>
      </c>
      <c r="J197" s="19" t="str">
        <f t="shared" si="8"/>
        <v>*</v>
      </c>
      <c r="K197" s="19" t="str">
        <f t="shared" si="8"/>
        <v/>
      </c>
      <c r="L197" s="19" t="str">
        <f t="shared" si="8"/>
        <v/>
      </c>
      <c r="M197" s="19" t="str">
        <f t="shared" si="8"/>
        <v/>
      </c>
      <c r="N197" s="19" t="str">
        <f t="shared" si="8"/>
        <v/>
      </c>
      <c r="O197" s="19" t="str">
        <f t="shared" si="8"/>
        <v>*</v>
      </c>
      <c r="P197" s="19" t="str">
        <f t="shared" si="8"/>
        <v>*</v>
      </c>
      <c r="Q197" s="19" t="str">
        <f t="shared" si="8"/>
        <v/>
      </c>
      <c r="R197" s="19" t="str">
        <f t="shared" si="8"/>
        <v/>
      </c>
      <c r="S197" s="19" t="str">
        <f t="shared" si="8"/>
        <v/>
      </c>
      <c r="T197" s="19" t="str">
        <f t="shared" si="8"/>
        <v/>
      </c>
      <c r="U197" s="19" t="str">
        <f t="shared" si="8"/>
        <v>*</v>
      </c>
      <c r="V197" s="19" t="str">
        <f t="shared" si="8"/>
        <v>*</v>
      </c>
      <c r="X197" s="71"/>
    </row>
    <row r="198" spans="1:24" s="32" customFormat="1" ht="14.25" hidden="1" customHeight="1" x14ac:dyDescent="0.2">
      <c r="A198" s="108"/>
      <c r="B198" s="36" t="s">
        <v>39</v>
      </c>
      <c r="C198" s="37" t="s">
        <v>163</v>
      </c>
      <c r="D198" s="19" t="str">
        <f t="shared" si="8"/>
        <v>*</v>
      </c>
      <c r="E198" s="19" t="str">
        <f t="shared" si="8"/>
        <v>*</v>
      </c>
      <c r="F198" s="19" t="str">
        <f t="shared" si="8"/>
        <v>*</v>
      </c>
      <c r="G198" s="19" t="str">
        <f t="shared" si="8"/>
        <v/>
      </c>
      <c r="H198" s="19" t="str">
        <f t="shared" si="8"/>
        <v/>
      </c>
      <c r="I198" s="19" t="str">
        <f t="shared" si="8"/>
        <v/>
      </c>
      <c r="J198" s="19" t="str">
        <f t="shared" si="8"/>
        <v/>
      </c>
      <c r="K198" s="19" t="str">
        <f t="shared" si="8"/>
        <v>*</v>
      </c>
      <c r="L198" s="19" t="str">
        <f t="shared" si="8"/>
        <v>*</v>
      </c>
      <c r="M198" s="19" t="str">
        <f t="shared" si="8"/>
        <v>*</v>
      </c>
      <c r="N198" s="19" t="str">
        <f t="shared" si="8"/>
        <v>*</v>
      </c>
      <c r="O198" s="19" t="str">
        <f t="shared" si="8"/>
        <v>*</v>
      </c>
      <c r="P198" s="19" t="str">
        <f t="shared" si="8"/>
        <v>*</v>
      </c>
      <c r="Q198" s="19" t="str">
        <f t="shared" si="8"/>
        <v/>
      </c>
      <c r="R198" s="19" t="str">
        <f t="shared" si="8"/>
        <v>*</v>
      </c>
      <c r="S198" s="19" t="str">
        <f t="shared" si="8"/>
        <v/>
      </c>
      <c r="T198" s="19" t="str">
        <f t="shared" si="8"/>
        <v/>
      </c>
      <c r="U198" s="19" t="str">
        <f t="shared" si="8"/>
        <v>*</v>
      </c>
      <c r="V198" s="19" t="str">
        <f t="shared" si="8"/>
        <v>*</v>
      </c>
      <c r="X198" s="71"/>
    </row>
    <row r="199" spans="1:24" s="32" customFormat="1" ht="14.25" hidden="1" customHeight="1" x14ac:dyDescent="0.2">
      <c r="A199" s="38" t="s">
        <v>70</v>
      </c>
      <c r="B199" s="29" t="s">
        <v>35</v>
      </c>
      <c r="C199" s="30" t="s">
        <v>36</v>
      </c>
      <c r="D199" s="31" t="str">
        <f t="shared" si="8"/>
        <v>*</v>
      </c>
      <c r="E199" s="31" t="str">
        <f t="shared" si="8"/>
        <v>*</v>
      </c>
      <c r="F199" s="31" t="str">
        <f t="shared" si="8"/>
        <v>*</v>
      </c>
      <c r="G199" s="31" t="str">
        <f t="shared" si="8"/>
        <v>*</v>
      </c>
      <c r="H199" s="31" t="str">
        <f t="shared" si="8"/>
        <v/>
      </c>
      <c r="I199" s="31" t="str">
        <f t="shared" si="8"/>
        <v/>
      </c>
      <c r="J199" s="31" t="str">
        <f t="shared" si="8"/>
        <v/>
      </c>
      <c r="K199" s="31" t="str">
        <f t="shared" si="8"/>
        <v>*</v>
      </c>
      <c r="L199" s="31" t="str">
        <f t="shared" si="8"/>
        <v>*</v>
      </c>
      <c r="M199" s="31" t="str">
        <f t="shared" si="8"/>
        <v>*</v>
      </c>
      <c r="N199" s="31" t="str">
        <f t="shared" si="8"/>
        <v>*</v>
      </c>
      <c r="O199" s="31" t="str">
        <f t="shared" si="8"/>
        <v>*</v>
      </c>
      <c r="P199" s="31" t="str">
        <f t="shared" si="8"/>
        <v>*</v>
      </c>
      <c r="Q199" s="31" t="str">
        <f t="shared" si="8"/>
        <v>*</v>
      </c>
      <c r="R199" s="31" t="str">
        <f t="shared" si="8"/>
        <v>*</v>
      </c>
      <c r="S199" s="31" t="str">
        <f t="shared" si="8"/>
        <v>*</v>
      </c>
      <c r="T199" s="31" t="str">
        <f t="shared" si="8"/>
        <v>*</v>
      </c>
      <c r="U199" s="31" t="str">
        <f t="shared" si="8"/>
        <v>*</v>
      </c>
      <c r="V199" s="31" t="str">
        <f t="shared" si="8"/>
        <v/>
      </c>
      <c r="X199" s="71"/>
    </row>
    <row r="200" spans="1:24" s="32" customFormat="1" ht="14.25" hidden="1" customHeight="1" x14ac:dyDescent="0.2">
      <c r="A200" s="108" t="s">
        <v>71</v>
      </c>
      <c r="B200" s="33" t="s">
        <v>37</v>
      </c>
      <c r="C200" s="34" t="s">
        <v>38</v>
      </c>
      <c r="D200" s="19" t="str">
        <f t="shared" si="8"/>
        <v>*</v>
      </c>
      <c r="E200" s="19" t="str">
        <f t="shared" si="8"/>
        <v>*</v>
      </c>
      <c r="F200" s="19" t="str">
        <f t="shared" si="8"/>
        <v>*</v>
      </c>
      <c r="G200" s="19" t="str">
        <f t="shared" si="8"/>
        <v>*</v>
      </c>
      <c r="H200" s="19" t="str">
        <f t="shared" si="8"/>
        <v/>
      </c>
      <c r="I200" s="19" t="str">
        <f t="shared" si="8"/>
        <v/>
      </c>
      <c r="J200" s="19" t="str">
        <f t="shared" si="8"/>
        <v/>
      </c>
      <c r="K200" s="19" t="str">
        <f t="shared" si="8"/>
        <v>*</v>
      </c>
      <c r="L200" s="19" t="str">
        <f t="shared" si="8"/>
        <v>*</v>
      </c>
      <c r="M200" s="19" t="str">
        <f t="shared" si="8"/>
        <v>*</v>
      </c>
      <c r="N200" s="19" t="str">
        <f t="shared" si="8"/>
        <v>*</v>
      </c>
      <c r="O200" s="19" t="str">
        <f t="shared" si="8"/>
        <v>*</v>
      </c>
      <c r="P200" s="19" t="str">
        <f t="shared" si="8"/>
        <v>*</v>
      </c>
      <c r="Q200" s="19" t="str">
        <f t="shared" si="8"/>
        <v>*</v>
      </c>
      <c r="R200" s="19" t="str">
        <f t="shared" si="8"/>
        <v>*</v>
      </c>
      <c r="S200" s="19" t="str">
        <f t="shared" si="8"/>
        <v>*</v>
      </c>
      <c r="T200" s="19" t="str">
        <f t="shared" si="8"/>
        <v>*</v>
      </c>
      <c r="U200" s="19" t="str">
        <f t="shared" si="8"/>
        <v/>
      </c>
      <c r="V200" s="19" t="str">
        <f t="shared" si="8"/>
        <v/>
      </c>
      <c r="X200" s="71"/>
    </row>
    <row r="201" spans="1:24" s="32" customFormat="1" ht="14.25" hidden="1" customHeight="1" x14ac:dyDescent="0.2">
      <c r="A201" s="108"/>
      <c r="B201" s="36" t="s">
        <v>39</v>
      </c>
      <c r="C201" s="37" t="s">
        <v>163</v>
      </c>
      <c r="D201" s="19" t="str">
        <f t="shared" si="8"/>
        <v>*</v>
      </c>
      <c r="E201" s="19" t="str">
        <f t="shared" si="8"/>
        <v>*</v>
      </c>
      <c r="F201" s="19" t="str">
        <f t="shared" si="8"/>
        <v>*</v>
      </c>
      <c r="G201" s="19" t="str">
        <f t="shared" si="8"/>
        <v/>
      </c>
      <c r="H201" s="19" t="str">
        <f t="shared" si="8"/>
        <v/>
      </c>
      <c r="I201" s="19" t="str">
        <f t="shared" si="8"/>
        <v/>
      </c>
      <c r="J201" s="19" t="str">
        <f t="shared" si="8"/>
        <v/>
      </c>
      <c r="K201" s="19" t="str">
        <f t="shared" si="8"/>
        <v>*</v>
      </c>
      <c r="L201" s="19" t="str">
        <f t="shared" si="8"/>
        <v>*</v>
      </c>
      <c r="M201" s="19" t="str">
        <f t="shared" si="8"/>
        <v>*</v>
      </c>
      <c r="N201" s="19" t="str">
        <f t="shared" si="8"/>
        <v>*</v>
      </c>
      <c r="O201" s="19" t="str">
        <f t="shared" si="8"/>
        <v>*</v>
      </c>
      <c r="P201" s="19" t="str">
        <f t="shared" si="8"/>
        <v>*</v>
      </c>
      <c r="Q201" s="19" t="str">
        <f t="shared" si="8"/>
        <v>*</v>
      </c>
      <c r="R201" s="19" t="str">
        <f t="shared" si="8"/>
        <v>*</v>
      </c>
      <c r="S201" s="19" t="str">
        <f t="shared" si="8"/>
        <v/>
      </c>
      <c r="T201" s="19" t="str">
        <f t="shared" si="8"/>
        <v>*</v>
      </c>
      <c r="U201" s="19" t="str">
        <f t="shared" si="8"/>
        <v>*</v>
      </c>
      <c r="V201" s="19" t="str">
        <f t="shared" si="8"/>
        <v/>
      </c>
      <c r="X201" s="71"/>
    </row>
    <row r="202" spans="1:24" s="32" customFormat="1" ht="14.25" hidden="1" customHeight="1" x14ac:dyDescent="0.2">
      <c r="A202" s="38" t="s">
        <v>72</v>
      </c>
      <c r="B202" s="29" t="s">
        <v>35</v>
      </c>
      <c r="C202" s="30" t="s">
        <v>36</v>
      </c>
      <c r="D202" s="31" t="str">
        <f t="shared" si="8"/>
        <v>*</v>
      </c>
      <c r="E202" s="31" t="str">
        <f t="shared" si="8"/>
        <v>*</v>
      </c>
      <c r="F202" s="31" t="str">
        <f t="shared" si="8"/>
        <v>*</v>
      </c>
      <c r="G202" s="31" t="str">
        <f t="shared" si="8"/>
        <v/>
      </c>
      <c r="H202" s="31" t="str">
        <f t="shared" si="8"/>
        <v/>
      </c>
      <c r="I202" s="31" t="str">
        <f t="shared" si="8"/>
        <v/>
      </c>
      <c r="J202" s="31" t="str">
        <f t="shared" si="8"/>
        <v/>
      </c>
      <c r="K202" s="31" t="str">
        <f t="shared" si="8"/>
        <v>*</v>
      </c>
      <c r="L202" s="31" t="str">
        <f t="shared" si="8"/>
        <v>*</v>
      </c>
      <c r="M202" s="31" t="str">
        <f t="shared" si="8"/>
        <v/>
      </c>
      <c r="N202" s="31" t="str">
        <f t="shared" si="8"/>
        <v/>
      </c>
      <c r="O202" s="31" t="str">
        <f t="shared" si="8"/>
        <v/>
      </c>
      <c r="P202" s="31" t="str">
        <f t="shared" si="8"/>
        <v>*</v>
      </c>
      <c r="Q202" s="31" t="str">
        <f t="shared" si="8"/>
        <v>*</v>
      </c>
      <c r="R202" s="31" t="str">
        <f t="shared" si="8"/>
        <v>*</v>
      </c>
      <c r="S202" s="31" t="str">
        <f t="shared" si="8"/>
        <v/>
      </c>
      <c r="T202" s="31" t="str">
        <f t="shared" si="8"/>
        <v>*</v>
      </c>
      <c r="U202" s="31" t="str">
        <f t="shared" si="8"/>
        <v/>
      </c>
      <c r="V202" s="31" t="str">
        <f t="shared" si="8"/>
        <v/>
      </c>
      <c r="X202" s="71"/>
    </row>
    <row r="203" spans="1:24" s="32" customFormat="1" ht="14.25" hidden="1" customHeight="1" x14ac:dyDescent="0.2">
      <c r="A203" s="108" t="s">
        <v>73</v>
      </c>
      <c r="B203" s="33" t="s">
        <v>37</v>
      </c>
      <c r="C203" s="34" t="s">
        <v>38</v>
      </c>
      <c r="D203" s="19" t="str">
        <f t="shared" si="8"/>
        <v>*</v>
      </c>
      <c r="E203" s="19" t="str">
        <f t="shared" si="8"/>
        <v>*</v>
      </c>
      <c r="F203" s="19" t="str">
        <f t="shared" si="8"/>
        <v>*</v>
      </c>
      <c r="G203" s="19" t="str">
        <f t="shared" si="8"/>
        <v/>
      </c>
      <c r="H203" s="19" t="str">
        <f t="shared" si="8"/>
        <v/>
      </c>
      <c r="I203" s="19" t="str">
        <f t="shared" si="8"/>
        <v/>
      </c>
      <c r="J203" s="19" t="str">
        <f t="shared" si="8"/>
        <v/>
      </c>
      <c r="K203" s="19" t="str">
        <f t="shared" si="8"/>
        <v>*</v>
      </c>
      <c r="L203" s="19" t="str">
        <f t="shared" si="8"/>
        <v>*</v>
      </c>
      <c r="M203" s="19" t="str">
        <f t="shared" si="8"/>
        <v/>
      </c>
      <c r="N203" s="19" t="str">
        <f t="shared" si="8"/>
        <v/>
      </c>
      <c r="O203" s="19" t="str">
        <f t="shared" si="8"/>
        <v/>
      </c>
      <c r="P203" s="19" t="str">
        <f t="shared" si="8"/>
        <v>*</v>
      </c>
      <c r="Q203" s="19" t="str">
        <f t="shared" si="8"/>
        <v>*</v>
      </c>
      <c r="R203" s="19" t="str">
        <f t="shared" si="8"/>
        <v>*</v>
      </c>
      <c r="S203" s="19" t="str">
        <f t="shared" si="8"/>
        <v/>
      </c>
      <c r="T203" s="19" t="str">
        <f t="shared" si="8"/>
        <v/>
      </c>
      <c r="U203" s="19" t="str">
        <f t="shared" si="8"/>
        <v/>
      </c>
      <c r="V203" s="19" t="str">
        <f t="shared" si="8"/>
        <v/>
      </c>
      <c r="X203" s="71"/>
    </row>
    <row r="204" spans="1:24" s="32" customFormat="1" ht="14.25" hidden="1" customHeight="1" x14ac:dyDescent="0.2">
      <c r="A204" s="108"/>
      <c r="B204" s="36" t="s">
        <v>39</v>
      </c>
      <c r="C204" s="37" t="s">
        <v>163</v>
      </c>
      <c r="D204" s="19" t="str">
        <f t="shared" si="8"/>
        <v/>
      </c>
      <c r="E204" s="19" t="str">
        <f t="shared" si="8"/>
        <v/>
      </c>
      <c r="F204" s="19" t="str">
        <f t="shared" si="8"/>
        <v/>
      </c>
      <c r="G204" s="19" t="str">
        <f t="shared" si="8"/>
        <v/>
      </c>
      <c r="H204" s="19" t="str">
        <f t="shared" si="8"/>
        <v/>
      </c>
      <c r="I204" s="19" t="str">
        <f t="shared" si="8"/>
        <v/>
      </c>
      <c r="J204" s="19" t="str">
        <f t="shared" si="8"/>
        <v/>
      </c>
      <c r="K204" s="19" t="str">
        <f t="shared" si="8"/>
        <v/>
      </c>
      <c r="L204" s="19" t="str">
        <f t="shared" si="8"/>
        <v>*</v>
      </c>
      <c r="M204" s="19" t="str">
        <f t="shared" si="8"/>
        <v/>
      </c>
      <c r="N204" s="19" t="str">
        <f t="shared" si="8"/>
        <v/>
      </c>
      <c r="O204" s="19" t="str">
        <f t="shared" si="8"/>
        <v/>
      </c>
      <c r="P204" s="19" t="str">
        <f t="shared" si="8"/>
        <v/>
      </c>
      <c r="Q204" s="19" t="str">
        <f t="shared" si="8"/>
        <v/>
      </c>
      <c r="R204" s="19" t="str">
        <f t="shared" si="8"/>
        <v/>
      </c>
      <c r="S204" s="19" t="str">
        <f t="shared" si="8"/>
        <v/>
      </c>
      <c r="T204" s="19" t="str">
        <f t="shared" si="8"/>
        <v>*</v>
      </c>
      <c r="U204" s="19" t="str">
        <f t="shared" si="8"/>
        <v/>
      </c>
      <c r="V204" s="19" t="str">
        <f t="shared" si="8"/>
        <v/>
      </c>
      <c r="X204" s="71"/>
    </row>
    <row r="205" spans="1:24" s="32" customFormat="1" ht="14.25" hidden="1" customHeight="1" x14ac:dyDescent="0.2">
      <c r="A205" s="38" t="s">
        <v>74</v>
      </c>
      <c r="B205" s="29" t="s">
        <v>35</v>
      </c>
      <c r="C205" s="30" t="s">
        <v>36</v>
      </c>
      <c r="D205" s="31" t="str">
        <f t="shared" si="8"/>
        <v>*</v>
      </c>
      <c r="E205" s="31" t="str">
        <f t="shared" si="8"/>
        <v>*</v>
      </c>
      <c r="F205" s="31" t="str">
        <f t="shared" si="8"/>
        <v>*</v>
      </c>
      <c r="G205" s="31" t="str">
        <f t="shared" si="8"/>
        <v/>
      </c>
      <c r="H205" s="31" t="str">
        <f t="shared" si="8"/>
        <v/>
      </c>
      <c r="I205" s="31" t="str">
        <f t="shared" si="8"/>
        <v/>
      </c>
      <c r="J205" s="31" t="str">
        <f t="shared" si="8"/>
        <v/>
      </c>
      <c r="K205" s="31" t="str">
        <f t="shared" si="8"/>
        <v>*</v>
      </c>
      <c r="L205" s="31" t="str">
        <f t="shared" si="8"/>
        <v>*</v>
      </c>
      <c r="M205" s="31" t="str">
        <f t="shared" si="8"/>
        <v>*</v>
      </c>
      <c r="N205" s="31" t="str">
        <f t="shared" si="8"/>
        <v>*</v>
      </c>
      <c r="O205" s="31" t="str">
        <f t="shared" si="8"/>
        <v>*</v>
      </c>
      <c r="P205" s="31" t="str">
        <f t="shared" si="8"/>
        <v>*</v>
      </c>
      <c r="Q205" s="31" t="str">
        <f t="shared" si="8"/>
        <v>*</v>
      </c>
      <c r="R205" s="31" t="str">
        <f t="shared" si="8"/>
        <v>*</v>
      </c>
      <c r="S205" s="31" t="str">
        <f t="shared" si="8"/>
        <v>*</v>
      </c>
      <c r="T205" s="31" t="str">
        <f t="shared" si="8"/>
        <v/>
      </c>
      <c r="U205" s="31" t="str">
        <f t="shared" si="8"/>
        <v>*</v>
      </c>
      <c r="V205" s="31" t="str">
        <f t="shared" si="8"/>
        <v>*</v>
      </c>
      <c r="X205" s="71"/>
    </row>
    <row r="206" spans="1:24" s="32" customFormat="1" ht="14.25" hidden="1" customHeight="1" x14ac:dyDescent="0.2">
      <c r="A206" s="108" t="s">
        <v>75</v>
      </c>
      <c r="B206" s="33" t="s">
        <v>37</v>
      </c>
      <c r="C206" s="34" t="s">
        <v>38</v>
      </c>
      <c r="D206" s="19" t="str">
        <f t="shared" si="8"/>
        <v>*</v>
      </c>
      <c r="E206" s="19" t="str">
        <f t="shared" si="8"/>
        <v>*</v>
      </c>
      <c r="F206" s="19" t="str">
        <f t="shared" si="8"/>
        <v>*</v>
      </c>
      <c r="G206" s="19" t="str">
        <f t="shared" si="8"/>
        <v/>
      </c>
      <c r="H206" s="19" t="str">
        <f t="shared" si="8"/>
        <v/>
      </c>
      <c r="I206" s="19" t="str">
        <f t="shared" si="8"/>
        <v/>
      </c>
      <c r="J206" s="19" t="str">
        <f t="shared" si="8"/>
        <v/>
      </c>
      <c r="K206" s="19" t="str">
        <f t="shared" si="8"/>
        <v>*</v>
      </c>
      <c r="L206" s="19" t="str">
        <f t="shared" ref="L206:V206" si="9">IF(L136=L63,"","*")</f>
        <v>*</v>
      </c>
      <c r="M206" s="19" t="str">
        <f t="shared" si="9"/>
        <v>*</v>
      </c>
      <c r="N206" s="19" t="str">
        <f t="shared" si="9"/>
        <v>*</v>
      </c>
      <c r="O206" s="19" t="str">
        <f t="shared" si="9"/>
        <v>*</v>
      </c>
      <c r="P206" s="19" t="str">
        <f t="shared" si="9"/>
        <v>*</v>
      </c>
      <c r="Q206" s="19" t="str">
        <f t="shared" si="9"/>
        <v>*</v>
      </c>
      <c r="R206" s="19" t="str">
        <f t="shared" si="9"/>
        <v>*</v>
      </c>
      <c r="S206" s="19" t="str">
        <f t="shared" si="9"/>
        <v>*</v>
      </c>
      <c r="T206" s="19" t="str">
        <f t="shared" si="9"/>
        <v/>
      </c>
      <c r="U206" s="19" t="str">
        <f t="shared" si="9"/>
        <v>*</v>
      </c>
      <c r="V206" s="19" t="str">
        <f t="shared" si="9"/>
        <v>*</v>
      </c>
      <c r="X206" s="71"/>
    </row>
    <row r="207" spans="1:24" s="32" customFormat="1" ht="14.25" hidden="1" customHeight="1" x14ac:dyDescent="0.2">
      <c r="A207" s="108"/>
      <c r="B207" s="36" t="s">
        <v>39</v>
      </c>
      <c r="C207" s="37" t="s">
        <v>163</v>
      </c>
      <c r="D207" s="19" t="str">
        <f t="shared" ref="D207:V219" si="10">IF(D137=D64,"","*")</f>
        <v>*</v>
      </c>
      <c r="E207" s="19" t="str">
        <f t="shared" si="10"/>
        <v>*</v>
      </c>
      <c r="F207" s="19" t="str">
        <f t="shared" si="10"/>
        <v>*</v>
      </c>
      <c r="G207" s="19" t="str">
        <f t="shared" si="10"/>
        <v/>
      </c>
      <c r="H207" s="19" t="str">
        <f t="shared" si="10"/>
        <v/>
      </c>
      <c r="I207" s="19" t="str">
        <f t="shared" si="10"/>
        <v/>
      </c>
      <c r="J207" s="19" t="str">
        <f t="shared" si="10"/>
        <v/>
      </c>
      <c r="K207" s="19" t="str">
        <f t="shared" si="10"/>
        <v>*</v>
      </c>
      <c r="L207" s="19" t="str">
        <f t="shared" si="10"/>
        <v>*</v>
      </c>
      <c r="M207" s="19" t="str">
        <f t="shared" si="10"/>
        <v/>
      </c>
      <c r="N207" s="19" t="str">
        <f t="shared" si="10"/>
        <v/>
      </c>
      <c r="O207" s="19" t="str">
        <f t="shared" si="10"/>
        <v>*</v>
      </c>
      <c r="P207" s="19" t="str">
        <f t="shared" si="10"/>
        <v>*</v>
      </c>
      <c r="Q207" s="19" t="str">
        <f t="shared" si="10"/>
        <v/>
      </c>
      <c r="R207" s="19" t="str">
        <f t="shared" si="10"/>
        <v/>
      </c>
      <c r="S207" s="19" t="str">
        <f t="shared" si="10"/>
        <v/>
      </c>
      <c r="T207" s="19" t="str">
        <f t="shared" si="10"/>
        <v/>
      </c>
      <c r="U207" s="19" t="str">
        <f t="shared" si="10"/>
        <v/>
      </c>
      <c r="V207" s="19" t="str">
        <f t="shared" si="10"/>
        <v>*</v>
      </c>
      <c r="X207" s="71"/>
    </row>
    <row r="208" spans="1:24" s="32" customFormat="1" ht="14.25" hidden="1" customHeight="1" x14ac:dyDescent="0.2">
      <c r="A208" s="38" t="s">
        <v>76</v>
      </c>
      <c r="B208" s="29" t="s">
        <v>35</v>
      </c>
      <c r="C208" s="30" t="s">
        <v>36</v>
      </c>
      <c r="D208" s="31" t="str">
        <f t="shared" si="10"/>
        <v>*</v>
      </c>
      <c r="E208" s="31" t="str">
        <f t="shared" si="10"/>
        <v>*</v>
      </c>
      <c r="F208" s="31" t="str">
        <f t="shared" si="10"/>
        <v>*</v>
      </c>
      <c r="G208" s="31" t="str">
        <f t="shared" si="10"/>
        <v/>
      </c>
      <c r="H208" s="31" t="str">
        <f t="shared" si="10"/>
        <v/>
      </c>
      <c r="I208" s="31" t="str">
        <f t="shared" si="10"/>
        <v/>
      </c>
      <c r="J208" s="31" t="str">
        <f t="shared" si="10"/>
        <v/>
      </c>
      <c r="K208" s="31" t="str">
        <f t="shared" si="10"/>
        <v>*</v>
      </c>
      <c r="L208" s="31" t="str">
        <f t="shared" si="10"/>
        <v>*</v>
      </c>
      <c r="M208" s="31" t="str">
        <f t="shared" si="10"/>
        <v/>
      </c>
      <c r="N208" s="31" t="str">
        <f t="shared" si="10"/>
        <v>*</v>
      </c>
      <c r="O208" s="31" t="str">
        <f t="shared" si="10"/>
        <v>*</v>
      </c>
      <c r="P208" s="31" t="str">
        <f t="shared" si="10"/>
        <v>*</v>
      </c>
      <c r="Q208" s="31" t="str">
        <f t="shared" si="10"/>
        <v>*</v>
      </c>
      <c r="R208" s="31" t="str">
        <f t="shared" si="10"/>
        <v>*</v>
      </c>
      <c r="S208" s="31" t="str">
        <f t="shared" si="10"/>
        <v/>
      </c>
      <c r="T208" s="31" t="str">
        <f t="shared" si="10"/>
        <v>*</v>
      </c>
      <c r="U208" s="31" t="str">
        <f t="shared" si="10"/>
        <v>*</v>
      </c>
      <c r="V208" s="31" t="str">
        <f t="shared" si="10"/>
        <v>*</v>
      </c>
      <c r="X208" s="71"/>
    </row>
    <row r="209" spans="1:24" s="32" customFormat="1" ht="14.25" hidden="1" customHeight="1" x14ac:dyDescent="0.2">
      <c r="A209" s="108" t="s">
        <v>77</v>
      </c>
      <c r="B209" s="33" t="s">
        <v>37</v>
      </c>
      <c r="C209" s="34" t="s">
        <v>38</v>
      </c>
      <c r="D209" s="19" t="str">
        <f t="shared" si="10"/>
        <v>*</v>
      </c>
      <c r="E209" s="19" t="str">
        <f t="shared" si="10"/>
        <v>*</v>
      </c>
      <c r="F209" s="19" t="str">
        <f t="shared" si="10"/>
        <v>*</v>
      </c>
      <c r="G209" s="19" t="str">
        <f t="shared" si="10"/>
        <v/>
      </c>
      <c r="H209" s="19" t="str">
        <f t="shared" si="10"/>
        <v/>
      </c>
      <c r="I209" s="19" t="str">
        <f t="shared" si="10"/>
        <v/>
      </c>
      <c r="J209" s="19" t="str">
        <f t="shared" si="10"/>
        <v/>
      </c>
      <c r="K209" s="19" t="str">
        <f t="shared" si="10"/>
        <v>*</v>
      </c>
      <c r="L209" s="19" t="str">
        <f t="shared" si="10"/>
        <v>*</v>
      </c>
      <c r="M209" s="19" t="str">
        <f t="shared" si="10"/>
        <v/>
      </c>
      <c r="N209" s="19" t="str">
        <f t="shared" si="10"/>
        <v>*</v>
      </c>
      <c r="O209" s="19" t="str">
        <f t="shared" si="10"/>
        <v>*</v>
      </c>
      <c r="P209" s="19" t="str">
        <f t="shared" si="10"/>
        <v>*</v>
      </c>
      <c r="Q209" s="19" t="str">
        <f t="shared" si="10"/>
        <v>*</v>
      </c>
      <c r="R209" s="19" t="str">
        <f t="shared" si="10"/>
        <v>*</v>
      </c>
      <c r="S209" s="19" t="str">
        <f t="shared" si="10"/>
        <v/>
      </c>
      <c r="T209" s="19" t="str">
        <f t="shared" si="10"/>
        <v>*</v>
      </c>
      <c r="U209" s="19" t="str">
        <f t="shared" si="10"/>
        <v>*</v>
      </c>
      <c r="V209" s="19" t="str">
        <f t="shared" si="10"/>
        <v>*</v>
      </c>
      <c r="X209" s="71"/>
    </row>
    <row r="210" spans="1:24" s="32" customFormat="1" ht="14.25" hidden="1" customHeight="1" x14ac:dyDescent="0.2">
      <c r="A210" s="108"/>
      <c r="B210" s="36" t="s">
        <v>39</v>
      </c>
      <c r="C210" s="37" t="s">
        <v>163</v>
      </c>
      <c r="D210" s="19" t="str">
        <f t="shared" si="10"/>
        <v>*</v>
      </c>
      <c r="E210" s="19" t="str">
        <f t="shared" si="10"/>
        <v>*</v>
      </c>
      <c r="F210" s="19" t="str">
        <f t="shared" si="10"/>
        <v>*</v>
      </c>
      <c r="G210" s="19" t="str">
        <f t="shared" si="10"/>
        <v/>
      </c>
      <c r="H210" s="19" t="str">
        <f t="shared" si="10"/>
        <v/>
      </c>
      <c r="I210" s="19" t="str">
        <f t="shared" si="10"/>
        <v/>
      </c>
      <c r="J210" s="19" t="str">
        <f t="shared" si="10"/>
        <v/>
      </c>
      <c r="K210" s="19" t="str">
        <f t="shared" si="10"/>
        <v/>
      </c>
      <c r="L210" s="19" t="str">
        <f t="shared" si="10"/>
        <v/>
      </c>
      <c r="M210" s="19" t="str">
        <f t="shared" si="10"/>
        <v/>
      </c>
      <c r="N210" s="19" t="str">
        <f t="shared" si="10"/>
        <v/>
      </c>
      <c r="O210" s="19" t="str">
        <f t="shared" si="10"/>
        <v>*</v>
      </c>
      <c r="P210" s="19" t="str">
        <f t="shared" si="10"/>
        <v>*</v>
      </c>
      <c r="Q210" s="19" t="str">
        <f t="shared" si="10"/>
        <v/>
      </c>
      <c r="R210" s="19" t="str">
        <f t="shared" si="10"/>
        <v>*</v>
      </c>
      <c r="S210" s="19" t="str">
        <f t="shared" si="10"/>
        <v/>
      </c>
      <c r="T210" s="19" t="str">
        <f t="shared" si="10"/>
        <v>*</v>
      </c>
      <c r="U210" s="19" t="str">
        <f t="shared" si="10"/>
        <v/>
      </c>
      <c r="V210" s="19" t="str">
        <f t="shared" si="10"/>
        <v/>
      </c>
      <c r="X210" s="71"/>
    </row>
    <row r="211" spans="1:24" s="32" customFormat="1" ht="14.25" hidden="1" customHeight="1" x14ac:dyDescent="0.2">
      <c r="A211" s="38" t="s">
        <v>78</v>
      </c>
      <c r="B211" s="29" t="s">
        <v>35</v>
      </c>
      <c r="C211" s="30" t="s">
        <v>36</v>
      </c>
      <c r="D211" s="31" t="str">
        <f t="shared" si="10"/>
        <v>*</v>
      </c>
      <c r="E211" s="31" t="str">
        <f t="shared" si="10"/>
        <v/>
      </c>
      <c r="F211" s="31" t="str">
        <f t="shared" si="10"/>
        <v>*</v>
      </c>
      <c r="G211" s="31" t="str">
        <f t="shared" si="10"/>
        <v>*</v>
      </c>
      <c r="H211" s="31" t="str">
        <f t="shared" si="10"/>
        <v/>
      </c>
      <c r="I211" s="31" t="str">
        <f t="shared" si="10"/>
        <v/>
      </c>
      <c r="J211" s="31" t="str">
        <f t="shared" si="10"/>
        <v>*</v>
      </c>
      <c r="K211" s="31" t="str">
        <f t="shared" si="10"/>
        <v/>
      </c>
      <c r="L211" s="31" t="str">
        <f t="shared" si="10"/>
        <v>*</v>
      </c>
      <c r="M211" s="31" t="str">
        <f t="shared" si="10"/>
        <v>*</v>
      </c>
      <c r="N211" s="31" t="str">
        <f t="shared" si="10"/>
        <v>*</v>
      </c>
      <c r="O211" s="31" t="str">
        <f t="shared" si="10"/>
        <v>*</v>
      </c>
      <c r="P211" s="31" t="str">
        <f t="shared" si="10"/>
        <v>*</v>
      </c>
      <c r="Q211" s="31" t="str">
        <f t="shared" si="10"/>
        <v/>
      </c>
      <c r="R211" s="31" t="str">
        <f t="shared" si="10"/>
        <v>*</v>
      </c>
      <c r="S211" s="31" t="str">
        <f t="shared" si="10"/>
        <v/>
      </c>
      <c r="T211" s="31" t="str">
        <f t="shared" si="10"/>
        <v/>
      </c>
      <c r="U211" s="31" t="str">
        <f t="shared" si="10"/>
        <v/>
      </c>
      <c r="V211" s="31" t="str">
        <f t="shared" si="10"/>
        <v/>
      </c>
      <c r="X211" s="71"/>
    </row>
    <row r="212" spans="1:24" s="32" customFormat="1" ht="14.25" hidden="1" customHeight="1" x14ac:dyDescent="0.2">
      <c r="A212" s="108" t="s">
        <v>79</v>
      </c>
      <c r="B212" s="33" t="s">
        <v>37</v>
      </c>
      <c r="C212" s="34" t="s">
        <v>38</v>
      </c>
      <c r="D212" s="19" t="str">
        <f t="shared" si="10"/>
        <v>*</v>
      </c>
      <c r="E212" s="19" t="str">
        <f t="shared" si="10"/>
        <v/>
      </c>
      <c r="F212" s="19" t="str">
        <f t="shared" si="10"/>
        <v>*</v>
      </c>
      <c r="G212" s="19" t="str">
        <f t="shared" si="10"/>
        <v>*</v>
      </c>
      <c r="H212" s="19" t="str">
        <f t="shared" si="10"/>
        <v/>
      </c>
      <c r="I212" s="19" t="str">
        <f t="shared" si="10"/>
        <v/>
      </c>
      <c r="J212" s="19" t="str">
        <f t="shared" si="10"/>
        <v>*</v>
      </c>
      <c r="K212" s="19" t="str">
        <f t="shared" si="10"/>
        <v/>
      </c>
      <c r="L212" s="19" t="str">
        <f t="shared" si="10"/>
        <v>*</v>
      </c>
      <c r="M212" s="19" t="str">
        <f t="shared" si="10"/>
        <v>*</v>
      </c>
      <c r="N212" s="19" t="str">
        <f t="shared" si="10"/>
        <v>*</v>
      </c>
      <c r="O212" s="19" t="str">
        <f t="shared" si="10"/>
        <v>*</v>
      </c>
      <c r="P212" s="19" t="str">
        <f t="shared" si="10"/>
        <v>*</v>
      </c>
      <c r="Q212" s="19" t="str">
        <f t="shared" si="10"/>
        <v/>
      </c>
      <c r="R212" s="19" t="str">
        <f t="shared" si="10"/>
        <v>*</v>
      </c>
      <c r="S212" s="19" t="str">
        <f t="shared" si="10"/>
        <v/>
      </c>
      <c r="T212" s="19" t="str">
        <f t="shared" si="10"/>
        <v/>
      </c>
      <c r="U212" s="19" t="str">
        <f t="shared" si="10"/>
        <v/>
      </c>
      <c r="V212" s="19" t="str">
        <f t="shared" si="10"/>
        <v/>
      </c>
      <c r="X212" s="71"/>
    </row>
    <row r="213" spans="1:24" s="32" customFormat="1" ht="14.25" hidden="1" customHeight="1" x14ac:dyDescent="0.2">
      <c r="A213" s="108"/>
      <c r="B213" s="36" t="s">
        <v>39</v>
      </c>
      <c r="C213" s="37" t="s">
        <v>163</v>
      </c>
      <c r="D213" s="19" t="str">
        <f t="shared" si="10"/>
        <v/>
      </c>
      <c r="E213" s="19" t="str">
        <f t="shared" si="10"/>
        <v/>
      </c>
      <c r="F213" s="19" t="str">
        <f t="shared" si="10"/>
        <v/>
      </c>
      <c r="G213" s="19" t="str">
        <f t="shared" si="10"/>
        <v/>
      </c>
      <c r="H213" s="19" t="str">
        <f t="shared" si="10"/>
        <v/>
      </c>
      <c r="I213" s="19" t="str">
        <f t="shared" si="10"/>
        <v/>
      </c>
      <c r="J213" s="19" t="str">
        <f t="shared" si="10"/>
        <v/>
      </c>
      <c r="K213" s="19" t="str">
        <f t="shared" si="10"/>
        <v/>
      </c>
      <c r="L213" s="19" t="str">
        <f t="shared" si="10"/>
        <v/>
      </c>
      <c r="M213" s="19" t="str">
        <f t="shared" si="10"/>
        <v/>
      </c>
      <c r="N213" s="19" t="str">
        <f t="shared" si="10"/>
        <v/>
      </c>
      <c r="O213" s="19" t="str">
        <f t="shared" si="10"/>
        <v/>
      </c>
      <c r="P213" s="19" t="str">
        <f t="shared" si="10"/>
        <v/>
      </c>
      <c r="Q213" s="19" t="str">
        <f t="shared" si="10"/>
        <v/>
      </c>
      <c r="R213" s="19" t="str">
        <f t="shared" si="10"/>
        <v/>
      </c>
      <c r="S213" s="19" t="str">
        <f t="shared" si="10"/>
        <v/>
      </c>
      <c r="T213" s="19" t="str">
        <f t="shared" si="10"/>
        <v/>
      </c>
      <c r="U213" s="19" t="str">
        <f t="shared" si="10"/>
        <v/>
      </c>
      <c r="V213" s="19" t="str">
        <f t="shared" si="10"/>
        <v/>
      </c>
      <c r="X213" s="71"/>
    </row>
    <row r="214" spans="1:24" s="32" customFormat="1" ht="14.25" hidden="1" customHeight="1" x14ac:dyDescent="0.2">
      <c r="A214" s="38" t="s">
        <v>80</v>
      </c>
      <c r="B214" s="29" t="s">
        <v>35</v>
      </c>
      <c r="C214" s="30" t="s">
        <v>36</v>
      </c>
      <c r="D214" s="31" t="str">
        <f t="shared" si="10"/>
        <v>*</v>
      </c>
      <c r="E214" s="31" t="str">
        <f t="shared" si="10"/>
        <v>*</v>
      </c>
      <c r="F214" s="31" t="str">
        <f t="shared" si="10"/>
        <v>*</v>
      </c>
      <c r="G214" s="31" t="str">
        <f t="shared" si="10"/>
        <v/>
      </c>
      <c r="H214" s="31" t="str">
        <f t="shared" si="10"/>
        <v/>
      </c>
      <c r="I214" s="31" t="str">
        <f t="shared" si="10"/>
        <v/>
      </c>
      <c r="J214" s="31" t="str">
        <f t="shared" si="10"/>
        <v/>
      </c>
      <c r="K214" s="31" t="str">
        <f t="shared" si="10"/>
        <v/>
      </c>
      <c r="L214" s="31" t="str">
        <f t="shared" si="10"/>
        <v/>
      </c>
      <c r="M214" s="31" t="str">
        <f t="shared" si="10"/>
        <v/>
      </c>
      <c r="N214" s="31" t="str">
        <f t="shared" si="10"/>
        <v>*</v>
      </c>
      <c r="O214" s="31" t="str">
        <f t="shared" si="10"/>
        <v>*</v>
      </c>
      <c r="P214" s="31" t="str">
        <f t="shared" si="10"/>
        <v>*</v>
      </c>
      <c r="Q214" s="31" t="str">
        <f t="shared" si="10"/>
        <v/>
      </c>
      <c r="R214" s="31" t="str">
        <f t="shared" si="10"/>
        <v>*</v>
      </c>
      <c r="S214" s="31" t="str">
        <f t="shared" si="10"/>
        <v/>
      </c>
      <c r="T214" s="31" t="str">
        <f t="shared" si="10"/>
        <v/>
      </c>
      <c r="U214" s="31" t="str">
        <f t="shared" si="10"/>
        <v/>
      </c>
      <c r="V214" s="31" t="str">
        <f t="shared" si="10"/>
        <v/>
      </c>
      <c r="X214" s="71"/>
    </row>
    <row r="215" spans="1:24" s="32" customFormat="1" ht="14.25" hidden="1" customHeight="1" x14ac:dyDescent="0.2">
      <c r="A215" s="108" t="s">
        <v>81</v>
      </c>
      <c r="B215" s="33" t="s">
        <v>37</v>
      </c>
      <c r="C215" s="34" t="s">
        <v>38</v>
      </c>
      <c r="D215" s="19" t="str">
        <f t="shared" si="10"/>
        <v>*</v>
      </c>
      <c r="E215" s="19" t="str">
        <f t="shared" si="10"/>
        <v>*</v>
      </c>
      <c r="F215" s="19" t="str">
        <f t="shared" si="10"/>
        <v>*</v>
      </c>
      <c r="G215" s="19" t="str">
        <f t="shared" si="10"/>
        <v/>
      </c>
      <c r="H215" s="19" t="str">
        <f t="shared" si="10"/>
        <v/>
      </c>
      <c r="I215" s="19" t="str">
        <f t="shared" si="10"/>
        <v/>
      </c>
      <c r="J215" s="19" t="str">
        <f t="shared" si="10"/>
        <v/>
      </c>
      <c r="K215" s="19" t="str">
        <f t="shared" si="10"/>
        <v/>
      </c>
      <c r="L215" s="19" t="str">
        <f t="shared" si="10"/>
        <v/>
      </c>
      <c r="M215" s="19" t="str">
        <f t="shared" si="10"/>
        <v/>
      </c>
      <c r="N215" s="19" t="str">
        <f t="shared" si="10"/>
        <v>*</v>
      </c>
      <c r="O215" s="19" t="str">
        <f t="shared" si="10"/>
        <v>*</v>
      </c>
      <c r="P215" s="19" t="str">
        <f t="shared" si="10"/>
        <v>*</v>
      </c>
      <c r="Q215" s="19" t="str">
        <f t="shared" si="10"/>
        <v/>
      </c>
      <c r="R215" s="19" t="str">
        <f t="shared" si="10"/>
        <v>*</v>
      </c>
      <c r="S215" s="19" t="str">
        <f t="shared" si="10"/>
        <v/>
      </c>
      <c r="T215" s="19" t="str">
        <f t="shared" si="10"/>
        <v/>
      </c>
      <c r="U215" s="19" t="str">
        <f t="shared" si="10"/>
        <v/>
      </c>
      <c r="V215" s="19" t="str">
        <f t="shared" si="10"/>
        <v/>
      </c>
      <c r="X215" s="71"/>
    </row>
    <row r="216" spans="1:24" s="32" customFormat="1" ht="14.25" hidden="1" customHeight="1" x14ac:dyDescent="0.2">
      <c r="A216" s="108"/>
      <c r="B216" s="36" t="s">
        <v>39</v>
      </c>
      <c r="C216" s="37" t="s">
        <v>163</v>
      </c>
      <c r="D216" s="19" t="str">
        <f t="shared" si="10"/>
        <v/>
      </c>
      <c r="E216" s="19" t="str">
        <f t="shared" si="10"/>
        <v/>
      </c>
      <c r="F216" s="19" t="str">
        <f t="shared" si="10"/>
        <v/>
      </c>
      <c r="G216" s="19" t="str">
        <f t="shared" si="10"/>
        <v/>
      </c>
      <c r="H216" s="19" t="str">
        <f t="shared" si="10"/>
        <v/>
      </c>
      <c r="I216" s="19" t="str">
        <f t="shared" si="10"/>
        <v/>
      </c>
      <c r="J216" s="19" t="str">
        <f t="shared" si="10"/>
        <v/>
      </c>
      <c r="K216" s="19" t="str">
        <f t="shared" si="10"/>
        <v/>
      </c>
      <c r="L216" s="19" t="str">
        <f t="shared" si="10"/>
        <v/>
      </c>
      <c r="M216" s="19" t="str">
        <f t="shared" si="10"/>
        <v/>
      </c>
      <c r="N216" s="19" t="str">
        <f t="shared" si="10"/>
        <v/>
      </c>
      <c r="O216" s="19" t="str">
        <f t="shared" si="10"/>
        <v/>
      </c>
      <c r="P216" s="19" t="str">
        <f t="shared" si="10"/>
        <v/>
      </c>
      <c r="Q216" s="19" t="str">
        <f t="shared" si="10"/>
        <v/>
      </c>
      <c r="R216" s="19" t="str">
        <f t="shared" si="10"/>
        <v/>
      </c>
      <c r="S216" s="19" t="str">
        <f t="shared" si="10"/>
        <v/>
      </c>
      <c r="T216" s="19" t="str">
        <f t="shared" si="10"/>
        <v/>
      </c>
      <c r="U216" s="19" t="str">
        <f t="shared" si="10"/>
        <v/>
      </c>
      <c r="V216" s="19" t="str">
        <f t="shared" si="10"/>
        <v/>
      </c>
      <c r="X216" s="71"/>
    </row>
    <row r="217" spans="1:24" s="32" customFormat="1" ht="14.25" hidden="1" customHeight="1" x14ac:dyDescent="0.2">
      <c r="A217" s="38" t="s">
        <v>82</v>
      </c>
      <c r="B217" s="29" t="s">
        <v>35</v>
      </c>
      <c r="C217" s="30" t="s">
        <v>36</v>
      </c>
      <c r="D217" s="31" t="str">
        <f t="shared" si="10"/>
        <v>*</v>
      </c>
      <c r="E217" s="31" t="str">
        <f t="shared" si="10"/>
        <v>*</v>
      </c>
      <c r="F217" s="31" t="str">
        <f t="shared" si="10"/>
        <v>*</v>
      </c>
      <c r="G217" s="31" t="str">
        <f t="shared" si="10"/>
        <v/>
      </c>
      <c r="H217" s="31" t="str">
        <f t="shared" si="10"/>
        <v/>
      </c>
      <c r="I217" s="31" t="str">
        <f t="shared" si="10"/>
        <v/>
      </c>
      <c r="J217" s="31" t="str">
        <f t="shared" si="10"/>
        <v/>
      </c>
      <c r="K217" s="31" t="str">
        <f t="shared" si="10"/>
        <v>*</v>
      </c>
      <c r="L217" s="31" t="str">
        <f t="shared" si="10"/>
        <v>*</v>
      </c>
      <c r="M217" s="31" t="str">
        <f t="shared" si="10"/>
        <v/>
      </c>
      <c r="N217" s="31" t="str">
        <f t="shared" si="10"/>
        <v/>
      </c>
      <c r="O217" s="31" t="str">
        <f t="shared" si="10"/>
        <v>*</v>
      </c>
      <c r="P217" s="31" t="str">
        <f t="shared" si="10"/>
        <v>*</v>
      </c>
      <c r="Q217" s="31" t="str">
        <f t="shared" si="10"/>
        <v/>
      </c>
      <c r="R217" s="31" t="str">
        <f t="shared" si="10"/>
        <v/>
      </c>
      <c r="S217" s="31" t="str">
        <f t="shared" si="10"/>
        <v/>
      </c>
      <c r="T217" s="31" t="str">
        <f t="shared" si="10"/>
        <v/>
      </c>
      <c r="U217" s="31" t="str">
        <f t="shared" si="10"/>
        <v/>
      </c>
      <c r="V217" s="31" t="str">
        <f t="shared" si="10"/>
        <v/>
      </c>
      <c r="X217" s="71"/>
    </row>
    <row r="218" spans="1:24" s="32" customFormat="1" ht="14.25" hidden="1" customHeight="1" x14ac:dyDescent="0.2">
      <c r="A218" s="108" t="s">
        <v>83</v>
      </c>
      <c r="B218" s="33" t="s">
        <v>37</v>
      </c>
      <c r="C218" s="34" t="s">
        <v>38</v>
      </c>
      <c r="D218" s="19" t="str">
        <f t="shared" si="10"/>
        <v>*</v>
      </c>
      <c r="E218" s="19" t="str">
        <f t="shared" si="10"/>
        <v>*</v>
      </c>
      <c r="F218" s="19" t="str">
        <f t="shared" si="10"/>
        <v>*</v>
      </c>
      <c r="G218" s="19" t="str">
        <f t="shared" si="10"/>
        <v/>
      </c>
      <c r="H218" s="19" t="str">
        <f t="shared" si="10"/>
        <v/>
      </c>
      <c r="I218" s="19" t="str">
        <f t="shared" si="10"/>
        <v/>
      </c>
      <c r="J218" s="19" t="str">
        <f t="shared" si="10"/>
        <v/>
      </c>
      <c r="K218" s="19" t="str">
        <f t="shared" si="10"/>
        <v>*</v>
      </c>
      <c r="L218" s="19" t="str">
        <f t="shared" si="10"/>
        <v>*</v>
      </c>
      <c r="M218" s="19" t="str">
        <f t="shared" si="10"/>
        <v/>
      </c>
      <c r="N218" s="19" t="str">
        <f t="shared" si="10"/>
        <v/>
      </c>
      <c r="O218" s="19" t="str">
        <f t="shared" si="10"/>
        <v>*</v>
      </c>
      <c r="P218" s="19" t="str">
        <f t="shared" si="10"/>
        <v>*</v>
      </c>
      <c r="Q218" s="19" t="str">
        <f t="shared" si="10"/>
        <v/>
      </c>
      <c r="R218" s="19" t="str">
        <f t="shared" si="10"/>
        <v>*</v>
      </c>
      <c r="S218" s="19" t="str">
        <f t="shared" si="10"/>
        <v/>
      </c>
      <c r="T218" s="19" t="str">
        <f t="shared" si="10"/>
        <v/>
      </c>
      <c r="U218" s="19" t="str">
        <f t="shared" si="10"/>
        <v/>
      </c>
      <c r="V218" s="19" t="str">
        <f t="shared" si="10"/>
        <v/>
      </c>
      <c r="X218" s="71"/>
    </row>
    <row r="219" spans="1:24" s="32" customFormat="1" ht="14.25" hidden="1" customHeight="1" x14ac:dyDescent="0.2">
      <c r="A219" s="108"/>
      <c r="B219" s="36" t="s">
        <v>39</v>
      </c>
      <c r="C219" s="37" t="s">
        <v>163</v>
      </c>
      <c r="D219" s="39" t="str">
        <f t="shared" si="10"/>
        <v>*</v>
      </c>
      <c r="E219" s="39" t="str">
        <f t="shared" si="10"/>
        <v/>
      </c>
      <c r="F219" s="39" t="str">
        <f t="shared" si="10"/>
        <v>*</v>
      </c>
      <c r="G219" s="39" t="str">
        <f t="shared" si="10"/>
        <v/>
      </c>
      <c r="H219" s="39" t="str">
        <f t="shared" si="10"/>
        <v/>
      </c>
      <c r="I219" s="39" t="str">
        <f t="shared" si="10"/>
        <v/>
      </c>
      <c r="J219" s="39" t="str">
        <f t="shared" si="10"/>
        <v/>
      </c>
      <c r="K219" s="39" t="str">
        <f t="shared" si="10"/>
        <v/>
      </c>
      <c r="L219" s="39" t="str">
        <f t="shared" si="10"/>
        <v/>
      </c>
      <c r="M219" s="39" t="str">
        <f t="shared" si="10"/>
        <v/>
      </c>
      <c r="N219" s="39" t="str">
        <f t="shared" si="10"/>
        <v/>
      </c>
      <c r="O219" s="39" t="str">
        <f t="shared" si="10"/>
        <v/>
      </c>
      <c r="P219" s="39" t="str">
        <f t="shared" si="10"/>
        <v/>
      </c>
      <c r="Q219" s="39" t="str">
        <f t="shared" si="10"/>
        <v/>
      </c>
      <c r="R219" s="39" t="str">
        <f t="shared" si="10"/>
        <v>*</v>
      </c>
      <c r="S219" s="39" t="str">
        <f t="shared" si="10"/>
        <v/>
      </c>
      <c r="T219" s="39" t="str">
        <f t="shared" si="10"/>
        <v/>
      </c>
      <c r="U219" s="39" t="str">
        <f t="shared" si="10"/>
        <v/>
      </c>
      <c r="V219" s="39" t="str">
        <f t="shared" si="10"/>
        <v/>
      </c>
      <c r="X219" s="71"/>
    </row>
  </sheetData>
  <mergeCells count="82">
    <mergeCell ref="A218:A219"/>
    <mergeCell ref="A185:A186"/>
    <mergeCell ref="A188:A189"/>
    <mergeCell ref="A191:A192"/>
    <mergeCell ref="A194:A195"/>
    <mergeCell ref="A197:A198"/>
    <mergeCell ref="A200:A201"/>
    <mergeCell ref="A203:A204"/>
    <mergeCell ref="A206:A207"/>
    <mergeCell ref="A209:A210"/>
    <mergeCell ref="A212:A213"/>
    <mergeCell ref="A215:A216"/>
    <mergeCell ref="A182:A183"/>
    <mergeCell ref="A148:A149"/>
    <mergeCell ref="A152:A153"/>
    <mergeCell ref="A155:A156"/>
    <mergeCell ref="A158:A159"/>
    <mergeCell ref="A161:A162"/>
    <mergeCell ref="A164:A165"/>
    <mergeCell ref="A167:A168"/>
    <mergeCell ref="A170:A171"/>
    <mergeCell ref="A173:A174"/>
    <mergeCell ref="A176:A177"/>
    <mergeCell ref="A179:A180"/>
    <mergeCell ref="A145:A146"/>
    <mergeCell ref="A112:A113"/>
    <mergeCell ref="A115:A116"/>
    <mergeCell ref="A118:A119"/>
    <mergeCell ref="A121:A122"/>
    <mergeCell ref="A124:A125"/>
    <mergeCell ref="A127:A128"/>
    <mergeCell ref="A130:A131"/>
    <mergeCell ref="A133:A134"/>
    <mergeCell ref="A136:A137"/>
    <mergeCell ref="A139:A140"/>
    <mergeCell ref="A142:A143"/>
    <mergeCell ref="A109:A110"/>
    <mergeCell ref="A72:A73"/>
    <mergeCell ref="A75:A76"/>
    <mergeCell ref="A82:A83"/>
    <mergeCell ref="A85:A86"/>
    <mergeCell ref="A88:A89"/>
    <mergeCell ref="A91:A92"/>
    <mergeCell ref="A94:A95"/>
    <mergeCell ref="A97:A98"/>
    <mergeCell ref="A100:A101"/>
    <mergeCell ref="A103:A104"/>
    <mergeCell ref="A106:A107"/>
    <mergeCell ref="A30:A31"/>
    <mergeCell ref="A69:A70"/>
    <mergeCell ref="A36:A37"/>
    <mergeCell ref="A39:A40"/>
    <mergeCell ref="A42:A43"/>
    <mergeCell ref="A45:A46"/>
    <mergeCell ref="A48:A49"/>
    <mergeCell ref="A51:A52"/>
    <mergeCell ref="A54:A55"/>
    <mergeCell ref="A57:A58"/>
    <mergeCell ref="A60:A61"/>
    <mergeCell ref="A63:A64"/>
    <mergeCell ref="A66:A67"/>
    <mergeCell ref="I6:J6"/>
    <mergeCell ref="A18:A19"/>
    <mergeCell ref="A21:A22"/>
    <mergeCell ref="A24:A25"/>
    <mergeCell ref="A27:A28"/>
    <mergeCell ref="K6:L6"/>
    <mergeCell ref="A33:A34"/>
    <mergeCell ref="M6:N6"/>
    <mergeCell ref="O6:P6"/>
    <mergeCell ref="Q6:R6"/>
    <mergeCell ref="A9:A10"/>
    <mergeCell ref="A12:A13"/>
    <mergeCell ref="A15:A16"/>
    <mergeCell ref="A4:C7"/>
    <mergeCell ref="D4:V4"/>
    <mergeCell ref="D5:F6"/>
    <mergeCell ref="G5:J5"/>
    <mergeCell ref="K5:R5"/>
    <mergeCell ref="S5:T6"/>
    <mergeCell ref="U5:V6"/>
    <mergeCell ref="G6:H6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80"/>
  <sheetViews>
    <sheetView workbookViewId="0">
      <pane xSplit="4" ySplit="8" topLeftCell="E60" activePane="bottomRight" state="frozen"/>
      <selection pane="topRight"/>
      <selection pane="bottomLeft"/>
      <selection pane="bottomRight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2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">
      <c r="A3" s="67" t="s">
        <v>158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2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26</v>
      </c>
      <c r="V5" s="101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</row>
    <row r="8" spans="1:22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12646</v>
      </c>
      <c r="E8" s="78">
        <v>5649</v>
      </c>
      <c r="F8" s="78">
        <v>6997</v>
      </c>
      <c r="G8" s="78">
        <v>9</v>
      </c>
      <c r="H8" s="78">
        <v>5</v>
      </c>
      <c r="I8" s="78">
        <v>12</v>
      </c>
      <c r="J8" s="78">
        <v>3</v>
      </c>
      <c r="K8" s="78">
        <v>3756</v>
      </c>
      <c r="L8" s="78">
        <v>2611</v>
      </c>
      <c r="M8" s="78">
        <v>249</v>
      </c>
      <c r="N8" s="78">
        <v>281</v>
      </c>
      <c r="O8" s="78">
        <v>713</v>
      </c>
      <c r="P8" s="78">
        <v>3400</v>
      </c>
      <c r="Q8" s="78">
        <v>709</v>
      </c>
      <c r="R8" s="78">
        <v>605</v>
      </c>
      <c r="S8" s="78">
        <v>59</v>
      </c>
      <c r="T8" s="78">
        <v>59</v>
      </c>
      <c r="U8" s="78">
        <v>142</v>
      </c>
      <c r="V8" s="78">
        <v>33</v>
      </c>
    </row>
    <row r="9" spans="1:22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11345</v>
      </c>
      <c r="E9" s="82">
        <v>5102</v>
      </c>
      <c r="F9" s="82">
        <v>6243</v>
      </c>
      <c r="G9" s="82">
        <v>9</v>
      </c>
      <c r="H9" s="82">
        <v>5</v>
      </c>
      <c r="I9" s="82">
        <v>12</v>
      </c>
      <c r="J9" s="82">
        <v>2</v>
      </c>
      <c r="K9" s="82">
        <v>3408</v>
      </c>
      <c r="L9" s="82">
        <v>2370</v>
      </c>
      <c r="M9" s="82">
        <v>237</v>
      </c>
      <c r="N9" s="82">
        <v>255</v>
      </c>
      <c r="O9" s="82">
        <v>637</v>
      </c>
      <c r="P9" s="82">
        <v>2990</v>
      </c>
      <c r="Q9" s="82">
        <v>618</v>
      </c>
      <c r="R9" s="82">
        <v>544</v>
      </c>
      <c r="S9" s="82">
        <v>45</v>
      </c>
      <c r="T9" s="82">
        <v>48</v>
      </c>
      <c r="U9" s="82">
        <v>136</v>
      </c>
      <c r="V9" s="82">
        <v>29</v>
      </c>
    </row>
    <row r="10" spans="1:22" s="79" customFormat="1" ht="14.25" customHeight="1" x14ac:dyDescent="0.2">
      <c r="A10" s="111"/>
      <c r="B10" s="80" t="s">
        <v>152</v>
      </c>
      <c r="C10" s="81" t="s">
        <v>163</v>
      </c>
      <c r="D10" s="82">
        <v>1301</v>
      </c>
      <c r="E10" s="82">
        <v>547</v>
      </c>
      <c r="F10" s="82">
        <v>754</v>
      </c>
      <c r="G10" s="82">
        <v>0</v>
      </c>
      <c r="H10" s="82">
        <v>0</v>
      </c>
      <c r="I10" s="82">
        <v>0</v>
      </c>
      <c r="J10" s="82">
        <v>1</v>
      </c>
      <c r="K10" s="82">
        <v>348</v>
      </c>
      <c r="L10" s="82">
        <v>241</v>
      </c>
      <c r="M10" s="82">
        <v>12</v>
      </c>
      <c r="N10" s="82">
        <v>26</v>
      </c>
      <c r="O10" s="82">
        <v>76</v>
      </c>
      <c r="P10" s="82">
        <v>410</v>
      </c>
      <c r="Q10" s="82">
        <v>91</v>
      </c>
      <c r="R10" s="82">
        <v>61</v>
      </c>
      <c r="S10" s="82">
        <v>14</v>
      </c>
      <c r="T10" s="82">
        <v>11</v>
      </c>
      <c r="U10" s="82">
        <v>6</v>
      </c>
      <c r="V10" s="82">
        <v>4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1936</v>
      </c>
      <c r="E11" s="31">
        <v>821</v>
      </c>
      <c r="F11" s="31">
        <v>1115</v>
      </c>
      <c r="G11" s="31">
        <v>1</v>
      </c>
      <c r="H11" s="31">
        <v>0</v>
      </c>
      <c r="I11" s="31">
        <v>1</v>
      </c>
      <c r="J11" s="31">
        <v>0</v>
      </c>
      <c r="K11" s="31">
        <v>600</v>
      </c>
      <c r="L11" s="31">
        <v>426</v>
      </c>
      <c r="M11" s="31">
        <v>46</v>
      </c>
      <c r="N11" s="31">
        <v>61</v>
      </c>
      <c r="O11" s="31">
        <v>93</v>
      </c>
      <c r="P11" s="31">
        <v>578</v>
      </c>
      <c r="Q11" s="31">
        <v>33</v>
      </c>
      <c r="R11" s="31">
        <v>32</v>
      </c>
      <c r="S11" s="31">
        <v>11</v>
      </c>
      <c r="T11" s="31">
        <v>10</v>
      </c>
      <c r="U11" s="31">
        <v>36</v>
      </c>
      <c r="V11" s="31">
        <v>8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1836</v>
      </c>
      <c r="E12" s="19">
        <v>784</v>
      </c>
      <c r="F12" s="19">
        <v>1052</v>
      </c>
      <c r="G12" s="19">
        <v>1</v>
      </c>
      <c r="H12" s="19">
        <v>0</v>
      </c>
      <c r="I12" s="19">
        <v>1</v>
      </c>
      <c r="J12" s="19">
        <v>0</v>
      </c>
      <c r="K12" s="19">
        <v>568</v>
      </c>
      <c r="L12" s="19">
        <v>402</v>
      </c>
      <c r="M12" s="19">
        <v>46</v>
      </c>
      <c r="N12" s="19">
        <v>58</v>
      </c>
      <c r="O12" s="19">
        <v>91</v>
      </c>
      <c r="P12" s="19">
        <v>543</v>
      </c>
      <c r="Q12" s="19">
        <v>30</v>
      </c>
      <c r="R12" s="19">
        <v>31</v>
      </c>
      <c r="S12" s="19">
        <v>11</v>
      </c>
      <c r="T12" s="19">
        <v>10</v>
      </c>
      <c r="U12" s="19">
        <v>36</v>
      </c>
      <c r="V12" s="19">
        <v>8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100</v>
      </c>
      <c r="E13" s="19">
        <v>37</v>
      </c>
      <c r="F13" s="19">
        <v>63</v>
      </c>
      <c r="G13" s="19">
        <v>0</v>
      </c>
      <c r="H13" s="19">
        <v>0</v>
      </c>
      <c r="I13" s="19">
        <v>0</v>
      </c>
      <c r="J13" s="19">
        <v>0</v>
      </c>
      <c r="K13" s="19">
        <v>32</v>
      </c>
      <c r="L13" s="19">
        <v>24</v>
      </c>
      <c r="M13" s="19">
        <v>0</v>
      </c>
      <c r="N13" s="19">
        <v>3</v>
      </c>
      <c r="O13" s="19">
        <v>2</v>
      </c>
      <c r="P13" s="19">
        <v>35</v>
      </c>
      <c r="Q13" s="19">
        <v>3</v>
      </c>
      <c r="R13" s="19">
        <v>1</v>
      </c>
      <c r="S13" s="19">
        <v>0</v>
      </c>
      <c r="T13" s="19">
        <v>0</v>
      </c>
      <c r="U13" s="19">
        <v>0</v>
      </c>
      <c r="V13" s="19">
        <v>0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1068</v>
      </c>
      <c r="E14" s="31">
        <v>473</v>
      </c>
      <c r="F14" s="31">
        <v>595</v>
      </c>
      <c r="G14" s="31">
        <v>1</v>
      </c>
      <c r="H14" s="31">
        <v>0</v>
      </c>
      <c r="I14" s="31">
        <v>1</v>
      </c>
      <c r="J14" s="31">
        <v>0</v>
      </c>
      <c r="K14" s="31">
        <v>277</v>
      </c>
      <c r="L14" s="31">
        <v>227</v>
      </c>
      <c r="M14" s="31">
        <v>19</v>
      </c>
      <c r="N14" s="31">
        <v>11</v>
      </c>
      <c r="O14" s="31">
        <v>102</v>
      </c>
      <c r="P14" s="31">
        <v>286</v>
      </c>
      <c r="Q14" s="31">
        <v>68</v>
      </c>
      <c r="R14" s="31">
        <v>68</v>
      </c>
      <c r="S14" s="31">
        <v>1</v>
      </c>
      <c r="T14" s="31">
        <v>1</v>
      </c>
      <c r="U14" s="31">
        <v>4</v>
      </c>
      <c r="V14" s="31">
        <v>2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1032</v>
      </c>
      <c r="E15" s="19">
        <v>460</v>
      </c>
      <c r="F15" s="19">
        <v>572</v>
      </c>
      <c r="G15" s="19">
        <v>1</v>
      </c>
      <c r="H15" s="19">
        <v>0</v>
      </c>
      <c r="I15" s="19">
        <v>1</v>
      </c>
      <c r="J15" s="19">
        <v>0</v>
      </c>
      <c r="K15" s="19">
        <v>268</v>
      </c>
      <c r="L15" s="19">
        <v>218</v>
      </c>
      <c r="M15" s="19">
        <v>18</v>
      </c>
      <c r="N15" s="19">
        <v>10</v>
      </c>
      <c r="O15" s="19">
        <v>101</v>
      </c>
      <c r="P15" s="19">
        <v>274</v>
      </c>
      <c r="Q15" s="19">
        <v>66</v>
      </c>
      <c r="R15" s="19">
        <v>67</v>
      </c>
      <c r="S15" s="19">
        <v>1</v>
      </c>
      <c r="T15" s="19">
        <v>1</v>
      </c>
      <c r="U15" s="19">
        <v>4</v>
      </c>
      <c r="V15" s="19">
        <v>2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36</v>
      </c>
      <c r="E16" s="19">
        <v>13</v>
      </c>
      <c r="F16" s="19">
        <v>23</v>
      </c>
      <c r="G16" s="19">
        <v>0</v>
      </c>
      <c r="H16" s="19">
        <v>0</v>
      </c>
      <c r="I16" s="19">
        <v>0</v>
      </c>
      <c r="J16" s="19">
        <v>0</v>
      </c>
      <c r="K16" s="19">
        <v>9</v>
      </c>
      <c r="L16" s="19">
        <v>9</v>
      </c>
      <c r="M16" s="19">
        <v>1</v>
      </c>
      <c r="N16" s="19">
        <v>1</v>
      </c>
      <c r="O16" s="19">
        <v>1</v>
      </c>
      <c r="P16" s="19">
        <v>12</v>
      </c>
      <c r="Q16" s="19">
        <v>2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1521</v>
      </c>
      <c r="E17" s="31">
        <v>721</v>
      </c>
      <c r="F17" s="31">
        <v>800</v>
      </c>
      <c r="G17" s="31">
        <v>0</v>
      </c>
      <c r="H17" s="31">
        <v>0</v>
      </c>
      <c r="I17" s="31">
        <v>1</v>
      </c>
      <c r="J17" s="31">
        <v>1</v>
      </c>
      <c r="K17" s="31">
        <v>579</v>
      </c>
      <c r="L17" s="31">
        <v>358</v>
      </c>
      <c r="M17" s="31">
        <v>1</v>
      </c>
      <c r="N17" s="31">
        <v>8</v>
      </c>
      <c r="O17" s="31">
        <v>56</v>
      </c>
      <c r="P17" s="31">
        <v>376</v>
      </c>
      <c r="Q17" s="31">
        <v>67</v>
      </c>
      <c r="R17" s="31">
        <v>49</v>
      </c>
      <c r="S17" s="31">
        <v>2</v>
      </c>
      <c r="T17" s="31">
        <v>4</v>
      </c>
      <c r="U17" s="31">
        <v>15</v>
      </c>
      <c r="V17" s="31">
        <v>4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1265</v>
      </c>
      <c r="E18" s="19">
        <v>604</v>
      </c>
      <c r="F18" s="19">
        <v>661</v>
      </c>
      <c r="G18" s="19">
        <v>0</v>
      </c>
      <c r="H18" s="19">
        <v>0</v>
      </c>
      <c r="I18" s="19">
        <v>1</v>
      </c>
      <c r="J18" s="19">
        <v>1</v>
      </c>
      <c r="K18" s="19">
        <v>490</v>
      </c>
      <c r="L18" s="19">
        <v>301</v>
      </c>
      <c r="M18" s="19">
        <v>1</v>
      </c>
      <c r="N18" s="19">
        <v>8</v>
      </c>
      <c r="O18" s="19">
        <v>46</v>
      </c>
      <c r="P18" s="19">
        <v>309</v>
      </c>
      <c r="Q18" s="19">
        <v>51</v>
      </c>
      <c r="R18" s="19">
        <v>35</v>
      </c>
      <c r="S18" s="19">
        <v>2</v>
      </c>
      <c r="T18" s="19">
        <v>4</v>
      </c>
      <c r="U18" s="19">
        <v>13</v>
      </c>
      <c r="V18" s="19">
        <v>3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256</v>
      </c>
      <c r="E19" s="19">
        <v>117</v>
      </c>
      <c r="F19" s="19">
        <v>139</v>
      </c>
      <c r="G19" s="19">
        <v>0</v>
      </c>
      <c r="H19" s="19">
        <v>0</v>
      </c>
      <c r="I19" s="19">
        <v>0</v>
      </c>
      <c r="J19" s="19">
        <v>0</v>
      </c>
      <c r="K19" s="19">
        <v>89</v>
      </c>
      <c r="L19" s="19">
        <v>57</v>
      </c>
      <c r="M19" s="19">
        <v>0</v>
      </c>
      <c r="N19" s="19">
        <v>0</v>
      </c>
      <c r="O19" s="19">
        <v>10</v>
      </c>
      <c r="P19" s="19">
        <v>67</v>
      </c>
      <c r="Q19" s="19">
        <v>16</v>
      </c>
      <c r="R19" s="19">
        <v>14</v>
      </c>
      <c r="S19" s="19">
        <v>0</v>
      </c>
      <c r="T19" s="19">
        <v>0</v>
      </c>
      <c r="U19" s="19">
        <v>2</v>
      </c>
      <c r="V19" s="19">
        <v>1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2074</v>
      </c>
      <c r="E20" s="31">
        <v>996</v>
      </c>
      <c r="F20" s="31">
        <v>1078</v>
      </c>
      <c r="G20" s="31">
        <v>2</v>
      </c>
      <c r="H20" s="31">
        <v>0</v>
      </c>
      <c r="I20" s="31">
        <v>6</v>
      </c>
      <c r="J20" s="31">
        <v>0</v>
      </c>
      <c r="K20" s="31">
        <v>711</v>
      </c>
      <c r="L20" s="31">
        <v>477</v>
      </c>
      <c r="M20" s="31">
        <v>68</v>
      </c>
      <c r="N20" s="31">
        <v>63</v>
      </c>
      <c r="O20" s="31">
        <v>89</v>
      </c>
      <c r="P20" s="31">
        <v>418</v>
      </c>
      <c r="Q20" s="31">
        <v>108</v>
      </c>
      <c r="R20" s="31">
        <v>109</v>
      </c>
      <c r="S20" s="31">
        <v>6</v>
      </c>
      <c r="T20" s="31">
        <v>9</v>
      </c>
      <c r="U20" s="31">
        <v>6</v>
      </c>
      <c r="V20" s="31">
        <v>2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1957</v>
      </c>
      <c r="E21" s="19">
        <v>940</v>
      </c>
      <c r="F21" s="19">
        <v>1017</v>
      </c>
      <c r="G21" s="19">
        <v>2</v>
      </c>
      <c r="H21" s="19">
        <v>0</v>
      </c>
      <c r="I21" s="19">
        <v>6</v>
      </c>
      <c r="J21" s="19">
        <v>0</v>
      </c>
      <c r="K21" s="19">
        <v>673</v>
      </c>
      <c r="L21" s="19">
        <v>459</v>
      </c>
      <c r="M21" s="19">
        <v>64</v>
      </c>
      <c r="N21" s="19">
        <v>62</v>
      </c>
      <c r="O21" s="19">
        <v>86</v>
      </c>
      <c r="P21" s="19">
        <v>384</v>
      </c>
      <c r="Q21" s="19">
        <v>97</v>
      </c>
      <c r="R21" s="19">
        <v>101</v>
      </c>
      <c r="S21" s="19">
        <v>6</v>
      </c>
      <c r="T21" s="19">
        <v>9</v>
      </c>
      <c r="U21" s="19">
        <v>6</v>
      </c>
      <c r="V21" s="19">
        <v>2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117</v>
      </c>
      <c r="E22" s="19">
        <v>56</v>
      </c>
      <c r="F22" s="19">
        <v>61</v>
      </c>
      <c r="G22" s="19">
        <v>0</v>
      </c>
      <c r="H22" s="19">
        <v>0</v>
      </c>
      <c r="I22" s="19">
        <v>0</v>
      </c>
      <c r="J22" s="19">
        <v>0</v>
      </c>
      <c r="K22" s="19">
        <v>38</v>
      </c>
      <c r="L22" s="19">
        <v>18</v>
      </c>
      <c r="M22" s="19">
        <v>4</v>
      </c>
      <c r="N22" s="19">
        <v>1</v>
      </c>
      <c r="O22" s="19">
        <v>3</v>
      </c>
      <c r="P22" s="19">
        <v>34</v>
      </c>
      <c r="Q22" s="19">
        <v>11</v>
      </c>
      <c r="R22" s="19">
        <v>8</v>
      </c>
      <c r="S22" s="19">
        <v>0</v>
      </c>
      <c r="T22" s="19">
        <v>0</v>
      </c>
      <c r="U22" s="19">
        <v>0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804</v>
      </c>
      <c r="E23" s="31">
        <v>351</v>
      </c>
      <c r="F23" s="31">
        <v>453</v>
      </c>
      <c r="G23" s="31">
        <v>0</v>
      </c>
      <c r="H23" s="31">
        <v>0</v>
      </c>
      <c r="I23" s="31">
        <v>0</v>
      </c>
      <c r="J23" s="31">
        <v>0</v>
      </c>
      <c r="K23" s="31">
        <v>238</v>
      </c>
      <c r="L23" s="31">
        <v>159</v>
      </c>
      <c r="M23" s="31">
        <v>10</v>
      </c>
      <c r="N23" s="31">
        <v>20</v>
      </c>
      <c r="O23" s="31">
        <v>23</v>
      </c>
      <c r="P23" s="31">
        <v>193</v>
      </c>
      <c r="Q23" s="31">
        <v>65</v>
      </c>
      <c r="R23" s="31">
        <v>78</v>
      </c>
      <c r="S23" s="31">
        <v>2</v>
      </c>
      <c r="T23" s="31">
        <v>2</v>
      </c>
      <c r="U23" s="31">
        <v>13</v>
      </c>
      <c r="V23" s="31">
        <v>1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777</v>
      </c>
      <c r="E24" s="19">
        <v>340</v>
      </c>
      <c r="F24" s="19">
        <v>437</v>
      </c>
      <c r="G24" s="19">
        <v>0</v>
      </c>
      <c r="H24" s="19">
        <v>0</v>
      </c>
      <c r="I24" s="19">
        <v>0</v>
      </c>
      <c r="J24" s="19">
        <v>0</v>
      </c>
      <c r="K24" s="19">
        <v>230</v>
      </c>
      <c r="L24" s="19">
        <v>155</v>
      </c>
      <c r="M24" s="19">
        <v>10</v>
      </c>
      <c r="N24" s="19">
        <v>19</v>
      </c>
      <c r="O24" s="19">
        <v>22</v>
      </c>
      <c r="P24" s="19">
        <v>184</v>
      </c>
      <c r="Q24" s="19">
        <v>64</v>
      </c>
      <c r="R24" s="19">
        <v>77</v>
      </c>
      <c r="S24" s="19">
        <v>2</v>
      </c>
      <c r="T24" s="19">
        <v>1</v>
      </c>
      <c r="U24" s="19">
        <v>12</v>
      </c>
      <c r="V24" s="19">
        <v>1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27</v>
      </c>
      <c r="E25" s="19">
        <v>11</v>
      </c>
      <c r="F25" s="19">
        <v>16</v>
      </c>
      <c r="G25" s="19">
        <v>0</v>
      </c>
      <c r="H25" s="19">
        <v>0</v>
      </c>
      <c r="I25" s="19">
        <v>0</v>
      </c>
      <c r="J25" s="19">
        <v>0</v>
      </c>
      <c r="K25" s="19">
        <v>8</v>
      </c>
      <c r="L25" s="19">
        <v>4</v>
      </c>
      <c r="M25" s="19">
        <v>0</v>
      </c>
      <c r="N25" s="19">
        <v>1</v>
      </c>
      <c r="O25" s="19">
        <v>1</v>
      </c>
      <c r="P25" s="19">
        <v>9</v>
      </c>
      <c r="Q25" s="19">
        <v>1</v>
      </c>
      <c r="R25" s="19">
        <v>1</v>
      </c>
      <c r="S25" s="19">
        <v>0</v>
      </c>
      <c r="T25" s="19">
        <v>1</v>
      </c>
      <c r="U25" s="19">
        <v>1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1489</v>
      </c>
      <c r="E26" s="31">
        <v>717</v>
      </c>
      <c r="F26" s="31">
        <v>772</v>
      </c>
      <c r="G26" s="31">
        <v>0</v>
      </c>
      <c r="H26" s="31">
        <v>1</v>
      </c>
      <c r="I26" s="31">
        <v>0</v>
      </c>
      <c r="J26" s="31">
        <v>1</v>
      </c>
      <c r="K26" s="31">
        <v>461</v>
      </c>
      <c r="L26" s="31">
        <v>274</v>
      </c>
      <c r="M26" s="31">
        <v>27</v>
      </c>
      <c r="N26" s="31">
        <v>24</v>
      </c>
      <c r="O26" s="31">
        <v>88</v>
      </c>
      <c r="P26" s="31">
        <v>369</v>
      </c>
      <c r="Q26" s="31">
        <v>114</v>
      </c>
      <c r="R26" s="31">
        <v>93</v>
      </c>
      <c r="S26" s="31">
        <v>5</v>
      </c>
      <c r="T26" s="31">
        <v>4</v>
      </c>
      <c r="U26" s="31">
        <v>22</v>
      </c>
      <c r="V26" s="31">
        <v>6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1397</v>
      </c>
      <c r="E27" s="19">
        <v>678</v>
      </c>
      <c r="F27" s="19">
        <v>719</v>
      </c>
      <c r="G27" s="19">
        <v>0</v>
      </c>
      <c r="H27" s="19">
        <v>1</v>
      </c>
      <c r="I27" s="19">
        <v>0</v>
      </c>
      <c r="J27" s="19">
        <v>0</v>
      </c>
      <c r="K27" s="19">
        <v>440</v>
      </c>
      <c r="L27" s="19">
        <v>257</v>
      </c>
      <c r="M27" s="19">
        <v>25</v>
      </c>
      <c r="N27" s="19">
        <v>24</v>
      </c>
      <c r="O27" s="19">
        <v>81</v>
      </c>
      <c r="P27" s="19">
        <v>339</v>
      </c>
      <c r="Q27" s="19">
        <v>107</v>
      </c>
      <c r="R27" s="19">
        <v>88</v>
      </c>
      <c r="S27" s="19">
        <v>4</v>
      </c>
      <c r="T27" s="19">
        <v>4</v>
      </c>
      <c r="U27" s="19">
        <v>21</v>
      </c>
      <c r="V27" s="19">
        <v>6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92</v>
      </c>
      <c r="E28" s="19">
        <v>39</v>
      </c>
      <c r="F28" s="19">
        <v>53</v>
      </c>
      <c r="G28" s="19">
        <v>0</v>
      </c>
      <c r="H28" s="19">
        <v>0</v>
      </c>
      <c r="I28" s="19">
        <v>0</v>
      </c>
      <c r="J28" s="19">
        <v>1</v>
      </c>
      <c r="K28" s="19">
        <v>21</v>
      </c>
      <c r="L28" s="19">
        <v>17</v>
      </c>
      <c r="M28" s="19">
        <v>2</v>
      </c>
      <c r="N28" s="19">
        <v>0</v>
      </c>
      <c r="O28" s="19">
        <v>7</v>
      </c>
      <c r="P28" s="19">
        <v>30</v>
      </c>
      <c r="Q28" s="19">
        <v>7</v>
      </c>
      <c r="R28" s="19">
        <v>5</v>
      </c>
      <c r="S28" s="19">
        <v>1</v>
      </c>
      <c r="T28" s="19">
        <v>0</v>
      </c>
      <c r="U28" s="19">
        <v>1</v>
      </c>
      <c r="V28" s="19">
        <v>0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170</v>
      </c>
      <c r="E29" s="31">
        <v>63</v>
      </c>
      <c r="F29" s="31">
        <v>107</v>
      </c>
      <c r="G29" s="31">
        <v>0</v>
      </c>
      <c r="H29" s="31">
        <v>0</v>
      </c>
      <c r="I29" s="31">
        <v>0</v>
      </c>
      <c r="J29" s="31">
        <v>0</v>
      </c>
      <c r="K29" s="31">
        <v>36</v>
      </c>
      <c r="L29" s="31">
        <v>36</v>
      </c>
      <c r="M29" s="31">
        <v>6</v>
      </c>
      <c r="N29" s="31">
        <v>3</v>
      </c>
      <c r="O29" s="31">
        <v>7</v>
      </c>
      <c r="P29" s="31">
        <v>61</v>
      </c>
      <c r="Q29" s="31">
        <v>9</v>
      </c>
      <c r="R29" s="31">
        <v>7</v>
      </c>
      <c r="S29" s="31">
        <v>0</v>
      </c>
      <c r="T29" s="31">
        <v>0</v>
      </c>
      <c r="U29" s="31">
        <v>5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158</v>
      </c>
      <c r="E30" s="19">
        <v>57</v>
      </c>
      <c r="F30" s="19">
        <v>101</v>
      </c>
      <c r="G30" s="19">
        <v>0</v>
      </c>
      <c r="H30" s="19">
        <v>0</v>
      </c>
      <c r="I30" s="19">
        <v>0</v>
      </c>
      <c r="J30" s="19">
        <v>0</v>
      </c>
      <c r="K30" s="19">
        <v>33</v>
      </c>
      <c r="L30" s="19">
        <v>36</v>
      </c>
      <c r="M30" s="19">
        <v>6</v>
      </c>
      <c r="N30" s="19">
        <v>3</v>
      </c>
      <c r="O30" s="19">
        <v>5</v>
      </c>
      <c r="P30" s="19">
        <v>56</v>
      </c>
      <c r="Q30" s="19">
        <v>8</v>
      </c>
      <c r="R30" s="19">
        <v>6</v>
      </c>
      <c r="S30" s="19">
        <v>0</v>
      </c>
      <c r="T30" s="19">
        <v>0</v>
      </c>
      <c r="U30" s="19">
        <v>5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12</v>
      </c>
      <c r="E31" s="19">
        <v>6</v>
      </c>
      <c r="F31" s="19">
        <v>6</v>
      </c>
      <c r="G31" s="19">
        <v>0</v>
      </c>
      <c r="H31" s="19">
        <v>0</v>
      </c>
      <c r="I31" s="19">
        <v>0</v>
      </c>
      <c r="J31" s="19">
        <v>0</v>
      </c>
      <c r="K31" s="19">
        <v>3</v>
      </c>
      <c r="L31" s="19">
        <v>0</v>
      </c>
      <c r="M31" s="19">
        <v>0</v>
      </c>
      <c r="N31" s="19">
        <v>0</v>
      </c>
      <c r="O31" s="19">
        <v>2</v>
      </c>
      <c r="P31" s="19">
        <v>5</v>
      </c>
      <c r="Q31" s="19">
        <v>1</v>
      </c>
      <c r="R31" s="19">
        <v>1</v>
      </c>
      <c r="S31" s="19">
        <v>0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307</v>
      </c>
      <c r="E32" s="31">
        <v>133</v>
      </c>
      <c r="F32" s="31">
        <v>174</v>
      </c>
      <c r="G32" s="31">
        <v>0</v>
      </c>
      <c r="H32" s="31">
        <v>0</v>
      </c>
      <c r="I32" s="31">
        <v>1</v>
      </c>
      <c r="J32" s="31">
        <v>1</v>
      </c>
      <c r="K32" s="31">
        <v>96</v>
      </c>
      <c r="L32" s="31">
        <v>74</v>
      </c>
      <c r="M32" s="31">
        <v>7</v>
      </c>
      <c r="N32" s="31">
        <v>5</v>
      </c>
      <c r="O32" s="31">
        <v>15</v>
      </c>
      <c r="P32" s="31">
        <v>76</v>
      </c>
      <c r="Q32" s="31">
        <v>9</v>
      </c>
      <c r="R32" s="31">
        <v>16</v>
      </c>
      <c r="S32" s="31">
        <v>0</v>
      </c>
      <c r="T32" s="31">
        <v>0</v>
      </c>
      <c r="U32" s="31">
        <v>5</v>
      </c>
      <c r="V32" s="31">
        <v>2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255</v>
      </c>
      <c r="E33" s="19">
        <v>117</v>
      </c>
      <c r="F33" s="19">
        <v>138</v>
      </c>
      <c r="G33" s="19">
        <v>0</v>
      </c>
      <c r="H33" s="19">
        <v>0</v>
      </c>
      <c r="I33" s="19">
        <v>1</v>
      </c>
      <c r="J33" s="19">
        <v>1</v>
      </c>
      <c r="K33" s="19">
        <v>86</v>
      </c>
      <c r="L33" s="19">
        <v>64</v>
      </c>
      <c r="M33" s="19">
        <v>6</v>
      </c>
      <c r="N33" s="19">
        <v>4</v>
      </c>
      <c r="O33" s="19">
        <v>12</v>
      </c>
      <c r="P33" s="19">
        <v>55</v>
      </c>
      <c r="Q33" s="19">
        <v>7</v>
      </c>
      <c r="R33" s="19">
        <v>13</v>
      </c>
      <c r="S33" s="19">
        <v>0</v>
      </c>
      <c r="T33" s="19">
        <v>0</v>
      </c>
      <c r="U33" s="19">
        <v>5</v>
      </c>
      <c r="V33" s="19">
        <v>1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52</v>
      </c>
      <c r="E34" s="19">
        <v>16</v>
      </c>
      <c r="F34" s="19">
        <v>36</v>
      </c>
      <c r="G34" s="19">
        <v>0</v>
      </c>
      <c r="H34" s="19">
        <v>0</v>
      </c>
      <c r="I34" s="19">
        <v>0</v>
      </c>
      <c r="J34" s="19">
        <v>0</v>
      </c>
      <c r="K34" s="19">
        <v>10</v>
      </c>
      <c r="L34" s="19">
        <v>10</v>
      </c>
      <c r="M34" s="19">
        <v>1</v>
      </c>
      <c r="N34" s="19">
        <v>1</v>
      </c>
      <c r="O34" s="19">
        <v>3</v>
      </c>
      <c r="P34" s="19">
        <v>21</v>
      </c>
      <c r="Q34" s="19">
        <v>2</v>
      </c>
      <c r="R34" s="19">
        <v>3</v>
      </c>
      <c r="S34" s="19">
        <v>0</v>
      </c>
      <c r="T34" s="19">
        <v>0</v>
      </c>
      <c r="U34" s="19">
        <v>0</v>
      </c>
      <c r="V34" s="19">
        <v>1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160</v>
      </c>
      <c r="E35" s="31">
        <v>53</v>
      </c>
      <c r="F35" s="31">
        <v>107</v>
      </c>
      <c r="G35" s="31">
        <v>1</v>
      </c>
      <c r="H35" s="31">
        <v>1</v>
      </c>
      <c r="I35" s="31">
        <v>2</v>
      </c>
      <c r="J35" s="31">
        <v>0</v>
      </c>
      <c r="K35" s="31">
        <v>27</v>
      </c>
      <c r="L35" s="31">
        <v>22</v>
      </c>
      <c r="M35" s="31">
        <v>1</v>
      </c>
      <c r="N35" s="31">
        <v>2</v>
      </c>
      <c r="O35" s="31">
        <v>9</v>
      </c>
      <c r="P35" s="31">
        <v>76</v>
      </c>
      <c r="Q35" s="31">
        <v>10</v>
      </c>
      <c r="R35" s="31">
        <v>2</v>
      </c>
      <c r="S35" s="31">
        <v>1</v>
      </c>
      <c r="T35" s="31">
        <v>2</v>
      </c>
      <c r="U35" s="31">
        <v>2</v>
      </c>
      <c r="V35" s="31">
        <v>2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142</v>
      </c>
      <c r="E36" s="19">
        <v>41</v>
      </c>
      <c r="F36" s="19">
        <v>101</v>
      </c>
      <c r="G36" s="19">
        <v>1</v>
      </c>
      <c r="H36" s="19">
        <v>1</v>
      </c>
      <c r="I36" s="19">
        <v>2</v>
      </c>
      <c r="J36" s="19">
        <v>0</v>
      </c>
      <c r="K36" s="19">
        <v>18</v>
      </c>
      <c r="L36" s="19">
        <v>20</v>
      </c>
      <c r="M36" s="19">
        <v>1</v>
      </c>
      <c r="N36" s="19">
        <v>2</v>
      </c>
      <c r="O36" s="19">
        <v>9</v>
      </c>
      <c r="P36" s="19">
        <v>73</v>
      </c>
      <c r="Q36" s="19">
        <v>8</v>
      </c>
      <c r="R36" s="19">
        <v>2</v>
      </c>
      <c r="S36" s="19">
        <v>0</v>
      </c>
      <c r="T36" s="19">
        <v>1</v>
      </c>
      <c r="U36" s="19">
        <v>2</v>
      </c>
      <c r="V36" s="19">
        <v>2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18</v>
      </c>
      <c r="E37" s="19">
        <v>12</v>
      </c>
      <c r="F37" s="19">
        <v>6</v>
      </c>
      <c r="G37" s="19">
        <v>0</v>
      </c>
      <c r="H37" s="19">
        <v>0</v>
      </c>
      <c r="I37" s="19">
        <v>0</v>
      </c>
      <c r="J37" s="19">
        <v>0</v>
      </c>
      <c r="K37" s="19">
        <v>9</v>
      </c>
      <c r="L37" s="19">
        <v>2</v>
      </c>
      <c r="M37" s="19">
        <v>0</v>
      </c>
      <c r="N37" s="19">
        <v>0</v>
      </c>
      <c r="O37" s="19">
        <v>0</v>
      </c>
      <c r="P37" s="19">
        <v>3</v>
      </c>
      <c r="Q37" s="19">
        <v>2</v>
      </c>
      <c r="R37" s="19">
        <v>0</v>
      </c>
      <c r="S37" s="19">
        <v>1</v>
      </c>
      <c r="T37" s="19">
        <v>1</v>
      </c>
      <c r="U37" s="19">
        <v>0</v>
      </c>
      <c r="V37" s="19">
        <v>0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577</v>
      </c>
      <c r="E38" s="31">
        <v>247</v>
      </c>
      <c r="F38" s="31">
        <v>330</v>
      </c>
      <c r="G38" s="31">
        <v>1</v>
      </c>
      <c r="H38" s="31">
        <v>0</v>
      </c>
      <c r="I38" s="31">
        <v>0</v>
      </c>
      <c r="J38" s="31">
        <v>0</v>
      </c>
      <c r="K38" s="31">
        <v>143</v>
      </c>
      <c r="L38" s="31">
        <v>101</v>
      </c>
      <c r="M38" s="31">
        <v>20</v>
      </c>
      <c r="N38" s="31">
        <v>30</v>
      </c>
      <c r="O38" s="31">
        <v>41</v>
      </c>
      <c r="P38" s="31">
        <v>168</v>
      </c>
      <c r="Q38" s="31">
        <v>36</v>
      </c>
      <c r="R38" s="31">
        <v>30</v>
      </c>
      <c r="S38" s="31">
        <v>3</v>
      </c>
      <c r="T38" s="31">
        <v>0</v>
      </c>
      <c r="U38" s="31">
        <v>3</v>
      </c>
      <c r="V38" s="31">
        <v>1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559</v>
      </c>
      <c r="E39" s="19">
        <v>239</v>
      </c>
      <c r="F39" s="19">
        <v>320</v>
      </c>
      <c r="G39" s="19">
        <v>1</v>
      </c>
      <c r="H39" s="19">
        <v>0</v>
      </c>
      <c r="I39" s="19">
        <v>0</v>
      </c>
      <c r="J39" s="19">
        <v>0</v>
      </c>
      <c r="K39" s="19">
        <v>135</v>
      </c>
      <c r="L39" s="19">
        <v>99</v>
      </c>
      <c r="M39" s="19">
        <v>20</v>
      </c>
      <c r="N39" s="19">
        <v>28</v>
      </c>
      <c r="O39" s="19">
        <v>41</v>
      </c>
      <c r="P39" s="19">
        <v>164</v>
      </c>
      <c r="Q39" s="19">
        <v>36</v>
      </c>
      <c r="R39" s="19">
        <v>28</v>
      </c>
      <c r="S39" s="19">
        <v>3</v>
      </c>
      <c r="T39" s="19">
        <v>0</v>
      </c>
      <c r="U39" s="19">
        <v>3</v>
      </c>
      <c r="V39" s="19">
        <v>1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18</v>
      </c>
      <c r="E40" s="19">
        <v>8</v>
      </c>
      <c r="F40" s="19">
        <v>10</v>
      </c>
      <c r="G40" s="19">
        <v>0</v>
      </c>
      <c r="H40" s="19">
        <v>0</v>
      </c>
      <c r="I40" s="19">
        <v>0</v>
      </c>
      <c r="J40" s="19">
        <v>0</v>
      </c>
      <c r="K40" s="19">
        <v>8</v>
      </c>
      <c r="L40" s="19">
        <v>2</v>
      </c>
      <c r="M40" s="19">
        <v>0</v>
      </c>
      <c r="N40" s="19">
        <v>2</v>
      </c>
      <c r="O40" s="19">
        <v>0</v>
      </c>
      <c r="P40" s="19">
        <v>4</v>
      </c>
      <c r="Q40" s="19">
        <v>0</v>
      </c>
      <c r="R40" s="19">
        <v>2</v>
      </c>
      <c r="S40" s="19">
        <v>0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299</v>
      </c>
      <c r="E41" s="31">
        <v>112</v>
      </c>
      <c r="F41" s="31">
        <v>187</v>
      </c>
      <c r="G41" s="31">
        <v>0</v>
      </c>
      <c r="H41" s="31">
        <v>1</v>
      </c>
      <c r="I41" s="31">
        <v>0</v>
      </c>
      <c r="J41" s="31">
        <v>0</v>
      </c>
      <c r="K41" s="31">
        <v>80</v>
      </c>
      <c r="L41" s="31">
        <v>79</v>
      </c>
      <c r="M41" s="31">
        <v>2</v>
      </c>
      <c r="N41" s="31">
        <v>2</v>
      </c>
      <c r="O41" s="31">
        <v>11</v>
      </c>
      <c r="P41" s="31">
        <v>87</v>
      </c>
      <c r="Q41" s="31">
        <v>12</v>
      </c>
      <c r="R41" s="31">
        <v>18</v>
      </c>
      <c r="S41" s="31">
        <v>0</v>
      </c>
      <c r="T41" s="31">
        <v>0</v>
      </c>
      <c r="U41" s="31">
        <v>7</v>
      </c>
      <c r="V41" s="31">
        <v>0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210</v>
      </c>
      <c r="E42" s="19">
        <v>80</v>
      </c>
      <c r="F42" s="19">
        <v>130</v>
      </c>
      <c r="G42" s="19">
        <v>0</v>
      </c>
      <c r="H42" s="19">
        <v>1</v>
      </c>
      <c r="I42" s="19">
        <v>0</v>
      </c>
      <c r="J42" s="19">
        <v>0</v>
      </c>
      <c r="K42" s="19">
        <v>53</v>
      </c>
      <c r="L42" s="19">
        <v>54</v>
      </c>
      <c r="M42" s="19">
        <v>2</v>
      </c>
      <c r="N42" s="19">
        <v>1</v>
      </c>
      <c r="O42" s="19">
        <v>8</v>
      </c>
      <c r="P42" s="19">
        <v>61</v>
      </c>
      <c r="Q42" s="19">
        <v>10</v>
      </c>
      <c r="R42" s="19">
        <v>13</v>
      </c>
      <c r="S42" s="19">
        <v>0</v>
      </c>
      <c r="T42" s="19">
        <v>0</v>
      </c>
      <c r="U42" s="19">
        <v>7</v>
      </c>
      <c r="V42" s="19">
        <v>0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89</v>
      </c>
      <c r="E43" s="19">
        <v>32</v>
      </c>
      <c r="F43" s="19">
        <v>57</v>
      </c>
      <c r="G43" s="19">
        <v>0</v>
      </c>
      <c r="H43" s="19">
        <v>0</v>
      </c>
      <c r="I43" s="19">
        <v>0</v>
      </c>
      <c r="J43" s="19">
        <v>0</v>
      </c>
      <c r="K43" s="19">
        <v>27</v>
      </c>
      <c r="L43" s="19">
        <v>25</v>
      </c>
      <c r="M43" s="19">
        <v>0</v>
      </c>
      <c r="N43" s="19">
        <v>1</v>
      </c>
      <c r="O43" s="19">
        <v>3</v>
      </c>
      <c r="P43" s="19">
        <v>26</v>
      </c>
      <c r="Q43" s="19">
        <v>2</v>
      </c>
      <c r="R43" s="19">
        <v>5</v>
      </c>
      <c r="S43" s="19">
        <v>0</v>
      </c>
      <c r="T43" s="19">
        <v>0</v>
      </c>
      <c r="U43" s="19">
        <v>0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309</v>
      </c>
      <c r="E44" s="31">
        <v>123</v>
      </c>
      <c r="F44" s="31">
        <v>186</v>
      </c>
      <c r="G44" s="31">
        <v>0</v>
      </c>
      <c r="H44" s="31">
        <v>1</v>
      </c>
      <c r="I44" s="31">
        <v>0</v>
      </c>
      <c r="J44" s="31">
        <v>0</v>
      </c>
      <c r="K44" s="31">
        <v>66</v>
      </c>
      <c r="L44" s="31">
        <v>61</v>
      </c>
      <c r="M44" s="31">
        <v>5</v>
      </c>
      <c r="N44" s="31">
        <v>6</v>
      </c>
      <c r="O44" s="31">
        <v>25</v>
      </c>
      <c r="P44" s="31">
        <v>108</v>
      </c>
      <c r="Q44" s="31">
        <v>25</v>
      </c>
      <c r="R44" s="31">
        <v>8</v>
      </c>
      <c r="S44" s="31">
        <v>1</v>
      </c>
      <c r="T44" s="31">
        <v>2</v>
      </c>
      <c r="U44" s="31">
        <v>1</v>
      </c>
      <c r="V44" s="31">
        <v>0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307</v>
      </c>
      <c r="E45" s="19">
        <v>122</v>
      </c>
      <c r="F45" s="19">
        <v>185</v>
      </c>
      <c r="G45" s="19">
        <v>0</v>
      </c>
      <c r="H45" s="19">
        <v>1</v>
      </c>
      <c r="I45" s="19">
        <v>0</v>
      </c>
      <c r="J45" s="19">
        <v>0</v>
      </c>
      <c r="K45" s="19">
        <v>66</v>
      </c>
      <c r="L45" s="19">
        <v>61</v>
      </c>
      <c r="M45" s="19">
        <v>4</v>
      </c>
      <c r="N45" s="19">
        <v>6</v>
      </c>
      <c r="O45" s="19">
        <v>25</v>
      </c>
      <c r="P45" s="19">
        <v>107</v>
      </c>
      <c r="Q45" s="19">
        <v>25</v>
      </c>
      <c r="R45" s="19">
        <v>8</v>
      </c>
      <c r="S45" s="19">
        <v>1</v>
      </c>
      <c r="T45" s="19">
        <v>2</v>
      </c>
      <c r="U45" s="19">
        <v>1</v>
      </c>
      <c r="V45" s="19">
        <v>0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2</v>
      </c>
      <c r="E46" s="19">
        <v>1</v>
      </c>
      <c r="F46" s="19">
        <v>1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1</v>
      </c>
      <c r="N46" s="19">
        <v>0</v>
      </c>
      <c r="O46" s="19">
        <v>0</v>
      </c>
      <c r="P46" s="19">
        <v>1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248</v>
      </c>
      <c r="E47" s="31">
        <v>124</v>
      </c>
      <c r="F47" s="31">
        <v>124</v>
      </c>
      <c r="G47" s="31">
        <v>1</v>
      </c>
      <c r="H47" s="31">
        <v>0</v>
      </c>
      <c r="I47" s="31">
        <v>0</v>
      </c>
      <c r="J47" s="31">
        <v>0</v>
      </c>
      <c r="K47" s="31">
        <v>55</v>
      </c>
      <c r="L47" s="31">
        <v>31</v>
      </c>
      <c r="M47" s="31">
        <v>5</v>
      </c>
      <c r="N47" s="31">
        <v>6</v>
      </c>
      <c r="O47" s="31">
        <v>29</v>
      </c>
      <c r="P47" s="31">
        <v>69</v>
      </c>
      <c r="Q47" s="31">
        <v>30</v>
      </c>
      <c r="R47" s="31">
        <v>16</v>
      </c>
      <c r="S47" s="31">
        <v>1</v>
      </c>
      <c r="T47" s="31">
        <v>2</v>
      </c>
      <c r="U47" s="31">
        <v>3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232</v>
      </c>
      <c r="E48" s="19">
        <v>120</v>
      </c>
      <c r="F48" s="19">
        <v>112</v>
      </c>
      <c r="G48" s="19">
        <v>1</v>
      </c>
      <c r="H48" s="19">
        <v>0</v>
      </c>
      <c r="I48" s="19">
        <v>0</v>
      </c>
      <c r="J48" s="19">
        <v>0</v>
      </c>
      <c r="K48" s="19">
        <v>55</v>
      </c>
      <c r="L48" s="19">
        <v>28</v>
      </c>
      <c r="M48" s="19">
        <v>5</v>
      </c>
      <c r="N48" s="19">
        <v>6</v>
      </c>
      <c r="O48" s="19">
        <v>26</v>
      </c>
      <c r="P48" s="19">
        <v>61</v>
      </c>
      <c r="Q48" s="19">
        <v>29</v>
      </c>
      <c r="R48" s="19">
        <v>15</v>
      </c>
      <c r="S48" s="19">
        <v>1</v>
      </c>
      <c r="T48" s="19">
        <v>2</v>
      </c>
      <c r="U48" s="19">
        <v>3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16</v>
      </c>
      <c r="E49" s="19">
        <v>4</v>
      </c>
      <c r="F49" s="19">
        <v>12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3</v>
      </c>
      <c r="M49" s="19">
        <v>0</v>
      </c>
      <c r="N49" s="19">
        <v>0</v>
      </c>
      <c r="O49" s="19">
        <v>3</v>
      </c>
      <c r="P49" s="19">
        <v>8</v>
      </c>
      <c r="Q49" s="19">
        <v>1</v>
      </c>
      <c r="R49" s="19">
        <v>1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482</v>
      </c>
      <c r="E50" s="31">
        <v>205</v>
      </c>
      <c r="F50" s="31">
        <v>277</v>
      </c>
      <c r="G50" s="31">
        <v>0</v>
      </c>
      <c r="H50" s="31">
        <v>0</v>
      </c>
      <c r="I50" s="31">
        <v>0</v>
      </c>
      <c r="J50" s="31">
        <v>0</v>
      </c>
      <c r="K50" s="31">
        <v>143</v>
      </c>
      <c r="L50" s="31">
        <v>101</v>
      </c>
      <c r="M50" s="31">
        <v>12</v>
      </c>
      <c r="N50" s="31">
        <v>15</v>
      </c>
      <c r="O50" s="31">
        <v>20</v>
      </c>
      <c r="P50" s="31">
        <v>139</v>
      </c>
      <c r="Q50" s="31">
        <v>19</v>
      </c>
      <c r="R50" s="31">
        <v>21</v>
      </c>
      <c r="S50" s="31">
        <v>2</v>
      </c>
      <c r="T50" s="31">
        <v>1</v>
      </c>
      <c r="U50" s="31">
        <v>9</v>
      </c>
      <c r="V50" s="31">
        <v>0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409</v>
      </c>
      <c r="E51" s="19">
        <v>177</v>
      </c>
      <c r="F51" s="19">
        <v>232</v>
      </c>
      <c r="G51" s="19">
        <v>0</v>
      </c>
      <c r="H51" s="19">
        <v>0</v>
      </c>
      <c r="I51" s="19">
        <v>0</v>
      </c>
      <c r="J51" s="19">
        <v>0</v>
      </c>
      <c r="K51" s="19">
        <v>123</v>
      </c>
      <c r="L51" s="19">
        <v>81</v>
      </c>
      <c r="M51" s="19">
        <v>12</v>
      </c>
      <c r="N51" s="19">
        <v>13</v>
      </c>
      <c r="O51" s="19">
        <v>14</v>
      </c>
      <c r="P51" s="19">
        <v>118</v>
      </c>
      <c r="Q51" s="19">
        <v>18</v>
      </c>
      <c r="R51" s="19">
        <v>19</v>
      </c>
      <c r="S51" s="19">
        <v>2</v>
      </c>
      <c r="T51" s="19">
        <v>1</v>
      </c>
      <c r="U51" s="19">
        <v>8</v>
      </c>
      <c r="V51" s="19">
        <v>0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73</v>
      </c>
      <c r="E52" s="19">
        <v>28</v>
      </c>
      <c r="F52" s="19">
        <v>45</v>
      </c>
      <c r="G52" s="19">
        <v>0</v>
      </c>
      <c r="H52" s="19">
        <v>0</v>
      </c>
      <c r="I52" s="19">
        <v>0</v>
      </c>
      <c r="J52" s="19">
        <v>0</v>
      </c>
      <c r="K52" s="19">
        <v>20</v>
      </c>
      <c r="L52" s="19">
        <v>20</v>
      </c>
      <c r="M52" s="19">
        <v>0</v>
      </c>
      <c r="N52" s="19">
        <v>2</v>
      </c>
      <c r="O52" s="19">
        <v>6</v>
      </c>
      <c r="P52" s="19">
        <v>21</v>
      </c>
      <c r="Q52" s="19">
        <v>1</v>
      </c>
      <c r="R52" s="19">
        <v>2</v>
      </c>
      <c r="S52" s="19">
        <v>0</v>
      </c>
      <c r="T52" s="19">
        <v>0</v>
      </c>
      <c r="U52" s="19">
        <v>1</v>
      </c>
      <c r="V52" s="19">
        <v>0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193</v>
      </c>
      <c r="E53" s="31">
        <v>82</v>
      </c>
      <c r="F53" s="31">
        <v>111</v>
      </c>
      <c r="G53" s="31">
        <v>0</v>
      </c>
      <c r="H53" s="31">
        <v>0</v>
      </c>
      <c r="I53" s="31">
        <v>0</v>
      </c>
      <c r="J53" s="31">
        <v>0</v>
      </c>
      <c r="K53" s="31">
        <v>35</v>
      </c>
      <c r="L53" s="31">
        <v>28</v>
      </c>
      <c r="M53" s="31">
        <v>5</v>
      </c>
      <c r="N53" s="31">
        <v>14</v>
      </c>
      <c r="O53" s="31">
        <v>17</v>
      </c>
      <c r="P53" s="31">
        <v>49</v>
      </c>
      <c r="Q53" s="31">
        <v>7</v>
      </c>
      <c r="R53" s="31">
        <v>6</v>
      </c>
      <c r="S53" s="31">
        <v>18</v>
      </c>
      <c r="T53" s="31">
        <v>13</v>
      </c>
      <c r="U53" s="31">
        <v>0</v>
      </c>
      <c r="V53" s="31">
        <v>1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68</v>
      </c>
      <c r="E54" s="19">
        <v>33</v>
      </c>
      <c r="F54" s="19">
        <v>35</v>
      </c>
      <c r="G54" s="19">
        <v>0</v>
      </c>
      <c r="H54" s="19">
        <v>0</v>
      </c>
      <c r="I54" s="19">
        <v>0</v>
      </c>
      <c r="J54" s="19">
        <v>0</v>
      </c>
      <c r="K54" s="19">
        <v>16</v>
      </c>
      <c r="L54" s="19">
        <v>8</v>
      </c>
      <c r="M54" s="19">
        <v>3</v>
      </c>
      <c r="N54" s="19">
        <v>1</v>
      </c>
      <c r="O54" s="19">
        <v>6</v>
      </c>
      <c r="P54" s="19">
        <v>20</v>
      </c>
      <c r="Q54" s="19">
        <v>2</v>
      </c>
      <c r="R54" s="19">
        <v>2</v>
      </c>
      <c r="S54" s="19">
        <v>6</v>
      </c>
      <c r="T54" s="19">
        <v>4</v>
      </c>
      <c r="U54" s="19">
        <v>0</v>
      </c>
      <c r="V54" s="19">
        <v>0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125</v>
      </c>
      <c r="E55" s="19">
        <v>49</v>
      </c>
      <c r="F55" s="19">
        <v>76</v>
      </c>
      <c r="G55" s="19">
        <v>0</v>
      </c>
      <c r="H55" s="19">
        <v>0</v>
      </c>
      <c r="I55" s="19">
        <v>0</v>
      </c>
      <c r="J55" s="19">
        <v>0</v>
      </c>
      <c r="K55" s="19">
        <v>19</v>
      </c>
      <c r="L55" s="19">
        <v>20</v>
      </c>
      <c r="M55" s="19">
        <v>2</v>
      </c>
      <c r="N55" s="19">
        <v>13</v>
      </c>
      <c r="O55" s="19">
        <v>11</v>
      </c>
      <c r="P55" s="19">
        <v>29</v>
      </c>
      <c r="Q55" s="19">
        <v>5</v>
      </c>
      <c r="R55" s="19">
        <v>4</v>
      </c>
      <c r="S55" s="19">
        <v>12</v>
      </c>
      <c r="T55" s="19">
        <v>9</v>
      </c>
      <c r="U55" s="19">
        <v>0</v>
      </c>
      <c r="V55" s="19">
        <v>1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309</v>
      </c>
      <c r="E56" s="31">
        <v>133</v>
      </c>
      <c r="F56" s="31">
        <v>176</v>
      </c>
      <c r="G56" s="31">
        <v>0</v>
      </c>
      <c r="H56" s="31">
        <v>0</v>
      </c>
      <c r="I56" s="31">
        <v>0</v>
      </c>
      <c r="J56" s="31">
        <v>0</v>
      </c>
      <c r="K56" s="31">
        <v>60</v>
      </c>
      <c r="L56" s="31">
        <v>33</v>
      </c>
      <c r="M56" s="31">
        <v>1</v>
      </c>
      <c r="N56" s="31">
        <v>5</v>
      </c>
      <c r="O56" s="31">
        <v>30</v>
      </c>
      <c r="P56" s="31">
        <v>122</v>
      </c>
      <c r="Q56" s="31">
        <v>41</v>
      </c>
      <c r="R56" s="31">
        <v>16</v>
      </c>
      <c r="S56" s="31">
        <v>0</v>
      </c>
      <c r="T56" s="31">
        <v>0</v>
      </c>
      <c r="U56" s="31">
        <v>1</v>
      </c>
      <c r="V56" s="31">
        <v>0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109</v>
      </c>
      <c r="E57" s="19">
        <v>44</v>
      </c>
      <c r="F57" s="19">
        <v>65</v>
      </c>
      <c r="G57" s="19">
        <v>0</v>
      </c>
      <c r="H57" s="19">
        <v>0</v>
      </c>
      <c r="I57" s="19">
        <v>0</v>
      </c>
      <c r="J57" s="19">
        <v>0</v>
      </c>
      <c r="K57" s="19">
        <v>17</v>
      </c>
      <c r="L57" s="19">
        <v>13</v>
      </c>
      <c r="M57" s="19">
        <v>1</v>
      </c>
      <c r="N57" s="19">
        <v>4</v>
      </c>
      <c r="O57" s="19">
        <v>12</v>
      </c>
      <c r="P57" s="19">
        <v>44</v>
      </c>
      <c r="Q57" s="19">
        <v>14</v>
      </c>
      <c r="R57" s="19">
        <v>4</v>
      </c>
      <c r="S57" s="19">
        <v>0</v>
      </c>
      <c r="T57" s="19">
        <v>0</v>
      </c>
      <c r="U57" s="19">
        <v>0</v>
      </c>
      <c r="V57" s="19">
        <v>0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200</v>
      </c>
      <c r="E58" s="19">
        <v>89</v>
      </c>
      <c r="F58" s="19">
        <v>111</v>
      </c>
      <c r="G58" s="19">
        <v>0</v>
      </c>
      <c r="H58" s="19">
        <v>0</v>
      </c>
      <c r="I58" s="19">
        <v>0</v>
      </c>
      <c r="J58" s="19">
        <v>0</v>
      </c>
      <c r="K58" s="19">
        <v>43</v>
      </c>
      <c r="L58" s="19">
        <v>20</v>
      </c>
      <c r="M58" s="19">
        <v>0</v>
      </c>
      <c r="N58" s="19">
        <v>1</v>
      </c>
      <c r="O58" s="19">
        <v>18</v>
      </c>
      <c r="P58" s="19">
        <v>78</v>
      </c>
      <c r="Q58" s="19">
        <v>27</v>
      </c>
      <c r="R58" s="19">
        <v>12</v>
      </c>
      <c r="S58" s="19">
        <v>0</v>
      </c>
      <c r="T58" s="19">
        <v>0</v>
      </c>
      <c r="U58" s="19">
        <v>1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25</v>
      </c>
      <c r="E59" s="31">
        <v>7</v>
      </c>
      <c r="F59" s="31">
        <v>18</v>
      </c>
      <c r="G59" s="31">
        <v>0</v>
      </c>
      <c r="H59" s="31">
        <v>0</v>
      </c>
      <c r="I59" s="31">
        <v>0</v>
      </c>
      <c r="J59" s="31">
        <v>0</v>
      </c>
      <c r="K59" s="31">
        <v>5</v>
      </c>
      <c r="L59" s="31">
        <v>1</v>
      </c>
      <c r="M59" s="31">
        <v>0</v>
      </c>
      <c r="N59" s="31">
        <v>0</v>
      </c>
      <c r="O59" s="31">
        <v>1</v>
      </c>
      <c r="P59" s="31">
        <v>15</v>
      </c>
      <c r="Q59" s="31">
        <v>1</v>
      </c>
      <c r="R59" s="31">
        <v>1</v>
      </c>
      <c r="S59" s="31">
        <v>0</v>
      </c>
      <c r="T59" s="31">
        <v>0</v>
      </c>
      <c r="U59" s="31">
        <v>0</v>
      </c>
      <c r="V59" s="31">
        <v>1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22</v>
      </c>
      <c r="E60" s="19">
        <v>6</v>
      </c>
      <c r="F60" s="19">
        <v>16</v>
      </c>
      <c r="G60" s="19">
        <v>0</v>
      </c>
      <c r="H60" s="19">
        <v>0</v>
      </c>
      <c r="I60" s="19">
        <v>0</v>
      </c>
      <c r="J60" s="19">
        <v>0</v>
      </c>
      <c r="K60" s="19">
        <v>5</v>
      </c>
      <c r="L60" s="19">
        <v>1</v>
      </c>
      <c r="M60" s="19">
        <v>0</v>
      </c>
      <c r="N60" s="19">
        <v>0</v>
      </c>
      <c r="O60" s="19">
        <v>0</v>
      </c>
      <c r="P60" s="19">
        <v>13</v>
      </c>
      <c r="Q60" s="19">
        <v>1</v>
      </c>
      <c r="R60" s="19">
        <v>1</v>
      </c>
      <c r="S60" s="19">
        <v>0</v>
      </c>
      <c r="T60" s="19">
        <v>0</v>
      </c>
      <c r="U60" s="19">
        <v>0</v>
      </c>
      <c r="V60" s="19">
        <v>1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3</v>
      </c>
      <c r="E61" s="19">
        <v>1</v>
      </c>
      <c r="F61" s="19">
        <v>2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1</v>
      </c>
      <c r="P61" s="19">
        <v>2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267</v>
      </c>
      <c r="E62" s="31">
        <v>100</v>
      </c>
      <c r="F62" s="31">
        <v>167</v>
      </c>
      <c r="G62" s="31">
        <v>1</v>
      </c>
      <c r="H62" s="31">
        <v>0</v>
      </c>
      <c r="I62" s="31">
        <v>0</v>
      </c>
      <c r="J62" s="31">
        <v>0</v>
      </c>
      <c r="K62" s="31">
        <v>60</v>
      </c>
      <c r="L62" s="31">
        <v>58</v>
      </c>
      <c r="M62" s="31">
        <v>5</v>
      </c>
      <c r="N62" s="31">
        <v>4</v>
      </c>
      <c r="O62" s="31">
        <v>24</v>
      </c>
      <c r="P62" s="31">
        <v>97</v>
      </c>
      <c r="Q62" s="31">
        <v>8</v>
      </c>
      <c r="R62" s="31">
        <v>4</v>
      </c>
      <c r="S62" s="31">
        <v>2</v>
      </c>
      <c r="T62" s="31">
        <v>3</v>
      </c>
      <c r="U62" s="31">
        <v>0</v>
      </c>
      <c r="V62" s="31">
        <v>1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230</v>
      </c>
      <c r="E63" s="19">
        <v>88</v>
      </c>
      <c r="F63" s="19">
        <v>142</v>
      </c>
      <c r="G63" s="19">
        <v>1</v>
      </c>
      <c r="H63" s="19">
        <v>0</v>
      </c>
      <c r="I63" s="19">
        <v>0</v>
      </c>
      <c r="J63" s="19">
        <v>0</v>
      </c>
      <c r="K63" s="19">
        <v>52</v>
      </c>
      <c r="L63" s="19">
        <v>52</v>
      </c>
      <c r="M63" s="19">
        <v>5</v>
      </c>
      <c r="N63" s="19">
        <v>4</v>
      </c>
      <c r="O63" s="19">
        <v>20</v>
      </c>
      <c r="P63" s="19">
        <v>79</v>
      </c>
      <c r="Q63" s="19">
        <v>8</v>
      </c>
      <c r="R63" s="19">
        <v>4</v>
      </c>
      <c r="S63" s="19">
        <v>2</v>
      </c>
      <c r="T63" s="19">
        <v>3</v>
      </c>
      <c r="U63" s="19">
        <v>0</v>
      </c>
      <c r="V63" s="19">
        <v>0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37</v>
      </c>
      <c r="E64" s="19">
        <v>12</v>
      </c>
      <c r="F64" s="19">
        <v>25</v>
      </c>
      <c r="G64" s="19">
        <v>0</v>
      </c>
      <c r="H64" s="19">
        <v>0</v>
      </c>
      <c r="I64" s="19">
        <v>0</v>
      </c>
      <c r="J64" s="19">
        <v>0</v>
      </c>
      <c r="K64" s="19">
        <v>8</v>
      </c>
      <c r="L64" s="19">
        <v>6</v>
      </c>
      <c r="M64" s="19">
        <v>0</v>
      </c>
      <c r="N64" s="19">
        <v>0</v>
      </c>
      <c r="O64" s="19">
        <v>4</v>
      </c>
      <c r="P64" s="19">
        <v>18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1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233</v>
      </c>
      <c r="E65" s="31">
        <v>110</v>
      </c>
      <c r="F65" s="31">
        <v>123</v>
      </c>
      <c r="G65" s="31">
        <v>1</v>
      </c>
      <c r="H65" s="31">
        <v>1</v>
      </c>
      <c r="I65" s="31">
        <v>0</v>
      </c>
      <c r="J65" s="31">
        <v>0</v>
      </c>
      <c r="K65" s="31">
        <v>46</v>
      </c>
      <c r="L65" s="31">
        <v>37</v>
      </c>
      <c r="M65" s="31">
        <v>6</v>
      </c>
      <c r="N65" s="31">
        <v>0</v>
      </c>
      <c r="O65" s="31">
        <v>22</v>
      </c>
      <c r="P65" s="31">
        <v>65</v>
      </c>
      <c r="Q65" s="31">
        <v>32</v>
      </c>
      <c r="R65" s="31">
        <v>20</v>
      </c>
      <c r="S65" s="31">
        <v>3</v>
      </c>
      <c r="T65" s="31">
        <v>0</v>
      </c>
      <c r="U65" s="31">
        <v>0</v>
      </c>
      <c r="V65" s="31">
        <v>0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209</v>
      </c>
      <c r="E66" s="19">
        <v>97</v>
      </c>
      <c r="F66" s="19">
        <v>112</v>
      </c>
      <c r="G66" s="19">
        <v>1</v>
      </c>
      <c r="H66" s="19">
        <v>1</v>
      </c>
      <c r="I66" s="19">
        <v>0</v>
      </c>
      <c r="J66" s="19">
        <v>0</v>
      </c>
      <c r="K66" s="19">
        <v>42</v>
      </c>
      <c r="L66" s="19">
        <v>33</v>
      </c>
      <c r="M66" s="19">
        <v>5</v>
      </c>
      <c r="N66" s="19">
        <v>0</v>
      </c>
      <c r="O66" s="19">
        <v>22</v>
      </c>
      <c r="P66" s="19">
        <v>59</v>
      </c>
      <c r="Q66" s="19">
        <v>24</v>
      </c>
      <c r="R66" s="19">
        <v>19</v>
      </c>
      <c r="S66" s="19">
        <v>3</v>
      </c>
      <c r="T66" s="19">
        <v>0</v>
      </c>
      <c r="U66" s="19">
        <v>0</v>
      </c>
      <c r="V66" s="19">
        <v>0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24</v>
      </c>
      <c r="E67" s="19">
        <v>13</v>
      </c>
      <c r="F67" s="19">
        <v>11</v>
      </c>
      <c r="G67" s="19">
        <v>0</v>
      </c>
      <c r="H67" s="19">
        <v>0</v>
      </c>
      <c r="I67" s="19">
        <v>0</v>
      </c>
      <c r="J67" s="19">
        <v>0</v>
      </c>
      <c r="K67" s="19">
        <v>4</v>
      </c>
      <c r="L67" s="19">
        <v>4</v>
      </c>
      <c r="M67" s="19">
        <v>1</v>
      </c>
      <c r="N67" s="19">
        <v>0</v>
      </c>
      <c r="O67" s="19">
        <v>0</v>
      </c>
      <c r="P67" s="19">
        <v>6</v>
      </c>
      <c r="Q67" s="19">
        <v>8</v>
      </c>
      <c r="R67" s="19">
        <v>1</v>
      </c>
      <c r="S67" s="19">
        <v>0</v>
      </c>
      <c r="T67" s="19">
        <v>0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119</v>
      </c>
      <c r="E68" s="31">
        <v>56</v>
      </c>
      <c r="F68" s="31">
        <v>63</v>
      </c>
      <c r="G68" s="31">
        <v>0</v>
      </c>
      <c r="H68" s="31">
        <v>0</v>
      </c>
      <c r="I68" s="31">
        <v>0</v>
      </c>
      <c r="J68" s="31">
        <v>0</v>
      </c>
      <c r="K68" s="31">
        <v>25</v>
      </c>
      <c r="L68" s="31">
        <v>21</v>
      </c>
      <c r="M68" s="31">
        <v>1</v>
      </c>
      <c r="N68" s="31">
        <v>0</v>
      </c>
      <c r="O68" s="31">
        <v>8</v>
      </c>
      <c r="P68" s="31">
        <v>28</v>
      </c>
      <c r="Q68" s="31">
        <v>12</v>
      </c>
      <c r="R68" s="31">
        <v>6</v>
      </c>
      <c r="S68" s="31">
        <v>0</v>
      </c>
      <c r="T68" s="31">
        <v>6</v>
      </c>
      <c r="U68" s="31">
        <v>10</v>
      </c>
      <c r="V68" s="31">
        <v>2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117</v>
      </c>
      <c r="E69" s="19">
        <v>54</v>
      </c>
      <c r="F69" s="19">
        <v>63</v>
      </c>
      <c r="G69" s="19">
        <v>0</v>
      </c>
      <c r="H69" s="19">
        <v>0</v>
      </c>
      <c r="I69" s="19">
        <v>0</v>
      </c>
      <c r="J69" s="19">
        <v>0</v>
      </c>
      <c r="K69" s="19">
        <v>25</v>
      </c>
      <c r="L69" s="19">
        <v>21</v>
      </c>
      <c r="M69" s="19">
        <v>1</v>
      </c>
      <c r="N69" s="19">
        <v>0</v>
      </c>
      <c r="O69" s="19">
        <v>8</v>
      </c>
      <c r="P69" s="19">
        <v>28</v>
      </c>
      <c r="Q69" s="19">
        <v>10</v>
      </c>
      <c r="R69" s="19">
        <v>6</v>
      </c>
      <c r="S69" s="19">
        <v>0</v>
      </c>
      <c r="T69" s="19">
        <v>6</v>
      </c>
      <c r="U69" s="19">
        <v>10</v>
      </c>
      <c r="V69" s="19">
        <v>2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2</v>
      </c>
      <c r="E70" s="19">
        <v>2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2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50</v>
      </c>
      <c r="E71" s="31">
        <v>21</v>
      </c>
      <c r="F71" s="31">
        <v>29</v>
      </c>
      <c r="G71" s="31">
        <v>0</v>
      </c>
      <c r="H71" s="31">
        <v>0</v>
      </c>
      <c r="I71" s="31">
        <v>0</v>
      </c>
      <c r="J71" s="31">
        <v>0</v>
      </c>
      <c r="K71" s="31">
        <v>13</v>
      </c>
      <c r="L71" s="31">
        <v>7</v>
      </c>
      <c r="M71" s="31">
        <v>2</v>
      </c>
      <c r="N71" s="31">
        <v>2</v>
      </c>
      <c r="O71" s="31">
        <v>3</v>
      </c>
      <c r="P71" s="31">
        <v>15</v>
      </c>
      <c r="Q71" s="31">
        <v>3</v>
      </c>
      <c r="R71" s="31">
        <v>5</v>
      </c>
      <c r="S71" s="31">
        <v>0</v>
      </c>
      <c r="T71" s="31">
        <v>0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48</v>
      </c>
      <c r="E72" s="19">
        <v>20</v>
      </c>
      <c r="F72" s="19">
        <v>28</v>
      </c>
      <c r="G72" s="19">
        <v>0</v>
      </c>
      <c r="H72" s="19">
        <v>0</v>
      </c>
      <c r="I72" s="19">
        <v>0</v>
      </c>
      <c r="J72" s="19">
        <v>0</v>
      </c>
      <c r="K72" s="19">
        <v>13</v>
      </c>
      <c r="L72" s="19">
        <v>7</v>
      </c>
      <c r="M72" s="19">
        <v>2</v>
      </c>
      <c r="N72" s="19">
        <v>2</v>
      </c>
      <c r="O72" s="19">
        <v>2</v>
      </c>
      <c r="P72" s="19">
        <v>14</v>
      </c>
      <c r="Q72" s="19">
        <v>3</v>
      </c>
      <c r="R72" s="19">
        <v>5</v>
      </c>
      <c r="S72" s="19">
        <v>0</v>
      </c>
      <c r="T72" s="19">
        <v>0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2</v>
      </c>
      <c r="E73" s="19">
        <v>1</v>
      </c>
      <c r="F73" s="19">
        <v>1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1</v>
      </c>
      <c r="P73" s="19">
        <v>1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6</v>
      </c>
      <c r="E74" s="31">
        <v>1</v>
      </c>
      <c r="F74" s="31">
        <v>5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5</v>
      </c>
      <c r="Q74" s="31">
        <v>0</v>
      </c>
      <c r="R74" s="31">
        <v>0</v>
      </c>
      <c r="S74" s="31">
        <v>1</v>
      </c>
      <c r="T74" s="31">
        <v>0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6</v>
      </c>
      <c r="E75" s="19">
        <v>1</v>
      </c>
      <c r="F75" s="19">
        <v>5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5</v>
      </c>
      <c r="Q75" s="19">
        <v>0</v>
      </c>
      <c r="R75" s="19">
        <v>0</v>
      </c>
      <c r="S75" s="19">
        <v>1</v>
      </c>
      <c r="T75" s="19">
        <v>0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>
      <c r="A79" s="66" t="s">
        <v>159</v>
      </c>
    </row>
    <row r="80" spans="1:22" ht="14.25" customHeight="1" x14ac:dyDescent="0.2"/>
  </sheetData>
  <mergeCells count="36">
    <mergeCell ref="A72:A73"/>
    <mergeCell ref="A75:A76"/>
    <mergeCell ref="A54:A55"/>
    <mergeCell ref="A57:A58"/>
    <mergeCell ref="A60:A61"/>
    <mergeCell ref="A63:A64"/>
    <mergeCell ref="A66:A67"/>
    <mergeCell ref="A69:A70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15:A16"/>
    <mergeCell ref="A4:C7"/>
    <mergeCell ref="D4:V4"/>
    <mergeCell ref="D5:F6"/>
    <mergeCell ref="G5:J5"/>
    <mergeCell ref="K5:R5"/>
    <mergeCell ref="S5:T6"/>
    <mergeCell ref="U5:V6"/>
    <mergeCell ref="G6:H6"/>
    <mergeCell ref="I6:J6"/>
    <mergeCell ref="K6:L6"/>
    <mergeCell ref="M6:N6"/>
    <mergeCell ref="O6:P6"/>
    <mergeCell ref="Q6:R6"/>
    <mergeCell ref="A9:A10"/>
    <mergeCell ref="A12:A1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80"/>
  <sheetViews>
    <sheetView workbookViewId="0">
      <pane xSplit="4" ySplit="8" topLeftCell="E9" activePane="bottomRight" state="frozen"/>
      <selection pane="topRight"/>
      <selection pane="bottomLeft"/>
      <selection pane="bottomRight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2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">
      <c r="A3" s="67" t="s">
        <v>155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2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26</v>
      </c>
      <c r="V5" s="101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</row>
    <row r="8" spans="1:22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11950</v>
      </c>
      <c r="E8" s="78">
        <v>5281</v>
      </c>
      <c r="F8" s="78">
        <v>6669</v>
      </c>
      <c r="G8" s="78">
        <v>15</v>
      </c>
      <c r="H8" s="78">
        <v>1</v>
      </c>
      <c r="I8" s="78">
        <v>6</v>
      </c>
      <c r="J8" s="78">
        <v>9</v>
      </c>
      <c r="K8" s="78">
        <v>3199</v>
      </c>
      <c r="L8" s="78">
        <v>2294</v>
      </c>
      <c r="M8" s="78">
        <v>253</v>
      </c>
      <c r="N8" s="78">
        <v>281</v>
      </c>
      <c r="O8" s="78">
        <v>705</v>
      </c>
      <c r="P8" s="78">
        <v>3302</v>
      </c>
      <c r="Q8" s="78">
        <v>774</v>
      </c>
      <c r="R8" s="78">
        <v>666</v>
      </c>
      <c r="S8" s="78">
        <v>49</v>
      </c>
      <c r="T8" s="78">
        <v>43</v>
      </c>
      <c r="U8" s="78">
        <v>280</v>
      </c>
      <c r="V8" s="78">
        <v>73</v>
      </c>
    </row>
    <row r="9" spans="1:22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10620</v>
      </c>
      <c r="E9" s="82">
        <v>4726</v>
      </c>
      <c r="F9" s="82">
        <v>5894</v>
      </c>
      <c r="G9" s="82">
        <v>13</v>
      </c>
      <c r="H9" s="82">
        <v>1</v>
      </c>
      <c r="I9" s="82">
        <v>6</v>
      </c>
      <c r="J9" s="82">
        <v>7</v>
      </c>
      <c r="K9" s="82">
        <v>2886</v>
      </c>
      <c r="L9" s="82">
        <v>2068</v>
      </c>
      <c r="M9" s="82">
        <v>232</v>
      </c>
      <c r="N9" s="82">
        <v>261</v>
      </c>
      <c r="O9" s="82">
        <v>631</v>
      </c>
      <c r="P9" s="82">
        <v>2887</v>
      </c>
      <c r="Q9" s="82">
        <v>648</v>
      </c>
      <c r="R9" s="82">
        <v>567</v>
      </c>
      <c r="S9" s="82">
        <v>45</v>
      </c>
      <c r="T9" s="82">
        <v>40</v>
      </c>
      <c r="U9" s="82">
        <v>265</v>
      </c>
      <c r="V9" s="82">
        <v>63</v>
      </c>
    </row>
    <row r="10" spans="1:22" s="79" customFormat="1" ht="14.25" customHeight="1" x14ac:dyDescent="0.2">
      <c r="A10" s="111"/>
      <c r="B10" s="80" t="s">
        <v>152</v>
      </c>
      <c r="C10" s="81" t="s">
        <v>163</v>
      </c>
      <c r="D10" s="82">
        <v>1330</v>
      </c>
      <c r="E10" s="82">
        <v>555</v>
      </c>
      <c r="F10" s="82">
        <v>775</v>
      </c>
      <c r="G10" s="82">
        <v>2</v>
      </c>
      <c r="H10" s="82">
        <v>0</v>
      </c>
      <c r="I10" s="82">
        <v>0</v>
      </c>
      <c r="J10" s="82">
        <v>2</v>
      </c>
      <c r="K10" s="82">
        <v>313</v>
      </c>
      <c r="L10" s="82">
        <v>226</v>
      </c>
      <c r="M10" s="82">
        <v>21</v>
      </c>
      <c r="N10" s="82">
        <v>20</v>
      </c>
      <c r="O10" s="82">
        <v>74</v>
      </c>
      <c r="P10" s="82">
        <v>415</v>
      </c>
      <c r="Q10" s="82">
        <v>126</v>
      </c>
      <c r="R10" s="82">
        <v>99</v>
      </c>
      <c r="S10" s="82">
        <v>4</v>
      </c>
      <c r="T10" s="82">
        <v>3</v>
      </c>
      <c r="U10" s="82">
        <v>15</v>
      </c>
      <c r="V10" s="82">
        <v>10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2142</v>
      </c>
      <c r="E11" s="31">
        <v>894</v>
      </c>
      <c r="F11" s="31">
        <v>1248</v>
      </c>
      <c r="G11" s="31">
        <v>0</v>
      </c>
      <c r="H11" s="31">
        <v>0</v>
      </c>
      <c r="I11" s="31">
        <v>1</v>
      </c>
      <c r="J11" s="31">
        <v>0</v>
      </c>
      <c r="K11" s="31">
        <v>581</v>
      </c>
      <c r="L11" s="31">
        <v>434</v>
      </c>
      <c r="M11" s="31">
        <v>53</v>
      </c>
      <c r="N11" s="31">
        <v>59</v>
      </c>
      <c r="O11" s="31">
        <v>159</v>
      </c>
      <c r="P11" s="31">
        <v>698</v>
      </c>
      <c r="Q11" s="31">
        <v>41</v>
      </c>
      <c r="R11" s="31">
        <v>36</v>
      </c>
      <c r="S11" s="31">
        <v>9</v>
      </c>
      <c r="T11" s="31">
        <v>11</v>
      </c>
      <c r="U11" s="31">
        <v>50</v>
      </c>
      <c r="V11" s="31">
        <v>10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2020</v>
      </c>
      <c r="E12" s="19">
        <v>853</v>
      </c>
      <c r="F12" s="19">
        <v>1167</v>
      </c>
      <c r="G12" s="19">
        <v>0</v>
      </c>
      <c r="H12" s="19">
        <v>0</v>
      </c>
      <c r="I12" s="19">
        <v>1</v>
      </c>
      <c r="J12" s="19">
        <v>0</v>
      </c>
      <c r="K12" s="19">
        <v>562</v>
      </c>
      <c r="L12" s="19">
        <v>405</v>
      </c>
      <c r="M12" s="19">
        <v>50</v>
      </c>
      <c r="N12" s="19">
        <v>57</v>
      </c>
      <c r="O12" s="19">
        <v>147</v>
      </c>
      <c r="P12" s="19">
        <v>654</v>
      </c>
      <c r="Q12" s="19">
        <v>39</v>
      </c>
      <c r="R12" s="19">
        <v>31</v>
      </c>
      <c r="S12" s="19">
        <v>8</v>
      </c>
      <c r="T12" s="19">
        <v>11</v>
      </c>
      <c r="U12" s="19">
        <v>46</v>
      </c>
      <c r="V12" s="19">
        <v>9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122</v>
      </c>
      <c r="E13" s="19">
        <v>41</v>
      </c>
      <c r="F13" s="19">
        <v>81</v>
      </c>
      <c r="G13" s="19">
        <v>0</v>
      </c>
      <c r="H13" s="19">
        <v>0</v>
      </c>
      <c r="I13" s="19">
        <v>0</v>
      </c>
      <c r="J13" s="19">
        <v>0</v>
      </c>
      <c r="K13" s="19">
        <v>19</v>
      </c>
      <c r="L13" s="19">
        <v>29</v>
      </c>
      <c r="M13" s="19">
        <v>3</v>
      </c>
      <c r="N13" s="19">
        <v>2</v>
      </c>
      <c r="O13" s="19">
        <v>12</v>
      </c>
      <c r="P13" s="19">
        <v>44</v>
      </c>
      <c r="Q13" s="19">
        <v>2</v>
      </c>
      <c r="R13" s="19">
        <v>5</v>
      </c>
      <c r="S13" s="19">
        <v>1</v>
      </c>
      <c r="T13" s="19">
        <v>0</v>
      </c>
      <c r="U13" s="19">
        <v>4</v>
      </c>
      <c r="V13" s="19">
        <v>1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911</v>
      </c>
      <c r="E14" s="31">
        <v>391</v>
      </c>
      <c r="F14" s="31">
        <v>520</v>
      </c>
      <c r="G14" s="31">
        <v>3</v>
      </c>
      <c r="H14" s="31">
        <v>0</v>
      </c>
      <c r="I14" s="31">
        <v>0</v>
      </c>
      <c r="J14" s="31">
        <v>3</v>
      </c>
      <c r="K14" s="31">
        <v>268</v>
      </c>
      <c r="L14" s="31">
        <v>234</v>
      </c>
      <c r="M14" s="31">
        <v>11</v>
      </c>
      <c r="N14" s="31">
        <v>21</v>
      </c>
      <c r="O14" s="31">
        <v>61</v>
      </c>
      <c r="P14" s="31">
        <v>220</v>
      </c>
      <c r="Q14" s="31">
        <v>34</v>
      </c>
      <c r="R14" s="31">
        <v>35</v>
      </c>
      <c r="S14" s="31">
        <v>2</v>
      </c>
      <c r="T14" s="31">
        <v>2</v>
      </c>
      <c r="U14" s="31">
        <v>12</v>
      </c>
      <c r="V14" s="31">
        <v>5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893</v>
      </c>
      <c r="E15" s="19">
        <v>385</v>
      </c>
      <c r="F15" s="19">
        <v>508</v>
      </c>
      <c r="G15" s="19">
        <v>3</v>
      </c>
      <c r="H15" s="19">
        <v>0</v>
      </c>
      <c r="I15" s="19">
        <v>0</v>
      </c>
      <c r="J15" s="19">
        <v>3</v>
      </c>
      <c r="K15" s="19">
        <v>263</v>
      </c>
      <c r="L15" s="19">
        <v>231</v>
      </c>
      <c r="M15" s="19">
        <v>11</v>
      </c>
      <c r="N15" s="19">
        <v>21</v>
      </c>
      <c r="O15" s="19">
        <v>61</v>
      </c>
      <c r="P15" s="19">
        <v>213</v>
      </c>
      <c r="Q15" s="19">
        <v>33</v>
      </c>
      <c r="R15" s="19">
        <v>33</v>
      </c>
      <c r="S15" s="19">
        <v>2</v>
      </c>
      <c r="T15" s="19">
        <v>2</v>
      </c>
      <c r="U15" s="19">
        <v>12</v>
      </c>
      <c r="V15" s="19">
        <v>5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18</v>
      </c>
      <c r="E16" s="19">
        <v>6</v>
      </c>
      <c r="F16" s="19">
        <v>12</v>
      </c>
      <c r="G16" s="19">
        <v>0</v>
      </c>
      <c r="H16" s="19">
        <v>0</v>
      </c>
      <c r="I16" s="19">
        <v>0</v>
      </c>
      <c r="J16" s="19">
        <v>0</v>
      </c>
      <c r="K16" s="19">
        <v>5</v>
      </c>
      <c r="L16" s="19">
        <v>3</v>
      </c>
      <c r="M16" s="19">
        <v>0</v>
      </c>
      <c r="N16" s="19">
        <v>0</v>
      </c>
      <c r="O16" s="19">
        <v>0</v>
      </c>
      <c r="P16" s="19">
        <v>7</v>
      </c>
      <c r="Q16" s="19">
        <v>1</v>
      </c>
      <c r="R16" s="19">
        <v>2</v>
      </c>
      <c r="S16" s="19">
        <v>0</v>
      </c>
      <c r="T16" s="19">
        <v>0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1395</v>
      </c>
      <c r="E17" s="31">
        <v>622</v>
      </c>
      <c r="F17" s="31">
        <v>773</v>
      </c>
      <c r="G17" s="31">
        <v>2</v>
      </c>
      <c r="H17" s="31">
        <v>1</v>
      </c>
      <c r="I17" s="31">
        <v>2</v>
      </c>
      <c r="J17" s="31">
        <v>0</v>
      </c>
      <c r="K17" s="31">
        <v>423</v>
      </c>
      <c r="L17" s="31">
        <v>311</v>
      </c>
      <c r="M17" s="31">
        <v>9</v>
      </c>
      <c r="N17" s="31">
        <v>6</v>
      </c>
      <c r="O17" s="31">
        <v>71</v>
      </c>
      <c r="P17" s="31">
        <v>368</v>
      </c>
      <c r="Q17" s="31">
        <v>95</v>
      </c>
      <c r="R17" s="31">
        <v>78</v>
      </c>
      <c r="S17" s="31">
        <v>0</v>
      </c>
      <c r="T17" s="31">
        <v>0</v>
      </c>
      <c r="U17" s="31">
        <v>20</v>
      </c>
      <c r="V17" s="31">
        <v>9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1144</v>
      </c>
      <c r="E18" s="19">
        <v>517</v>
      </c>
      <c r="F18" s="19">
        <v>627</v>
      </c>
      <c r="G18" s="19">
        <v>2</v>
      </c>
      <c r="H18" s="19">
        <v>1</v>
      </c>
      <c r="I18" s="19">
        <v>2</v>
      </c>
      <c r="J18" s="19">
        <v>0</v>
      </c>
      <c r="K18" s="19">
        <v>356</v>
      </c>
      <c r="L18" s="19">
        <v>258</v>
      </c>
      <c r="M18" s="19">
        <v>9</v>
      </c>
      <c r="N18" s="19">
        <v>6</v>
      </c>
      <c r="O18" s="19">
        <v>62</v>
      </c>
      <c r="P18" s="19">
        <v>304</v>
      </c>
      <c r="Q18" s="19">
        <v>69</v>
      </c>
      <c r="R18" s="19">
        <v>51</v>
      </c>
      <c r="S18" s="19">
        <v>0</v>
      </c>
      <c r="T18" s="19">
        <v>0</v>
      </c>
      <c r="U18" s="19">
        <v>17</v>
      </c>
      <c r="V18" s="19">
        <v>7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251</v>
      </c>
      <c r="E19" s="19">
        <v>105</v>
      </c>
      <c r="F19" s="19">
        <v>146</v>
      </c>
      <c r="G19" s="19">
        <v>0</v>
      </c>
      <c r="H19" s="19">
        <v>0</v>
      </c>
      <c r="I19" s="19">
        <v>0</v>
      </c>
      <c r="J19" s="19">
        <v>0</v>
      </c>
      <c r="K19" s="19">
        <v>67</v>
      </c>
      <c r="L19" s="19">
        <v>53</v>
      </c>
      <c r="M19" s="19">
        <v>0</v>
      </c>
      <c r="N19" s="19">
        <v>0</v>
      </c>
      <c r="O19" s="19">
        <v>9</v>
      </c>
      <c r="P19" s="19">
        <v>64</v>
      </c>
      <c r="Q19" s="19">
        <v>26</v>
      </c>
      <c r="R19" s="19">
        <v>27</v>
      </c>
      <c r="S19" s="19">
        <v>0</v>
      </c>
      <c r="T19" s="19">
        <v>0</v>
      </c>
      <c r="U19" s="19">
        <v>3</v>
      </c>
      <c r="V19" s="19">
        <v>2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2023</v>
      </c>
      <c r="E20" s="31">
        <v>1018</v>
      </c>
      <c r="F20" s="31">
        <v>1005</v>
      </c>
      <c r="G20" s="31">
        <v>2</v>
      </c>
      <c r="H20" s="31">
        <v>0</v>
      </c>
      <c r="I20" s="31">
        <v>0</v>
      </c>
      <c r="J20" s="31">
        <v>0</v>
      </c>
      <c r="K20" s="31">
        <v>652</v>
      </c>
      <c r="L20" s="31">
        <v>397</v>
      </c>
      <c r="M20" s="31">
        <v>100</v>
      </c>
      <c r="N20" s="31">
        <v>81</v>
      </c>
      <c r="O20" s="31">
        <v>68</v>
      </c>
      <c r="P20" s="31">
        <v>361</v>
      </c>
      <c r="Q20" s="31">
        <v>159</v>
      </c>
      <c r="R20" s="31">
        <v>155</v>
      </c>
      <c r="S20" s="31">
        <v>19</v>
      </c>
      <c r="T20" s="31">
        <v>10</v>
      </c>
      <c r="U20" s="31">
        <v>18</v>
      </c>
      <c r="V20" s="31">
        <v>1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1915</v>
      </c>
      <c r="E21" s="19">
        <v>957</v>
      </c>
      <c r="F21" s="19">
        <v>958</v>
      </c>
      <c r="G21" s="19">
        <v>2</v>
      </c>
      <c r="H21" s="19">
        <v>0</v>
      </c>
      <c r="I21" s="19">
        <v>0</v>
      </c>
      <c r="J21" s="19">
        <v>0</v>
      </c>
      <c r="K21" s="19">
        <v>614</v>
      </c>
      <c r="L21" s="19">
        <v>380</v>
      </c>
      <c r="M21" s="19">
        <v>96</v>
      </c>
      <c r="N21" s="19">
        <v>76</v>
      </c>
      <c r="O21" s="19">
        <v>67</v>
      </c>
      <c r="P21" s="19">
        <v>345</v>
      </c>
      <c r="Q21" s="19">
        <v>143</v>
      </c>
      <c r="R21" s="19">
        <v>146</v>
      </c>
      <c r="S21" s="19">
        <v>18</v>
      </c>
      <c r="T21" s="19">
        <v>10</v>
      </c>
      <c r="U21" s="19">
        <v>17</v>
      </c>
      <c r="V21" s="19">
        <v>1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108</v>
      </c>
      <c r="E22" s="19">
        <v>61</v>
      </c>
      <c r="F22" s="19">
        <v>47</v>
      </c>
      <c r="G22" s="19">
        <v>0</v>
      </c>
      <c r="H22" s="19">
        <v>0</v>
      </c>
      <c r="I22" s="19">
        <v>0</v>
      </c>
      <c r="J22" s="19">
        <v>0</v>
      </c>
      <c r="K22" s="19">
        <v>38</v>
      </c>
      <c r="L22" s="19">
        <v>17</v>
      </c>
      <c r="M22" s="19">
        <v>4</v>
      </c>
      <c r="N22" s="19">
        <v>5</v>
      </c>
      <c r="O22" s="19">
        <v>1</v>
      </c>
      <c r="P22" s="19">
        <v>16</v>
      </c>
      <c r="Q22" s="19">
        <v>16</v>
      </c>
      <c r="R22" s="19">
        <v>9</v>
      </c>
      <c r="S22" s="19">
        <v>1</v>
      </c>
      <c r="T22" s="19">
        <v>0</v>
      </c>
      <c r="U22" s="19">
        <v>1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707</v>
      </c>
      <c r="E23" s="31">
        <v>329</v>
      </c>
      <c r="F23" s="31">
        <v>378</v>
      </c>
      <c r="G23" s="31">
        <v>0</v>
      </c>
      <c r="H23" s="31">
        <v>0</v>
      </c>
      <c r="I23" s="31">
        <v>2</v>
      </c>
      <c r="J23" s="31">
        <v>1</v>
      </c>
      <c r="K23" s="31">
        <v>211</v>
      </c>
      <c r="L23" s="31">
        <v>111</v>
      </c>
      <c r="M23" s="31">
        <v>11</v>
      </c>
      <c r="N23" s="31">
        <v>15</v>
      </c>
      <c r="O23" s="31">
        <v>44</v>
      </c>
      <c r="P23" s="31">
        <v>213</v>
      </c>
      <c r="Q23" s="31">
        <v>40</v>
      </c>
      <c r="R23" s="31">
        <v>33</v>
      </c>
      <c r="S23" s="31">
        <v>1</v>
      </c>
      <c r="T23" s="31">
        <v>2</v>
      </c>
      <c r="U23" s="31">
        <v>20</v>
      </c>
      <c r="V23" s="31">
        <v>3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687</v>
      </c>
      <c r="E24" s="19">
        <v>321</v>
      </c>
      <c r="F24" s="19">
        <v>366</v>
      </c>
      <c r="G24" s="19">
        <v>0</v>
      </c>
      <c r="H24" s="19">
        <v>0</v>
      </c>
      <c r="I24" s="19">
        <v>2</v>
      </c>
      <c r="J24" s="19">
        <v>1</v>
      </c>
      <c r="K24" s="19">
        <v>205</v>
      </c>
      <c r="L24" s="19">
        <v>109</v>
      </c>
      <c r="M24" s="19">
        <v>10</v>
      </c>
      <c r="N24" s="19">
        <v>14</v>
      </c>
      <c r="O24" s="19">
        <v>43</v>
      </c>
      <c r="P24" s="19">
        <v>205</v>
      </c>
      <c r="Q24" s="19">
        <v>40</v>
      </c>
      <c r="R24" s="19">
        <v>32</v>
      </c>
      <c r="S24" s="19">
        <v>1</v>
      </c>
      <c r="T24" s="19">
        <v>2</v>
      </c>
      <c r="U24" s="19">
        <v>20</v>
      </c>
      <c r="V24" s="19">
        <v>3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20</v>
      </c>
      <c r="E25" s="19">
        <v>8</v>
      </c>
      <c r="F25" s="19">
        <v>12</v>
      </c>
      <c r="G25" s="19">
        <v>0</v>
      </c>
      <c r="H25" s="19">
        <v>0</v>
      </c>
      <c r="I25" s="19">
        <v>0</v>
      </c>
      <c r="J25" s="19">
        <v>0</v>
      </c>
      <c r="K25" s="19">
        <v>6</v>
      </c>
      <c r="L25" s="19">
        <v>2</v>
      </c>
      <c r="M25" s="19">
        <v>1</v>
      </c>
      <c r="N25" s="19">
        <v>1</v>
      </c>
      <c r="O25" s="19">
        <v>1</v>
      </c>
      <c r="P25" s="19">
        <v>8</v>
      </c>
      <c r="Q25" s="19">
        <v>0</v>
      </c>
      <c r="R25" s="19">
        <v>1</v>
      </c>
      <c r="S25" s="19">
        <v>0</v>
      </c>
      <c r="T25" s="19">
        <v>0</v>
      </c>
      <c r="U25" s="19">
        <v>0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1278</v>
      </c>
      <c r="E26" s="31">
        <v>568</v>
      </c>
      <c r="F26" s="31">
        <v>710</v>
      </c>
      <c r="G26" s="31">
        <v>2</v>
      </c>
      <c r="H26" s="31">
        <v>0</v>
      </c>
      <c r="I26" s="31">
        <v>0</v>
      </c>
      <c r="J26" s="31">
        <v>0</v>
      </c>
      <c r="K26" s="31">
        <v>297</v>
      </c>
      <c r="L26" s="31">
        <v>218</v>
      </c>
      <c r="M26" s="31">
        <v>16</v>
      </c>
      <c r="N26" s="31">
        <v>30</v>
      </c>
      <c r="O26" s="31">
        <v>78</v>
      </c>
      <c r="P26" s="31">
        <v>349</v>
      </c>
      <c r="Q26" s="31">
        <v>105</v>
      </c>
      <c r="R26" s="31">
        <v>86</v>
      </c>
      <c r="S26" s="31">
        <v>2</v>
      </c>
      <c r="T26" s="31">
        <v>1</v>
      </c>
      <c r="U26" s="31">
        <v>68</v>
      </c>
      <c r="V26" s="31">
        <v>26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1192</v>
      </c>
      <c r="E27" s="19">
        <v>534</v>
      </c>
      <c r="F27" s="19">
        <v>658</v>
      </c>
      <c r="G27" s="19">
        <v>2</v>
      </c>
      <c r="H27" s="19">
        <v>0</v>
      </c>
      <c r="I27" s="19">
        <v>0</v>
      </c>
      <c r="J27" s="19">
        <v>0</v>
      </c>
      <c r="K27" s="19">
        <v>277</v>
      </c>
      <c r="L27" s="19">
        <v>200</v>
      </c>
      <c r="M27" s="19">
        <v>14</v>
      </c>
      <c r="N27" s="19">
        <v>28</v>
      </c>
      <c r="O27" s="19">
        <v>73</v>
      </c>
      <c r="P27" s="19">
        <v>328</v>
      </c>
      <c r="Q27" s="19">
        <v>98</v>
      </c>
      <c r="R27" s="19">
        <v>76</v>
      </c>
      <c r="S27" s="19">
        <v>2</v>
      </c>
      <c r="T27" s="19">
        <v>1</v>
      </c>
      <c r="U27" s="19">
        <v>68</v>
      </c>
      <c r="V27" s="19">
        <v>25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86</v>
      </c>
      <c r="E28" s="19">
        <v>34</v>
      </c>
      <c r="F28" s="19">
        <v>52</v>
      </c>
      <c r="G28" s="19">
        <v>0</v>
      </c>
      <c r="H28" s="19">
        <v>0</v>
      </c>
      <c r="I28" s="19">
        <v>0</v>
      </c>
      <c r="J28" s="19">
        <v>0</v>
      </c>
      <c r="K28" s="19">
        <v>20</v>
      </c>
      <c r="L28" s="19">
        <v>18</v>
      </c>
      <c r="M28" s="19">
        <v>2</v>
      </c>
      <c r="N28" s="19">
        <v>2</v>
      </c>
      <c r="O28" s="19">
        <v>5</v>
      </c>
      <c r="P28" s="19">
        <v>21</v>
      </c>
      <c r="Q28" s="19">
        <v>7</v>
      </c>
      <c r="R28" s="19">
        <v>10</v>
      </c>
      <c r="S28" s="19">
        <v>0</v>
      </c>
      <c r="T28" s="19">
        <v>0</v>
      </c>
      <c r="U28" s="19">
        <v>0</v>
      </c>
      <c r="V28" s="19">
        <v>1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140</v>
      </c>
      <c r="E29" s="31">
        <v>49</v>
      </c>
      <c r="F29" s="31">
        <v>91</v>
      </c>
      <c r="G29" s="31">
        <v>1</v>
      </c>
      <c r="H29" s="31">
        <v>0</v>
      </c>
      <c r="I29" s="31">
        <v>0</v>
      </c>
      <c r="J29" s="31">
        <v>1</v>
      </c>
      <c r="K29" s="31">
        <v>21</v>
      </c>
      <c r="L29" s="31">
        <v>24</v>
      </c>
      <c r="M29" s="31">
        <v>2</v>
      </c>
      <c r="N29" s="31">
        <v>1</v>
      </c>
      <c r="O29" s="31">
        <v>15</v>
      </c>
      <c r="P29" s="31">
        <v>60</v>
      </c>
      <c r="Q29" s="31">
        <v>7</v>
      </c>
      <c r="R29" s="31">
        <v>5</v>
      </c>
      <c r="S29" s="31">
        <v>0</v>
      </c>
      <c r="T29" s="31">
        <v>0</v>
      </c>
      <c r="U29" s="31">
        <v>3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111</v>
      </c>
      <c r="E30" s="19">
        <v>39</v>
      </c>
      <c r="F30" s="19">
        <v>72</v>
      </c>
      <c r="G30" s="19">
        <v>1</v>
      </c>
      <c r="H30" s="19">
        <v>0</v>
      </c>
      <c r="I30" s="19">
        <v>0</v>
      </c>
      <c r="J30" s="19">
        <v>0</v>
      </c>
      <c r="K30" s="19">
        <v>18</v>
      </c>
      <c r="L30" s="19">
        <v>22</v>
      </c>
      <c r="M30" s="19">
        <v>1</v>
      </c>
      <c r="N30" s="19">
        <v>1</v>
      </c>
      <c r="O30" s="19">
        <v>10</v>
      </c>
      <c r="P30" s="19">
        <v>44</v>
      </c>
      <c r="Q30" s="19">
        <v>6</v>
      </c>
      <c r="R30" s="19">
        <v>5</v>
      </c>
      <c r="S30" s="19">
        <v>0</v>
      </c>
      <c r="T30" s="19">
        <v>0</v>
      </c>
      <c r="U30" s="19">
        <v>3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29</v>
      </c>
      <c r="E31" s="19">
        <v>10</v>
      </c>
      <c r="F31" s="19">
        <v>19</v>
      </c>
      <c r="G31" s="19">
        <v>0</v>
      </c>
      <c r="H31" s="19">
        <v>0</v>
      </c>
      <c r="I31" s="19">
        <v>0</v>
      </c>
      <c r="J31" s="19">
        <v>1</v>
      </c>
      <c r="K31" s="19">
        <v>3</v>
      </c>
      <c r="L31" s="19">
        <v>2</v>
      </c>
      <c r="M31" s="19">
        <v>1</v>
      </c>
      <c r="N31" s="19">
        <v>0</v>
      </c>
      <c r="O31" s="19">
        <v>5</v>
      </c>
      <c r="P31" s="19">
        <v>16</v>
      </c>
      <c r="Q31" s="19">
        <v>1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284</v>
      </c>
      <c r="E32" s="31">
        <v>112</v>
      </c>
      <c r="F32" s="31">
        <v>172</v>
      </c>
      <c r="G32" s="31">
        <v>1</v>
      </c>
      <c r="H32" s="31">
        <v>0</v>
      </c>
      <c r="I32" s="31">
        <v>0</v>
      </c>
      <c r="J32" s="31">
        <v>0</v>
      </c>
      <c r="K32" s="31">
        <v>58</v>
      </c>
      <c r="L32" s="31">
        <v>60</v>
      </c>
      <c r="M32" s="31">
        <v>1</v>
      </c>
      <c r="N32" s="31">
        <v>4</v>
      </c>
      <c r="O32" s="31">
        <v>18</v>
      </c>
      <c r="P32" s="31">
        <v>93</v>
      </c>
      <c r="Q32" s="31">
        <v>20</v>
      </c>
      <c r="R32" s="31">
        <v>14</v>
      </c>
      <c r="S32" s="31">
        <v>0</v>
      </c>
      <c r="T32" s="31">
        <v>0</v>
      </c>
      <c r="U32" s="31">
        <v>14</v>
      </c>
      <c r="V32" s="31">
        <v>1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217</v>
      </c>
      <c r="E33" s="19">
        <v>83</v>
      </c>
      <c r="F33" s="19">
        <v>134</v>
      </c>
      <c r="G33" s="19">
        <v>0</v>
      </c>
      <c r="H33" s="19">
        <v>0</v>
      </c>
      <c r="I33" s="19">
        <v>0</v>
      </c>
      <c r="J33" s="19">
        <v>0</v>
      </c>
      <c r="K33" s="19">
        <v>50</v>
      </c>
      <c r="L33" s="19">
        <v>53</v>
      </c>
      <c r="M33" s="19">
        <v>1</v>
      </c>
      <c r="N33" s="19">
        <v>4</v>
      </c>
      <c r="O33" s="19">
        <v>10</v>
      </c>
      <c r="P33" s="19">
        <v>67</v>
      </c>
      <c r="Q33" s="19">
        <v>8</v>
      </c>
      <c r="R33" s="19">
        <v>9</v>
      </c>
      <c r="S33" s="19">
        <v>0</v>
      </c>
      <c r="T33" s="19">
        <v>0</v>
      </c>
      <c r="U33" s="19">
        <v>14</v>
      </c>
      <c r="V33" s="19">
        <v>1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67</v>
      </c>
      <c r="E34" s="19">
        <v>29</v>
      </c>
      <c r="F34" s="19">
        <v>38</v>
      </c>
      <c r="G34" s="19">
        <v>1</v>
      </c>
      <c r="H34" s="19">
        <v>0</v>
      </c>
      <c r="I34" s="19">
        <v>0</v>
      </c>
      <c r="J34" s="19">
        <v>0</v>
      </c>
      <c r="K34" s="19">
        <v>8</v>
      </c>
      <c r="L34" s="19">
        <v>7</v>
      </c>
      <c r="M34" s="19">
        <v>0</v>
      </c>
      <c r="N34" s="19">
        <v>0</v>
      </c>
      <c r="O34" s="19">
        <v>8</v>
      </c>
      <c r="P34" s="19">
        <v>26</v>
      </c>
      <c r="Q34" s="19">
        <v>12</v>
      </c>
      <c r="R34" s="19">
        <v>5</v>
      </c>
      <c r="S34" s="19">
        <v>0</v>
      </c>
      <c r="T34" s="19">
        <v>0</v>
      </c>
      <c r="U34" s="19">
        <v>0</v>
      </c>
      <c r="V34" s="19">
        <v>0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141</v>
      </c>
      <c r="E35" s="31">
        <v>41</v>
      </c>
      <c r="F35" s="31">
        <v>100</v>
      </c>
      <c r="G35" s="31">
        <v>0</v>
      </c>
      <c r="H35" s="31">
        <v>0</v>
      </c>
      <c r="I35" s="31">
        <v>0</v>
      </c>
      <c r="J35" s="31">
        <v>0</v>
      </c>
      <c r="K35" s="31">
        <v>12</v>
      </c>
      <c r="L35" s="31">
        <v>15</v>
      </c>
      <c r="M35" s="31">
        <v>1</v>
      </c>
      <c r="N35" s="31">
        <v>3</v>
      </c>
      <c r="O35" s="31">
        <v>7</v>
      </c>
      <c r="P35" s="31">
        <v>74</v>
      </c>
      <c r="Q35" s="31">
        <v>17</v>
      </c>
      <c r="R35" s="31">
        <v>8</v>
      </c>
      <c r="S35" s="31">
        <v>0</v>
      </c>
      <c r="T35" s="31">
        <v>0</v>
      </c>
      <c r="U35" s="31">
        <v>4</v>
      </c>
      <c r="V35" s="31">
        <v>0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127</v>
      </c>
      <c r="E36" s="19">
        <v>36</v>
      </c>
      <c r="F36" s="19">
        <v>91</v>
      </c>
      <c r="G36" s="19">
        <v>0</v>
      </c>
      <c r="H36" s="19">
        <v>0</v>
      </c>
      <c r="I36" s="19">
        <v>0</v>
      </c>
      <c r="J36" s="19">
        <v>0</v>
      </c>
      <c r="K36" s="19">
        <v>10</v>
      </c>
      <c r="L36" s="19">
        <v>14</v>
      </c>
      <c r="M36" s="19">
        <v>1</v>
      </c>
      <c r="N36" s="19">
        <v>3</v>
      </c>
      <c r="O36" s="19">
        <v>7</v>
      </c>
      <c r="P36" s="19">
        <v>67</v>
      </c>
      <c r="Q36" s="19">
        <v>14</v>
      </c>
      <c r="R36" s="19">
        <v>7</v>
      </c>
      <c r="S36" s="19">
        <v>0</v>
      </c>
      <c r="T36" s="19">
        <v>0</v>
      </c>
      <c r="U36" s="19">
        <v>4</v>
      </c>
      <c r="V36" s="19">
        <v>0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14</v>
      </c>
      <c r="E37" s="19">
        <v>5</v>
      </c>
      <c r="F37" s="19">
        <v>9</v>
      </c>
      <c r="G37" s="19">
        <v>0</v>
      </c>
      <c r="H37" s="19">
        <v>0</v>
      </c>
      <c r="I37" s="19">
        <v>0</v>
      </c>
      <c r="J37" s="19">
        <v>0</v>
      </c>
      <c r="K37" s="19">
        <v>2</v>
      </c>
      <c r="L37" s="19">
        <v>1</v>
      </c>
      <c r="M37" s="19">
        <v>0</v>
      </c>
      <c r="N37" s="19">
        <v>0</v>
      </c>
      <c r="O37" s="19">
        <v>0</v>
      </c>
      <c r="P37" s="19">
        <v>7</v>
      </c>
      <c r="Q37" s="19">
        <v>3</v>
      </c>
      <c r="R37" s="19">
        <v>1</v>
      </c>
      <c r="S37" s="19">
        <v>0</v>
      </c>
      <c r="T37" s="19">
        <v>0</v>
      </c>
      <c r="U37" s="19">
        <v>0</v>
      </c>
      <c r="V37" s="19">
        <v>0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467</v>
      </c>
      <c r="E38" s="31">
        <v>204</v>
      </c>
      <c r="F38" s="31">
        <v>263</v>
      </c>
      <c r="G38" s="31">
        <v>0</v>
      </c>
      <c r="H38" s="31">
        <v>0</v>
      </c>
      <c r="I38" s="31">
        <v>0</v>
      </c>
      <c r="J38" s="31">
        <v>0</v>
      </c>
      <c r="K38" s="31">
        <v>119</v>
      </c>
      <c r="L38" s="31">
        <v>67</v>
      </c>
      <c r="M38" s="31">
        <v>9</v>
      </c>
      <c r="N38" s="31">
        <v>13</v>
      </c>
      <c r="O38" s="31">
        <v>22</v>
      </c>
      <c r="P38" s="31">
        <v>143</v>
      </c>
      <c r="Q38" s="31">
        <v>41</v>
      </c>
      <c r="R38" s="31">
        <v>39</v>
      </c>
      <c r="S38" s="31">
        <v>2</v>
      </c>
      <c r="T38" s="31">
        <v>1</v>
      </c>
      <c r="U38" s="31">
        <v>11</v>
      </c>
      <c r="V38" s="31">
        <v>0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450</v>
      </c>
      <c r="E39" s="19">
        <v>198</v>
      </c>
      <c r="F39" s="19">
        <v>252</v>
      </c>
      <c r="G39" s="19">
        <v>0</v>
      </c>
      <c r="H39" s="19">
        <v>0</v>
      </c>
      <c r="I39" s="19">
        <v>0</v>
      </c>
      <c r="J39" s="19">
        <v>0</v>
      </c>
      <c r="K39" s="19">
        <v>116</v>
      </c>
      <c r="L39" s="19">
        <v>67</v>
      </c>
      <c r="M39" s="19">
        <v>9</v>
      </c>
      <c r="N39" s="19">
        <v>12</v>
      </c>
      <c r="O39" s="19">
        <v>21</v>
      </c>
      <c r="P39" s="19">
        <v>137</v>
      </c>
      <c r="Q39" s="19">
        <v>39</v>
      </c>
      <c r="R39" s="19">
        <v>35</v>
      </c>
      <c r="S39" s="19">
        <v>2</v>
      </c>
      <c r="T39" s="19">
        <v>1</v>
      </c>
      <c r="U39" s="19">
        <v>11</v>
      </c>
      <c r="V39" s="19">
        <v>0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17</v>
      </c>
      <c r="E40" s="19">
        <v>6</v>
      </c>
      <c r="F40" s="19">
        <v>11</v>
      </c>
      <c r="G40" s="19">
        <v>0</v>
      </c>
      <c r="H40" s="19">
        <v>0</v>
      </c>
      <c r="I40" s="19">
        <v>0</v>
      </c>
      <c r="J40" s="19">
        <v>0</v>
      </c>
      <c r="K40" s="19">
        <v>3</v>
      </c>
      <c r="L40" s="19">
        <v>0</v>
      </c>
      <c r="M40" s="19">
        <v>0</v>
      </c>
      <c r="N40" s="19">
        <v>1</v>
      </c>
      <c r="O40" s="19">
        <v>1</v>
      </c>
      <c r="P40" s="19">
        <v>6</v>
      </c>
      <c r="Q40" s="19">
        <v>2</v>
      </c>
      <c r="R40" s="19">
        <v>4</v>
      </c>
      <c r="S40" s="19">
        <v>0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273</v>
      </c>
      <c r="E41" s="31">
        <v>124</v>
      </c>
      <c r="F41" s="31">
        <v>149</v>
      </c>
      <c r="G41" s="31">
        <v>1</v>
      </c>
      <c r="H41" s="31">
        <v>0</v>
      </c>
      <c r="I41" s="31">
        <v>0</v>
      </c>
      <c r="J41" s="31">
        <v>0</v>
      </c>
      <c r="K41" s="31">
        <v>65</v>
      </c>
      <c r="L41" s="31">
        <v>44</v>
      </c>
      <c r="M41" s="31">
        <v>4</v>
      </c>
      <c r="N41" s="31">
        <v>2</v>
      </c>
      <c r="O41" s="31">
        <v>11</v>
      </c>
      <c r="P41" s="31">
        <v>67</v>
      </c>
      <c r="Q41" s="31">
        <v>24</v>
      </c>
      <c r="R41" s="31">
        <v>34</v>
      </c>
      <c r="S41" s="31">
        <v>4</v>
      </c>
      <c r="T41" s="31">
        <v>0</v>
      </c>
      <c r="U41" s="31">
        <v>15</v>
      </c>
      <c r="V41" s="31">
        <v>2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190</v>
      </c>
      <c r="E42" s="19">
        <v>81</v>
      </c>
      <c r="F42" s="19">
        <v>109</v>
      </c>
      <c r="G42" s="19">
        <v>1</v>
      </c>
      <c r="H42" s="19">
        <v>0</v>
      </c>
      <c r="I42" s="19">
        <v>0</v>
      </c>
      <c r="J42" s="19">
        <v>0</v>
      </c>
      <c r="K42" s="19">
        <v>36</v>
      </c>
      <c r="L42" s="19">
        <v>28</v>
      </c>
      <c r="M42" s="19">
        <v>2</v>
      </c>
      <c r="N42" s="19">
        <v>2</v>
      </c>
      <c r="O42" s="19">
        <v>8</v>
      </c>
      <c r="P42" s="19">
        <v>46</v>
      </c>
      <c r="Q42" s="19">
        <v>18</v>
      </c>
      <c r="R42" s="19">
        <v>31</v>
      </c>
      <c r="S42" s="19">
        <v>3</v>
      </c>
      <c r="T42" s="19">
        <v>0</v>
      </c>
      <c r="U42" s="19">
        <v>13</v>
      </c>
      <c r="V42" s="19">
        <v>2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83</v>
      </c>
      <c r="E43" s="19">
        <v>43</v>
      </c>
      <c r="F43" s="19">
        <v>40</v>
      </c>
      <c r="G43" s="19">
        <v>0</v>
      </c>
      <c r="H43" s="19">
        <v>0</v>
      </c>
      <c r="I43" s="19">
        <v>0</v>
      </c>
      <c r="J43" s="19">
        <v>0</v>
      </c>
      <c r="K43" s="19">
        <v>29</v>
      </c>
      <c r="L43" s="19">
        <v>16</v>
      </c>
      <c r="M43" s="19">
        <v>2</v>
      </c>
      <c r="N43" s="19">
        <v>0</v>
      </c>
      <c r="O43" s="19">
        <v>3</v>
      </c>
      <c r="P43" s="19">
        <v>21</v>
      </c>
      <c r="Q43" s="19">
        <v>6</v>
      </c>
      <c r="R43" s="19">
        <v>3</v>
      </c>
      <c r="S43" s="19">
        <v>1</v>
      </c>
      <c r="T43" s="19">
        <v>0</v>
      </c>
      <c r="U43" s="19">
        <v>2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309</v>
      </c>
      <c r="E44" s="31">
        <v>133</v>
      </c>
      <c r="F44" s="31">
        <v>176</v>
      </c>
      <c r="G44" s="31">
        <v>1</v>
      </c>
      <c r="H44" s="31">
        <v>0</v>
      </c>
      <c r="I44" s="31">
        <v>0</v>
      </c>
      <c r="J44" s="31">
        <v>0</v>
      </c>
      <c r="K44" s="31">
        <v>58</v>
      </c>
      <c r="L44" s="31">
        <v>52</v>
      </c>
      <c r="M44" s="31">
        <v>5</v>
      </c>
      <c r="N44" s="31">
        <v>6</v>
      </c>
      <c r="O44" s="31">
        <v>29</v>
      </c>
      <c r="P44" s="31">
        <v>85</v>
      </c>
      <c r="Q44" s="31">
        <v>29</v>
      </c>
      <c r="R44" s="31">
        <v>29</v>
      </c>
      <c r="S44" s="31">
        <v>3</v>
      </c>
      <c r="T44" s="31">
        <v>3</v>
      </c>
      <c r="U44" s="31">
        <v>8</v>
      </c>
      <c r="V44" s="31">
        <v>1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305</v>
      </c>
      <c r="E45" s="19">
        <v>129</v>
      </c>
      <c r="F45" s="19">
        <v>176</v>
      </c>
      <c r="G45" s="19">
        <v>1</v>
      </c>
      <c r="H45" s="19">
        <v>0</v>
      </c>
      <c r="I45" s="19">
        <v>0</v>
      </c>
      <c r="J45" s="19">
        <v>0</v>
      </c>
      <c r="K45" s="19">
        <v>56</v>
      </c>
      <c r="L45" s="19">
        <v>52</v>
      </c>
      <c r="M45" s="19">
        <v>5</v>
      </c>
      <c r="N45" s="19">
        <v>6</v>
      </c>
      <c r="O45" s="19">
        <v>28</v>
      </c>
      <c r="P45" s="19">
        <v>85</v>
      </c>
      <c r="Q45" s="19">
        <v>28</v>
      </c>
      <c r="R45" s="19">
        <v>29</v>
      </c>
      <c r="S45" s="19">
        <v>3</v>
      </c>
      <c r="T45" s="19">
        <v>3</v>
      </c>
      <c r="U45" s="19">
        <v>8</v>
      </c>
      <c r="V45" s="19">
        <v>1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4</v>
      </c>
      <c r="E46" s="19">
        <v>4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2</v>
      </c>
      <c r="L46" s="19">
        <v>0</v>
      </c>
      <c r="M46" s="19">
        <v>0</v>
      </c>
      <c r="N46" s="19">
        <v>0</v>
      </c>
      <c r="O46" s="19">
        <v>1</v>
      </c>
      <c r="P46" s="19">
        <v>0</v>
      </c>
      <c r="Q46" s="19">
        <v>1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204</v>
      </c>
      <c r="E47" s="31">
        <v>91</v>
      </c>
      <c r="F47" s="31">
        <v>113</v>
      </c>
      <c r="G47" s="31">
        <v>0</v>
      </c>
      <c r="H47" s="31">
        <v>0</v>
      </c>
      <c r="I47" s="31">
        <v>0</v>
      </c>
      <c r="J47" s="31">
        <v>2</v>
      </c>
      <c r="K47" s="31">
        <v>34</v>
      </c>
      <c r="L47" s="31">
        <v>24</v>
      </c>
      <c r="M47" s="31">
        <v>2</v>
      </c>
      <c r="N47" s="31">
        <v>4</v>
      </c>
      <c r="O47" s="31">
        <v>22</v>
      </c>
      <c r="P47" s="31">
        <v>67</v>
      </c>
      <c r="Q47" s="31">
        <v>24</v>
      </c>
      <c r="R47" s="31">
        <v>16</v>
      </c>
      <c r="S47" s="31">
        <v>0</v>
      </c>
      <c r="T47" s="31">
        <v>0</v>
      </c>
      <c r="U47" s="31">
        <v>9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200</v>
      </c>
      <c r="E48" s="19">
        <v>90</v>
      </c>
      <c r="F48" s="19">
        <v>110</v>
      </c>
      <c r="G48" s="19">
        <v>0</v>
      </c>
      <c r="H48" s="19">
        <v>0</v>
      </c>
      <c r="I48" s="19">
        <v>0</v>
      </c>
      <c r="J48" s="19">
        <v>2</v>
      </c>
      <c r="K48" s="19">
        <v>34</v>
      </c>
      <c r="L48" s="19">
        <v>24</v>
      </c>
      <c r="M48" s="19">
        <v>2</v>
      </c>
      <c r="N48" s="19">
        <v>3</v>
      </c>
      <c r="O48" s="19">
        <v>22</v>
      </c>
      <c r="P48" s="19">
        <v>66</v>
      </c>
      <c r="Q48" s="19">
        <v>23</v>
      </c>
      <c r="R48" s="19">
        <v>15</v>
      </c>
      <c r="S48" s="19">
        <v>0</v>
      </c>
      <c r="T48" s="19">
        <v>0</v>
      </c>
      <c r="U48" s="19">
        <v>9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4</v>
      </c>
      <c r="E49" s="19">
        <v>1</v>
      </c>
      <c r="F49" s="19">
        <v>3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0</v>
      </c>
      <c r="P49" s="19">
        <v>1</v>
      </c>
      <c r="Q49" s="19">
        <v>1</v>
      </c>
      <c r="R49" s="19">
        <v>1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445</v>
      </c>
      <c r="E50" s="31">
        <v>187</v>
      </c>
      <c r="F50" s="31">
        <v>258</v>
      </c>
      <c r="G50" s="31">
        <v>0</v>
      </c>
      <c r="H50" s="31">
        <v>0</v>
      </c>
      <c r="I50" s="31">
        <v>1</v>
      </c>
      <c r="J50" s="31">
        <v>0</v>
      </c>
      <c r="K50" s="31">
        <v>112</v>
      </c>
      <c r="L50" s="31">
        <v>102</v>
      </c>
      <c r="M50" s="31">
        <v>9</v>
      </c>
      <c r="N50" s="31">
        <v>9</v>
      </c>
      <c r="O50" s="31">
        <v>25</v>
      </c>
      <c r="P50" s="31">
        <v>128</v>
      </c>
      <c r="Q50" s="31">
        <v>21</v>
      </c>
      <c r="R50" s="31">
        <v>16</v>
      </c>
      <c r="S50" s="31">
        <v>2</v>
      </c>
      <c r="T50" s="31">
        <v>3</v>
      </c>
      <c r="U50" s="31">
        <v>17</v>
      </c>
      <c r="V50" s="31">
        <v>0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385</v>
      </c>
      <c r="E51" s="19">
        <v>167</v>
      </c>
      <c r="F51" s="19">
        <v>218</v>
      </c>
      <c r="G51" s="19">
        <v>0</v>
      </c>
      <c r="H51" s="19">
        <v>0</v>
      </c>
      <c r="I51" s="19">
        <v>1</v>
      </c>
      <c r="J51" s="19">
        <v>0</v>
      </c>
      <c r="K51" s="19">
        <v>98</v>
      </c>
      <c r="L51" s="19">
        <v>91</v>
      </c>
      <c r="M51" s="19">
        <v>8</v>
      </c>
      <c r="N51" s="19">
        <v>9</v>
      </c>
      <c r="O51" s="19">
        <v>23</v>
      </c>
      <c r="P51" s="19">
        <v>100</v>
      </c>
      <c r="Q51" s="19">
        <v>19</v>
      </c>
      <c r="R51" s="19">
        <v>15</v>
      </c>
      <c r="S51" s="19">
        <v>1</v>
      </c>
      <c r="T51" s="19">
        <v>3</v>
      </c>
      <c r="U51" s="19">
        <v>17</v>
      </c>
      <c r="V51" s="19">
        <v>0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60</v>
      </c>
      <c r="E52" s="19">
        <v>20</v>
      </c>
      <c r="F52" s="19">
        <v>40</v>
      </c>
      <c r="G52" s="19">
        <v>0</v>
      </c>
      <c r="H52" s="19">
        <v>0</v>
      </c>
      <c r="I52" s="19">
        <v>0</v>
      </c>
      <c r="J52" s="19">
        <v>0</v>
      </c>
      <c r="K52" s="19">
        <v>14</v>
      </c>
      <c r="L52" s="19">
        <v>11</v>
      </c>
      <c r="M52" s="19">
        <v>1</v>
      </c>
      <c r="N52" s="19">
        <v>0</v>
      </c>
      <c r="O52" s="19">
        <v>2</v>
      </c>
      <c r="P52" s="19">
        <v>28</v>
      </c>
      <c r="Q52" s="19">
        <v>2</v>
      </c>
      <c r="R52" s="19">
        <v>1</v>
      </c>
      <c r="S52" s="19">
        <v>1</v>
      </c>
      <c r="T52" s="19">
        <v>0</v>
      </c>
      <c r="U52" s="19">
        <v>0</v>
      </c>
      <c r="V52" s="19">
        <v>0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278</v>
      </c>
      <c r="E53" s="31">
        <v>134</v>
      </c>
      <c r="F53" s="31">
        <v>144</v>
      </c>
      <c r="G53" s="31">
        <v>1</v>
      </c>
      <c r="H53" s="31">
        <v>0</v>
      </c>
      <c r="I53" s="31">
        <v>0</v>
      </c>
      <c r="J53" s="31">
        <v>0</v>
      </c>
      <c r="K53" s="31">
        <v>96</v>
      </c>
      <c r="L53" s="31">
        <v>60</v>
      </c>
      <c r="M53" s="31">
        <v>2</v>
      </c>
      <c r="N53" s="31">
        <v>10</v>
      </c>
      <c r="O53" s="31">
        <v>13</v>
      </c>
      <c r="P53" s="31">
        <v>57</v>
      </c>
      <c r="Q53" s="31">
        <v>21</v>
      </c>
      <c r="R53" s="31">
        <v>16</v>
      </c>
      <c r="S53" s="31">
        <v>0</v>
      </c>
      <c r="T53" s="31">
        <v>1</v>
      </c>
      <c r="U53" s="31">
        <v>1</v>
      </c>
      <c r="V53" s="31">
        <v>0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98</v>
      </c>
      <c r="E54" s="19">
        <v>54</v>
      </c>
      <c r="F54" s="19">
        <v>44</v>
      </c>
      <c r="G54" s="19">
        <v>0</v>
      </c>
      <c r="H54" s="19">
        <v>0</v>
      </c>
      <c r="I54" s="19">
        <v>0</v>
      </c>
      <c r="J54" s="19">
        <v>0</v>
      </c>
      <c r="K54" s="19">
        <v>44</v>
      </c>
      <c r="L54" s="19">
        <v>20</v>
      </c>
      <c r="M54" s="19">
        <v>2</v>
      </c>
      <c r="N54" s="19">
        <v>3</v>
      </c>
      <c r="O54" s="19">
        <v>4</v>
      </c>
      <c r="P54" s="19">
        <v>13</v>
      </c>
      <c r="Q54" s="19">
        <v>4</v>
      </c>
      <c r="R54" s="19">
        <v>7</v>
      </c>
      <c r="S54" s="19">
        <v>0</v>
      </c>
      <c r="T54" s="19">
        <v>1</v>
      </c>
      <c r="U54" s="19">
        <v>0</v>
      </c>
      <c r="V54" s="19">
        <v>0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180</v>
      </c>
      <c r="E55" s="19">
        <v>80</v>
      </c>
      <c r="F55" s="19">
        <v>100</v>
      </c>
      <c r="G55" s="19">
        <v>1</v>
      </c>
      <c r="H55" s="19">
        <v>0</v>
      </c>
      <c r="I55" s="19">
        <v>0</v>
      </c>
      <c r="J55" s="19">
        <v>0</v>
      </c>
      <c r="K55" s="19">
        <v>52</v>
      </c>
      <c r="L55" s="19">
        <v>40</v>
      </c>
      <c r="M55" s="19">
        <v>0</v>
      </c>
      <c r="N55" s="19">
        <v>7</v>
      </c>
      <c r="O55" s="19">
        <v>9</v>
      </c>
      <c r="P55" s="19">
        <v>44</v>
      </c>
      <c r="Q55" s="19">
        <v>17</v>
      </c>
      <c r="R55" s="19">
        <v>9</v>
      </c>
      <c r="S55" s="19">
        <v>0</v>
      </c>
      <c r="T55" s="19">
        <v>0</v>
      </c>
      <c r="U55" s="19">
        <v>1</v>
      </c>
      <c r="V55" s="19">
        <v>0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306</v>
      </c>
      <c r="E56" s="31">
        <v>128</v>
      </c>
      <c r="F56" s="31">
        <v>178</v>
      </c>
      <c r="G56" s="31">
        <v>0</v>
      </c>
      <c r="H56" s="31">
        <v>0</v>
      </c>
      <c r="I56" s="31">
        <v>0</v>
      </c>
      <c r="J56" s="31">
        <v>0</v>
      </c>
      <c r="K56" s="31">
        <v>53</v>
      </c>
      <c r="L56" s="31">
        <v>27</v>
      </c>
      <c r="M56" s="31">
        <v>9</v>
      </c>
      <c r="N56" s="31">
        <v>3</v>
      </c>
      <c r="O56" s="31">
        <v>19</v>
      </c>
      <c r="P56" s="31">
        <v>124</v>
      </c>
      <c r="Q56" s="31">
        <v>41</v>
      </c>
      <c r="R56" s="31">
        <v>21</v>
      </c>
      <c r="S56" s="31">
        <v>1</v>
      </c>
      <c r="T56" s="31">
        <v>2</v>
      </c>
      <c r="U56" s="31">
        <v>5</v>
      </c>
      <c r="V56" s="31">
        <v>1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93</v>
      </c>
      <c r="E57" s="19">
        <v>37</v>
      </c>
      <c r="F57" s="19">
        <v>56</v>
      </c>
      <c r="G57" s="19">
        <v>0</v>
      </c>
      <c r="H57" s="19">
        <v>0</v>
      </c>
      <c r="I57" s="19">
        <v>0</v>
      </c>
      <c r="J57" s="19">
        <v>0</v>
      </c>
      <c r="K57" s="19">
        <v>15</v>
      </c>
      <c r="L57" s="19">
        <v>9</v>
      </c>
      <c r="M57" s="19">
        <v>2</v>
      </c>
      <c r="N57" s="19">
        <v>2</v>
      </c>
      <c r="O57" s="19">
        <v>5</v>
      </c>
      <c r="P57" s="19">
        <v>38</v>
      </c>
      <c r="Q57" s="19">
        <v>13</v>
      </c>
      <c r="R57" s="19">
        <v>5</v>
      </c>
      <c r="S57" s="19">
        <v>1</v>
      </c>
      <c r="T57" s="19">
        <v>1</v>
      </c>
      <c r="U57" s="19">
        <v>1</v>
      </c>
      <c r="V57" s="19">
        <v>1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213</v>
      </c>
      <c r="E58" s="19">
        <v>91</v>
      </c>
      <c r="F58" s="19">
        <v>122</v>
      </c>
      <c r="G58" s="19">
        <v>0</v>
      </c>
      <c r="H58" s="19">
        <v>0</v>
      </c>
      <c r="I58" s="19">
        <v>0</v>
      </c>
      <c r="J58" s="19">
        <v>0</v>
      </c>
      <c r="K58" s="19">
        <v>38</v>
      </c>
      <c r="L58" s="19">
        <v>18</v>
      </c>
      <c r="M58" s="19">
        <v>7</v>
      </c>
      <c r="N58" s="19">
        <v>1</v>
      </c>
      <c r="O58" s="19">
        <v>14</v>
      </c>
      <c r="P58" s="19">
        <v>86</v>
      </c>
      <c r="Q58" s="19">
        <v>28</v>
      </c>
      <c r="R58" s="19">
        <v>16</v>
      </c>
      <c r="S58" s="19">
        <v>0</v>
      </c>
      <c r="T58" s="19">
        <v>1</v>
      </c>
      <c r="U58" s="19">
        <v>4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31</v>
      </c>
      <c r="E59" s="31">
        <v>8</v>
      </c>
      <c r="F59" s="31">
        <v>23</v>
      </c>
      <c r="G59" s="31">
        <v>0</v>
      </c>
      <c r="H59" s="31">
        <v>0</v>
      </c>
      <c r="I59" s="31">
        <v>0</v>
      </c>
      <c r="J59" s="31">
        <v>0</v>
      </c>
      <c r="K59" s="31">
        <v>1</v>
      </c>
      <c r="L59" s="31">
        <v>6</v>
      </c>
      <c r="M59" s="31">
        <v>0</v>
      </c>
      <c r="N59" s="31">
        <v>0</v>
      </c>
      <c r="O59" s="31">
        <v>1</v>
      </c>
      <c r="P59" s="31">
        <v>11</v>
      </c>
      <c r="Q59" s="31">
        <v>6</v>
      </c>
      <c r="R59" s="31">
        <v>6</v>
      </c>
      <c r="S59" s="31">
        <v>0</v>
      </c>
      <c r="T59" s="31">
        <v>0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29</v>
      </c>
      <c r="E60" s="19">
        <v>8</v>
      </c>
      <c r="F60" s="19">
        <v>21</v>
      </c>
      <c r="G60" s="19">
        <v>0</v>
      </c>
      <c r="H60" s="19">
        <v>0</v>
      </c>
      <c r="I60" s="19">
        <v>0</v>
      </c>
      <c r="J60" s="19">
        <v>0</v>
      </c>
      <c r="K60" s="19">
        <v>1</v>
      </c>
      <c r="L60" s="19">
        <v>5</v>
      </c>
      <c r="M60" s="19">
        <v>0</v>
      </c>
      <c r="N60" s="19">
        <v>0</v>
      </c>
      <c r="O60" s="19">
        <v>1</v>
      </c>
      <c r="P60" s="19">
        <v>10</v>
      </c>
      <c r="Q60" s="19">
        <v>6</v>
      </c>
      <c r="R60" s="19">
        <v>6</v>
      </c>
      <c r="S60" s="19">
        <v>0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2</v>
      </c>
      <c r="E61" s="19">
        <v>0</v>
      </c>
      <c r="F61" s="19">
        <v>2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1</v>
      </c>
      <c r="M61" s="19">
        <v>0</v>
      </c>
      <c r="N61" s="19">
        <v>0</v>
      </c>
      <c r="O61" s="19">
        <v>0</v>
      </c>
      <c r="P61" s="19">
        <v>1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230</v>
      </c>
      <c r="E62" s="31">
        <v>89</v>
      </c>
      <c r="F62" s="31">
        <v>141</v>
      </c>
      <c r="G62" s="31">
        <v>0</v>
      </c>
      <c r="H62" s="31">
        <v>0</v>
      </c>
      <c r="I62" s="31">
        <v>0</v>
      </c>
      <c r="J62" s="31">
        <v>0</v>
      </c>
      <c r="K62" s="31">
        <v>60</v>
      </c>
      <c r="L62" s="31">
        <v>44</v>
      </c>
      <c r="M62" s="31">
        <v>2</v>
      </c>
      <c r="N62" s="31">
        <v>4</v>
      </c>
      <c r="O62" s="31">
        <v>15</v>
      </c>
      <c r="P62" s="31">
        <v>75</v>
      </c>
      <c r="Q62" s="31">
        <v>6</v>
      </c>
      <c r="R62" s="31">
        <v>7</v>
      </c>
      <c r="S62" s="31">
        <v>3</v>
      </c>
      <c r="T62" s="31">
        <v>3</v>
      </c>
      <c r="U62" s="31">
        <v>3</v>
      </c>
      <c r="V62" s="31">
        <v>8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195</v>
      </c>
      <c r="E63" s="19">
        <v>79</v>
      </c>
      <c r="F63" s="19">
        <v>116</v>
      </c>
      <c r="G63" s="19">
        <v>0</v>
      </c>
      <c r="H63" s="19">
        <v>0</v>
      </c>
      <c r="I63" s="19">
        <v>0</v>
      </c>
      <c r="J63" s="19">
        <v>0</v>
      </c>
      <c r="K63" s="19">
        <v>53</v>
      </c>
      <c r="L63" s="19">
        <v>40</v>
      </c>
      <c r="M63" s="19">
        <v>2</v>
      </c>
      <c r="N63" s="19">
        <v>4</v>
      </c>
      <c r="O63" s="19">
        <v>13</v>
      </c>
      <c r="P63" s="19">
        <v>63</v>
      </c>
      <c r="Q63" s="19">
        <v>5</v>
      </c>
      <c r="R63" s="19">
        <v>5</v>
      </c>
      <c r="S63" s="19">
        <v>3</v>
      </c>
      <c r="T63" s="19">
        <v>2</v>
      </c>
      <c r="U63" s="19">
        <v>3</v>
      </c>
      <c r="V63" s="19">
        <v>2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35</v>
      </c>
      <c r="E64" s="19">
        <v>10</v>
      </c>
      <c r="F64" s="19">
        <v>25</v>
      </c>
      <c r="G64" s="19">
        <v>0</v>
      </c>
      <c r="H64" s="19">
        <v>0</v>
      </c>
      <c r="I64" s="19">
        <v>0</v>
      </c>
      <c r="J64" s="19">
        <v>0</v>
      </c>
      <c r="K64" s="19">
        <v>7</v>
      </c>
      <c r="L64" s="19">
        <v>4</v>
      </c>
      <c r="M64" s="19">
        <v>0</v>
      </c>
      <c r="N64" s="19">
        <v>0</v>
      </c>
      <c r="O64" s="19">
        <v>2</v>
      </c>
      <c r="P64" s="19">
        <v>12</v>
      </c>
      <c r="Q64" s="19">
        <v>1</v>
      </c>
      <c r="R64" s="19">
        <v>2</v>
      </c>
      <c r="S64" s="19">
        <v>0</v>
      </c>
      <c r="T64" s="19">
        <v>1</v>
      </c>
      <c r="U64" s="19">
        <v>0</v>
      </c>
      <c r="V64" s="19">
        <v>6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190</v>
      </c>
      <c r="E65" s="31">
        <v>68</v>
      </c>
      <c r="F65" s="31">
        <v>122</v>
      </c>
      <c r="G65" s="31">
        <v>0</v>
      </c>
      <c r="H65" s="31">
        <v>0</v>
      </c>
      <c r="I65" s="31">
        <v>0</v>
      </c>
      <c r="J65" s="31">
        <v>1</v>
      </c>
      <c r="K65" s="31">
        <v>29</v>
      </c>
      <c r="L65" s="31">
        <v>29</v>
      </c>
      <c r="M65" s="31">
        <v>1</v>
      </c>
      <c r="N65" s="31">
        <v>2</v>
      </c>
      <c r="O65" s="31">
        <v>21</v>
      </c>
      <c r="P65" s="31">
        <v>67</v>
      </c>
      <c r="Q65" s="31">
        <v>15</v>
      </c>
      <c r="R65" s="31">
        <v>13</v>
      </c>
      <c r="S65" s="31">
        <v>1</v>
      </c>
      <c r="T65" s="31">
        <v>4</v>
      </c>
      <c r="U65" s="31">
        <v>1</v>
      </c>
      <c r="V65" s="31">
        <v>6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177</v>
      </c>
      <c r="E66" s="19">
        <v>67</v>
      </c>
      <c r="F66" s="19">
        <v>110</v>
      </c>
      <c r="G66" s="19">
        <v>0</v>
      </c>
      <c r="H66" s="19">
        <v>0</v>
      </c>
      <c r="I66" s="19">
        <v>0</v>
      </c>
      <c r="J66" s="19">
        <v>0</v>
      </c>
      <c r="K66" s="19">
        <v>29</v>
      </c>
      <c r="L66" s="19">
        <v>27</v>
      </c>
      <c r="M66" s="19">
        <v>1</v>
      </c>
      <c r="N66" s="19">
        <v>2</v>
      </c>
      <c r="O66" s="19">
        <v>20</v>
      </c>
      <c r="P66" s="19">
        <v>61</v>
      </c>
      <c r="Q66" s="19">
        <v>15</v>
      </c>
      <c r="R66" s="19">
        <v>11</v>
      </c>
      <c r="S66" s="19">
        <v>1</v>
      </c>
      <c r="T66" s="19">
        <v>3</v>
      </c>
      <c r="U66" s="19">
        <v>1</v>
      </c>
      <c r="V66" s="19">
        <v>6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13</v>
      </c>
      <c r="E67" s="19">
        <v>1</v>
      </c>
      <c r="F67" s="19">
        <v>12</v>
      </c>
      <c r="G67" s="19">
        <v>0</v>
      </c>
      <c r="H67" s="19">
        <v>0</v>
      </c>
      <c r="I67" s="19">
        <v>0</v>
      </c>
      <c r="J67" s="19">
        <v>1</v>
      </c>
      <c r="K67" s="19">
        <v>0</v>
      </c>
      <c r="L67" s="19">
        <v>2</v>
      </c>
      <c r="M67" s="19">
        <v>0</v>
      </c>
      <c r="N67" s="19">
        <v>0</v>
      </c>
      <c r="O67" s="19">
        <v>1</v>
      </c>
      <c r="P67" s="19">
        <v>6</v>
      </c>
      <c r="Q67" s="19">
        <v>0</v>
      </c>
      <c r="R67" s="19">
        <v>2</v>
      </c>
      <c r="S67" s="19">
        <v>0</v>
      </c>
      <c r="T67" s="19">
        <v>1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146</v>
      </c>
      <c r="E68" s="31">
        <v>74</v>
      </c>
      <c r="F68" s="31">
        <v>72</v>
      </c>
      <c r="G68" s="31">
        <v>1</v>
      </c>
      <c r="H68" s="31">
        <v>0</v>
      </c>
      <c r="I68" s="31">
        <v>0</v>
      </c>
      <c r="J68" s="31">
        <v>1</v>
      </c>
      <c r="K68" s="31">
        <v>39</v>
      </c>
      <c r="L68" s="31">
        <v>28</v>
      </c>
      <c r="M68" s="31">
        <v>3</v>
      </c>
      <c r="N68" s="31">
        <v>2</v>
      </c>
      <c r="O68" s="31">
        <v>4</v>
      </c>
      <c r="P68" s="31">
        <v>31</v>
      </c>
      <c r="Q68" s="31">
        <v>26</v>
      </c>
      <c r="R68" s="31">
        <v>10</v>
      </c>
      <c r="S68" s="31">
        <v>0</v>
      </c>
      <c r="T68" s="31">
        <v>0</v>
      </c>
      <c r="U68" s="31">
        <v>1</v>
      </c>
      <c r="V68" s="31">
        <v>0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145</v>
      </c>
      <c r="E69" s="19">
        <v>74</v>
      </c>
      <c r="F69" s="19">
        <v>71</v>
      </c>
      <c r="G69" s="19">
        <v>1</v>
      </c>
      <c r="H69" s="19">
        <v>0</v>
      </c>
      <c r="I69" s="19">
        <v>0</v>
      </c>
      <c r="J69" s="19">
        <v>1</v>
      </c>
      <c r="K69" s="19">
        <v>39</v>
      </c>
      <c r="L69" s="19">
        <v>27</v>
      </c>
      <c r="M69" s="19">
        <v>3</v>
      </c>
      <c r="N69" s="19">
        <v>2</v>
      </c>
      <c r="O69" s="19">
        <v>4</v>
      </c>
      <c r="P69" s="19">
        <v>31</v>
      </c>
      <c r="Q69" s="19">
        <v>26</v>
      </c>
      <c r="R69" s="19">
        <v>10</v>
      </c>
      <c r="S69" s="19">
        <v>0</v>
      </c>
      <c r="T69" s="19">
        <v>0</v>
      </c>
      <c r="U69" s="19">
        <v>1</v>
      </c>
      <c r="V69" s="19">
        <v>0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1</v>
      </c>
      <c r="E70" s="19">
        <v>0</v>
      </c>
      <c r="F70" s="19">
        <v>1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1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41</v>
      </c>
      <c r="E71" s="31">
        <v>15</v>
      </c>
      <c r="F71" s="31">
        <v>26</v>
      </c>
      <c r="G71" s="31">
        <v>0</v>
      </c>
      <c r="H71" s="31">
        <v>0</v>
      </c>
      <c r="I71" s="31">
        <v>0</v>
      </c>
      <c r="J71" s="31">
        <v>0</v>
      </c>
      <c r="K71" s="31">
        <v>9</v>
      </c>
      <c r="L71" s="31">
        <v>6</v>
      </c>
      <c r="M71" s="31">
        <v>3</v>
      </c>
      <c r="N71" s="31">
        <v>6</v>
      </c>
      <c r="O71" s="31">
        <v>1</v>
      </c>
      <c r="P71" s="31">
        <v>7</v>
      </c>
      <c r="Q71" s="31">
        <v>2</v>
      </c>
      <c r="R71" s="31">
        <v>7</v>
      </c>
      <c r="S71" s="31">
        <v>0</v>
      </c>
      <c r="T71" s="31">
        <v>0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41</v>
      </c>
      <c r="E72" s="19">
        <v>15</v>
      </c>
      <c r="F72" s="19">
        <v>26</v>
      </c>
      <c r="G72" s="19">
        <v>0</v>
      </c>
      <c r="H72" s="19">
        <v>0</v>
      </c>
      <c r="I72" s="19">
        <v>0</v>
      </c>
      <c r="J72" s="19">
        <v>0</v>
      </c>
      <c r="K72" s="19">
        <v>9</v>
      </c>
      <c r="L72" s="19">
        <v>6</v>
      </c>
      <c r="M72" s="19">
        <v>3</v>
      </c>
      <c r="N72" s="19">
        <v>6</v>
      </c>
      <c r="O72" s="19">
        <v>1</v>
      </c>
      <c r="P72" s="19">
        <v>7</v>
      </c>
      <c r="Q72" s="19">
        <v>2</v>
      </c>
      <c r="R72" s="19">
        <v>7</v>
      </c>
      <c r="S72" s="19">
        <v>0</v>
      </c>
      <c r="T72" s="19">
        <v>0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9</v>
      </c>
      <c r="E74" s="31">
        <v>2</v>
      </c>
      <c r="F74" s="31">
        <v>7</v>
      </c>
      <c r="G74" s="31">
        <v>0</v>
      </c>
      <c r="H74" s="31">
        <v>0</v>
      </c>
      <c r="I74" s="31">
        <v>0</v>
      </c>
      <c r="J74" s="31">
        <v>0</v>
      </c>
      <c r="K74" s="31">
        <v>1</v>
      </c>
      <c r="L74" s="31">
        <v>1</v>
      </c>
      <c r="M74" s="31">
        <v>0</v>
      </c>
      <c r="N74" s="31">
        <v>0</v>
      </c>
      <c r="O74" s="31">
        <v>1</v>
      </c>
      <c r="P74" s="31">
        <v>4</v>
      </c>
      <c r="Q74" s="31">
        <v>0</v>
      </c>
      <c r="R74" s="31">
        <v>2</v>
      </c>
      <c r="S74" s="31">
        <v>0</v>
      </c>
      <c r="T74" s="31">
        <v>0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6</v>
      </c>
      <c r="E75" s="19">
        <v>2</v>
      </c>
      <c r="F75" s="19">
        <v>4</v>
      </c>
      <c r="G75" s="19">
        <v>0</v>
      </c>
      <c r="H75" s="19">
        <v>0</v>
      </c>
      <c r="I75" s="19">
        <v>0</v>
      </c>
      <c r="J75" s="19">
        <v>0</v>
      </c>
      <c r="K75" s="19">
        <v>1</v>
      </c>
      <c r="L75" s="19">
        <v>0</v>
      </c>
      <c r="M75" s="19">
        <v>0</v>
      </c>
      <c r="N75" s="19">
        <v>0</v>
      </c>
      <c r="O75" s="19">
        <v>1</v>
      </c>
      <c r="P75" s="19">
        <v>3</v>
      </c>
      <c r="Q75" s="19">
        <v>0</v>
      </c>
      <c r="R75" s="19">
        <v>1</v>
      </c>
      <c r="S75" s="19">
        <v>0</v>
      </c>
      <c r="T75" s="19">
        <v>0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3</v>
      </c>
      <c r="E76" s="39">
        <v>0</v>
      </c>
      <c r="F76" s="39">
        <v>3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1</v>
      </c>
      <c r="M76" s="39">
        <v>0</v>
      </c>
      <c r="N76" s="39">
        <v>0</v>
      </c>
      <c r="O76" s="39">
        <v>0</v>
      </c>
      <c r="P76" s="39">
        <v>1</v>
      </c>
      <c r="Q76" s="39">
        <v>0</v>
      </c>
      <c r="R76" s="39">
        <v>1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>
      <c r="A79" s="66" t="s">
        <v>156</v>
      </c>
    </row>
    <row r="80" spans="1:22" ht="14.25" customHeight="1" x14ac:dyDescent="0.2"/>
  </sheetData>
  <mergeCells count="36">
    <mergeCell ref="A72:A73"/>
    <mergeCell ref="A75:A76"/>
    <mergeCell ref="A54:A55"/>
    <mergeCell ref="A57:A58"/>
    <mergeCell ref="A60:A61"/>
    <mergeCell ref="A63:A64"/>
    <mergeCell ref="A66:A67"/>
    <mergeCell ref="A69:A70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15:A16"/>
    <mergeCell ref="A4:C7"/>
    <mergeCell ref="D4:V4"/>
    <mergeCell ref="D5:F6"/>
    <mergeCell ref="G5:J5"/>
    <mergeCell ref="K5:R5"/>
    <mergeCell ref="S5:T6"/>
    <mergeCell ref="U5:V6"/>
    <mergeCell ref="G6:H6"/>
    <mergeCell ref="I6:J6"/>
    <mergeCell ref="K6:L6"/>
    <mergeCell ref="M6:N6"/>
    <mergeCell ref="O6:P6"/>
    <mergeCell ref="Q6:R6"/>
    <mergeCell ref="A9:A10"/>
    <mergeCell ref="A12:A1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0"/>
  <sheetViews>
    <sheetView workbookViewId="0">
      <pane xSplit="4" ySplit="8" topLeftCell="E9" activePane="bottomRight" state="frozen"/>
      <selection pane="topRight"/>
      <selection pane="bottomLeft"/>
      <selection pane="bottomRight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16384" width="5.5" style="3"/>
  </cols>
  <sheetData>
    <row r="1" spans="1:22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">
      <c r="A3" s="67" t="s">
        <v>146</v>
      </c>
      <c r="B3" s="27"/>
      <c r="C3" s="27"/>
      <c r="D3" s="73" t="str">
        <f t="shared" ref="D3:K3" si="0">IF(D8=SUM(D11,D14,D17,D20,D23,D26,D29,D32,D35,D38,D41,D44,D47,D50,D53,D56,D59,D62,D65,D68,D71,D74,),"",SUM(D11,D14,D17,D20,D23,D26,D29,D32,D35,D38,D41,D44,D47,D50,D53,D56,D59,D62,D65,D68,D71,D74,))</f>
        <v/>
      </c>
      <c r="E3" s="73" t="str">
        <f t="shared" si="0"/>
        <v/>
      </c>
      <c r="F3" s="73" t="str">
        <f t="shared" si="0"/>
        <v/>
      </c>
      <c r="G3" s="73" t="str">
        <f>IF(G8=SUM(G11,G14,G17,G20,G23,G26,G29,G32,G35,G38,G41,G44,G47,G50,G53,G56,G59,G62,G65,G68,G71,G74,),"",SUM(G11,G14,G17,G20,G23,G26,G29,G32,G35,G38,G41,G44,G47,G50,G53,G56,G59,G62,G65,G68,G71,G74,))</f>
        <v/>
      </c>
      <c r="H3" s="73" t="str">
        <f t="shared" si="0"/>
        <v/>
      </c>
      <c r="I3" s="73" t="str">
        <f t="shared" si="0"/>
        <v/>
      </c>
      <c r="J3" s="73" t="str">
        <f t="shared" si="0"/>
        <v/>
      </c>
      <c r="K3" s="73" t="str">
        <f t="shared" si="0"/>
        <v/>
      </c>
      <c r="L3" s="73" t="str">
        <f>IF(L8=SUM(L11,L14,L17,L20,L23,L26,L29,L32,L35,L38,L41,L44,L47,L50,L53,L56,L59,L62,L65,L68,L71,L74,),"",SUM(L11,L14,L17,L20,L23,L26,L29,L32,L35,L38,L41,L44,L47,L50,L53,L56,L59,L62,L65,L68,L71,L74,))</f>
        <v/>
      </c>
      <c r="M3" s="73" t="str">
        <f t="shared" ref="M3:V3" si="1">IF(M8=SUM(M11,M14,M17,M20,M23,M26,M29,M32,M35,M38,M41,M44,M47,M50,M53,M56,M59,M62,M65,M68,M71,M74,),"",SUM(M11,M14,M17,M20,M23,M26,M29,M32,M35,M38,M41,M44,M47,M50,M53,M56,M59,M62,M65,M68,M71,M74,))</f>
        <v/>
      </c>
      <c r="N3" s="73" t="str">
        <f t="shared" si="1"/>
        <v/>
      </c>
      <c r="O3" s="73" t="str">
        <f t="shared" si="1"/>
        <v/>
      </c>
      <c r="P3" s="73" t="str">
        <f t="shared" si="1"/>
        <v/>
      </c>
      <c r="Q3" s="73" t="str">
        <f t="shared" si="1"/>
        <v/>
      </c>
      <c r="R3" s="73" t="str">
        <f t="shared" si="1"/>
        <v/>
      </c>
      <c r="S3" s="73" t="str">
        <f t="shared" si="1"/>
        <v/>
      </c>
      <c r="T3" s="73" t="str">
        <f t="shared" si="1"/>
        <v/>
      </c>
      <c r="U3" s="73" t="str">
        <f t="shared" si="1"/>
        <v/>
      </c>
      <c r="V3" s="73" t="str">
        <f t="shared" si="1"/>
        <v/>
      </c>
    </row>
    <row r="4" spans="1:22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140</v>
      </c>
      <c r="L5" s="106"/>
      <c r="M5" s="106"/>
      <c r="N5" s="106"/>
      <c r="O5" s="106"/>
      <c r="P5" s="106"/>
      <c r="Q5" s="106"/>
      <c r="R5" s="106"/>
      <c r="S5" s="107" t="s">
        <v>7</v>
      </c>
      <c r="T5" s="107"/>
      <c r="U5" s="100" t="s">
        <v>153</v>
      </c>
      <c r="V5" s="101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03" t="s">
        <v>19</v>
      </c>
      <c r="H6" s="104"/>
      <c r="I6" s="103" t="s">
        <v>20</v>
      </c>
      <c r="J6" s="104"/>
      <c r="K6" s="102" t="s">
        <v>141</v>
      </c>
      <c r="L6" s="102"/>
      <c r="M6" s="102" t="s">
        <v>142</v>
      </c>
      <c r="N6" s="102"/>
      <c r="O6" s="102" t="s">
        <v>143</v>
      </c>
      <c r="P6" s="102"/>
      <c r="Q6" s="102" t="s">
        <v>144</v>
      </c>
      <c r="R6" s="102"/>
      <c r="S6" s="107"/>
      <c r="T6" s="107"/>
      <c r="U6" s="100"/>
      <c r="V6" s="101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10" t="s">
        <v>14</v>
      </c>
      <c r="U7" s="8" t="s">
        <v>13</v>
      </c>
      <c r="V7" s="10" t="s">
        <v>14</v>
      </c>
    </row>
    <row r="8" spans="1:22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11523</v>
      </c>
      <c r="E8" s="78">
        <v>5108</v>
      </c>
      <c r="F8" s="78">
        <v>6415</v>
      </c>
      <c r="G8" s="78">
        <v>11</v>
      </c>
      <c r="H8" s="78">
        <v>7</v>
      </c>
      <c r="I8" s="78">
        <v>13</v>
      </c>
      <c r="J8" s="78">
        <v>9</v>
      </c>
      <c r="K8" s="78">
        <v>3032</v>
      </c>
      <c r="L8" s="78">
        <v>2209</v>
      </c>
      <c r="M8" s="78">
        <v>317</v>
      </c>
      <c r="N8" s="78">
        <v>300</v>
      </c>
      <c r="O8" s="78">
        <v>689</v>
      </c>
      <c r="P8" s="78">
        <v>3138</v>
      </c>
      <c r="Q8" s="78">
        <v>686</v>
      </c>
      <c r="R8" s="78">
        <v>578</v>
      </c>
      <c r="S8" s="78">
        <v>48</v>
      </c>
      <c r="T8" s="78">
        <v>63</v>
      </c>
      <c r="U8" s="78">
        <v>312</v>
      </c>
      <c r="V8" s="78">
        <v>111</v>
      </c>
    </row>
    <row r="9" spans="1:22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10227</v>
      </c>
      <c r="E9" s="82">
        <v>4555</v>
      </c>
      <c r="F9" s="82">
        <v>5672</v>
      </c>
      <c r="G9" s="82">
        <v>10</v>
      </c>
      <c r="H9" s="82">
        <v>5</v>
      </c>
      <c r="I9" s="82">
        <v>11</v>
      </c>
      <c r="J9" s="82">
        <v>7</v>
      </c>
      <c r="K9" s="82">
        <v>2704</v>
      </c>
      <c r="L9" s="82">
        <v>1970</v>
      </c>
      <c r="M9" s="82">
        <v>309</v>
      </c>
      <c r="N9" s="82">
        <v>285</v>
      </c>
      <c r="O9" s="82">
        <v>591</v>
      </c>
      <c r="P9" s="82">
        <v>2748</v>
      </c>
      <c r="Q9" s="82">
        <v>597</v>
      </c>
      <c r="R9" s="82">
        <v>499</v>
      </c>
      <c r="S9" s="82">
        <v>41</v>
      </c>
      <c r="T9" s="82">
        <v>55</v>
      </c>
      <c r="U9" s="82">
        <v>292</v>
      </c>
      <c r="V9" s="82">
        <v>103</v>
      </c>
    </row>
    <row r="10" spans="1:22" s="79" customFormat="1" ht="14.25" customHeight="1" x14ac:dyDescent="0.2">
      <c r="A10" s="111"/>
      <c r="B10" s="80" t="s">
        <v>152</v>
      </c>
      <c r="C10" s="81" t="s">
        <v>163</v>
      </c>
      <c r="D10" s="82">
        <v>1296</v>
      </c>
      <c r="E10" s="82">
        <v>553</v>
      </c>
      <c r="F10" s="82">
        <v>743</v>
      </c>
      <c r="G10" s="82">
        <v>1</v>
      </c>
      <c r="H10" s="82">
        <v>2</v>
      </c>
      <c r="I10" s="82">
        <v>2</v>
      </c>
      <c r="J10" s="82">
        <v>2</v>
      </c>
      <c r="K10" s="82">
        <v>328</v>
      </c>
      <c r="L10" s="82">
        <v>239</v>
      </c>
      <c r="M10" s="82">
        <v>8</v>
      </c>
      <c r="N10" s="82">
        <v>15</v>
      </c>
      <c r="O10" s="82">
        <v>98</v>
      </c>
      <c r="P10" s="82">
        <v>390</v>
      </c>
      <c r="Q10" s="82">
        <v>89</v>
      </c>
      <c r="R10" s="82">
        <v>79</v>
      </c>
      <c r="S10" s="82">
        <v>7</v>
      </c>
      <c r="T10" s="82">
        <v>8</v>
      </c>
      <c r="U10" s="82">
        <v>20</v>
      </c>
      <c r="V10" s="82">
        <v>8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2018</v>
      </c>
      <c r="E11" s="31">
        <v>842</v>
      </c>
      <c r="F11" s="31">
        <v>1176</v>
      </c>
      <c r="G11" s="31">
        <v>0</v>
      </c>
      <c r="H11" s="31">
        <v>0</v>
      </c>
      <c r="I11" s="31">
        <v>0</v>
      </c>
      <c r="J11" s="31">
        <v>0</v>
      </c>
      <c r="K11" s="31">
        <v>549</v>
      </c>
      <c r="L11" s="31">
        <v>402</v>
      </c>
      <c r="M11" s="31">
        <v>69</v>
      </c>
      <c r="N11" s="31">
        <v>58</v>
      </c>
      <c r="O11" s="31">
        <v>101</v>
      </c>
      <c r="P11" s="31">
        <v>650</v>
      </c>
      <c r="Q11" s="31">
        <v>51</v>
      </c>
      <c r="R11" s="31">
        <v>26</v>
      </c>
      <c r="S11" s="31">
        <v>10</v>
      </c>
      <c r="T11" s="31">
        <v>21</v>
      </c>
      <c r="U11" s="31">
        <v>62</v>
      </c>
      <c r="V11" s="31">
        <v>19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1903</v>
      </c>
      <c r="E12" s="19">
        <v>802</v>
      </c>
      <c r="F12" s="19">
        <v>1101</v>
      </c>
      <c r="G12" s="19">
        <v>0</v>
      </c>
      <c r="H12" s="19">
        <v>0</v>
      </c>
      <c r="I12" s="19">
        <v>0</v>
      </c>
      <c r="J12" s="19">
        <v>0</v>
      </c>
      <c r="K12" s="19">
        <v>518</v>
      </c>
      <c r="L12" s="19">
        <v>376</v>
      </c>
      <c r="M12" s="19">
        <v>69</v>
      </c>
      <c r="N12" s="19">
        <v>55</v>
      </c>
      <c r="O12" s="19">
        <v>98</v>
      </c>
      <c r="P12" s="19">
        <v>606</v>
      </c>
      <c r="Q12" s="19">
        <v>47</v>
      </c>
      <c r="R12" s="19">
        <v>26</v>
      </c>
      <c r="S12" s="19">
        <v>10</v>
      </c>
      <c r="T12" s="19">
        <v>21</v>
      </c>
      <c r="U12" s="19">
        <v>60</v>
      </c>
      <c r="V12" s="19">
        <v>17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115</v>
      </c>
      <c r="E13" s="19">
        <v>40</v>
      </c>
      <c r="F13" s="19">
        <v>75</v>
      </c>
      <c r="G13" s="19">
        <v>0</v>
      </c>
      <c r="H13" s="19">
        <v>0</v>
      </c>
      <c r="I13" s="19">
        <v>0</v>
      </c>
      <c r="J13" s="19">
        <v>0</v>
      </c>
      <c r="K13" s="19">
        <v>31</v>
      </c>
      <c r="L13" s="19">
        <v>26</v>
      </c>
      <c r="M13" s="19">
        <v>0</v>
      </c>
      <c r="N13" s="19">
        <v>3</v>
      </c>
      <c r="O13" s="19">
        <v>3</v>
      </c>
      <c r="P13" s="19">
        <v>44</v>
      </c>
      <c r="Q13" s="19">
        <v>4</v>
      </c>
      <c r="R13" s="19">
        <v>0</v>
      </c>
      <c r="S13" s="19">
        <v>0</v>
      </c>
      <c r="T13" s="19">
        <v>0</v>
      </c>
      <c r="U13" s="19">
        <v>2</v>
      </c>
      <c r="V13" s="19">
        <v>2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984</v>
      </c>
      <c r="E14" s="31">
        <v>454</v>
      </c>
      <c r="F14" s="31">
        <v>530</v>
      </c>
      <c r="G14" s="31">
        <v>0</v>
      </c>
      <c r="H14" s="31">
        <v>1</v>
      </c>
      <c r="I14" s="31">
        <v>1</v>
      </c>
      <c r="J14" s="31">
        <v>2</v>
      </c>
      <c r="K14" s="31">
        <v>282</v>
      </c>
      <c r="L14" s="31">
        <v>199</v>
      </c>
      <c r="M14" s="31">
        <v>26</v>
      </c>
      <c r="N14" s="31">
        <v>36</v>
      </c>
      <c r="O14" s="31">
        <v>85</v>
      </c>
      <c r="P14" s="31">
        <v>260</v>
      </c>
      <c r="Q14" s="31">
        <v>52</v>
      </c>
      <c r="R14" s="31">
        <v>20</v>
      </c>
      <c r="S14" s="31">
        <v>3</v>
      </c>
      <c r="T14" s="31">
        <v>0</v>
      </c>
      <c r="U14" s="31">
        <v>5</v>
      </c>
      <c r="V14" s="31">
        <v>12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959</v>
      </c>
      <c r="E15" s="19">
        <v>444</v>
      </c>
      <c r="F15" s="19">
        <v>515</v>
      </c>
      <c r="G15" s="19">
        <v>0</v>
      </c>
      <c r="H15" s="19">
        <v>1</v>
      </c>
      <c r="I15" s="19">
        <v>1</v>
      </c>
      <c r="J15" s="19">
        <v>2</v>
      </c>
      <c r="K15" s="19">
        <v>277</v>
      </c>
      <c r="L15" s="19">
        <v>197</v>
      </c>
      <c r="M15" s="19">
        <v>26</v>
      </c>
      <c r="N15" s="19">
        <v>35</v>
      </c>
      <c r="O15" s="19">
        <v>82</v>
      </c>
      <c r="P15" s="19">
        <v>250</v>
      </c>
      <c r="Q15" s="19">
        <v>51</v>
      </c>
      <c r="R15" s="19">
        <v>18</v>
      </c>
      <c r="S15" s="19">
        <v>3</v>
      </c>
      <c r="T15" s="19">
        <v>0</v>
      </c>
      <c r="U15" s="19">
        <v>4</v>
      </c>
      <c r="V15" s="19">
        <v>12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25</v>
      </c>
      <c r="E16" s="19">
        <v>10</v>
      </c>
      <c r="F16" s="19">
        <v>15</v>
      </c>
      <c r="G16" s="19">
        <v>0</v>
      </c>
      <c r="H16" s="19">
        <v>0</v>
      </c>
      <c r="I16" s="19">
        <v>0</v>
      </c>
      <c r="J16" s="19">
        <v>0</v>
      </c>
      <c r="K16" s="19">
        <v>5</v>
      </c>
      <c r="L16" s="19">
        <v>2</v>
      </c>
      <c r="M16" s="19">
        <v>0</v>
      </c>
      <c r="N16" s="19">
        <v>1</v>
      </c>
      <c r="O16" s="19">
        <v>3</v>
      </c>
      <c r="P16" s="19">
        <v>10</v>
      </c>
      <c r="Q16" s="19">
        <v>1</v>
      </c>
      <c r="R16" s="19">
        <v>2</v>
      </c>
      <c r="S16" s="19">
        <v>0</v>
      </c>
      <c r="T16" s="19">
        <v>0</v>
      </c>
      <c r="U16" s="19">
        <v>1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1288</v>
      </c>
      <c r="E17" s="31">
        <v>561</v>
      </c>
      <c r="F17" s="31">
        <v>727</v>
      </c>
      <c r="G17" s="31">
        <v>2</v>
      </c>
      <c r="H17" s="31">
        <v>1</v>
      </c>
      <c r="I17" s="31">
        <v>0</v>
      </c>
      <c r="J17" s="31">
        <v>1</v>
      </c>
      <c r="K17" s="31">
        <v>394</v>
      </c>
      <c r="L17" s="31">
        <v>282</v>
      </c>
      <c r="M17" s="31">
        <v>6</v>
      </c>
      <c r="N17" s="31">
        <v>8</v>
      </c>
      <c r="O17" s="31">
        <v>93</v>
      </c>
      <c r="P17" s="31">
        <v>393</v>
      </c>
      <c r="Q17" s="31">
        <v>42</v>
      </c>
      <c r="R17" s="31">
        <v>34</v>
      </c>
      <c r="S17" s="31">
        <v>0</v>
      </c>
      <c r="T17" s="31">
        <v>1</v>
      </c>
      <c r="U17" s="31">
        <v>24</v>
      </c>
      <c r="V17" s="31">
        <v>7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1051</v>
      </c>
      <c r="E18" s="19">
        <v>462</v>
      </c>
      <c r="F18" s="19">
        <v>589</v>
      </c>
      <c r="G18" s="19">
        <v>2</v>
      </c>
      <c r="H18" s="19">
        <v>1</v>
      </c>
      <c r="I18" s="19">
        <v>0</v>
      </c>
      <c r="J18" s="19">
        <v>0</v>
      </c>
      <c r="K18" s="19">
        <v>328</v>
      </c>
      <c r="L18" s="19">
        <v>221</v>
      </c>
      <c r="M18" s="19">
        <v>5</v>
      </c>
      <c r="N18" s="19">
        <v>7</v>
      </c>
      <c r="O18" s="19">
        <v>78</v>
      </c>
      <c r="P18" s="19">
        <v>328</v>
      </c>
      <c r="Q18" s="19">
        <v>33</v>
      </c>
      <c r="R18" s="19">
        <v>26</v>
      </c>
      <c r="S18" s="19">
        <v>0</v>
      </c>
      <c r="T18" s="19">
        <v>0</v>
      </c>
      <c r="U18" s="19">
        <v>16</v>
      </c>
      <c r="V18" s="19">
        <v>6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237</v>
      </c>
      <c r="E19" s="19">
        <v>99</v>
      </c>
      <c r="F19" s="19">
        <v>138</v>
      </c>
      <c r="G19" s="19">
        <v>0</v>
      </c>
      <c r="H19" s="19">
        <v>0</v>
      </c>
      <c r="I19" s="19">
        <v>0</v>
      </c>
      <c r="J19" s="19">
        <v>1</v>
      </c>
      <c r="K19" s="19">
        <v>66</v>
      </c>
      <c r="L19" s="19">
        <v>61</v>
      </c>
      <c r="M19" s="19">
        <v>1</v>
      </c>
      <c r="N19" s="19">
        <v>1</v>
      </c>
      <c r="O19" s="19">
        <v>15</v>
      </c>
      <c r="P19" s="19">
        <v>65</v>
      </c>
      <c r="Q19" s="19">
        <v>9</v>
      </c>
      <c r="R19" s="19">
        <v>8</v>
      </c>
      <c r="S19" s="19">
        <v>0</v>
      </c>
      <c r="T19" s="19">
        <v>1</v>
      </c>
      <c r="U19" s="19">
        <v>8</v>
      </c>
      <c r="V19" s="19">
        <v>1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1401</v>
      </c>
      <c r="E20" s="31">
        <v>662</v>
      </c>
      <c r="F20" s="31">
        <v>739</v>
      </c>
      <c r="G20" s="31">
        <v>1</v>
      </c>
      <c r="H20" s="31">
        <v>0</v>
      </c>
      <c r="I20" s="31">
        <v>6</v>
      </c>
      <c r="J20" s="31">
        <v>2</v>
      </c>
      <c r="K20" s="31">
        <v>425</v>
      </c>
      <c r="L20" s="31">
        <v>267</v>
      </c>
      <c r="M20" s="31">
        <v>54</v>
      </c>
      <c r="N20" s="31">
        <v>46</v>
      </c>
      <c r="O20" s="31">
        <v>52</v>
      </c>
      <c r="P20" s="31">
        <v>315</v>
      </c>
      <c r="Q20" s="31">
        <v>102</v>
      </c>
      <c r="R20" s="31">
        <v>95</v>
      </c>
      <c r="S20" s="31">
        <v>0</v>
      </c>
      <c r="T20" s="31">
        <v>3</v>
      </c>
      <c r="U20" s="31">
        <v>22</v>
      </c>
      <c r="V20" s="31">
        <v>11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1294</v>
      </c>
      <c r="E21" s="19">
        <v>617</v>
      </c>
      <c r="F21" s="19">
        <v>677</v>
      </c>
      <c r="G21" s="19">
        <v>1</v>
      </c>
      <c r="H21" s="19">
        <v>0</v>
      </c>
      <c r="I21" s="19">
        <v>6</v>
      </c>
      <c r="J21" s="19">
        <v>2</v>
      </c>
      <c r="K21" s="19">
        <v>393</v>
      </c>
      <c r="L21" s="19">
        <v>243</v>
      </c>
      <c r="M21" s="19">
        <v>53</v>
      </c>
      <c r="N21" s="19">
        <v>44</v>
      </c>
      <c r="O21" s="19">
        <v>49</v>
      </c>
      <c r="P21" s="19">
        <v>285</v>
      </c>
      <c r="Q21" s="19">
        <v>95</v>
      </c>
      <c r="R21" s="19">
        <v>90</v>
      </c>
      <c r="S21" s="19">
        <v>0</v>
      </c>
      <c r="T21" s="19">
        <v>2</v>
      </c>
      <c r="U21" s="19">
        <v>20</v>
      </c>
      <c r="V21" s="19">
        <v>11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107</v>
      </c>
      <c r="E22" s="19">
        <v>45</v>
      </c>
      <c r="F22" s="19">
        <v>62</v>
      </c>
      <c r="G22" s="19">
        <v>0</v>
      </c>
      <c r="H22" s="19">
        <v>0</v>
      </c>
      <c r="I22" s="19">
        <v>0</v>
      </c>
      <c r="J22" s="19">
        <v>0</v>
      </c>
      <c r="K22" s="19">
        <v>32</v>
      </c>
      <c r="L22" s="19">
        <v>24</v>
      </c>
      <c r="M22" s="19">
        <v>1</v>
      </c>
      <c r="N22" s="19">
        <v>2</v>
      </c>
      <c r="O22" s="19">
        <v>3</v>
      </c>
      <c r="P22" s="19">
        <v>30</v>
      </c>
      <c r="Q22" s="19">
        <v>7</v>
      </c>
      <c r="R22" s="19">
        <v>5</v>
      </c>
      <c r="S22" s="19">
        <v>0</v>
      </c>
      <c r="T22" s="19">
        <v>1</v>
      </c>
      <c r="U22" s="19">
        <v>2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753</v>
      </c>
      <c r="E23" s="31">
        <v>309</v>
      </c>
      <c r="F23" s="31">
        <v>444</v>
      </c>
      <c r="G23" s="31">
        <v>0</v>
      </c>
      <c r="H23" s="31">
        <v>0</v>
      </c>
      <c r="I23" s="31">
        <v>0</v>
      </c>
      <c r="J23" s="31">
        <v>0</v>
      </c>
      <c r="K23" s="31">
        <v>172</v>
      </c>
      <c r="L23" s="31">
        <v>134</v>
      </c>
      <c r="M23" s="31">
        <v>21</v>
      </c>
      <c r="N23" s="31">
        <v>20</v>
      </c>
      <c r="O23" s="31">
        <v>39</v>
      </c>
      <c r="P23" s="31">
        <v>238</v>
      </c>
      <c r="Q23" s="31">
        <v>47</v>
      </c>
      <c r="R23" s="31">
        <v>43</v>
      </c>
      <c r="S23" s="31">
        <v>2</v>
      </c>
      <c r="T23" s="31">
        <v>5</v>
      </c>
      <c r="U23" s="31">
        <v>28</v>
      </c>
      <c r="V23" s="31">
        <v>4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710</v>
      </c>
      <c r="E24" s="19">
        <v>290</v>
      </c>
      <c r="F24" s="19">
        <v>420</v>
      </c>
      <c r="G24" s="19">
        <v>0</v>
      </c>
      <c r="H24" s="19">
        <v>0</v>
      </c>
      <c r="I24" s="19">
        <v>0</v>
      </c>
      <c r="J24" s="19">
        <v>0</v>
      </c>
      <c r="K24" s="19">
        <v>161</v>
      </c>
      <c r="L24" s="19">
        <v>126</v>
      </c>
      <c r="M24" s="19">
        <v>20</v>
      </c>
      <c r="N24" s="19">
        <v>20</v>
      </c>
      <c r="O24" s="19">
        <v>37</v>
      </c>
      <c r="P24" s="19">
        <v>224</v>
      </c>
      <c r="Q24" s="19">
        <v>43</v>
      </c>
      <c r="R24" s="19">
        <v>41</v>
      </c>
      <c r="S24" s="19">
        <v>1</v>
      </c>
      <c r="T24" s="19">
        <v>5</v>
      </c>
      <c r="U24" s="19">
        <v>28</v>
      </c>
      <c r="V24" s="19">
        <v>4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43</v>
      </c>
      <c r="E25" s="19">
        <v>19</v>
      </c>
      <c r="F25" s="19">
        <v>24</v>
      </c>
      <c r="G25" s="19">
        <v>0</v>
      </c>
      <c r="H25" s="19">
        <v>0</v>
      </c>
      <c r="I25" s="19">
        <v>0</v>
      </c>
      <c r="J25" s="19">
        <v>0</v>
      </c>
      <c r="K25" s="19">
        <v>11</v>
      </c>
      <c r="L25" s="19">
        <v>8</v>
      </c>
      <c r="M25" s="19">
        <v>1</v>
      </c>
      <c r="N25" s="19">
        <v>0</v>
      </c>
      <c r="O25" s="19">
        <v>2</v>
      </c>
      <c r="P25" s="19">
        <v>14</v>
      </c>
      <c r="Q25" s="19">
        <v>4</v>
      </c>
      <c r="R25" s="19">
        <v>2</v>
      </c>
      <c r="S25" s="19">
        <v>1</v>
      </c>
      <c r="T25" s="19">
        <v>0</v>
      </c>
      <c r="U25" s="19">
        <v>0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1622</v>
      </c>
      <c r="E26" s="31">
        <v>805</v>
      </c>
      <c r="F26" s="31">
        <v>817</v>
      </c>
      <c r="G26" s="31">
        <v>1</v>
      </c>
      <c r="H26" s="31">
        <v>0</v>
      </c>
      <c r="I26" s="31">
        <v>0</v>
      </c>
      <c r="J26" s="31">
        <v>0</v>
      </c>
      <c r="K26" s="31">
        <v>468</v>
      </c>
      <c r="L26" s="31">
        <v>323</v>
      </c>
      <c r="M26" s="31">
        <v>53</v>
      </c>
      <c r="N26" s="31">
        <v>53</v>
      </c>
      <c r="O26" s="31">
        <v>63</v>
      </c>
      <c r="P26" s="31">
        <v>263</v>
      </c>
      <c r="Q26" s="31">
        <v>147</v>
      </c>
      <c r="R26" s="31">
        <v>141</v>
      </c>
      <c r="S26" s="31">
        <v>3</v>
      </c>
      <c r="T26" s="31">
        <v>5</v>
      </c>
      <c r="U26" s="31">
        <v>70</v>
      </c>
      <c r="V26" s="31">
        <v>32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1517</v>
      </c>
      <c r="E27" s="19">
        <v>764</v>
      </c>
      <c r="F27" s="19">
        <v>753</v>
      </c>
      <c r="G27" s="19">
        <v>1</v>
      </c>
      <c r="H27" s="19">
        <v>0</v>
      </c>
      <c r="I27" s="19">
        <v>0</v>
      </c>
      <c r="J27" s="19">
        <v>0</v>
      </c>
      <c r="K27" s="19">
        <v>438</v>
      </c>
      <c r="L27" s="19">
        <v>300</v>
      </c>
      <c r="M27" s="19">
        <v>51</v>
      </c>
      <c r="N27" s="19">
        <v>50</v>
      </c>
      <c r="O27" s="19">
        <v>61</v>
      </c>
      <c r="P27" s="19">
        <v>241</v>
      </c>
      <c r="Q27" s="19">
        <v>141</v>
      </c>
      <c r="R27" s="19">
        <v>127</v>
      </c>
      <c r="S27" s="19">
        <v>3</v>
      </c>
      <c r="T27" s="19">
        <v>5</v>
      </c>
      <c r="U27" s="19">
        <v>69</v>
      </c>
      <c r="V27" s="19">
        <v>30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105</v>
      </c>
      <c r="E28" s="19">
        <v>41</v>
      </c>
      <c r="F28" s="19">
        <v>64</v>
      </c>
      <c r="G28" s="19">
        <v>0</v>
      </c>
      <c r="H28" s="19">
        <v>0</v>
      </c>
      <c r="I28" s="19">
        <v>0</v>
      </c>
      <c r="J28" s="19">
        <v>0</v>
      </c>
      <c r="K28" s="19">
        <v>30</v>
      </c>
      <c r="L28" s="19">
        <v>23</v>
      </c>
      <c r="M28" s="19">
        <v>2</v>
      </c>
      <c r="N28" s="19">
        <v>3</v>
      </c>
      <c r="O28" s="19">
        <v>2</v>
      </c>
      <c r="P28" s="19">
        <v>22</v>
      </c>
      <c r="Q28" s="19">
        <v>6</v>
      </c>
      <c r="R28" s="19">
        <v>14</v>
      </c>
      <c r="S28" s="19">
        <v>0</v>
      </c>
      <c r="T28" s="19">
        <v>0</v>
      </c>
      <c r="U28" s="19">
        <v>1</v>
      </c>
      <c r="V28" s="19">
        <v>2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163</v>
      </c>
      <c r="E29" s="31">
        <v>62</v>
      </c>
      <c r="F29" s="31">
        <v>101</v>
      </c>
      <c r="G29" s="31">
        <v>0</v>
      </c>
      <c r="H29" s="31">
        <v>1</v>
      </c>
      <c r="I29" s="31">
        <v>0</v>
      </c>
      <c r="J29" s="31">
        <v>0</v>
      </c>
      <c r="K29" s="31">
        <v>29</v>
      </c>
      <c r="L29" s="31">
        <v>14</v>
      </c>
      <c r="M29" s="31">
        <v>0</v>
      </c>
      <c r="N29" s="31">
        <v>0</v>
      </c>
      <c r="O29" s="31">
        <v>19</v>
      </c>
      <c r="P29" s="31">
        <v>80</v>
      </c>
      <c r="Q29" s="31">
        <v>7</v>
      </c>
      <c r="R29" s="31">
        <v>5</v>
      </c>
      <c r="S29" s="31">
        <v>1</v>
      </c>
      <c r="T29" s="31">
        <v>1</v>
      </c>
      <c r="U29" s="31">
        <v>6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139</v>
      </c>
      <c r="E30" s="19">
        <v>49</v>
      </c>
      <c r="F30" s="19">
        <v>90</v>
      </c>
      <c r="G30" s="19">
        <v>0</v>
      </c>
      <c r="H30" s="19">
        <v>1</v>
      </c>
      <c r="I30" s="19">
        <v>0</v>
      </c>
      <c r="J30" s="19">
        <v>0</v>
      </c>
      <c r="K30" s="19">
        <v>25</v>
      </c>
      <c r="L30" s="19">
        <v>14</v>
      </c>
      <c r="M30" s="19">
        <v>0</v>
      </c>
      <c r="N30" s="19">
        <v>0</v>
      </c>
      <c r="O30" s="19">
        <v>11</v>
      </c>
      <c r="P30" s="19">
        <v>69</v>
      </c>
      <c r="Q30" s="19">
        <v>6</v>
      </c>
      <c r="R30" s="19">
        <v>5</v>
      </c>
      <c r="S30" s="19">
        <v>1</v>
      </c>
      <c r="T30" s="19">
        <v>1</v>
      </c>
      <c r="U30" s="19">
        <v>6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24</v>
      </c>
      <c r="E31" s="19">
        <v>13</v>
      </c>
      <c r="F31" s="19">
        <v>11</v>
      </c>
      <c r="G31" s="19">
        <v>0</v>
      </c>
      <c r="H31" s="19">
        <v>0</v>
      </c>
      <c r="I31" s="19">
        <v>0</v>
      </c>
      <c r="J31" s="19">
        <v>0</v>
      </c>
      <c r="K31" s="19">
        <v>4</v>
      </c>
      <c r="L31" s="19">
        <v>0</v>
      </c>
      <c r="M31" s="19">
        <v>0</v>
      </c>
      <c r="N31" s="19">
        <v>0</v>
      </c>
      <c r="O31" s="19">
        <v>8</v>
      </c>
      <c r="P31" s="19">
        <v>11</v>
      </c>
      <c r="Q31" s="19">
        <v>1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239</v>
      </c>
      <c r="E32" s="31">
        <v>103</v>
      </c>
      <c r="F32" s="31">
        <v>136</v>
      </c>
      <c r="G32" s="31">
        <v>1</v>
      </c>
      <c r="H32" s="31">
        <v>1</v>
      </c>
      <c r="I32" s="31">
        <v>1</v>
      </c>
      <c r="J32" s="31">
        <v>1</v>
      </c>
      <c r="K32" s="31">
        <v>62</v>
      </c>
      <c r="L32" s="31">
        <v>40</v>
      </c>
      <c r="M32" s="31">
        <v>3</v>
      </c>
      <c r="N32" s="31">
        <v>1</v>
      </c>
      <c r="O32" s="31">
        <v>20</v>
      </c>
      <c r="P32" s="31">
        <v>87</v>
      </c>
      <c r="Q32" s="31">
        <v>12</v>
      </c>
      <c r="R32" s="31">
        <v>4</v>
      </c>
      <c r="S32" s="31">
        <v>0</v>
      </c>
      <c r="T32" s="31">
        <v>1</v>
      </c>
      <c r="U32" s="31">
        <v>4</v>
      </c>
      <c r="V32" s="31">
        <v>1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193</v>
      </c>
      <c r="E33" s="19">
        <v>79</v>
      </c>
      <c r="F33" s="19">
        <v>114</v>
      </c>
      <c r="G33" s="19">
        <v>1</v>
      </c>
      <c r="H33" s="19">
        <v>1</v>
      </c>
      <c r="I33" s="19">
        <v>0</v>
      </c>
      <c r="J33" s="19">
        <v>1</v>
      </c>
      <c r="K33" s="19">
        <v>50</v>
      </c>
      <c r="L33" s="19">
        <v>38</v>
      </c>
      <c r="M33" s="19">
        <v>2</v>
      </c>
      <c r="N33" s="19">
        <v>1</v>
      </c>
      <c r="O33" s="19">
        <v>15</v>
      </c>
      <c r="P33" s="19">
        <v>68</v>
      </c>
      <c r="Q33" s="19">
        <v>8</v>
      </c>
      <c r="R33" s="19">
        <v>3</v>
      </c>
      <c r="S33" s="19">
        <v>0</v>
      </c>
      <c r="T33" s="19">
        <v>1</v>
      </c>
      <c r="U33" s="19">
        <v>3</v>
      </c>
      <c r="V33" s="19">
        <v>1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46</v>
      </c>
      <c r="E34" s="19">
        <v>24</v>
      </c>
      <c r="F34" s="19">
        <v>22</v>
      </c>
      <c r="G34" s="19">
        <v>0</v>
      </c>
      <c r="H34" s="19">
        <v>0</v>
      </c>
      <c r="I34" s="19">
        <v>1</v>
      </c>
      <c r="J34" s="19">
        <v>0</v>
      </c>
      <c r="K34" s="19">
        <v>12</v>
      </c>
      <c r="L34" s="19">
        <v>2</v>
      </c>
      <c r="M34" s="19">
        <v>1</v>
      </c>
      <c r="N34" s="19">
        <v>0</v>
      </c>
      <c r="O34" s="19">
        <v>5</v>
      </c>
      <c r="P34" s="19">
        <v>19</v>
      </c>
      <c r="Q34" s="19">
        <v>4</v>
      </c>
      <c r="R34" s="19">
        <v>1</v>
      </c>
      <c r="S34" s="19">
        <v>0</v>
      </c>
      <c r="T34" s="19">
        <v>0</v>
      </c>
      <c r="U34" s="19">
        <v>1</v>
      </c>
      <c r="V34" s="19">
        <v>0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165</v>
      </c>
      <c r="E35" s="31">
        <v>53</v>
      </c>
      <c r="F35" s="31">
        <v>112</v>
      </c>
      <c r="G35" s="31">
        <v>0</v>
      </c>
      <c r="H35" s="31">
        <v>0</v>
      </c>
      <c r="I35" s="31">
        <v>0</v>
      </c>
      <c r="J35" s="31">
        <v>0</v>
      </c>
      <c r="K35" s="31">
        <v>21</v>
      </c>
      <c r="L35" s="31">
        <v>17</v>
      </c>
      <c r="M35" s="31">
        <v>1</v>
      </c>
      <c r="N35" s="31">
        <v>4</v>
      </c>
      <c r="O35" s="31">
        <v>11</v>
      </c>
      <c r="P35" s="31">
        <v>72</v>
      </c>
      <c r="Q35" s="31">
        <v>12</v>
      </c>
      <c r="R35" s="31">
        <v>16</v>
      </c>
      <c r="S35" s="31">
        <v>1</v>
      </c>
      <c r="T35" s="31">
        <v>0</v>
      </c>
      <c r="U35" s="31">
        <v>7</v>
      </c>
      <c r="V35" s="31">
        <v>3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143</v>
      </c>
      <c r="E36" s="19">
        <v>45</v>
      </c>
      <c r="F36" s="19">
        <v>98</v>
      </c>
      <c r="G36" s="19">
        <v>0</v>
      </c>
      <c r="H36" s="19">
        <v>0</v>
      </c>
      <c r="I36" s="19">
        <v>0</v>
      </c>
      <c r="J36" s="19">
        <v>0</v>
      </c>
      <c r="K36" s="19">
        <v>17</v>
      </c>
      <c r="L36" s="19">
        <v>17</v>
      </c>
      <c r="M36" s="19">
        <v>1</v>
      </c>
      <c r="N36" s="19">
        <v>4</v>
      </c>
      <c r="O36" s="19">
        <v>11</v>
      </c>
      <c r="P36" s="19">
        <v>62</v>
      </c>
      <c r="Q36" s="19">
        <v>8</v>
      </c>
      <c r="R36" s="19">
        <v>13</v>
      </c>
      <c r="S36" s="19">
        <v>1</v>
      </c>
      <c r="T36" s="19">
        <v>0</v>
      </c>
      <c r="U36" s="19">
        <v>7</v>
      </c>
      <c r="V36" s="19">
        <v>2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22</v>
      </c>
      <c r="E37" s="19">
        <v>8</v>
      </c>
      <c r="F37" s="19">
        <v>14</v>
      </c>
      <c r="G37" s="19">
        <v>0</v>
      </c>
      <c r="H37" s="19">
        <v>0</v>
      </c>
      <c r="I37" s="19">
        <v>0</v>
      </c>
      <c r="J37" s="19">
        <v>0</v>
      </c>
      <c r="K37" s="19">
        <v>4</v>
      </c>
      <c r="L37" s="19">
        <v>0</v>
      </c>
      <c r="M37" s="19">
        <v>0</v>
      </c>
      <c r="N37" s="19">
        <v>0</v>
      </c>
      <c r="O37" s="19">
        <v>0</v>
      </c>
      <c r="P37" s="19">
        <v>10</v>
      </c>
      <c r="Q37" s="19">
        <v>4</v>
      </c>
      <c r="R37" s="19">
        <v>3</v>
      </c>
      <c r="S37" s="19">
        <v>0</v>
      </c>
      <c r="T37" s="19">
        <v>0</v>
      </c>
      <c r="U37" s="19">
        <v>0</v>
      </c>
      <c r="V37" s="19">
        <v>1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448</v>
      </c>
      <c r="E38" s="31">
        <v>194</v>
      </c>
      <c r="F38" s="31">
        <v>254</v>
      </c>
      <c r="G38" s="31">
        <v>0</v>
      </c>
      <c r="H38" s="31">
        <v>0</v>
      </c>
      <c r="I38" s="31">
        <v>0</v>
      </c>
      <c r="J38" s="31">
        <v>0</v>
      </c>
      <c r="K38" s="31">
        <v>88</v>
      </c>
      <c r="L38" s="31">
        <v>70</v>
      </c>
      <c r="M38" s="31">
        <v>33</v>
      </c>
      <c r="N38" s="31">
        <v>35</v>
      </c>
      <c r="O38" s="31">
        <v>22</v>
      </c>
      <c r="P38" s="31">
        <v>111</v>
      </c>
      <c r="Q38" s="31">
        <v>35</v>
      </c>
      <c r="R38" s="31">
        <v>31</v>
      </c>
      <c r="S38" s="31">
        <v>6</v>
      </c>
      <c r="T38" s="31">
        <v>6</v>
      </c>
      <c r="U38" s="31">
        <v>10</v>
      </c>
      <c r="V38" s="31">
        <v>1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444</v>
      </c>
      <c r="E39" s="19">
        <v>194</v>
      </c>
      <c r="F39" s="19">
        <v>250</v>
      </c>
      <c r="G39" s="19">
        <v>0</v>
      </c>
      <c r="H39" s="19">
        <v>0</v>
      </c>
      <c r="I39" s="19">
        <v>0</v>
      </c>
      <c r="J39" s="19">
        <v>0</v>
      </c>
      <c r="K39" s="19">
        <v>88</v>
      </c>
      <c r="L39" s="19">
        <v>70</v>
      </c>
      <c r="M39" s="19">
        <v>33</v>
      </c>
      <c r="N39" s="19">
        <v>35</v>
      </c>
      <c r="O39" s="19">
        <v>22</v>
      </c>
      <c r="P39" s="19">
        <v>109</v>
      </c>
      <c r="Q39" s="19">
        <v>35</v>
      </c>
      <c r="R39" s="19">
        <v>31</v>
      </c>
      <c r="S39" s="19">
        <v>6</v>
      </c>
      <c r="T39" s="19">
        <v>4</v>
      </c>
      <c r="U39" s="19">
        <v>10</v>
      </c>
      <c r="V39" s="19">
        <v>1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4</v>
      </c>
      <c r="E40" s="19">
        <v>0</v>
      </c>
      <c r="F40" s="19">
        <v>4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2</v>
      </c>
      <c r="Q40" s="19">
        <v>0</v>
      </c>
      <c r="R40" s="19">
        <v>0</v>
      </c>
      <c r="S40" s="19">
        <v>0</v>
      </c>
      <c r="T40" s="19">
        <v>2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309</v>
      </c>
      <c r="E41" s="31">
        <v>139</v>
      </c>
      <c r="F41" s="31">
        <v>170</v>
      </c>
      <c r="G41" s="31">
        <v>0</v>
      </c>
      <c r="H41" s="31">
        <v>0</v>
      </c>
      <c r="I41" s="31">
        <v>2</v>
      </c>
      <c r="J41" s="31">
        <v>0</v>
      </c>
      <c r="K41" s="31">
        <v>75</v>
      </c>
      <c r="L41" s="31">
        <v>61</v>
      </c>
      <c r="M41" s="31">
        <v>6</v>
      </c>
      <c r="N41" s="31">
        <v>4</v>
      </c>
      <c r="O41" s="31">
        <v>18</v>
      </c>
      <c r="P41" s="31">
        <v>81</v>
      </c>
      <c r="Q41" s="31">
        <v>27</v>
      </c>
      <c r="R41" s="31">
        <v>22</v>
      </c>
      <c r="S41" s="31">
        <v>1</v>
      </c>
      <c r="T41" s="31">
        <v>2</v>
      </c>
      <c r="U41" s="31">
        <v>10</v>
      </c>
      <c r="V41" s="31">
        <v>0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233</v>
      </c>
      <c r="E42" s="19">
        <v>111</v>
      </c>
      <c r="F42" s="19">
        <v>122</v>
      </c>
      <c r="G42" s="19">
        <v>0</v>
      </c>
      <c r="H42" s="19">
        <v>0</v>
      </c>
      <c r="I42" s="19">
        <v>1</v>
      </c>
      <c r="J42" s="19">
        <v>0</v>
      </c>
      <c r="K42" s="19">
        <v>55</v>
      </c>
      <c r="L42" s="19">
        <v>42</v>
      </c>
      <c r="M42" s="19">
        <v>6</v>
      </c>
      <c r="N42" s="19">
        <v>2</v>
      </c>
      <c r="O42" s="19">
        <v>16</v>
      </c>
      <c r="P42" s="19">
        <v>57</v>
      </c>
      <c r="Q42" s="19">
        <v>23</v>
      </c>
      <c r="R42" s="19">
        <v>21</v>
      </c>
      <c r="S42" s="19">
        <v>0</v>
      </c>
      <c r="T42" s="19">
        <v>0</v>
      </c>
      <c r="U42" s="19">
        <v>10</v>
      </c>
      <c r="V42" s="19">
        <v>0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76</v>
      </c>
      <c r="E43" s="19">
        <v>28</v>
      </c>
      <c r="F43" s="19">
        <v>48</v>
      </c>
      <c r="G43" s="19">
        <v>0</v>
      </c>
      <c r="H43" s="19">
        <v>0</v>
      </c>
      <c r="I43" s="19">
        <v>1</v>
      </c>
      <c r="J43" s="19">
        <v>0</v>
      </c>
      <c r="K43" s="19">
        <v>20</v>
      </c>
      <c r="L43" s="19">
        <v>19</v>
      </c>
      <c r="M43" s="19">
        <v>0</v>
      </c>
      <c r="N43" s="19">
        <v>2</v>
      </c>
      <c r="O43" s="19">
        <v>2</v>
      </c>
      <c r="P43" s="19">
        <v>24</v>
      </c>
      <c r="Q43" s="19">
        <v>4</v>
      </c>
      <c r="R43" s="19">
        <v>1</v>
      </c>
      <c r="S43" s="19">
        <v>1</v>
      </c>
      <c r="T43" s="19">
        <v>2</v>
      </c>
      <c r="U43" s="19">
        <v>0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295</v>
      </c>
      <c r="E44" s="31">
        <v>128</v>
      </c>
      <c r="F44" s="31">
        <v>167</v>
      </c>
      <c r="G44" s="31">
        <v>1</v>
      </c>
      <c r="H44" s="31">
        <v>0</v>
      </c>
      <c r="I44" s="31">
        <v>1</v>
      </c>
      <c r="J44" s="31">
        <v>2</v>
      </c>
      <c r="K44" s="31">
        <v>66</v>
      </c>
      <c r="L44" s="31">
        <v>57</v>
      </c>
      <c r="M44" s="31">
        <v>8</v>
      </c>
      <c r="N44" s="31">
        <v>6</v>
      </c>
      <c r="O44" s="31">
        <v>25</v>
      </c>
      <c r="P44" s="31">
        <v>83</v>
      </c>
      <c r="Q44" s="31">
        <v>12</v>
      </c>
      <c r="R44" s="31">
        <v>15</v>
      </c>
      <c r="S44" s="31">
        <v>1</v>
      </c>
      <c r="T44" s="31">
        <v>3</v>
      </c>
      <c r="U44" s="31">
        <v>14</v>
      </c>
      <c r="V44" s="31">
        <v>1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287</v>
      </c>
      <c r="E45" s="19">
        <v>124</v>
      </c>
      <c r="F45" s="19">
        <v>163</v>
      </c>
      <c r="G45" s="19">
        <v>1</v>
      </c>
      <c r="H45" s="19">
        <v>0</v>
      </c>
      <c r="I45" s="19">
        <v>1</v>
      </c>
      <c r="J45" s="19">
        <v>2</v>
      </c>
      <c r="K45" s="19">
        <v>65</v>
      </c>
      <c r="L45" s="19">
        <v>57</v>
      </c>
      <c r="M45" s="19">
        <v>8</v>
      </c>
      <c r="N45" s="19">
        <v>5</v>
      </c>
      <c r="O45" s="19">
        <v>22</v>
      </c>
      <c r="P45" s="19">
        <v>81</v>
      </c>
      <c r="Q45" s="19">
        <v>12</v>
      </c>
      <c r="R45" s="19">
        <v>14</v>
      </c>
      <c r="S45" s="19">
        <v>1</v>
      </c>
      <c r="T45" s="19">
        <v>3</v>
      </c>
      <c r="U45" s="19">
        <v>14</v>
      </c>
      <c r="V45" s="19">
        <v>1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8</v>
      </c>
      <c r="E46" s="19">
        <v>4</v>
      </c>
      <c r="F46" s="19">
        <v>4</v>
      </c>
      <c r="G46" s="19">
        <v>0</v>
      </c>
      <c r="H46" s="19">
        <v>0</v>
      </c>
      <c r="I46" s="19">
        <v>0</v>
      </c>
      <c r="J46" s="19">
        <v>0</v>
      </c>
      <c r="K46" s="19">
        <v>1</v>
      </c>
      <c r="L46" s="19">
        <v>0</v>
      </c>
      <c r="M46" s="19">
        <v>0</v>
      </c>
      <c r="N46" s="19">
        <v>1</v>
      </c>
      <c r="O46" s="19">
        <v>3</v>
      </c>
      <c r="P46" s="19">
        <v>2</v>
      </c>
      <c r="Q46" s="19">
        <v>0</v>
      </c>
      <c r="R46" s="19">
        <v>1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168</v>
      </c>
      <c r="E47" s="31">
        <v>54</v>
      </c>
      <c r="F47" s="31">
        <v>114</v>
      </c>
      <c r="G47" s="31">
        <v>0</v>
      </c>
      <c r="H47" s="31">
        <v>1</v>
      </c>
      <c r="I47" s="31">
        <v>1</v>
      </c>
      <c r="J47" s="31">
        <v>0</v>
      </c>
      <c r="K47" s="31">
        <v>26</v>
      </c>
      <c r="L47" s="31">
        <v>37</v>
      </c>
      <c r="M47" s="31">
        <v>1</v>
      </c>
      <c r="N47" s="31">
        <v>3</v>
      </c>
      <c r="O47" s="31">
        <v>6</v>
      </c>
      <c r="P47" s="31">
        <v>52</v>
      </c>
      <c r="Q47" s="31">
        <v>12</v>
      </c>
      <c r="R47" s="31">
        <v>16</v>
      </c>
      <c r="S47" s="31">
        <v>3</v>
      </c>
      <c r="T47" s="31">
        <v>2</v>
      </c>
      <c r="U47" s="31">
        <v>5</v>
      </c>
      <c r="V47" s="31">
        <v>3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158</v>
      </c>
      <c r="E48" s="19">
        <v>53</v>
      </c>
      <c r="F48" s="19">
        <v>105</v>
      </c>
      <c r="G48" s="19">
        <v>0</v>
      </c>
      <c r="H48" s="19">
        <v>1</v>
      </c>
      <c r="I48" s="19">
        <v>1</v>
      </c>
      <c r="J48" s="19">
        <v>0</v>
      </c>
      <c r="K48" s="19">
        <v>26</v>
      </c>
      <c r="L48" s="19">
        <v>36</v>
      </c>
      <c r="M48" s="19">
        <v>1</v>
      </c>
      <c r="N48" s="19">
        <v>3</v>
      </c>
      <c r="O48" s="19">
        <v>6</v>
      </c>
      <c r="P48" s="19">
        <v>46</v>
      </c>
      <c r="Q48" s="19">
        <v>11</v>
      </c>
      <c r="R48" s="19">
        <v>15</v>
      </c>
      <c r="S48" s="19">
        <v>3</v>
      </c>
      <c r="T48" s="19">
        <v>2</v>
      </c>
      <c r="U48" s="19">
        <v>5</v>
      </c>
      <c r="V48" s="19">
        <v>2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10</v>
      </c>
      <c r="E49" s="19">
        <v>1</v>
      </c>
      <c r="F49" s="19">
        <v>9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1</v>
      </c>
      <c r="M49" s="19">
        <v>0</v>
      </c>
      <c r="N49" s="19">
        <v>0</v>
      </c>
      <c r="O49" s="19">
        <v>0</v>
      </c>
      <c r="P49" s="19">
        <v>6</v>
      </c>
      <c r="Q49" s="19">
        <v>1</v>
      </c>
      <c r="R49" s="19">
        <v>1</v>
      </c>
      <c r="S49" s="19">
        <v>0</v>
      </c>
      <c r="T49" s="19">
        <v>0</v>
      </c>
      <c r="U49" s="19">
        <v>0</v>
      </c>
      <c r="V49" s="19">
        <v>1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446</v>
      </c>
      <c r="E50" s="31">
        <v>203</v>
      </c>
      <c r="F50" s="31">
        <v>243</v>
      </c>
      <c r="G50" s="31">
        <v>1</v>
      </c>
      <c r="H50" s="31">
        <v>0</v>
      </c>
      <c r="I50" s="31">
        <v>0</v>
      </c>
      <c r="J50" s="31">
        <v>0</v>
      </c>
      <c r="K50" s="31">
        <v>96</v>
      </c>
      <c r="L50" s="31">
        <v>87</v>
      </c>
      <c r="M50" s="31">
        <v>10</v>
      </c>
      <c r="N50" s="31">
        <v>5</v>
      </c>
      <c r="O50" s="31">
        <v>33</v>
      </c>
      <c r="P50" s="31">
        <v>115</v>
      </c>
      <c r="Q50" s="31">
        <v>24</v>
      </c>
      <c r="R50" s="31">
        <v>25</v>
      </c>
      <c r="S50" s="31">
        <v>7</v>
      </c>
      <c r="T50" s="31">
        <v>4</v>
      </c>
      <c r="U50" s="31">
        <v>32</v>
      </c>
      <c r="V50" s="31">
        <v>7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356</v>
      </c>
      <c r="E51" s="19">
        <v>159</v>
      </c>
      <c r="F51" s="19">
        <v>197</v>
      </c>
      <c r="G51" s="19">
        <v>1</v>
      </c>
      <c r="H51" s="19">
        <v>0</v>
      </c>
      <c r="I51" s="19">
        <v>0</v>
      </c>
      <c r="J51" s="19">
        <v>0</v>
      </c>
      <c r="K51" s="19">
        <v>73</v>
      </c>
      <c r="L51" s="19">
        <v>75</v>
      </c>
      <c r="M51" s="19">
        <v>9</v>
      </c>
      <c r="N51" s="19">
        <v>5</v>
      </c>
      <c r="O51" s="19">
        <v>24</v>
      </c>
      <c r="P51" s="19">
        <v>92</v>
      </c>
      <c r="Q51" s="19">
        <v>16</v>
      </c>
      <c r="R51" s="19">
        <v>15</v>
      </c>
      <c r="S51" s="19">
        <v>5</v>
      </c>
      <c r="T51" s="19">
        <v>3</v>
      </c>
      <c r="U51" s="19">
        <v>31</v>
      </c>
      <c r="V51" s="19">
        <v>7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90</v>
      </c>
      <c r="E52" s="19">
        <v>44</v>
      </c>
      <c r="F52" s="19">
        <v>46</v>
      </c>
      <c r="G52" s="19">
        <v>0</v>
      </c>
      <c r="H52" s="19">
        <v>0</v>
      </c>
      <c r="I52" s="19">
        <v>0</v>
      </c>
      <c r="J52" s="19">
        <v>0</v>
      </c>
      <c r="K52" s="19">
        <v>23</v>
      </c>
      <c r="L52" s="19">
        <v>12</v>
      </c>
      <c r="M52" s="19">
        <v>1</v>
      </c>
      <c r="N52" s="19">
        <v>0</v>
      </c>
      <c r="O52" s="19">
        <v>9</v>
      </c>
      <c r="P52" s="19">
        <v>23</v>
      </c>
      <c r="Q52" s="19">
        <v>8</v>
      </c>
      <c r="R52" s="19">
        <v>10</v>
      </c>
      <c r="S52" s="19">
        <v>2</v>
      </c>
      <c r="T52" s="19">
        <v>1</v>
      </c>
      <c r="U52" s="19">
        <v>1</v>
      </c>
      <c r="V52" s="19">
        <v>0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265</v>
      </c>
      <c r="E53" s="31">
        <v>119</v>
      </c>
      <c r="F53" s="31">
        <v>146</v>
      </c>
      <c r="G53" s="31">
        <v>1</v>
      </c>
      <c r="H53" s="31">
        <v>1</v>
      </c>
      <c r="I53" s="31">
        <v>0</v>
      </c>
      <c r="J53" s="31">
        <v>0</v>
      </c>
      <c r="K53" s="31">
        <v>70</v>
      </c>
      <c r="L53" s="31">
        <v>60</v>
      </c>
      <c r="M53" s="31">
        <v>3</v>
      </c>
      <c r="N53" s="31">
        <v>4</v>
      </c>
      <c r="O53" s="31">
        <v>24</v>
      </c>
      <c r="P53" s="31">
        <v>65</v>
      </c>
      <c r="Q53" s="31">
        <v>15</v>
      </c>
      <c r="R53" s="31">
        <v>13</v>
      </c>
      <c r="S53" s="31">
        <v>4</v>
      </c>
      <c r="T53" s="31">
        <v>1</v>
      </c>
      <c r="U53" s="31">
        <v>2</v>
      </c>
      <c r="V53" s="31">
        <v>2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113</v>
      </c>
      <c r="E54" s="19">
        <v>50</v>
      </c>
      <c r="F54" s="19">
        <v>63</v>
      </c>
      <c r="G54" s="19">
        <v>0</v>
      </c>
      <c r="H54" s="19">
        <v>0</v>
      </c>
      <c r="I54" s="19">
        <v>0</v>
      </c>
      <c r="J54" s="19">
        <v>0</v>
      </c>
      <c r="K54" s="19">
        <v>34</v>
      </c>
      <c r="L54" s="19">
        <v>27</v>
      </c>
      <c r="M54" s="19">
        <v>3</v>
      </c>
      <c r="N54" s="19">
        <v>4</v>
      </c>
      <c r="O54" s="19">
        <v>5</v>
      </c>
      <c r="P54" s="19">
        <v>26</v>
      </c>
      <c r="Q54" s="19">
        <v>6</v>
      </c>
      <c r="R54" s="19">
        <v>5</v>
      </c>
      <c r="S54" s="19">
        <v>1</v>
      </c>
      <c r="T54" s="19">
        <v>0</v>
      </c>
      <c r="U54" s="19">
        <v>1</v>
      </c>
      <c r="V54" s="19">
        <v>1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152</v>
      </c>
      <c r="E55" s="19">
        <v>69</v>
      </c>
      <c r="F55" s="19">
        <v>83</v>
      </c>
      <c r="G55" s="19">
        <v>1</v>
      </c>
      <c r="H55" s="19">
        <v>1</v>
      </c>
      <c r="I55" s="19">
        <v>0</v>
      </c>
      <c r="J55" s="19">
        <v>0</v>
      </c>
      <c r="K55" s="19">
        <v>36</v>
      </c>
      <c r="L55" s="19">
        <v>33</v>
      </c>
      <c r="M55" s="19">
        <v>0</v>
      </c>
      <c r="N55" s="19">
        <v>0</v>
      </c>
      <c r="O55" s="19">
        <v>19</v>
      </c>
      <c r="P55" s="19">
        <v>39</v>
      </c>
      <c r="Q55" s="19">
        <v>9</v>
      </c>
      <c r="R55" s="19">
        <v>8</v>
      </c>
      <c r="S55" s="19">
        <v>3</v>
      </c>
      <c r="T55" s="19">
        <v>1</v>
      </c>
      <c r="U55" s="19">
        <v>1</v>
      </c>
      <c r="V55" s="19">
        <v>1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272</v>
      </c>
      <c r="E56" s="31">
        <v>132</v>
      </c>
      <c r="F56" s="31">
        <v>140</v>
      </c>
      <c r="G56" s="31">
        <v>0</v>
      </c>
      <c r="H56" s="31">
        <v>0</v>
      </c>
      <c r="I56" s="31">
        <v>0</v>
      </c>
      <c r="J56" s="31">
        <v>0</v>
      </c>
      <c r="K56" s="31">
        <v>59</v>
      </c>
      <c r="L56" s="31">
        <v>37</v>
      </c>
      <c r="M56" s="31">
        <v>5</v>
      </c>
      <c r="N56" s="31">
        <v>1</v>
      </c>
      <c r="O56" s="31">
        <v>34</v>
      </c>
      <c r="P56" s="31">
        <v>82</v>
      </c>
      <c r="Q56" s="31">
        <v>31</v>
      </c>
      <c r="R56" s="31">
        <v>18</v>
      </c>
      <c r="S56" s="31">
        <v>0</v>
      </c>
      <c r="T56" s="31">
        <v>0</v>
      </c>
      <c r="U56" s="31">
        <v>3</v>
      </c>
      <c r="V56" s="31">
        <v>2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98</v>
      </c>
      <c r="E57" s="19">
        <v>47</v>
      </c>
      <c r="F57" s="19">
        <v>51</v>
      </c>
      <c r="G57" s="19">
        <v>0</v>
      </c>
      <c r="H57" s="19">
        <v>0</v>
      </c>
      <c r="I57" s="19">
        <v>0</v>
      </c>
      <c r="J57" s="19">
        <v>0</v>
      </c>
      <c r="K57" s="19">
        <v>19</v>
      </c>
      <c r="L57" s="19">
        <v>20</v>
      </c>
      <c r="M57" s="19">
        <v>4</v>
      </c>
      <c r="N57" s="19">
        <v>1</v>
      </c>
      <c r="O57" s="19">
        <v>15</v>
      </c>
      <c r="P57" s="19">
        <v>27</v>
      </c>
      <c r="Q57" s="19">
        <v>9</v>
      </c>
      <c r="R57" s="19">
        <v>1</v>
      </c>
      <c r="S57" s="19">
        <v>0</v>
      </c>
      <c r="T57" s="19">
        <v>0</v>
      </c>
      <c r="U57" s="19">
        <v>0</v>
      </c>
      <c r="V57" s="19">
        <v>2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174</v>
      </c>
      <c r="E58" s="19">
        <v>85</v>
      </c>
      <c r="F58" s="19">
        <v>89</v>
      </c>
      <c r="G58" s="19">
        <v>0</v>
      </c>
      <c r="H58" s="19">
        <v>0</v>
      </c>
      <c r="I58" s="19">
        <v>0</v>
      </c>
      <c r="J58" s="19">
        <v>0</v>
      </c>
      <c r="K58" s="19">
        <v>40</v>
      </c>
      <c r="L58" s="19">
        <v>17</v>
      </c>
      <c r="M58" s="19">
        <v>1</v>
      </c>
      <c r="N58" s="19">
        <v>0</v>
      </c>
      <c r="O58" s="19">
        <v>19</v>
      </c>
      <c r="P58" s="19">
        <v>55</v>
      </c>
      <c r="Q58" s="19">
        <v>22</v>
      </c>
      <c r="R58" s="19">
        <v>17</v>
      </c>
      <c r="S58" s="19">
        <v>0</v>
      </c>
      <c r="T58" s="19">
        <v>0</v>
      </c>
      <c r="U58" s="19">
        <v>3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22</v>
      </c>
      <c r="E59" s="31">
        <v>2</v>
      </c>
      <c r="F59" s="31">
        <v>20</v>
      </c>
      <c r="G59" s="31">
        <v>0</v>
      </c>
      <c r="H59" s="31">
        <v>0</v>
      </c>
      <c r="I59" s="31">
        <v>0</v>
      </c>
      <c r="J59" s="31">
        <v>0</v>
      </c>
      <c r="K59" s="31">
        <v>2</v>
      </c>
      <c r="L59" s="31">
        <v>5</v>
      </c>
      <c r="M59" s="31">
        <v>0</v>
      </c>
      <c r="N59" s="31">
        <v>0</v>
      </c>
      <c r="O59" s="31">
        <v>0</v>
      </c>
      <c r="P59" s="31">
        <v>15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21</v>
      </c>
      <c r="E60" s="19">
        <v>2</v>
      </c>
      <c r="F60" s="19">
        <v>19</v>
      </c>
      <c r="G60" s="19">
        <v>0</v>
      </c>
      <c r="H60" s="19">
        <v>0</v>
      </c>
      <c r="I60" s="19">
        <v>0</v>
      </c>
      <c r="J60" s="19">
        <v>0</v>
      </c>
      <c r="K60" s="19">
        <v>2</v>
      </c>
      <c r="L60" s="19">
        <v>5</v>
      </c>
      <c r="M60" s="19">
        <v>0</v>
      </c>
      <c r="N60" s="19">
        <v>0</v>
      </c>
      <c r="O60" s="19">
        <v>0</v>
      </c>
      <c r="P60" s="19">
        <v>14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1</v>
      </c>
      <c r="E61" s="19">
        <v>0</v>
      </c>
      <c r="F61" s="19">
        <v>1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1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214</v>
      </c>
      <c r="E62" s="31">
        <v>91</v>
      </c>
      <c r="F62" s="31">
        <v>123</v>
      </c>
      <c r="G62" s="31">
        <v>0</v>
      </c>
      <c r="H62" s="31">
        <v>0</v>
      </c>
      <c r="I62" s="31">
        <v>0</v>
      </c>
      <c r="J62" s="31">
        <v>0</v>
      </c>
      <c r="K62" s="31">
        <v>52</v>
      </c>
      <c r="L62" s="31">
        <v>50</v>
      </c>
      <c r="M62" s="31">
        <v>6</v>
      </c>
      <c r="N62" s="31">
        <v>3</v>
      </c>
      <c r="O62" s="31">
        <v>18</v>
      </c>
      <c r="P62" s="31">
        <v>62</v>
      </c>
      <c r="Q62" s="31">
        <v>6</v>
      </c>
      <c r="R62" s="31">
        <v>7</v>
      </c>
      <c r="S62" s="31">
        <v>2</v>
      </c>
      <c r="T62" s="31">
        <v>1</v>
      </c>
      <c r="U62" s="31">
        <v>7</v>
      </c>
      <c r="V62" s="31">
        <v>0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192</v>
      </c>
      <c r="E63" s="19">
        <v>83</v>
      </c>
      <c r="F63" s="19">
        <v>109</v>
      </c>
      <c r="G63" s="19">
        <v>0</v>
      </c>
      <c r="H63" s="19">
        <v>0</v>
      </c>
      <c r="I63" s="19">
        <v>0</v>
      </c>
      <c r="J63" s="19">
        <v>0</v>
      </c>
      <c r="K63" s="19">
        <v>46</v>
      </c>
      <c r="L63" s="19">
        <v>44</v>
      </c>
      <c r="M63" s="19">
        <v>6</v>
      </c>
      <c r="N63" s="19">
        <v>2</v>
      </c>
      <c r="O63" s="19">
        <v>16</v>
      </c>
      <c r="P63" s="19">
        <v>55</v>
      </c>
      <c r="Q63" s="19">
        <v>6</v>
      </c>
      <c r="R63" s="19">
        <v>7</v>
      </c>
      <c r="S63" s="19">
        <v>2</v>
      </c>
      <c r="T63" s="19">
        <v>1</v>
      </c>
      <c r="U63" s="19">
        <v>7</v>
      </c>
      <c r="V63" s="19">
        <v>0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22</v>
      </c>
      <c r="E64" s="19">
        <v>8</v>
      </c>
      <c r="F64" s="19">
        <v>14</v>
      </c>
      <c r="G64" s="19">
        <v>0</v>
      </c>
      <c r="H64" s="19">
        <v>0</v>
      </c>
      <c r="I64" s="19">
        <v>0</v>
      </c>
      <c r="J64" s="19">
        <v>0</v>
      </c>
      <c r="K64" s="19">
        <v>6</v>
      </c>
      <c r="L64" s="19">
        <v>6</v>
      </c>
      <c r="M64" s="19">
        <v>0</v>
      </c>
      <c r="N64" s="19">
        <v>1</v>
      </c>
      <c r="O64" s="19">
        <v>2</v>
      </c>
      <c r="P64" s="19">
        <v>7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294</v>
      </c>
      <c r="E65" s="31">
        <v>129</v>
      </c>
      <c r="F65" s="31">
        <v>165</v>
      </c>
      <c r="G65" s="31">
        <v>3</v>
      </c>
      <c r="H65" s="31">
        <v>1</v>
      </c>
      <c r="I65" s="31">
        <v>1</v>
      </c>
      <c r="J65" s="31">
        <v>1</v>
      </c>
      <c r="K65" s="31">
        <v>53</v>
      </c>
      <c r="L65" s="31">
        <v>38</v>
      </c>
      <c r="M65" s="31">
        <v>4</v>
      </c>
      <c r="N65" s="31">
        <v>6</v>
      </c>
      <c r="O65" s="31">
        <v>22</v>
      </c>
      <c r="P65" s="31">
        <v>83</v>
      </c>
      <c r="Q65" s="31">
        <v>45</v>
      </c>
      <c r="R65" s="31">
        <v>30</v>
      </c>
      <c r="S65" s="31">
        <v>1</v>
      </c>
      <c r="T65" s="31">
        <v>2</v>
      </c>
      <c r="U65" s="31">
        <v>0</v>
      </c>
      <c r="V65" s="31">
        <v>4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265</v>
      </c>
      <c r="E66" s="19">
        <v>117</v>
      </c>
      <c r="F66" s="19">
        <v>148</v>
      </c>
      <c r="G66" s="19">
        <v>3</v>
      </c>
      <c r="H66" s="19">
        <v>0</v>
      </c>
      <c r="I66" s="19">
        <v>1</v>
      </c>
      <c r="J66" s="19">
        <v>0</v>
      </c>
      <c r="K66" s="19">
        <v>49</v>
      </c>
      <c r="L66" s="19">
        <v>35</v>
      </c>
      <c r="M66" s="19">
        <v>4</v>
      </c>
      <c r="N66" s="19">
        <v>6</v>
      </c>
      <c r="O66" s="19">
        <v>19</v>
      </c>
      <c r="P66" s="19">
        <v>77</v>
      </c>
      <c r="Q66" s="19">
        <v>40</v>
      </c>
      <c r="R66" s="19">
        <v>24</v>
      </c>
      <c r="S66" s="19">
        <v>1</v>
      </c>
      <c r="T66" s="19">
        <v>2</v>
      </c>
      <c r="U66" s="19">
        <v>0</v>
      </c>
      <c r="V66" s="19">
        <v>4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29</v>
      </c>
      <c r="E67" s="19">
        <v>12</v>
      </c>
      <c r="F67" s="19">
        <v>17</v>
      </c>
      <c r="G67" s="19">
        <v>0</v>
      </c>
      <c r="H67" s="19">
        <v>1</v>
      </c>
      <c r="I67" s="19">
        <v>0</v>
      </c>
      <c r="J67" s="19">
        <v>1</v>
      </c>
      <c r="K67" s="19">
        <v>4</v>
      </c>
      <c r="L67" s="19">
        <v>3</v>
      </c>
      <c r="M67" s="19">
        <v>0</v>
      </c>
      <c r="N67" s="19">
        <v>0</v>
      </c>
      <c r="O67" s="19">
        <v>3</v>
      </c>
      <c r="P67" s="19">
        <v>6</v>
      </c>
      <c r="Q67" s="19">
        <v>5</v>
      </c>
      <c r="R67" s="19">
        <v>6</v>
      </c>
      <c r="S67" s="19">
        <v>0</v>
      </c>
      <c r="T67" s="19">
        <v>0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117</v>
      </c>
      <c r="E68" s="31">
        <v>48</v>
      </c>
      <c r="F68" s="31">
        <v>69</v>
      </c>
      <c r="G68" s="31">
        <v>0</v>
      </c>
      <c r="H68" s="31">
        <v>0</v>
      </c>
      <c r="I68" s="31">
        <v>0</v>
      </c>
      <c r="J68" s="31">
        <v>0</v>
      </c>
      <c r="K68" s="31">
        <v>26</v>
      </c>
      <c r="L68" s="31">
        <v>21</v>
      </c>
      <c r="M68" s="31">
        <v>7</v>
      </c>
      <c r="N68" s="31">
        <v>4</v>
      </c>
      <c r="O68" s="31">
        <v>4</v>
      </c>
      <c r="P68" s="31">
        <v>25</v>
      </c>
      <c r="Q68" s="31">
        <v>7</v>
      </c>
      <c r="R68" s="31">
        <v>12</v>
      </c>
      <c r="S68" s="31">
        <v>3</v>
      </c>
      <c r="T68" s="31">
        <v>5</v>
      </c>
      <c r="U68" s="31">
        <v>1</v>
      </c>
      <c r="V68" s="31">
        <v>2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113</v>
      </c>
      <c r="E69" s="19">
        <v>46</v>
      </c>
      <c r="F69" s="19">
        <v>67</v>
      </c>
      <c r="G69" s="19">
        <v>0</v>
      </c>
      <c r="H69" s="19">
        <v>0</v>
      </c>
      <c r="I69" s="19">
        <v>0</v>
      </c>
      <c r="J69" s="19">
        <v>0</v>
      </c>
      <c r="K69" s="19">
        <v>24</v>
      </c>
      <c r="L69" s="19">
        <v>20</v>
      </c>
      <c r="M69" s="19">
        <v>7</v>
      </c>
      <c r="N69" s="19">
        <v>3</v>
      </c>
      <c r="O69" s="19">
        <v>4</v>
      </c>
      <c r="P69" s="19">
        <v>25</v>
      </c>
      <c r="Q69" s="19">
        <v>7</v>
      </c>
      <c r="R69" s="19">
        <v>12</v>
      </c>
      <c r="S69" s="19">
        <v>3</v>
      </c>
      <c r="T69" s="19">
        <v>5</v>
      </c>
      <c r="U69" s="19">
        <v>1</v>
      </c>
      <c r="V69" s="19">
        <v>2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4</v>
      </c>
      <c r="E70" s="19">
        <v>2</v>
      </c>
      <c r="F70" s="19">
        <v>2</v>
      </c>
      <c r="G70" s="19">
        <v>0</v>
      </c>
      <c r="H70" s="19">
        <v>0</v>
      </c>
      <c r="I70" s="19">
        <v>0</v>
      </c>
      <c r="J70" s="19">
        <v>0</v>
      </c>
      <c r="K70" s="19">
        <v>2</v>
      </c>
      <c r="L70" s="19">
        <v>1</v>
      </c>
      <c r="M70" s="19">
        <v>0</v>
      </c>
      <c r="N70" s="19">
        <v>1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33</v>
      </c>
      <c r="E71" s="31">
        <v>14</v>
      </c>
      <c r="F71" s="31">
        <v>19</v>
      </c>
      <c r="G71" s="31">
        <v>0</v>
      </c>
      <c r="H71" s="31">
        <v>0</v>
      </c>
      <c r="I71" s="31">
        <v>0</v>
      </c>
      <c r="J71" s="31">
        <v>0</v>
      </c>
      <c r="K71" s="31">
        <v>13</v>
      </c>
      <c r="L71" s="31">
        <v>6</v>
      </c>
      <c r="M71" s="31">
        <v>1</v>
      </c>
      <c r="N71" s="31">
        <v>3</v>
      </c>
      <c r="O71" s="31">
        <v>0</v>
      </c>
      <c r="P71" s="31">
        <v>5</v>
      </c>
      <c r="Q71" s="31">
        <v>0</v>
      </c>
      <c r="R71" s="31">
        <v>5</v>
      </c>
      <c r="S71" s="31">
        <v>0</v>
      </c>
      <c r="T71" s="31">
        <v>0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32</v>
      </c>
      <c r="E72" s="19">
        <v>13</v>
      </c>
      <c r="F72" s="19">
        <v>19</v>
      </c>
      <c r="G72" s="19">
        <v>0</v>
      </c>
      <c r="H72" s="19">
        <v>0</v>
      </c>
      <c r="I72" s="19">
        <v>0</v>
      </c>
      <c r="J72" s="19">
        <v>0</v>
      </c>
      <c r="K72" s="19">
        <v>12</v>
      </c>
      <c r="L72" s="19">
        <v>6</v>
      </c>
      <c r="M72" s="19">
        <v>1</v>
      </c>
      <c r="N72" s="19">
        <v>3</v>
      </c>
      <c r="O72" s="19">
        <v>0</v>
      </c>
      <c r="P72" s="19">
        <v>5</v>
      </c>
      <c r="Q72" s="19">
        <v>0</v>
      </c>
      <c r="R72" s="19">
        <v>5</v>
      </c>
      <c r="S72" s="19">
        <v>0</v>
      </c>
      <c r="T72" s="19">
        <v>0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1</v>
      </c>
      <c r="E73" s="19">
        <v>1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1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7</v>
      </c>
      <c r="E74" s="31">
        <v>4</v>
      </c>
      <c r="F74" s="31">
        <v>3</v>
      </c>
      <c r="G74" s="31">
        <v>0</v>
      </c>
      <c r="H74" s="31">
        <v>0</v>
      </c>
      <c r="I74" s="31">
        <v>0</v>
      </c>
      <c r="J74" s="31">
        <v>0</v>
      </c>
      <c r="K74" s="31">
        <v>4</v>
      </c>
      <c r="L74" s="31">
        <v>2</v>
      </c>
      <c r="M74" s="31">
        <v>0</v>
      </c>
      <c r="N74" s="31">
        <v>0</v>
      </c>
      <c r="O74" s="31">
        <v>0</v>
      </c>
      <c r="P74" s="31">
        <v>1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6</v>
      </c>
      <c r="E75" s="19">
        <v>4</v>
      </c>
      <c r="F75" s="19">
        <v>2</v>
      </c>
      <c r="G75" s="19">
        <v>0</v>
      </c>
      <c r="H75" s="19">
        <v>0</v>
      </c>
      <c r="I75" s="19">
        <v>0</v>
      </c>
      <c r="J75" s="19">
        <v>0</v>
      </c>
      <c r="K75" s="19">
        <v>4</v>
      </c>
      <c r="L75" s="19">
        <v>1</v>
      </c>
      <c r="M75" s="19">
        <v>0</v>
      </c>
      <c r="N75" s="19">
        <v>0</v>
      </c>
      <c r="O75" s="19">
        <v>0</v>
      </c>
      <c r="P75" s="19">
        <v>1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1</v>
      </c>
      <c r="E76" s="39">
        <v>0</v>
      </c>
      <c r="F76" s="39">
        <v>1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1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3" t="s">
        <v>85</v>
      </c>
    </row>
    <row r="78" spans="1:22" ht="14.25" customHeight="1" x14ac:dyDescent="0.2"/>
    <row r="79" spans="1:22" ht="14.25" customHeight="1" x14ac:dyDescent="0.2">
      <c r="A79" s="40" t="s">
        <v>29</v>
      </c>
    </row>
    <row r="80" spans="1:22" ht="14.25" customHeight="1" x14ac:dyDescent="0.2">
      <c r="A80" s="66" t="s">
        <v>147</v>
      </c>
    </row>
  </sheetData>
  <mergeCells count="36">
    <mergeCell ref="A15:A16"/>
    <mergeCell ref="A4:C7"/>
    <mergeCell ref="D4:V4"/>
    <mergeCell ref="D5:F6"/>
    <mergeCell ref="G5:J5"/>
    <mergeCell ref="K5:R5"/>
    <mergeCell ref="S5:T6"/>
    <mergeCell ref="U5:V6"/>
    <mergeCell ref="G6:H6"/>
    <mergeCell ref="I6:J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0"/>
  <sheetViews>
    <sheetView workbookViewId="0">
      <pane xSplit="4" ySplit="8" topLeftCell="E9" activePane="bottomRight" state="frozen"/>
      <selection pane="topRight"/>
      <selection pane="bottomLeft"/>
      <selection pane="bottomRight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27" width="5.5" style="3" customWidth="1"/>
    <col min="28" max="16384" width="5.5" style="3"/>
  </cols>
  <sheetData>
    <row r="1" spans="1:26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6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6" s="6" customFormat="1" ht="12.75" customHeight="1" x14ac:dyDescent="0.2">
      <c r="A3" s="63" t="s">
        <v>137</v>
      </c>
      <c r="B3" s="27"/>
      <c r="C3" s="27"/>
      <c r="S3" s="7"/>
      <c r="T3" s="7"/>
      <c r="U3" s="7"/>
      <c r="V3" s="7"/>
    </row>
    <row r="4" spans="1:26" s="9" customFormat="1" ht="24.75" customHeight="1" x14ac:dyDescent="0.2">
      <c r="A4" s="102" t="s">
        <v>33</v>
      </c>
      <c r="B4" s="102"/>
      <c r="C4" s="102"/>
      <c r="D4" s="109" t="s">
        <v>84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5</v>
      </c>
      <c r="L5" s="106"/>
      <c r="M5" s="106"/>
      <c r="N5" s="106"/>
      <c r="O5" s="106"/>
      <c r="P5" s="106"/>
      <c r="Q5" s="106"/>
      <c r="R5" s="106"/>
      <c r="S5" s="107" t="s">
        <v>6</v>
      </c>
      <c r="T5" s="107"/>
      <c r="U5" s="107" t="s">
        <v>7</v>
      </c>
      <c r="V5" s="107"/>
      <c r="W5" s="100" t="s">
        <v>26</v>
      </c>
      <c r="X5" s="100"/>
      <c r="Y5" s="101" t="s">
        <v>27</v>
      </c>
      <c r="Z5" s="101"/>
    </row>
    <row r="6" spans="1:26" s="9" customFormat="1" ht="39" customHeight="1" x14ac:dyDescent="0.2">
      <c r="A6" s="102"/>
      <c r="B6" s="102"/>
      <c r="C6" s="102"/>
      <c r="D6" s="102"/>
      <c r="E6" s="102"/>
      <c r="F6" s="102"/>
      <c r="G6" s="17" t="s">
        <v>19</v>
      </c>
      <c r="H6" s="18"/>
      <c r="I6" s="17" t="s">
        <v>20</v>
      </c>
      <c r="J6" s="18"/>
      <c r="K6" s="102" t="s">
        <v>8</v>
      </c>
      <c r="L6" s="102"/>
      <c r="M6" s="102" t="s">
        <v>9</v>
      </c>
      <c r="N6" s="102"/>
      <c r="O6" s="102" t="s">
        <v>10</v>
      </c>
      <c r="P6" s="102"/>
      <c r="Q6" s="102" t="s">
        <v>11</v>
      </c>
      <c r="R6" s="102"/>
      <c r="S6" s="107"/>
      <c r="T6" s="107"/>
      <c r="U6" s="107"/>
      <c r="V6" s="107"/>
      <c r="W6" s="100"/>
      <c r="X6" s="100"/>
      <c r="Y6" s="101"/>
      <c r="Z6" s="101"/>
    </row>
    <row r="7" spans="1:26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8" t="s">
        <v>14</v>
      </c>
      <c r="U7" s="8" t="s">
        <v>13</v>
      </c>
      <c r="V7" s="10" t="s">
        <v>14</v>
      </c>
      <c r="W7" s="8" t="s">
        <v>13</v>
      </c>
      <c r="X7" s="10" t="s">
        <v>14</v>
      </c>
      <c r="Y7" s="8" t="s">
        <v>13</v>
      </c>
      <c r="Z7" s="10" t="s">
        <v>14</v>
      </c>
    </row>
    <row r="8" spans="1:26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12610</v>
      </c>
      <c r="E8" s="78">
        <v>5475</v>
      </c>
      <c r="F8" s="78">
        <v>7135</v>
      </c>
      <c r="G8" s="78">
        <v>5</v>
      </c>
      <c r="H8" s="78">
        <v>8</v>
      </c>
      <c r="I8" s="78">
        <v>8</v>
      </c>
      <c r="J8" s="78">
        <v>11</v>
      </c>
      <c r="K8" s="78">
        <v>1841</v>
      </c>
      <c r="L8" s="78">
        <v>1332</v>
      </c>
      <c r="M8" s="78">
        <v>183</v>
      </c>
      <c r="N8" s="78">
        <v>229</v>
      </c>
      <c r="O8" s="78">
        <v>337</v>
      </c>
      <c r="P8" s="78">
        <v>1633</v>
      </c>
      <c r="Q8" s="78">
        <v>644</v>
      </c>
      <c r="R8" s="78">
        <v>588</v>
      </c>
      <c r="S8" s="78">
        <v>801</v>
      </c>
      <c r="T8" s="78">
        <v>536</v>
      </c>
      <c r="U8" s="78">
        <v>62</v>
      </c>
      <c r="V8" s="78">
        <v>67</v>
      </c>
      <c r="W8" s="78">
        <v>343</v>
      </c>
      <c r="X8" s="78">
        <v>156</v>
      </c>
      <c r="Y8" s="78">
        <v>1251</v>
      </c>
      <c r="Z8" s="78">
        <v>2575</v>
      </c>
    </row>
    <row r="9" spans="1:26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11243</v>
      </c>
      <c r="E9" s="82">
        <v>4949</v>
      </c>
      <c r="F9" s="82">
        <v>6294</v>
      </c>
      <c r="G9" s="82">
        <v>5</v>
      </c>
      <c r="H9" s="82">
        <v>8</v>
      </c>
      <c r="I9" s="82">
        <v>7</v>
      </c>
      <c r="J9" s="82">
        <v>10</v>
      </c>
      <c r="K9" s="82">
        <v>1673</v>
      </c>
      <c r="L9" s="82">
        <v>1185</v>
      </c>
      <c r="M9" s="82">
        <v>173</v>
      </c>
      <c r="N9" s="82">
        <v>211</v>
      </c>
      <c r="O9" s="82">
        <v>284</v>
      </c>
      <c r="P9" s="82">
        <v>1414</v>
      </c>
      <c r="Q9" s="82">
        <v>556</v>
      </c>
      <c r="R9" s="82">
        <v>503</v>
      </c>
      <c r="S9" s="82">
        <v>744</v>
      </c>
      <c r="T9" s="82">
        <v>483</v>
      </c>
      <c r="U9" s="82">
        <v>53</v>
      </c>
      <c r="V9" s="82">
        <v>61</v>
      </c>
      <c r="W9" s="82">
        <v>327</v>
      </c>
      <c r="X9" s="82">
        <v>145</v>
      </c>
      <c r="Y9" s="82">
        <v>1127</v>
      </c>
      <c r="Z9" s="82">
        <v>2274</v>
      </c>
    </row>
    <row r="10" spans="1:26" s="79" customFormat="1" ht="14.25" customHeight="1" x14ac:dyDescent="0.2">
      <c r="A10" s="111"/>
      <c r="B10" s="80" t="s">
        <v>152</v>
      </c>
      <c r="C10" s="81" t="s">
        <v>163</v>
      </c>
      <c r="D10" s="82">
        <v>1367</v>
      </c>
      <c r="E10" s="82">
        <v>526</v>
      </c>
      <c r="F10" s="82">
        <v>841</v>
      </c>
      <c r="G10" s="82">
        <v>0</v>
      </c>
      <c r="H10" s="82">
        <v>0</v>
      </c>
      <c r="I10" s="82">
        <v>1</v>
      </c>
      <c r="J10" s="82">
        <v>1</v>
      </c>
      <c r="K10" s="82">
        <v>168</v>
      </c>
      <c r="L10" s="82">
        <v>147</v>
      </c>
      <c r="M10" s="82">
        <v>10</v>
      </c>
      <c r="N10" s="82">
        <v>18</v>
      </c>
      <c r="O10" s="82">
        <v>53</v>
      </c>
      <c r="P10" s="82">
        <v>219</v>
      </c>
      <c r="Q10" s="82">
        <v>88</v>
      </c>
      <c r="R10" s="82">
        <v>85</v>
      </c>
      <c r="S10" s="82">
        <v>57</v>
      </c>
      <c r="T10" s="82">
        <v>53</v>
      </c>
      <c r="U10" s="82">
        <v>9</v>
      </c>
      <c r="V10" s="82">
        <v>6</v>
      </c>
      <c r="W10" s="82">
        <v>16</v>
      </c>
      <c r="X10" s="82">
        <v>11</v>
      </c>
      <c r="Y10" s="82">
        <v>124</v>
      </c>
      <c r="Z10" s="82">
        <v>301</v>
      </c>
    </row>
    <row r="11" spans="1:26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2110</v>
      </c>
      <c r="E11" s="31">
        <v>864</v>
      </c>
      <c r="F11" s="31">
        <v>1246</v>
      </c>
      <c r="G11" s="31">
        <v>2</v>
      </c>
      <c r="H11" s="31">
        <v>0</v>
      </c>
      <c r="I11" s="31">
        <v>0</v>
      </c>
      <c r="J11" s="31">
        <v>0</v>
      </c>
      <c r="K11" s="31">
        <v>351</v>
      </c>
      <c r="L11" s="31">
        <v>279</v>
      </c>
      <c r="M11" s="31">
        <v>34</v>
      </c>
      <c r="N11" s="31">
        <v>44</v>
      </c>
      <c r="O11" s="31">
        <v>62</v>
      </c>
      <c r="P11" s="31">
        <v>335</v>
      </c>
      <c r="Q11" s="31">
        <v>31</v>
      </c>
      <c r="R11" s="31">
        <v>21</v>
      </c>
      <c r="S11" s="31">
        <v>137</v>
      </c>
      <c r="T11" s="31">
        <v>97</v>
      </c>
      <c r="U11" s="31">
        <v>10</v>
      </c>
      <c r="V11" s="31">
        <v>10</v>
      </c>
      <c r="W11" s="31">
        <v>69</v>
      </c>
      <c r="X11" s="31">
        <v>29</v>
      </c>
      <c r="Y11" s="31">
        <v>168</v>
      </c>
      <c r="Z11" s="31">
        <v>431</v>
      </c>
    </row>
    <row r="12" spans="1:26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2015</v>
      </c>
      <c r="E12" s="19">
        <v>831</v>
      </c>
      <c r="F12" s="19">
        <v>1184</v>
      </c>
      <c r="G12" s="19">
        <v>2</v>
      </c>
      <c r="H12" s="19">
        <v>0</v>
      </c>
      <c r="I12" s="19">
        <v>0</v>
      </c>
      <c r="J12" s="19">
        <v>0</v>
      </c>
      <c r="K12" s="19">
        <v>338</v>
      </c>
      <c r="L12" s="19">
        <v>276</v>
      </c>
      <c r="M12" s="19">
        <v>34</v>
      </c>
      <c r="N12" s="19">
        <v>43</v>
      </c>
      <c r="O12" s="19">
        <v>54</v>
      </c>
      <c r="P12" s="19">
        <v>308</v>
      </c>
      <c r="Q12" s="19">
        <v>31</v>
      </c>
      <c r="R12" s="19">
        <v>21</v>
      </c>
      <c r="S12" s="19">
        <v>134</v>
      </c>
      <c r="T12" s="19">
        <v>89</v>
      </c>
      <c r="U12" s="19">
        <v>10</v>
      </c>
      <c r="V12" s="19">
        <v>10</v>
      </c>
      <c r="W12" s="19">
        <v>69</v>
      </c>
      <c r="X12" s="19">
        <v>28</v>
      </c>
      <c r="Y12" s="19">
        <v>159</v>
      </c>
      <c r="Z12" s="19">
        <v>409</v>
      </c>
    </row>
    <row r="13" spans="1:26" s="32" customFormat="1" ht="14.25" customHeight="1" x14ac:dyDescent="0.2">
      <c r="A13" s="108"/>
      <c r="B13" s="33" t="s">
        <v>39</v>
      </c>
      <c r="C13" s="34" t="s">
        <v>163</v>
      </c>
      <c r="D13" s="19">
        <v>95</v>
      </c>
      <c r="E13" s="19">
        <v>33</v>
      </c>
      <c r="F13" s="19">
        <v>62</v>
      </c>
      <c r="G13" s="19">
        <v>0</v>
      </c>
      <c r="H13" s="19">
        <v>0</v>
      </c>
      <c r="I13" s="19">
        <v>0</v>
      </c>
      <c r="J13" s="19">
        <v>0</v>
      </c>
      <c r="K13" s="19">
        <v>13</v>
      </c>
      <c r="L13" s="19">
        <v>3</v>
      </c>
      <c r="M13" s="19">
        <v>0</v>
      </c>
      <c r="N13" s="19">
        <v>1</v>
      </c>
      <c r="O13" s="19">
        <v>8</v>
      </c>
      <c r="P13" s="19">
        <v>27</v>
      </c>
      <c r="Q13" s="19">
        <v>0</v>
      </c>
      <c r="R13" s="19">
        <v>0</v>
      </c>
      <c r="S13" s="19">
        <v>3</v>
      </c>
      <c r="T13" s="19">
        <v>8</v>
      </c>
      <c r="U13" s="19">
        <v>0</v>
      </c>
      <c r="V13" s="19">
        <v>0</v>
      </c>
      <c r="W13" s="19">
        <v>0</v>
      </c>
      <c r="X13" s="19">
        <v>1</v>
      </c>
      <c r="Y13" s="19">
        <v>9</v>
      </c>
      <c r="Z13" s="19">
        <v>22</v>
      </c>
    </row>
    <row r="14" spans="1:26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1020</v>
      </c>
      <c r="E14" s="31">
        <v>489</v>
      </c>
      <c r="F14" s="31">
        <v>531</v>
      </c>
      <c r="G14" s="31">
        <v>0</v>
      </c>
      <c r="H14" s="31">
        <v>2</v>
      </c>
      <c r="I14" s="31">
        <v>2</v>
      </c>
      <c r="J14" s="31">
        <v>3</v>
      </c>
      <c r="K14" s="31">
        <v>214</v>
      </c>
      <c r="L14" s="31">
        <v>141</v>
      </c>
      <c r="M14" s="31">
        <v>10</v>
      </c>
      <c r="N14" s="31">
        <v>22</v>
      </c>
      <c r="O14" s="31">
        <v>34</v>
      </c>
      <c r="P14" s="31">
        <v>115</v>
      </c>
      <c r="Q14" s="31">
        <v>52</v>
      </c>
      <c r="R14" s="31">
        <v>50</v>
      </c>
      <c r="S14" s="31">
        <v>81</v>
      </c>
      <c r="T14" s="31">
        <v>32</v>
      </c>
      <c r="U14" s="31">
        <v>1</v>
      </c>
      <c r="V14" s="31">
        <v>1</v>
      </c>
      <c r="W14" s="31">
        <v>4</v>
      </c>
      <c r="X14" s="31">
        <v>8</v>
      </c>
      <c r="Y14" s="31">
        <v>91</v>
      </c>
      <c r="Z14" s="31">
        <v>157</v>
      </c>
    </row>
    <row r="15" spans="1:26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995</v>
      </c>
      <c r="E15" s="19">
        <v>476</v>
      </c>
      <c r="F15" s="19">
        <v>519</v>
      </c>
      <c r="G15" s="19">
        <v>0</v>
      </c>
      <c r="H15" s="19">
        <v>2</v>
      </c>
      <c r="I15" s="19">
        <v>2</v>
      </c>
      <c r="J15" s="19">
        <v>3</v>
      </c>
      <c r="K15" s="19">
        <v>207</v>
      </c>
      <c r="L15" s="19">
        <v>139</v>
      </c>
      <c r="M15" s="19">
        <v>10</v>
      </c>
      <c r="N15" s="19">
        <v>22</v>
      </c>
      <c r="O15" s="19">
        <v>33</v>
      </c>
      <c r="P15" s="19">
        <v>110</v>
      </c>
      <c r="Q15" s="19">
        <v>50</v>
      </c>
      <c r="R15" s="19">
        <v>48</v>
      </c>
      <c r="S15" s="19">
        <v>79</v>
      </c>
      <c r="T15" s="19">
        <v>31</v>
      </c>
      <c r="U15" s="19">
        <v>1</v>
      </c>
      <c r="V15" s="19">
        <v>1</v>
      </c>
      <c r="W15" s="19">
        <v>4</v>
      </c>
      <c r="X15" s="19">
        <v>8</v>
      </c>
      <c r="Y15" s="19">
        <v>90</v>
      </c>
      <c r="Z15" s="19">
        <v>155</v>
      </c>
    </row>
    <row r="16" spans="1:26" s="32" customFormat="1" ht="14.25" customHeight="1" x14ac:dyDescent="0.2">
      <c r="A16" s="108"/>
      <c r="B16" s="36" t="s">
        <v>39</v>
      </c>
      <c r="C16" s="37" t="s">
        <v>163</v>
      </c>
      <c r="D16" s="19">
        <v>25</v>
      </c>
      <c r="E16" s="19">
        <v>13</v>
      </c>
      <c r="F16" s="19">
        <v>12</v>
      </c>
      <c r="G16" s="19">
        <v>0</v>
      </c>
      <c r="H16" s="19">
        <v>0</v>
      </c>
      <c r="I16" s="19">
        <v>0</v>
      </c>
      <c r="J16" s="19">
        <v>0</v>
      </c>
      <c r="K16" s="19">
        <v>7</v>
      </c>
      <c r="L16" s="19">
        <v>2</v>
      </c>
      <c r="M16" s="19">
        <v>0</v>
      </c>
      <c r="N16" s="19">
        <v>0</v>
      </c>
      <c r="O16" s="19">
        <v>1</v>
      </c>
      <c r="P16" s="19">
        <v>5</v>
      </c>
      <c r="Q16" s="19">
        <v>2</v>
      </c>
      <c r="R16" s="19">
        <v>2</v>
      </c>
      <c r="S16" s="19">
        <v>2</v>
      </c>
      <c r="T16" s="19">
        <v>1</v>
      </c>
      <c r="U16" s="19">
        <v>0</v>
      </c>
      <c r="V16" s="19">
        <v>0</v>
      </c>
      <c r="W16" s="19">
        <v>0</v>
      </c>
      <c r="X16" s="19">
        <v>0</v>
      </c>
      <c r="Y16" s="19">
        <v>1</v>
      </c>
      <c r="Z16" s="19">
        <v>2</v>
      </c>
    </row>
    <row r="17" spans="1:26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1808</v>
      </c>
      <c r="E17" s="31">
        <v>845</v>
      </c>
      <c r="F17" s="31">
        <v>963</v>
      </c>
      <c r="G17" s="31">
        <v>0</v>
      </c>
      <c r="H17" s="31">
        <v>1</v>
      </c>
      <c r="I17" s="31">
        <v>1</v>
      </c>
      <c r="J17" s="31">
        <v>2</v>
      </c>
      <c r="K17" s="31">
        <v>289</v>
      </c>
      <c r="L17" s="31">
        <v>210</v>
      </c>
      <c r="M17" s="31">
        <v>11</v>
      </c>
      <c r="N17" s="31">
        <v>7</v>
      </c>
      <c r="O17" s="31">
        <v>36</v>
      </c>
      <c r="P17" s="31">
        <v>195</v>
      </c>
      <c r="Q17" s="31">
        <v>70</v>
      </c>
      <c r="R17" s="31">
        <v>56</v>
      </c>
      <c r="S17" s="31">
        <v>160</v>
      </c>
      <c r="T17" s="31">
        <v>98</v>
      </c>
      <c r="U17" s="31">
        <v>6</v>
      </c>
      <c r="V17" s="31">
        <v>3</v>
      </c>
      <c r="W17" s="31">
        <v>70</v>
      </c>
      <c r="X17" s="31">
        <v>16</v>
      </c>
      <c r="Y17" s="31">
        <v>202</v>
      </c>
      <c r="Z17" s="31">
        <v>375</v>
      </c>
    </row>
    <row r="18" spans="1:26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1547</v>
      </c>
      <c r="E18" s="19">
        <v>704</v>
      </c>
      <c r="F18" s="19">
        <v>843</v>
      </c>
      <c r="G18" s="19">
        <v>0</v>
      </c>
      <c r="H18" s="19">
        <v>1</v>
      </c>
      <c r="I18" s="19">
        <v>1</v>
      </c>
      <c r="J18" s="19">
        <v>2</v>
      </c>
      <c r="K18" s="19">
        <v>231</v>
      </c>
      <c r="L18" s="19">
        <v>174</v>
      </c>
      <c r="M18" s="19">
        <v>8</v>
      </c>
      <c r="N18" s="19">
        <v>7</v>
      </c>
      <c r="O18" s="19">
        <v>32</v>
      </c>
      <c r="P18" s="19">
        <v>167</v>
      </c>
      <c r="Q18" s="19">
        <v>58</v>
      </c>
      <c r="R18" s="19">
        <v>49</v>
      </c>
      <c r="S18" s="19">
        <v>138</v>
      </c>
      <c r="T18" s="19">
        <v>89</v>
      </c>
      <c r="U18" s="19">
        <v>5</v>
      </c>
      <c r="V18" s="19">
        <v>3</v>
      </c>
      <c r="W18" s="19">
        <v>61</v>
      </c>
      <c r="X18" s="19">
        <v>14</v>
      </c>
      <c r="Y18" s="19">
        <v>170</v>
      </c>
      <c r="Z18" s="19">
        <v>337</v>
      </c>
    </row>
    <row r="19" spans="1:26" s="32" customFormat="1" ht="14.25" customHeight="1" x14ac:dyDescent="0.2">
      <c r="A19" s="108"/>
      <c r="B19" s="36" t="s">
        <v>39</v>
      </c>
      <c r="C19" s="37" t="s">
        <v>163</v>
      </c>
      <c r="D19" s="19">
        <v>261</v>
      </c>
      <c r="E19" s="19">
        <v>141</v>
      </c>
      <c r="F19" s="19">
        <v>120</v>
      </c>
      <c r="G19" s="19">
        <v>0</v>
      </c>
      <c r="H19" s="19">
        <v>0</v>
      </c>
      <c r="I19" s="19">
        <v>0</v>
      </c>
      <c r="J19" s="19">
        <v>0</v>
      </c>
      <c r="K19" s="19">
        <v>58</v>
      </c>
      <c r="L19" s="19">
        <v>36</v>
      </c>
      <c r="M19" s="19">
        <v>3</v>
      </c>
      <c r="N19" s="19">
        <v>0</v>
      </c>
      <c r="O19" s="19">
        <v>4</v>
      </c>
      <c r="P19" s="19">
        <v>28</v>
      </c>
      <c r="Q19" s="19">
        <v>12</v>
      </c>
      <c r="R19" s="19">
        <v>7</v>
      </c>
      <c r="S19" s="19">
        <v>22</v>
      </c>
      <c r="T19" s="19">
        <v>9</v>
      </c>
      <c r="U19" s="19">
        <v>1</v>
      </c>
      <c r="V19" s="19">
        <v>0</v>
      </c>
      <c r="W19" s="19">
        <v>9</v>
      </c>
      <c r="X19" s="19">
        <v>2</v>
      </c>
      <c r="Y19" s="19">
        <v>32</v>
      </c>
      <c r="Z19" s="19">
        <v>38</v>
      </c>
    </row>
    <row r="20" spans="1:26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1202</v>
      </c>
      <c r="E20" s="31">
        <v>512</v>
      </c>
      <c r="F20" s="31">
        <v>690</v>
      </c>
      <c r="G20" s="31">
        <v>1</v>
      </c>
      <c r="H20" s="31">
        <v>0</v>
      </c>
      <c r="I20" s="31">
        <v>0</v>
      </c>
      <c r="J20" s="31">
        <v>2</v>
      </c>
      <c r="K20" s="31">
        <v>170</v>
      </c>
      <c r="L20" s="31">
        <v>101</v>
      </c>
      <c r="M20" s="31">
        <v>35</v>
      </c>
      <c r="N20" s="31">
        <v>29</v>
      </c>
      <c r="O20" s="31">
        <v>14</v>
      </c>
      <c r="P20" s="31">
        <v>159</v>
      </c>
      <c r="Q20" s="31">
        <v>110</v>
      </c>
      <c r="R20" s="31">
        <v>112</v>
      </c>
      <c r="S20" s="31">
        <v>75</v>
      </c>
      <c r="T20" s="31">
        <v>37</v>
      </c>
      <c r="U20" s="31">
        <v>0</v>
      </c>
      <c r="V20" s="31">
        <v>1</v>
      </c>
      <c r="W20" s="31">
        <v>21</v>
      </c>
      <c r="X20" s="31">
        <v>8</v>
      </c>
      <c r="Y20" s="31">
        <v>86</v>
      </c>
      <c r="Z20" s="31">
        <v>241</v>
      </c>
    </row>
    <row r="21" spans="1:26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1118</v>
      </c>
      <c r="E21" s="19">
        <v>483</v>
      </c>
      <c r="F21" s="19">
        <v>635</v>
      </c>
      <c r="G21" s="19">
        <v>1</v>
      </c>
      <c r="H21" s="19">
        <v>0</v>
      </c>
      <c r="I21" s="19">
        <v>0</v>
      </c>
      <c r="J21" s="19">
        <v>2</v>
      </c>
      <c r="K21" s="19">
        <v>162</v>
      </c>
      <c r="L21" s="19">
        <v>100</v>
      </c>
      <c r="M21" s="19">
        <v>30</v>
      </c>
      <c r="N21" s="19">
        <v>28</v>
      </c>
      <c r="O21" s="19">
        <v>10</v>
      </c>
      <c r="P21" s="19">
        <v>145</v>
      </c>
      <c r="Q21" s="19">
        <v>103</v>
      </c>
      <c r="R21" s="19">
        <v>90</v>
      </c>
      <c r="S21" s="19">
        <v>73</v>
      </c>
      <c r="T21" s="19">
        <v>36</v>
      </c>
      <c r="U21" s="19">
        <v>0</v>
      </c>
      <c r="V21" s="19">
        <v>1</v>
      </c>
      <c r="W21" s="19">
        <v>21</v>
      </c>
      <c r="X21" s="19">
        <v>8</v>
      </c>
      <c r="Y21" s="19">
        <v>83</v>
      </c>
      <c r="Z21" s="19">
        <v>225</v>
      </c>
    </row>
    <row r="22" spans="1:26" s="32" customFormat="1" ht="14.25" customHeight="1" x14ac:dyDescent="0.2">
      <c r="A22" s="108"/>
      <c r="B22" s="36" t="s">
        <v>39</v>
      </c>
      <c r="C22" s="37" t="s">
        <v>163</v>
      </c>
      <c r="D22" s="19">
        <v>84</v>
      </c>
      <c r="E22" s="19">
        <v>29</v>
      </c>
      <c r="F22" s="19">
        <v>55</v>
      </c>
      <c r="G22" s="19">
        <v>0</v>
      </c>
      <c r="H22" s="19">
        <v>0</v>
      </c>
      <c r="I22" s="19">
        <v>0</v>
      </c>
      <c r="J22" s="19">
        <v>0</v>
      </c>
      <c r="K22" s="19">
        <v>8</v>
      </c>
      <c r="L22" s="19">
        <v>1</v>
      </c>
      <c r="M22" s="19">
        <v>5</v>
      </c>
      <c r="N22" s="19">
        <v>1</v>
      </c>
      <c r="O22" s="19">
        <v>4</v>
      </c>
      <c r="P22" s="19">
        <v>14</v>
      </c>
      <c r="Q22" s="19">
        <v>7</v>
      </c>
      <c r="R22" s="19">
        <v>22</v>
      </c>
      <c r="S22" s="19">
        <v>2</v>
      </c>
      <c r="T22" s="19">
        <v>1</v>
      </c>
      <c r="U22" s="19">
        <v>0</v>
      </c>
      <c r="V22" s="19">
        <v>0</v>
      </c>
      <c r="W22" s="19">
        <v>0</v>
      </c>
      <c r="X22" s="19">
        <v>0</v>
      </c>
      <c r="Y22" s="19">
        <v>3</v>
      </c>
      <c r="Z22" s="19">
        <v>16</v>
      </c>
    </row>
    <row r="23" spans="1:26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818</v>
      </c>
      <c r="E23" s="31">
        <v>341</v>
      </c>
      <c r="F23" s="31">
        <v>477</v>
      </c>
      <c r="G23" s="31">
        <v>0</v>
      </c>
      <c r="H23" s="31">
        <v>2</v>
      </c>
      <c r="I23" s="31">
        <v>1</v>
      </c>
      <c r="J23" s="31">
        <v>0</v>
      </c>
      <c r="K23" s="31">
        <v>104</v>
      </c>
      <c r="L23" s="31">
        <v>85</v>
      </c>
      <c r="M23" s="31">
        <v>13</v>
      </c>
      <c r="N23" s="31">
        <v>18</v>
      </c>
      <c r="O23" s="31">
        <v>14</v>
      </c>
      <c r="P23" s="31">
        <v>84</v>
      </c>
      <c r="Q23" s="31">
        <v>48</v>
      </c>
      <c r="R23" s="31">
        <v>50</v>
      </c>
      <c r="S23" s="31">
        <v>36</v>
      </c>
      <c r="T23" s="31">
        <v>31</v>
      </c>
      <c r="U23" s="31">
        <v>6</v>
      </c>
      <c r="V23" s="31">
        <v>6</v>
      </c>
      <c r="W23" s="31">
        <v>32</v>
      </c>
      <c r="X23" s="31">
        <v>18</v>
      </c>
      <c r="Y23" s="31">
        <v>87</v>
      </c>
      <c r="Z23" s="31">
        <v>183</v>
      </c>
    </row>
    <row r="24" spans="1:26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783</v>
      </c>
      <c r="E24" s="19">
        <v>328</v>
      </c>
      <c r="F24" s="19">
        <v>455</v>
      </c>
      <c r="G24" s="19">
        <v>0</v>
      </c>
      <c r="H24" s="19">
        <v>2</v>
      </c>
      <c r="I24" s="19">
        <v>1</v>
      </c>
      <c r="J24" s="19">
        <v>0</v>
      </c>
      <c r="K24" s="19">
        <v>101</v>
      </c>
      <c r="L24" s="19">
        <v>81</v>
      </c>
      <c r="M24" s="19">
        <v>13</v>
      </c>
      <c r="N24" s="19">
        <v>18</v>
      </c>
      <c r="O24" s="19">
        <v>13</v>
      </c>
      <c r="P24" s="19">
        <v>76</v>
      </c>
      <c r="Q24" s="19">
        <v>45</v>
      </c>
      <c r="R24" s="19">
        <v>48</v>
      </c>
      <c r="S24" s="19">
        <v>34</v>
      </c>
      <c r="T24" s="19">
        <v>30</v>
      </c>
      <c r="U24" s="19">
        <v>6</v>
      </c>
      <c r="V24" s="19">
        <v>6</v>
      </c>
      <c r="W24" s="19">
        <v>32</v>
      </c>
      <c r="X24" s="19">
        <v>17</v>
      </c>
      <c r="Y24" s="19">
        <v>83</v>
      </c>
      <c r="Z24" s="19">
        <v>177</v>
      </c>
    </row>
    <row r="25" spans="1:26" s="32" customFormat="1" ht="14.25" customHeight="1" x14ac:dyDescent="0.2">
      <c r="A25" s="108"/>
      <c r="B25" s="36" t="s">
        <v>39</v>
      </c>
      <c r="C25" s="37" t="s">
        <v>163</v>
      </c>
      <c r="D25" s="19">
        <v>35</v>
      </c>
      <c r="E25" s="19">
        <v>13</v>
      </c>
      <c r="F25" s="19">
        <v>22</v>
      </c>
      <c r="G25" s="19">
        <v>0</v>
      </c>
      <c r="H25" s="19">
        <v>0</v>
      </c>
      <c r="I25" s="19">
        <v>0</v>
      </c>
      <c r="J25" s="19">
        <v>0</v>
      </c>
      <c r="K25" s="19">
        <v>3</v>
      </c>
      <c r="L25" s="19">
        <v>4</v>
      </c>
      <c r="M25" s="19">
        <v>0</v>
      </c>
      <c r="N25" s="19">
        <v>0</v>
      </c>
      <c r="O25" s="19">
        <v>1</v>
      </c>
      <c r="P25" s="19">
        <v>8</v>
      </c>
      <c r="Q25" s="19">
        <v>3</v>
      </c>
      <c r="R25" s="19">
        <v>2</v>
      </c>
      <c r="S25" s="19">
        <v>2</v>
      </c>
      <c r="T25" s="19">
        <v>1</v>
      </c>
      <c r="U25" s="19">
        <v>0</v>
      </c>
      <c r="V25" s="19">
        <v>0</v>
      </c>
      <c r="W25" s="19">
        <v>0</v>
      </c>
      <c r="X25" s="19">
        <v>1</v>
      </c>
      <c r="Y25" s="19">
        <v>4</v>
      </c>
      <c r="Z25" s="19">
        <v>6</v>
      </c>
    </row>
    <row r="26" spans="1:26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1620</v>
      </c>
      <c r="E26" s="31">
        <v>792</v>
      </c>
      <c r="F26" s="31">
        <v>828</v>
      </c>
      <c r="G26" s="31">
        <v>0</v>
      </c>
      <c r="H26" s="31">
        <v>0</v>
      </c>
      <c r="I26" s="31">
        <v>0</v>
      </c>
      <c r="J26" s="31">
        <v>0</v>
      </c>
      <c r="K26" s="31">
        <v>248</v>
      </c>
      <c r="L26" s="31">
        <v>139</v>
      </c>
      <c r="M26" s="31">
        <v>36</v>
      </c>
      <c r="N26" s="31">
        <v>27</v>
      </c>
      <c r="O26" s="31">
        <v>50</v>
      </c>
      <c r="P26" s="31">
        <v>209</v>
      </c>
      <c r="Q26" s="31">
        <v>120</v>
      </c>
      <c r="R26" s="31">
        <v>84</v>
      </c>
      <c r="S26" s="31">
        <v>143</v>
      </c>
      <c r="T26" s="31">
        <v>92</v>
      </c>
      <c r="U26" s="31">
        <v>17</v>
      </c>
      <c r="V26" s="31">
        <v>19</v>
      </c>
      <c r="W26" s="31">
        <v>55</v>
      </c>
      <c r="X26" s="31">
        <v>33</v>
      </c>
      <c r="Y26" s="31">
        <v>123</v>
      </c>
      <c r="Z26" s="31">
        <v>225</v>
      </c>
    </row>
    <row r="27" spans="1:26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1524</v>
      </c>
      <c r="E27" s="19">
        <v>752</v>
      </c>
      <c r="F27" s="19">
        <v>772</v>
      </c>
      <c r="G27" s="19">
        <v>0</v>
      </c>
      <c r="H27" s="19">
        <v>0</v>
      </c>
      <c r="I27" s="19">
        <v>0</v>
      </c>
      <c r="J27" s="19">
        <v>0</v>
      </c>
      <c r="K27" s="19">
        <v>241</v>
      </c>
      <c r="L27" s="19">
        <v>135</v>
      </c>
      <c r="M27" s="19">
        <v>36</v>
      </c>
      <c r="N27" s="19">
        <v>24</v>
      </c>
      <c r="O27" s="19">
        <v>45</v>
      </c>
      <c r="P27" s="19">
        <v>195</v>
      </c>
      <c r="Q27" s="19">
        <v>112</v>
      </c>
      <c r="R27" s="19">
        <v>78</v>
      </c>
      <c r="S27" s="19">
        <v>135</v>
      </c>
      <c r="T27" s="19">
        <v>83</v>
      </c>
      <c r="U27" s="19">
        <v>13</v>
      </c>
      <c r="V27" s="19">
        <v>18</v>
      </c>
      <c r="W27" s="19">
        <v>52</v>
      </c>
      <c r="X27" s="19">
        <v>33</v>
      </c>
      <c r="Y27" s="19">
        <v>118</v>
      </c>
      <c r="Z27" s="19">
        <v>206</v>
      </c>
    </row>
    <row r="28" spans="1:26" s="32" customFormat="1" ht="14.25" customHeight="1" x14ac:dyDescent="0.2">
      <c r="A28" s="108"/>
      <c r="B28" s="36" t="s">
        <v>39</v>
      </c>
      <c r="C28" s="37" t="s">
        <v>163</v>
      </c>
      <c r="D28" s="19">
        <v>96</v>
      </c>
      <c r="E28" s="19">
        <v>40</v>
      </c>
      <c r="F28" s="19">
        <v>56</v>
      </c>
      <c r="G28" s="19">
        <v>0</v>
      </c>
      <c r="H28" s="19">
        <v>0</v>
      </c>
      <c r="I28" s="19">
        <v>0</v>
      </c>
      <c r="J28" s="19">
        <v>0</v>
      </c>
      <c r="K28" s="19">
        <v>7</v>
      </c>
      <c r="L28" s="19">
        <v>4</v>
      </c>
      <c r="M28" s="19">
        <v>0</v>
      </c>
      <c r="N28" s="19">
        <v>3</v>
      </c>
      <c r="O28" s="19">
        <v>5</v>
      </c>
      <c r="P28" s="19">
        <v>14</v>
      </c>
      <c r="Q28" s="19">
        <v>8</v>
      </c>
      <c r="R28" s="19">
        <v>6</v>
      </c>
      <c r="S28" s="19">
        <v>8</v>
      </c>
      <c r="T28" s="19">
        <v>9</v>
      </c>
      <c r="U28" s="19">
        <v>4</v>
      </c>
      <c r="V28" s="19">
        <v>1</v>
      </c>
      <c r="W28" s="19">
        <v>3</v>
      </c>
      <c r="X28" s="19">
        <v>0</v>
      </c>
      <c r="Y28" s="19">
        <v>5</v>
      </c>
      <c r="Z28" s="19">
        <v>19</v>
      </c>
    </row>
    <row r="29" spans="1:26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161</v>
      </c>
      <c r="E29" s="31">
        <v>68</v>
      </c>
      <c r="F29" s="31">
        <v>93</v>
      </c>
      <c r="G29" s="31">
        <v>0</v>
      </c>
      <c r="H29" s="31">
        <v>0</v>
      </c>
      <c r="I29" s="31">
        <v>0</v>
      </c>
      <c r="J29" s="31">
        <v>1</v>
      </c>
      <c r="K29" s="31">
        <v>21</v>
      </c>
      <c r="L29" s="31">
        <v>18</v>
      </c>
      <c r="M29" s="31">
        <v>0</v>
      </c>
      <c r="N29" s="31">
        <v>0</v>
      </c>
      <c r="O29" s="31">
        <v>5</v>
      </c>
      <c r="P29" s="31">
        <v>34</v>
      </c>
      <c r="Q29" s="31">
        <v>4</v>
      </c>
      <c r="R29" s="31">
        <v>4</v>
      </c>
      <c r="S29" s="31">
        <v>14</v>
      </c>
      <c r="T29" s="31">
        <v>8</v>
      </c>
      <c r="U29" s="31">
        <v>0</v>
      </c>
      <c r="V29" s="31">
        <v>0</v>
      </c>
      <c r="W29" s="31">
        <v>7</v>
      </c>
      <c r="X29" s="31">
        <v>4</v>
      </c>
      <c r="Y29" s="31">
        <v>17</v>
      </c>
      <c r="Z29" s="31">
        <v>24</v>
      </c>
    </row>
    <row r="30" spans="1:26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148</v>
      </c>
      <c r="E30" s="19">
        <v>65</v>
      </c>
      <c r="F30" s="19">
        <v>83</v>
      </c>
      <c r="G30" s="19">
        <v>0</v>
      </c>
      <c r="H30" s="19">
        <v>0</v>
      </c>
      <c r="I30" s="19">
        <v>0</v>
      </c>
      <c r="J30" s="19">
        <v>1</v>
      </c>
      <c r="K30" s="19">
        <v>19</v>
      </c>
      <c r="L30" s="19">
        <v>18</v>
      </c>
      <c r="M30" s="19">
        <v>0</v>
      </c>
      <c r="N30" s="19">
        <v>0</v>
      </c>
      <c r="O30" s="19">
        <v>4</v>
      </c>
      <c r="P30" s="19">
        <v>29</v>
      </c>
      <c r="Q30" s="19">
        <v>4</v>
      </c>
      <c r="R30" s="19">
        <v>3</v>
      </c>
      <c r="S30" s="19">
        <v>14</v>
      </c>
      <c r="T30" s="19">
        <v>8</v>
      </c>
      <c r="U30" s="19">
        <v>0</v>
      </c>
      <c r="V30" s="19">
        <v>0</v>
      </c>
      <c r="W30" s="19">
        <v>7</v>
      </c>
      <c r="X30" s="19">
        <v>4</v>
      </c>
      <c r="Y30" s="19">
        <v>17</v>
      </c>
      <c r="Z30" s="19">
        <v>20</v>
      </c>
    </row>
    <row r="31" spans="1:26" s="32" customFormat="1" ht="14.25" customHeight="1" x14ac:dyDescent="0.2">
      <c r="A31" s="108"/>
      <c r="B31" s="36" t="s">
        <v>39</v>
      </c>
      <c r="C31" s="37" t="s">
        <v>163</v>
      </c>
      <c r="D31" s="19">
        <v>13</v>
      </c>
      <c r="E31" s="19">
        <v>3</v>
      </c>
      <c r="F31" s="19">
        <v>10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0</v>
      </c>
      <c r="M31" s="19">
        <v>0</v>
      </c>
      <c r="N31" s="19">
        <v>0</v>
      </c>
      <c r="O31" s="19">
        <v>1</v>
      </c>
      <c r="P31" s="19">
        <v>5</v>
      </c>
      <c r="Q31" s="19">
        <v>0</v>
      </c>
      <c r="R31" s="19">
        <v>1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4</v>
      </c>
    </row>
    <row r="32" spans="1:26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343</v>
      </c>
      <c r="E32" s="31">
        <v>153</v>
      </c>
      <c r="F32" s="31">
        <v>190</v>
      </c>
      <c r="G32" s="31">
        <v>0</v>
      </c>
      <c r="H32" s="31">
        <v>0</v>
      </c>
      <c r="I32" s="31">
        <v>0</v>
      </c>
      <c r="J32" s="31">
        <v>0</v>
      </c>
      <c r="K32" s="31">
        <v>46</v>
      </c>
      <c r="L32" s="31">
        <v>26</v>
      </c>
      <c r="M32" s="31">
        <v>2</v>
      </c>
      <c r="N32" s="31">
        <v>5</v>
      </c>
      <c r="O32" s="31">
        <v>23</v>
      </c>
      <c r="P32" s="31">
        <v>53</v>
      </c>
      <c r="Q32" s="31">
        <v>16</v>
      </c>
      <c r="R32" s="31">
        <v>11</v>
      </c>
      <c r="S32" s="31">
        <v>15</v>
      </c>
      <c r="T32" s="31">
        <v>12</v>
      </c>
      <c r="U32" s="31">
        <v>3</v>
      </c>
      <c r="V32" s="31">
        <v>1</v>
      </c>
      <c r="W32" s="31">
        <v>7</v>
      </c>
      <c r="X32" s="31">
        <v>3</v>
      </c>
      <c r="Y32" s="31">
        <v>41</v>
      </c>
      <c r="Z32" s="31">
        <v>79</v>
      </c>
    </row>
    <row r="33" spans="1:26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296</v>
      </c>
      <c r="E33" s="19">
        <v>139</v>
      </c>
      <c r="F33" s="19">
        <v>157</v>
      </c>
      <c r="G33" s="19">
        <v>0</v>
      </c>
      <c r="H33" s="19">
        <v>0</v>
      </c>
      <c r="I33" s="19">
        <v>0</v>
      </c>
      <c r="J33" s="19">
        <v>0</v>
      </c>
      <c r="K33" s="19">
        <v>42</v>
      </c>
      <c r="L33" s="19">
        <v>19</v>
      </c>
      <c r="M33" s="19">
        <v>1</v>
      </c>
      <c r="N33" s="19">
        <v>4</v>
      </c>
      <c r="O33" s="19">
        <v>22</v>
      </c>
      <c r="P33" s="19">
        <v>47</v>
      </c>
      <c r="Q33" s="19">
        <v>13</v>
      </c>
      <c r="R33" s="19">
        <v>7</v>
      </c>
      <c r="S33" s="19">
        <v>14</v>
      </c>
      <c r="T33" s="19">
        <v>9</v>
      </c>
      <c r="U33" s="19">
        <v>3</v>
      </c>
      <c r="V33" s="19">
        <v>1</v>
      </c>
      <c r="W33" s="19">
        <v>7</v>
      </c>
      <c r="X33" s="19">
        <v>2</v>
      </c>
      <c r="Y33" s="19">
        <v>37</v>
      </c>
      <c r="Z33" s="19">
        <v>68</v>
      </c>
    </row>
    <row r="34" spans="1:26" s="32" customFormat="1" ht="14.25" customHeight="1" x14ac:dyDescent="0.2">
      <c r="A34" s="108"/>
      <c r="B34" s="36" t="s">
        <v>39</v>
      </c>
      <c r="C34" s="37" t="s">
        <v>163</v>
      </c>
      <c r="D34" s="19">
        <v>47</v>
      </c>
      <c r="E34" s="19">
        <v>14</v>
      </c>
      <c r="F34" s="19">
        <v>33</v>
      </c>
      <c r="G34" s="19">
        <v>0</v>
      </c>
      <c r="H34" s="19">
        <v>0</v>
      </c>
      <c r="I34" s="19">
        <v>0</v>
      </c>
      <c r="J34" s="19">
        <v>0</v>
      </c>
      <c r="K34" s="19">
        <v>4</v>
      </c>
      <c r="L34" s="19">
        <v>7</v>
      </c>
      <c r="M34" s="19">
        <v>1</v>
      </c>
      <c r="N34" s="19">
        <v>1</v>
      </c>
      <c r="O34" s="19">
        <v>1</v>
      </c>
      <c r="P34" s="19">
        <v>6</v>
      </c>
      <c r="Q34" s="19">
        <v>3</v>
      </c>
      <c r="R34" s="19">
        <v>4</v>
      </c>
      <c r="S34" s="19">
        <v>1</v>
      </c>
      <c r="T34" s="19">
        <v>3</v>
      </c>
      <c r="U34" s="19">
        <v>0</v>
      </c>
      <c r="V34" s="19">
        <v>0</v>
      </c>
      <c r="W34" s="19">
        <v>0</v>
      </c>
      <c r="X34" s="19">
        <v>1</v>
      </c>
      <c r="Y34" s="19">
        <v>4</v>
      </c>
      <c r="Z34" s="19">
        <v>11</v>
      </c>
    </row>
    <row r="35" spans="1:26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201</v>
      </c>
      <c r="E35" s="31">
        <v>53</v>
      </c>
      <c r="F35" s="31">
        <v>148</v>
      </c>
      <c r="G35" s="31">
        <v>0</v>
      </c>
      <c r="H35" s="31">
        <v>0</v>
      </c>
      <c r="I35" s="31">
        <v>0</v>
      </c>
      <c r="J35" s="31">
        <v>0</v>
      </c>
      <c r="K35" s="31">
        <v>16</v>
      </c>
      <c r="L35" s="31">
        <v>13</v>
      </c>
      <c r="M35" s="31">
        <v>2</v>
      </c>
      <c r="N35" s="31">
        <v>2</v>
      </c>
      <c r="O35" s="31">
        <v>8</v>
      </c>
      <c r="P35" s="31">
        <v>43</v>
      </c>
      <c r="Q35" s="31">
        <v>6</v>
      </c>
      <c r="R35" s="31">
        <v>12</v>
      </c>
      <c r="S35" s="31">
        <v>2</v>
      </c>
      <c r="T35" s="31">
        <v>3</v>
      </c>
      <c r="U35" s="31">
        <v>1</v>
      </c>
      <c r="V35" s="31">
        <v>2</v>
      </c>
      <c r="W35" s="31">
        <v>4</v>
      </c>
      <c r="X35" s="31">
        <v>3</v>
      </c>
      <c r="Y35" s="31">
        <v>14</v>
      </c>
      <c r="Z35" s="31">
        <v>70</v>
      </c>
    </row>
    <row r="36" spans="1:26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178</v>
      </c>
      <c r="E36" s="19">
        <v>46</v>
      </c>
      <c r="F36" s="19">
        <v>132</v>
      </c>
      <c r="G36" s="19">
        <v>0</v>
      </c>
      <c r="H36" s="19">
        <v>0</v>
      </c>
      <c r="I36" s="19">
        <v>0</v>
      </c>
      <c r="J36" s="19">
        <v>0</v>
      </c>
      <c r="K36" s="19">
        <v>16</v>
      </c>
      <c r="L36" s="19">
        <v>10</v>
      </c>
      <c r="M36" s="19">
        <v>2</v>
      </c>
      <c r="N36" s="19">
        <v>2</v>
      </c>
      <c r="O36" s="19">
        <v>6</v>
      </c>
      <c r="P36" s="19">
        <v>37</v>
      </c>
      <c r="Q36" s="19">
        <v>3</v>
      </c>
      <c r="R36" s="19">
        <v>10</v>
      </c>
      <c r="S36" s="19">
        <v>2</v>
      </c>
      <c r="T36" s="19">
        <v>3</v>
      </c>
      <c r="U36" s="19">
        <v>1</v>
      </c>
      <c r="V36" s="19">
        <v>2</v>
      </c>
      <c r="W36" s="19">
        <v>4</v>
      </c>
      <c r="X36" s="19">
        <v>3</v>
      </c>
      <c r="Y36" s="19">
        <v>12</v>
      </c>
      <c r="Z36" s="19">
        <v>65</v>
      </c>
    </row>
    <row r="37" spans="1:26" s="32" customFormat="1" ht="14.25" customHeight="1" x14ac:dyDescent="0.2">
      <c r="A37" s="108"/>
      <c r="B37" s="36" t="s">
        <v>39</v>
      </c>
      <c r="C37" s="37" t="s">
        <v>163</v>
      </c>
      <c r="D37" s="19">
        <v>23</v>
      </c>
      <c r="E37" s="19">
        <v>7</v>
      </c>
      <c r="F37" s="19">
        <v>16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3</v>
      </c>
      <c r="M37" s="19">
        <v>0</v>
      </c>
      <c r="N37" s="19">
        <v>0</v>
      </c>
      <c r="O37" s="19">
        <v>2</v>
      </c>
      <c r="P37" s="19">
        <v>6</v>
      </c>
      <c r="Q37" s="19">
        <v>3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2</v>
      </c>
      <c r="Z37" s="19">
        <v>5</v>
      </c>
    </row>
    <row r="38" spans="1:26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528</v>
      </c>
      <c r="E38" s="31">
        <v>208</v>
      </c>
      <c r="F38" s="31">
        <v>320</v>
      </c>
      <c r="G38" s="31">
        <v>0</v>
      </c>
      <c r="H38" s="31">
        <v>0</v>
      </c>
      <c r="I38" s="31">
        <v>3</v>
      </c>
      <c r="J38" s="31">
        <v>3</v>
      </c>
      <c r="K38" s="31">
        <v>50</v>
      </c>
      <c r="L38" s="31">
        <v>61</v>
      </c>
      <c r="M38" s="31">
        <v>10</v>
      </c>
      <c r="N38" s="31">
        <v>12</v>
      </c>
      <c r="O38" s="31">
        <v>22</v>
      </c>
      <c r="P38" s="31">
        <v>79</v>
      </c>
      <c r="Q38" s="31">
        <v>24</v>
      </c>
      <c r="R38" s="31">
        <v>52</v>
      </c>
      <c r="S38" s="31">
        <v>19</v>
      </c>
      <c r="T38" s="31">
        <v>30</v>
      </c>
      <c r="U38" s="31">
        <v>2</v>
      </c>
      <c r="V38" s="31">
        <v>4</v>
      </c>
      <c r="W38" s="31">
        <v>5</v>
      </c>
      <c r="X38" s="31">
        <v>4</v>
      </c>
      <c r="Y38" s="31">
        <v>73</v>
      </c>
      <c r="Z38" s="31">
        <v>75</v>
      </c>
    </row>
    <row r="39" spans="1:26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508</v>
      </c>
      <c r="E39" s="19">
        <v>203</v>
      </c>
      <c r="F39" s="19">
        <v>305</v>
      </c>
      <c r="G39" s="19">
        <v>0</v>
      </c>
      <c r="H39" s="19">
        <v>0</v>
      </c>
      <c r="I39" s="19">
        <v>2</v>
      </c>
      <c r="J39" s="19">
        <v>2</v>
      </c>
      <c r="K39" s="19">
        <v>49</v>
      </c>
      <c r="L39" s="19">
        <v>61</v>
      </c>
      <c r="M39" s="19">
        <v>10</v>
      </c>
      <c r="N39" s="19">
        <v>11</v>
      </c>
      <c r="O39" s="19">
        <v>21</v>
      </c>
      <c r="P39" s="19">
        <v>77</v>
      </c>
      <c r="Q39" s="19">
        <v>24</v>
      </c>
      <c r="R39" s="19">
        <v>51</v>
      </c>
      <c r="S39" s="19">
        <v>18</v>
      </c>
      <c r="T39" s="19">
        <v>30</v>
      </c>
      <c r="U39" s="19">
        <v>2</v>
      </c>
      <c r="V39" s="19">
        <v>3</v>
      </c>
      <c r="W39" s="19">
        <v>5</v>
      </c>
      <c r="X39" s="19">
        <v>3</v>
      </c>
      <c r="Y39" s="19">
        <v>72</v>
      </c>
      <c r="Z39" s="19">
        <v>67</v>
      </c>
    </row>
    <row r="40" spans="1:26" s="32" customFormat="1" ht="14.25" customHeight="1" x14ac:dyDescent="0.2">
      <c r="A40" s="108"/>
      <c r="B40" s="36" t="s">
        <v>39</v>
      </c>
      <c r="C40" s="37" t="s">
        <v>163</v>
      </c>
      <c r="D40" s="19">
        <v>20</v>
      </c>
      <c r="E40" s="19">
        <v>5</v>
      </c>
      <c r="F40" s="19">
        <v>15</v>
      </c>
      <c r="G40" s="19">
        <v>0</v>
      </c>
      <c r="H40" s="19">
        <v>0</v>
      </c>
      <c r="I40" s="19">
        <v>1</v>
      </c>
      <c r="J40" s="19">
        <v>1</v>
      </c>
      <c r="K40" s="19">
        <v>1</v>
      </c>
      <c r="L40" s="19">
        <v>0</v>
      </c>
      <c r="M40" s="19">
        <v>0</v>
      </c>
      <c r="N40" s="19">
        <v>1</v>
      </c>
      <c r="O40" s="19">
        <v>1</v>
      </c>
      <c r="P40" s="19">
        <v>2</v>
      </c>
      <c r="Q40" s="19">
        <v>0</v>
      </c>
      <c r="R40" s="19">
        <v>1</v>
      </c>
      <c r="S40" s="19">
        <v>1</v>
      </c>
      <c r="T40" s="19">
        <v>0</v>
      </c>
      <c r="U40" s="19">
        <v>0</v>
      </c>
      <c r="V40" s="19">
        <v>1</v>
      </c>
      <c r="W40" s="19">
        <v>0</v>
      </c>
      <c r="X40" s="19">
        <v>1</v>
      </c>
      <c r="Y40" s="19">
        <v>1</v>
      </c>
      <c r="Z40" s="19">
        <v>8</v>
      </c>
    </row>
    <row r="41" spans="1:26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355</v>
      </c>
      <c r="E41" s="31">
        <v>147</v>
      </c>
      <c r="F41" s="31">
        <v>208</v>
      </c>
      <c r="G41" s="31">
        <v>1</v>
      </c>
      <c r="H41" s="31">
        <v>0</v>
      </c>
      <c r="I41" s="31">
        <v>1</v>
      </c>
      <c r="J41" s="31">
        <v>0</v>
      </c>
      <c r="K41" s="31">
        <v>38</v>
      </c>
      <c r="L41" s="31">
        <v>22</v>
      </c>
      <c r="M41" s="31">
        <v>7</v>
      </c>
      <c r="N41" s="31">
        <v>10</v>
      </c>
      <c r="O41" s="31">
        <v>2</v>
      </c>
      <c r="P41" s="31">
        <v>36</v>
      </c>
      <c r="Q41" s="31">
        <v>13</v>
      </c>
      <c r="R41" s="31">
        <v>18</v>
      </c>
      <c r="S41" s="31">
        <v>3</v>
      </c>
      <c r="T41" s="31">
        <v>5</v>
      </c>
      <c r="U41" s="31">
        <v>0</v>
      </c>
      <c r="V41" s="31">
        <v>3</v>
      </c>
      <c r="W41" s="31">
        <v>7</v>
      </c>
      <c r="X41" s="31">
        <v>1</v>
      </c>
      <c r="Y41" s="31">
        <v>75</v>
      </c>
      <c r="Z41" s="31">
        <v>113</v>
      </c>
    </row>
    <row r="42" spans="1:26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297</v>
      </c>
      <c r="E42" s="19">
        <v>133</v>
      </c>
      <c r="F42" s="19">
        <v>164</v>
      </c>
      <c r="G42" s="19">
        <v>1</v>
      </c>
      <c r="H42" s="19">
        <v>0</v>
      </c>
      <c r="I42" s="19">
        <v>1</v>
      </c>
      <c r="J42" s="19">
        <v>0</v>
      </c>
      <c r="K42" s="19">
        <v>37</v>
      </c>
      <c r="L42" s="19">
        <v>20</v>
      </c>
      <c r="M42" s="19">
        <v>7</v>
      </c>
      <c r="N42" s="19">
        <v>10</v>
      </c>
      <c r="O42" s="19">
        <v>1</v>
      </c>
      <c r="P42" s="19">
        <v>26</v>
      </c>
      <c r="Q42" s="19">
        <v>11</v>
      </c>
      <c r="R42" s="19">
        <v>16</v>
      </c>
      <c r="S42" s="19">
        <v>2</v>
      </c>
      <c r="T42" s="19">
        <v>4</v>
      </c>
      <c r="U42" s="19">
        <v>0</v>
      </c>
      <c r="V42" s="19">
        <v>3</v>
      </c>
      <c r="W42" s="19">
        <v>7</v>
      </c>
      <c r="X42" s="19">
        <v>1</v>
      </c>
      <c r="Y42" s="19">
        <v>66</v>
      </c>
      <c r="Z42" s="19">
        <v>84</v>
      </c>
    </row>
    <row r="43" spans="1:26" s="32" customFormat="1" ht="14.25" customHeight="1" x14ac:dyDescent="0.2">
      <c r="A43" s="108"/>
      <c r="B43" s="36" t="s">
        <v>39</v>
      </c>
      <c r="C43" s="37" t="s">
        <v>163</v>
      </c>
      <c r="D43" s="19">
        <v>58</v>
      </c>
      <c r="E43" s="19">
        <v>14</v>
      </c>
      <c r="F43" s="19">
        <v>44</v>
      </c>
      <c r="G43" s="19">
        <v>0</v>
      </c>
      <c r="H43" s="19">
        <v>0</v>
      </c>
      <c r="I43" s="19">
        <v>0</v>
      </c>
      <c r="J43" s="19">
        <v>0</v>
      </c>
      <c r="K43" s="19">
        <v>1</v>
      </c>
      <c r="L43" s="19">
        <v>2</v>
      </c>
      <c r="M43" s="19">
        <v>0</v>
      </c>
      <c r="N43" s="19">
        <v>0</v>
      </c>
      <c r="O43" s="19">
        <v>1</v>
      </c>
      <c r="P43" s="19">
        <v>10</v>
      </c>
      <c r="Q43" s="19">
        <v>2</v>
      </c>
      <c r="R43" s="19">
        <v>2</v>
      </c>
      <c r="S43" s="19">
        <v>1</v>
      </c>
      <c r="T43" s="19">
        <v>1</v>
      </c>
      <c r="U43" s="19">
        <v>0</v>
      </c>
      <c r="V43" s="19">
        <v>0</v>
      </c>
      <c r="W43" s="19">
        <v>0</v>
      </c>
      <c r="X43" s="19">
        <v>0</v>
      </c>
      <c r="Y43" s="19">
        <v>9</v>
      </c>
      <c r="Z43" s="19">
        <v>29</v>
      </c>
    </row>
    <row r="44" spans="1:26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294</v>
      </c>
      <c r="E44" s="31">
        <v>121</v>
      </c>
      <c r="F44" s="31">
        <v>173</v>
      </c>
      <c r="G44" s="31">
        <v>0</v>
      </c>
      <c r="H44" s="31">
        <v>1</v>
      </c>
      <c r="I44" s="31">
        <v>0</v>
      </c>
      <c r="J44" s="31">
        <v>0</v>
      </c>
      <c r="K44" s="31">
        <v>44</v>
      </c>
      <c r="L44" s="31">
        <v>32</v>
      </c>
      <c r="M44" s="31">
        <v>3</v>
      </c>
      <c r="N44" s="31">
        <v>6</v>
      </c>
      <c r="O44" s="31">
        <v>8</v>
      </c>
      <c r="P44" s="31">
        <v>39</v>
      </c>
      <c r="Q44" s="31">
        <v>10</v>
      </c>
      <c r="R44" s="31">
        <v>10</v>
      </c>
      <c r="S44" s="31">
        <v>14</v>
      </c>
      <c r="T44" s="31">
        <v>14</v>
      </c>
      <c r="U44" s="31">
        <v>0</v>
      </c>
      <c r="V44" s="31">
        <v>0</v>
      </c>
      <c r="W44" s="31">
        <v>9</v>
      </c>
      <c r="X44" s="31">
        <v>2</v>
      </c>
      <c r="Y44" s="31">
        <v>33</v>
      </c>
      <c r="Z44" s="31">
        <v>69</v>
      </c>
    </row>
    <row r="45" spans="1:26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288</v>
      </c>
      <c r="E45" s="19">
        <v>117</v>
      </c>
      <c r="F45" s="19">
        <v>171</v>
      </c>
      <c r="G45" s="19">
        <v>0</v>
      </c>
      <c r="H45" s="19">
        <v>1</v>
      </c>
      <c r="I45" s="19">
        <v>0</v>
      </c>
      <c r="J45" s="19">
        <v>0</v>
      </c>
      <c r="K45" s="19">
        <v>42</v>
      </c>
      <c r="L45" s="19">
        <v>32</v>
      </c>
      <c r="M45" s="19">
        <v>3</v>
      </c>
      <c r="N45" s="19">
        <v>6</v>
      </c>
      <c r="O45" s="19">
        <v>7</v>
      </c>
      <c r="P45" s="19">
        <v>39</v>
      </c>
      <c r="Q45" s="19">
        <v>10</v>
      </c>
      <c r="R45" s="19">
        <v>9</v>
      </c>
      <c r="S45" s="19">
        <v>14</v>
      </c>
      <c r="T45" s="19">
        <v>14</v>
      </c>
      <c r="U45" s="19">
        <v>0</v>
      </c>
      <c r="V45" s="19">
        <v>0</v>
      </c>
      <c r="W45" s="19">
        <v>8</v>
      </c>
      <c r="X45" s="19">
        <v>2</v>
      </c>
      <c r="Y45" s="19">
        <v>33</v>
      </c>
      <c r="Z45" s="19">
        <v>68</v>
      </c>
    </row>
    <row r="46" spans="1:26" s="32" customFormat="1" ht="14.25" customHeight="1" x14ac:dyDescent="0.2">
      <c r="A46" s="108"/>
      <c r="B46" s="36" t="s">
        <v>39</v>
      </c>
      <c r="C46" s="37" t="s">
        <v>163</v>
      </c>
      <c r="D46" s="19">
        <v>6</v>
      </c>
      <c r="E46" s="19">
        <v>4</v>
      </c>
      <c r="F46" s="19">
        <v>2</v>
      </c>
      <c r="G46" s="19">
        <v>0</v>
      </c>
      <c r="H46" s="19">
        <v>0</v>
      </c>
      <c r="I46" s="19">
        <v>0</v>
      </c>
      <c r="J46" s="19">
        <v>0</v>
      </c>
      <c r="K46" s="19">
        <v>2</v>
      </c>
      <c r="L46" s="19">
        <v>0</v>
      </c>
      <c r="M46" s="19">
        <v>0</v>
      </c>
      <c r="N46" s="19">
        <v>0</v>
      </c>
      <c r="O46" s="19">
        <v>1</v>
      </c>
      <c r="P46" s="19">
        <v>0</v>
      </c>
      <c r="Q46" s="19">
        <v>0</v>
      </c>
      <c r="R46" s="19">
        <v>1</v>
      </c>
      <c r="S46" s="19">
        <v>0</v>
      </c>
      <c r="T46" s="19">
        <v>0</v>
      </c>
      <c r="U46" s="19">
        <v>0</v>
      </c>
      <c r="V46" s="19">
        <v>0</v>
      </c>
      <c r="W46" s="19">
        <v>1</v>
      </c>
      <c r="X46" s="19">
        <v>0</v>
      </c>
      <c r="Y46" s="19">
        <v>0</v>
      </c>
      <c r="Z46" s="19">
        <v>1</v>
      </c>
    </row>
    <row r="47" spans="1:26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229</v>
      </c>
      <c r="E47" s="31">
        <v>90</v>
      </c>
      <c r="F47" s="31">
        <v>139</v>
      </c>
      <c r="G47" s="31">
        <v>0</v>
      </c>
      <c r="H47" s="31">
        <v>0</v>
      </c>
      <c r="I47" s="31">
        <v>0</v>
      </c>
      <c r="J47" s="31">
        <v>0</v>
      </c>
      <c r="K47" s="31">
        <v>9</v>
      </c>
      <c r="L47" s="31">
        <v>8</v>
      </c>
      <c r="M47" s="31">
        <v>0</v>
      </c>
      <c r="N47" s="31">
        <v>3</v>
      </c>
      <c r="O47" s="31">
        <v>10</v>
      </c>
      <c r="P47" s="31">
        <v>37</v>
      </c>
      <c r="Q47" s="31">
        <v>17</v>
      </c>
      <c r="R47" s="31">
        <v>15</v>
      </c>
      <c r="S47" s="31">
        <v>11</v>
      </c>
      <c r="T47" s="31">
        <v>10</v>
      </c>
      <c r="U47" s="31">
        <v>2</v>
      </c>
      <c r="V47" s="31">
        <v>1</v>
      </c>
      <c r="W47" s="31">
        <v>13</v>
      </c>
      <c r="X47" s="31">
        <v>3</v>
      </c>
      <c r="Y47" s="31">
        <v>28</v>
      </c>
      <c r="Z47" s="31">
        <v>62</v>
      </c>
    </row>
    <row r="48" spans="1:26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220</v>
      </c>
      <c r="E48" s="19">
        <v>84</v>
      </c>
      <c r="F48" s="19">
        <v>136</v>
      </c>
      <c r="G48" s="19">
        <v>0</v>
      </c>
      <c r="H48" s="19">
        <v>0</v>
      </c>
      <c r="I48" s="19">
        <v>0</v>
      </c>
      <c r="J48" s="19">
        <v>0</v>
      </c>
      <c r="K48" s="19">
        <v>9</v>
      </c>
      <c r="L48" s="19">
        <v>8</v>
      </c>
      <c r="M48" s="19">
        <v>0</v>
      </c>
      <c r="N48" s="19">
        <v>3</v>
      </c>
      <c r="O48" s="19">
        <v>9</v>
      </c>
      <c r="P48" s="19">
        <v>36</v>
      </c>
      <c r="Q48" s="19">
        <v>16</v>
      </c>
      <c r="R48" s="19">
        <v>15</v>
      </c>
      <c r="S48" s="19">
        <v>11</v>
      </c>
      <c r="T48" s="19">
        <v>10</v>
      </c>
      <c r="U48" s="19">
        <v>2</v>
      </c>
      <c r="V48" s="19">
        <v>1</v>
      </c>
      <c r="W48" s="19">
        <v>13</v>
      </c>
      <c r="X48" s="19">
        <v>3</v>
      </c>
      <c r="Y48" s="19">
        <v>24</v>
      </c>
      <c r="Z48" s="19">
        <v>60</v>
      </c>
    </row>
    <row r="49" spans="1:26" s="32" customFormat="1" ht="14.25" customHeight="1" x14ac:dyDescent="0.2">
      <c r="A49" s="108"/>
      <c r="B49" s="36" t="s">
        <v>39</v>
      </c>
      <c r="C49" s="37" t="s">
        <v>163</v>
      </c>
      <c r="D49" s="19">
        <v>9</v>
      </c>
      <c r="E49" s="19">
        <v>6</v>
      </c>
      <c r="F49" s="19">
        <v>3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1</v>
      </c>
      <c r="P49" s="19">
        <v>1</v>
      </c>
      <c r="Q49" s="19">
        <v>1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4</v>
      </c>
      <c r="Z49" s="19">
        <v>2</v>
      </c>
    </row>
    <row r="50" spans="1:26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635</v>
      </c>
      <c r="E50" s="31">
        <v>292</v>
      </c>
      <c r="F50" s="31">
        <v>343</v>
      </c>
      <c r="G50" s="31">
        <v>0</v>
      </c>
      <c r="H50" s="31">
        <v>0</v>
      </c>
      <c r="I50" s="31">
        <v>0</v>
      </c>
      <c r="J50" s="31">
        <v>0</v>
      </c>
      <c r="K50" s="31">
        <v>78</v>
      </c>
      <c r="L50" s="31">
        <v>54</v>
      </c>
      <c r="M50" s="31">
        <v>4</v>
      </c>
      <c r="N50" s="31">
        <v>17</v>
      </c>
      <c r="O50" s="31">
        <v>13</v>
      </c>
      <c r="P50" s="31">
        <v>58</v>
      </c>
      <c r="Q50" s="31">
        <v>41</v>
      </c>
      <c r="R50" s="31">
        <v>33</v>
      </c>
      <c r="S50" s="31">
        <v>37</v>
      </c>
      <c r="T50" s="31">
        <v>23</v>
      </c>
      <c r="U50" s="31">
        <v>7</v>
      </c>
      <c r="V50" s="31">
        <v>10</v>
      </c>
      <c r="W50" s="31">
        <v>23</v>
      </c>
      <c r="X50" s="31">
        <v>11</v>
      </c>
      <c r="Y50" s="31">
        <v>89</v>
      </c>
      <c r="Z50" s="31">
        <v>137</v>
      </c>
    </row>
    <row r="51" spans="1:26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516</v>
      </c>
      <c r="E51" s="19">
        <v>253</v>
      </c>
      <c r="F51" s="19">
        <v>263</v>
      </c>
      <c r="G51" s="19">
        <v>0</v>
      </c>
      <c r="H51" s="19">
        <v>0</v>
      </c>
      <c r="I51" s="19">
        <v>0</v>
      </c>
      <c r="J51" s="19">
        <v>0</v>
      </c>
      <c r="K51" s="19">
        <v>72</v>
      </c>
      <c r="L51" s="19">
        <v>36</v>
      </c>
      <c r="M51" s="19">
        <v>3</v>
      </c>
      <c r="N51" s="19">
        <v>11</v>
      </c>
      <c r="O51" s="19">
        <v>9</v>
      </c>
      <c r="P51" s="19">
        <v>35</v>
      </c>
      <c r="Q51" s="19">
        <v>28</v>
      </c>
      <c r="R51" s="19">
        <v>26</v>
      </c>
      <c r="S51" s="19">
        <v>32</v>
      </c>
      <c r="T51" s="19">
        <v>18</v>
      </c>
      <c r="U51" s="19">
        <v>7</v>
      </c>
      <c r="V51" s="19">
        <v>8</v>
      </c>
      <c r="W51" s="19">
        <v>22</v>
      </c>
      <c r="X51" s="19">
        <v>11</v>
      </c>
      <c r="Y51" s="19">
        <v>80</v>
      </c>
      <c r="Z51" s="19">
        <v>118</v>
      </c>
    </row>
    <row r="52" spans="1:26" s="32" customFormat="1" ht="14.25" customHeight="1" x14ac:dyDescent="0.2">
      <c r="A52" s="108"/>
      <c r="B52" s="36" t="s">
        <v>39</v>
      </c>
      <c r="C52" s="37" t="s">
        <v>163</v>
      </c>
      <c r="D52" s="19">
        <v>119</v>
      </c>
      <c r="E52" s="19">
        <v>39</v>
      </c>
      <c r="F52" s="19">
        <v>80</v>
      </c>
      <c r="G52" s="19">
        <v>0</v>
      </c>
      <c r="H52" s="19">
        <v>0</v>
      </c>
      <c r="I52" s="19">
        <v>0</v>
      </c>
      <c r="J52" s="19">
        <v>0</v>
      </c>
      <c r="K52" s="19">
        <v>6</v>
      </c>
      <c r="L52" s="19">
        <v>18</v>
      </c>
      <c r="M52" s="19">
        <v>1</v>
      </c>
      <c r="N52" s="19">
        <v>6</v>
      </c>
      <c r="O52" s="19">
        <v>4</v>
      </c>
      <c r="P52" s="19">
        <v>23</v>
      </c>
      <c r="Q52" s="19">
        <v>13</v>
      </c>
      <c r="R52" s="19">
        <v>7</v>
      </c>
      <c r="S52" s="19">
        <v>5</v>
      </c>
      <c r="T52" s="19">
        <v>5</v>
      </c>
      <c r="U52" s="19">
        <v>0</v>
      </c>
      <c r="V52" s="19">
        <v>2</v>
      </c>
      <c r="W52" s="19">
        <v>1</v>
      </c>
      <c r="X52" s="19">
        <v>0</v>
      </c>
      <c r="Y52" s="19">
        <v>9</v>
      </c>
      <c r="Z52" s="19">
        <v>19</v>
      </c>
    </row>
    <row r="53" spans="1:26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341</v>
      </c>
      <c r="E53" s="31">
        <v>129</v>
      </c>
      <c r="F53" s="31">
        <v>212</v>
      </c>
      <c r="G53" s="31">
        <v>0</v>
      </c>
      <c r="H53" s="31">
        <v>0</v>
      </c>
      <c r="I53" s="31">
        <v>0</v>
      </c>
      <c r="J53" s="31">
        <v>0</v>
      </c>
      <c r="K53" s="31">
        <v>41</v>
      </c>
      <c r="L53" s="31">
        <v>51</v>
      </c>
      <c r="M53" s="31">
        <v>6</v>
      </c>
      <c r="N53" s="31">
        <v>5</v>
      </c>
      <c r="O53" s="31">
        <v>11</v>
      </c>
      <c r="P53" s="31">
        <v>31</v>
      </c>
      <c r="Q53" s="31">
        <v>12</v>
      </c>
      <c r="R53" s="31">
        <v>20</v>
      </c>
      <c r="S53" s="31">
        <v>11</v>
      </c>
      <c r="T53" s="31">
        <v>16</v>
      </c>
      <c r="U53" s="31">
        <v>5</v>
      </c>
      <c r="V53" s="31">
        <v>2</v>
      </c>
      <c r="W53" s="31">
        <v>1</v>
      </c>
      <c r="X53" s="31">
        <v>5</v>
      </c>
      <c r="Y53" s="31">
        <v>42</v>
      </c>
      <c r="Z53" s="31">
        <v>82</v>
      </c>
    </row>
    <row r="54" spans="1:26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111</v>
      </c>
      <c r="E54" s="19">
        <v>56</v>
      </c>
      <c r="F54" s="19">
        <v>55</v>
      </c>
      <c r="G54" s="19">
        <v>0</v>
      </c>
      <c r="H54" s="19">
        <v>0</v>
      </c>
      <c r="I54" s="19">
        <v>0</v>
      </c>
      <c r="J54" s="19">
        <v>0</v>
      </c>
      <c r="K54" s="19">
        <v>14</v>
      </c>
      <c r="L54" s="19">
        <v>10</v>
      </c>
      <c r="M54" s="19">
        <v>6</v>
      </c>
      <c r="N54" s="19">
        <v>1</v>
      </c>
      <c r="O54" s="19">
        <v>5</v>
      </c>
      <c r="P54" s="19">
        <v>9</v>
      </c>
      <c r="Q54" s="19">
        <v>8</v>
      </c>
      <c r="R54" s="19">
        <v>11</v>
      </c>
      <c r="S54" s="19">
        <v>5</v>
      </c>
      <c r="T54" s="19">
        <v>4</v>
      </c>
      <c r="U54" s="19">
        <v>1</v>
      </c>
      <c r="V54" s="19">
        <v>0</v>
      </c>
      <c r="W54" s="19">
        <v>0</v>
      </c>
      <c r="X54" s="19">
        <v>1</v>
      </c>
      <c r="Y54" s="19">
        <v>17</v>
      </c>
      <c r="Z54" s="19">
        <v>19</v>
      </c>
    </row>
    <row r="55" spans="1:26" s="32" customFormat="1" ht="14.25" customHeight="1" x14ac:dyDescent="0.2">
      <c r="A55" s="108"/>
      <c r="B55" s="36" t="s">
        <v>39</v>
      </c>
      <c r="C55" s="37" t="s">
        <v>163</v>
      </c>
      <c r="D55" s="19">
        <v>230</v>
      </c>
      <c r="E55" s="19">
        <v>73</v>
      </c>
      <c r="F55" s="19">
        <v>157</v>
      </c>
      <c r="G55" s="19">
        <v>0</v>
      </c>
      <c r="H55" s="19">
        <v>0</v>
      </c>
      <c r="I55" s="19">
        <v>0</v>
      </c>
      <c r="J55" s="19">
        <v>0</v>
      </c>
      <c r="K55" s="19">
        <v>27</v>
      </c>
      <c r="L55" s="19">
        <v>41</v>
      </c>
      <c r="M55" s="19">
        <v>0</v>
      </c>
      <c r="N55" s="19">
        <v>4</v>
      </c>
      <c r="O55" s="19">
        <v>6</v>
      </c>
      <c r="P55" s="19">
        <v>22</v>
      </c>
      <c r="Q55" s="19">
        <v>4</v>
      </c>
      <c r="R55" s="19">
        <v>9</v>
      </c>
      <c r="S55" s="19">
        <v>6</v>
      </c>
      <c r="T55" s="19">
        <v>12</v>
      </c>
      <c r="U55" s="19">
        <v>4</v>
      </c>
      <c r="V55" s="19">
        <v>2</v>
      </c>
      <c r="W55" s="19">
        <v>1</v>
      </c>
      <c r="X55" s="19">
        <v>4</v>
      </c>
      <c r="Y55" s="19">
        <v>25</v>
      </c>
      <c r="Z55" s="19">
        <v>63</v>
      </c>
    </row>
    <row r="56" spans="1:26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280</v>
      </c>
      <c r="E56" s="31">
        <v>114</v>
      </c>
      <c r="F56" s="31">
        <v>166</v>
      </c>
      <c r="G56" s="31">
        <v>0</v>
      </c>
      <c r="H56" s="31">
        <v>0</v>
      </c>
      <c r="I56" s="31">
        <v>0</v>
      </c>
      <c r="J56" s="31">
        <v>0</v>
      </c>
      <c r="K56" s="31">
        <v>37</v>
      </c>
      <c r="L56" s="31">
        <v>27</v>
      </c>
      <c r="M56" s="31">
        <v>3</v>
      </c>
      <c r="N56" s="31">
        <v>1</v>
      </c>
      <c r="O56" s="31">
        <v>17</v>
      </c>
      <c r="P56" s="31">
        <v>57</v>
      </c>
      <c r="Q56" s="31">
        <v>30</v>
      </c>
      <c r="R56" s="31">
        <v>20</v>
      </c>
      <c r="S56" s="31">
        <v>5</v>
      </c>
      <c r="T56" s="31">
        <v>3</v>
      </c>
      <c r="U56" s="31">
        <v>0</v>
      </c>
      <c r="V56" s="31">
        <v>0</v>
      </c>
      <c r="W56" s="31">
        <v>3</v>
      </c>
      <c r="X56" s="31">
        <v>1</v>
      </c>
      <c r="Y56" s="31">
        <v>19</v>
      </c>
      <c r="Z56" s="31">
        <v>57</v>
      </c>
    </row>
    <row r="57" spans="1:26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91</v>
      </c>
      <c r="E57" s="19">
        <v>38</v>
      </c>
      <c r="F57" s="19">
        <v>53</v>
      </c>
      <c r="G57" s="19">
        <v>0</v>
      </c>
      <c r="H57" s="19">
        <v>0</v>
      </c>
      <c r="I57" s="19">
        <v>0</v>
      </c>
      <c r="J57" s="19">
        <v>0</v>
      </c>
      <c r="K57" s="19">
        <v>12</v>
      </c>
      <c r="L57" s="19">
        <v>8</v>
      </c>
      <c r="M57" s="19">
        <v>3</v>
      </c>
      <c r="N57" s="19">
        <v>0</v>
      </c>
      <c r="O57" s="19">
        <v>6</v>
      </c>
      <c r="P57" s="19">
        <v>19</v>
      </c>
      <c r="Q57" s="19">
        <v>4</v>
      </c>
      <c r="R57" s="19">
        <v>4</v>
      </c>
      <c r="S57" s="19">
        <v>2</v>
      </c>
      <c r="T57" s="19">
        <v>3</v>
      </c>
      <c r="U57" s="19">
        <v>0</v>
      </c>
      <c r="V57" s="19">
        <v>0</v>
      </c>
      <c r="W57" s="19">
        <v>2</v>
      </c>
      <c r="X57" s="19">
        <v>0</v>
      </c>
      <c r="Y57" s="19">
        <v>9</v>
      </c>
      <c r="Z57" s="19">
        <v>19</v>
      </c>
    </row>
    <row r="58" spans="1:26" s="32" customFormat="1" ht="14.25" customHeight="1" x14ac:dyDescent="0.2">
      <c r="A58" s="108"/>
      <c r="B58" s="36" t="s">
        <v>39</v>
      </c>
      <c r="C58" s="37" t="s">
        <v>163</v>
      </c>
      <c r="D58" s="19">
        <v>189</v>
      </c>
      <c r="E58" s="19">
        <v>76</v>
      </c>
      <c r="F58" s="19">
        <v>113</v>
      </c>
      <c r="G58" s="19">
        <v>0</v>
      </c>
      <c r="H58" s="19">
        <v>0</v>
      </c>
      <c r="I58" s="19">
        <v>0</v>
      </c>
      <c r="J58" s="19">
        <v>0</v>
      </c>
      <c r="K58" s="19">
        <v>25</v>
      </c>
      <c r="L58" s="19">
        <v>19</v>
      </c>
      <c r="M58" s="19">
        <v>0</v>
      </c>
      <c r="N58" s="19">
        <v>1</v>
      </c>
      <c r="O58" s="19">
        <v>11</v>
      </c>
      <c r="P58" s="19">
        <v>38</v>
      </c>
      <c r="Q58" s="19">
        <v>26</v>
      </c>
      <c r="R58" s="19">
        <v>16</v>
      </c>
      <c r="S58" s="19">
        <v>3</v>
      </c>
      <c r="T58" s="19">
        <v>0</v>
      </c>
      <c r="U58" s="19">
        <v>0</v>
      </c>
      <c r="V58" s="19">
        <v>0</v>
      </c>
      <c r="W58" s="19">
        <v>1</v>
      </c>
      <c r="X58" s="19">
        <v>1</v>
      </c>
      <c r="Y58" s="19">
        <v>10</v>
      </c>
      <c r="Z58" s="19">
        <v>38</v>
      </c>
    </row>
    <row r="59" spans="1:26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36</v>
      </c>
      <c r="E59" s="31">
        <v>9</v>
      </c>
      <c r="F59" s="31">
        <v>27</v>
      </c>
      <c r="G59" s="31">
        <v>0</v>
      </c>
      <c r="H59" s="31">
        <v>0</v>
      </c>
      <c r="I59" s="31">
        <v>0</v>
      </c>
      <c r="J59" s="31">
        <v>0</v>
      </c>
      <c r="K59" s="31">
        <v>4</v>
      </c>
      <c r="L59" s="31">
        <v>4</v>
      </c>
      <c r="M59" s="31">
        <v>0</v>
      </c>
      <c r="N59" s="31">
        <v>9</v>
      </c>
      <c r="O59" s="31">
        <v>0</v>
      </c>
      <c r="P59" s="31">
        <v>1</v>
      </c>
      <c r="Q59" s="31">
        <v>1</v>
      </c>
      <c r="R59" s="31">
        <v>0</v>
      </c>
      <c r="S59" s="31">
        <v>2</v>
      </c>
      <c r="T59" s="31">
        <v>2</v>
      </c>
      <c r="U59" s="31">
        <v>0</v>
      </c>
      <c r="V59" s="31">
        <v>0</v>
      </c>
      <c r="W59" s="31">
        <v>1</v>
      </c>
      <c r="X59" s="31">
        <v>0</v>
      </c>
      <c r="Y59" s="31">
        <v>1</v>
      </c>
      <c r="Z59" s="31">
        <v>11</v>
      </c>
    </row>
    <row r="60" spans="1:26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36</v>
      </c>
      <c r="E60" s="19">
        <v>9</v>
      </c>
      <c r="F60" s="19">
        <v>27</v>
      </c>
      <c r="G60" s="19">
        <v>0</v>
      </c>
      <c r="H60" s="19">
        <v>0</v>
      </c>
      <c r="I60" s="19">
        <v>0</v>
      </c>
      <c r="J60" s="19">
        <v>0</v>
      </c>
      <c r="K60" s="19">
        <v>4</v>
      </c>
      <c r="L60" s="19">
        <v>4</v>
      </c>
      <c r="M60" s="19">
        <v>0</v>
      </c>
      <c r="N60" s="19">
        <v>9</v>
      </c>
      <c r="O60" s="19">
        <v>0</v>
      </c>
      <c r="P60" s="19">
        <v>1</v>
      </c>
      <c r="Q60" s="19">
        <v>1</v>
      </c>
      <c r="R60" s="19">
        <v>0</v>
      </c>
      <c r="S60" s="19">
        <v>2</v>
      </c>
      <c r="T60" s="19">
        <v>2</v>
      </c>
      <c r="U60" s="19">
        <v>0</v>
      </c>
      <c r="V60" s="19">
        <v>0</v>
      </c>
      <c r="W60" s="19">
        <v>1</v>
      </c>
      <c r="X60" s="19">
        <v>0</v>
      </c>
      <c r="Y60" s="19">
        <v>1</v>
      </c>
      <c r="Z60" s="19">
        <v>11</v>
      </c>
    </row>
    <row r="61" spans="1:26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</row>
    <row r="62" spans="1:26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298</v>
      </c>
      <c r="E62" s="31">
        <v>117</v>
      </c>
      <c r="F62" s="31">
        <v>181</v>
      </c>
      <c r="G62" s="31">
        <v>0</v>
      </c>
      <c r="H62" s="31">
        <v>1</v>
      </c>
      <c r="I62" s="31">
        <v>0</v>
      </c>
      <c r="J62" s="31">
        <v>0</v>
      </c>
      <c r="K62" s="31">
        <v>40</v>
      </c>
      <c r="L62" s="31">
        <v>37</v>
      </c>
      <c r="M62" s="31">
        <v>2</v>
      </c>
      <c r="N62" s="31">
        <v>6</v>
      </c>
      <c r="O62" s="31">
        <v>5</v>
      </c>
      <c r="P62" s="31">
        <v>25</v>
      </c>
      <c r="Q62" s="31">
        <v>16</v>
      </c>
      <c r="R62" s="31">
        <v>4</v>
      </c>
      <c r="S62" s="31">
        <v>15</v>
      </c>
      <c r="T62" s="31">
        <v>6</v>
      </c>
      <c r="U62" s="31">
        <v>0</v>
      </c>
      <c r="V62" s="31">
        <v>2</v>
      </c>
      <c r="W62" s="31">
        <v>3</v>
      </c>
      <c r="X62" s="31">
        <v>0</v>
      </c>
      <c r="Y62" s="31">
        <v>36</v>
      </c>
      <c r="Z62" s="31">
        <v>100</v>
      </c>
    </row>
    <row r="63" spans="1:26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266</v>
      </c>
      <c r="E63" s="19">
        <v>108</v>
      </c>
      <c r="F63" s="19">
        <v>158</v>
      </c>
      <c r="G63" s="19">
        <v>0</v>
      </c>
      <c r="H63" s="19">
        <v>1</v>
      </c>
      <c r="I63" s="19">
        <v>0</v>
      </c>
      <c r="J63" s="19">
        <v>0</v>
      </c>
      <c r="K63" s="19">
        <v>38</v>
      </c>
      <c r="L63" s="19">
        <v>33</v>
      </c>
      <c r="M63" s="19">
        <v>2</v>
      </c>
      <c r="N63" s="19">
        <v>6</v>
      </c>
      <c r="O63" s="19">
        <v>4</v>
      </c>
      <c r="P63" s="19">
        <v>20</v>
      </c>
      <c r="Q63" s="19">
        <v>13</v>
      </c>
      <c r="R63" s="19">
        <v>4</v>
      </c>
      <c r="S63" s="19">
        <v>14</v>
      </c>
      <c r="T63" s="19">
        <v>5</v>
      </c>
      <c r="U63" s="19">
        <v>0</v>
      </c>
      <c r="V63" s="19">
        <v>2</v>
      </c>
      <c r="W63" s="19">
        <v>3</v>
      </c>
      <c r="X63" s="19">
        <v>0</v>
      </c>
      <c r="Y63" s="19">
        <v>34</v>
      </c>
      <c r="Z63" s="19">
        <v>87</v>
      </c>
    </row>
    <row r="64" spans="1:26" s="32" customFormat="1" ht="14.25" customHeight="1" x14ac:dyDescent="0.2">
      <c r="A64" s="108"/>
      <c r="B64" s="36" t="s">
        <v>39</v>
      </c>
      <c r="C64" s="37" t="s">
        <v>163</v>
      </c>
      <c r="D64" s="19">
        <v>32</v>
      </c>
      <c r="E64" s="19">
        <v>9</v>
      </c>
      <c r="F64" s="19">
        <v>23</v>
      </c>
      <c r="G64" s="19">
        <v>0</v>
      </c>
      <c r="H64" s="19">
        <v>0</v>
      </c>
      <c r="I64" s="19">
        <v>0</v>
      </c>
      <c r="J64" s="19">
        <v>0</v>
      </c>
      <c r="K64" s="19">
        <v>2</v>
      </c>
      <c r="L64" s="19">
        <v>4</v>
      </c>
      <c r="M64" s="19">
        <v>0</v>
      </c>
      <c r="N64" s="19">
        <v>0</v>
      </c>
      <c r="O64" s="19">
        <v>1</v>
      </c>
      <c r="P64" s="19">
        <v>5</v>
      </c>
      <c r="Q64" s="19">
        <v>3</v>
      </c>
      <c r="R64" s="19">
        <v>0</v>
      </c>
      <c r="S64" s="19">
        <v>1</v>
      </c>
      <c r="T64" s="19">
        <v>1</v>
      </c>
      <c r="U64" s="19">
        <v>0</v>
      </c>
      <c r="V64" s="19">
        <v>0</v>
      </c>
      <c r="W64" s="19">
        <v>0</v>
      </c>
      <c r="X64" s="19">
        <v>0</v>
      </c>
      <c r="Y64" s="19">
        <v>2</v>
      </c>
      <c r="Z64" s="19">
        <v>13</v>
      </c>
    </row>
    <row r="65" spans="1:26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164</v>
      </c>
      <c r="E65" s="31">
        <v>46</v>
      </c>
      <c r="F65" s="31">
        <v>118</v>
      </c>
      <c r="G65" s="31">
        <v>1</v>
      </c>
      <c r="H65" s="31">
        <v>1</v>
      </c>
      <c r="I65" s="31">
        <v>0</v>
      </c>
      <c r="J65" s="31">
        <v>0</v>
      </c>
      <c r="K65" s="31">
        <v>10</v>
      </c>
      <c r="L65" s="31">
        <v>9</v>
      </c>
      <c r="M65" s="31">
        <v>2</v>
      </c>
      <c r="N65" s="31">
        <v>5</v>
      </c>
      <c r="O65" s="31">
        <v>1</v>
      </c>
      <c r="P65" s="31">
        <v>24</v>
      </c>
      <c r="Q65" s="31">
        <v>7</v>
      </c>
      <c r="R65" s="31">
        <v>6</v>
      </c>
      <c r="S65" s="31">
        <v>6</v>
      </c>
      <c r="T65" s="31">
        <v>8</v>
      </c>
      <c r="U65" s="31">
        <v>1</v>
      </c>
      <c r="V65" s="31">
        <v>2</v>
      </c>
      <c r="W65" s="31">
        <v>0</v>
      </c>
      <c r="X65" s="31">
        <v>5</v>
      </c>
      <c r="Y65" s="31">
        <v>18</v>
      </c>
      <c r="Z65" s="31">
        <v>58</v>
      </c>
    </row>
    <row r="66" spans="1:26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144</v>
      </c>
      <c r="E66" s="19">
        <v>39</v>
      </c>
      <c r="F66" s="19">
        <v>105</v>
      </c>
      <c r="G66" s="19">
        <v>1</v>
      </c>
      <c r="H66" s="19">
        <v>1</v>
      </c>
      <c r="I66" s="19">
        <v>0</v>
      </c>
      <c r="J66" s="19">
        <v>0</v>
      </c>
      <c r="K66" s="19">
        <v>8</v>
      </c>
      <c r="L66" s="19">
        <v>8</v>
      </c>
      <c r="M66" s="19">
        <v>2</v>
      </c>
      <c r="N66" s="19">
        <v>5</v>
      </c>
      <c r="O66" s="19">
        <v>1</v>
      </c>
      <c r="P66" s="19">
        <v>21</v>
      </c>
      <c r="Q66" s="19">
        <v>6</v>
      </c>
      <c r="R66" s="19">
        <v>4</v>
      </c>
      <c r="S66" s="19">
        <v>6</v>
      </c>
      <c r="T66" s="19">
        <v>6</v>
      </c>
      <c r="U66" s="19">
        <v>1</v>
      </c>
      <c r="V66" s="19">
        <v>2</v>
      </c>
      <c r="W66" s="19">
        <v>0</v>
      </c>
      <c r="X66" s="19">
        <v>5</v>
      </c>
      <c r="Y66" s="19">
        <v>14</v>
      </c>
      <c r="Z66" s="19">
        <v>53</v>
      </c>
    </row>
    <row r="67" spans="1:26" s="32" customFormat="1" ht="14.25" customHeight="1" x14ac:dyDescent="0.2">
      <c r="A67" s="108"/>
      <c r="B67" s="36" t="s">
        <v>39</v>
      </c>
      <c r="C67" s="37" t="s">
        <v>163</v>
      </c>
      <c r="D67" s="19">
        <v>20</v>
      </c>
      <c r="E67" s="19">
        <v>7</v>
      </c>
      <c r="F67" s="19">
        <v>13</v>
      </c>
      <c r="G67" s="19">
        <v>0</v>
      </c>
      <c r="H67" s="19">
        <v>0</v>
      </c>
      <c r="I67" s="19">
        <v>0</v>
      </c>
      <c r="J67" s="19">
        <v>0</v>
      </c>
      <c r="K67" s="19">
        <v>2</v>
      </c>
      <c r="L67" s="19">
        <v>1</v>
      </c>
      <c r="M67" s="19">
        <v>0</v>
      </c>
      <c r="N67" s="19">
        <v>0</v>
      </c>
      <c r="O67" s="19">
        <v>0</v>
      </c>
      <c r="P67" s="19">
        <v>3</v>
      </c>
      <c r="Q67" s="19">
        <v>1</v>
      </c>
      <c r="R67" s="19">
        <v>2</v>
      </c>
      <c r="S67" s="19">
        <v>0</v>
      </c>
      <c r="T67" s="19">
        <v>2</v>
      </c>
      <c r="U67" s="19">
        <v>0</v>
      </c>
      <c r="V67" s="19">
        <v>0</v>
      </c>
      <c r="W67" s="19">
        <v>0</v>
      </c>
      <c r="X67" s="19">
        <v>0</v>
      </c>
      <c r="Y67" s="19">
        <v>4</v>
      </c>
      <c r="Z67" s="19">
        <v>5</v>
      </c>
    </row>
    <row r="68" spans="1:26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116</v>
      </c>
      <c r="E68" s="31">
        <v>56</v>
      </c>
      <c r="F68" s="31">
        <v>60</v>
      </c>
      <c r="G68" s="31">
        <v>0</v>
      </c>
      <c r="H68" s="31">
        <v>0</v>
      </c>
      <c r="I68" s="31">
        <v>0</v>
      </c>
      <c r="J68" s="31">
        <v>0</v>
      </c>
      <c r="K68" s="31">
        <v>23</v>
      </c>
      <c r="L68" s="31">
        <v>12</v>
      </c>
      <c r="M68" s="31">
        <v>0</v>
      </c>
      <c r="N68" s="31">
        <v>1</v>
      </c>
      <c r="O68" s="31">
        <v>2</v>
      </c>
      <c r="P68" s="31">
        <v>16</v>
      </c>
      <c r="Q68" s="31">
        <v>9</v>
      </c>
      <c r="R68" s="31">
        <v>5</v>
      </c>
      <c r="S68" s="31">
        <v>12</v>
      </c>
      <c r="T68" s="31">
        <v>6</v>
      </c>
      <c r="U68" s="31">
        <v>0</v>
      </c>
      <c r="V68" s="31">
        <v>0</v>
      </c>
      <c r="W68" s="31">
        <v>6</v>
      </c>
      <c r="X68" s="31">
        <v>0</v>
      </c>
      <c r="Y68" s="31">
        <v>4</v>
      </c>
      <c r="Z68" s="31">
        <v>20</v>
      </c>
    </row>
    <row r="69" spans="1:26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113</v>
      </c>
      <c r="E69" s="19">
        <v>56</v>
      </c>
      <c r="F69" s="19">
        <v>57</v>
      </c>
      <c r="G69" s="19">
        <v>0</v>
      </c>
      <c r="H69" s="19">
        <v>0</v>
      </c>
      <c r="I69" s="19">
        <v>0</v>
      </c>
      <c r="J69" s="19">
        <v>0</v>
      </c>
      <c r="K69" s="19">
        <v>23</v>
      </c>
      <c r="L69" s="19">
        <v>10</v>
      </c>
      <c r="M69" s="19">
        <v>0</v>
      </c>
      <c r="N69" s="19">
        <v>1</v>
      </c>
      <c r="O69" s="19">
        <v>2</v>
      </c>
      <c r="P69" s="19">
        <v>15</v>
      </c>
      <c r="Q69" s="19">
        <v>9</v>
      </c>
      <c r="R69" s="19">
        <v>5</v>
      </c>
      <c r="S69" s="19">
        <v>12</v>
      </c>
      <c r="T69" s="19">
        <v>6</v>
      </c>
      <c r="U69" s="19">
        <v>0</v>
      </c>
      <c r="V69" s="19">
        <v>0</v>
      </c>
      <c r="W69" s="19">
        <v>6</v>
      </c>
      <c r="X69" s="19">
        <v>0</v>
      </c>
      <c r="Y69" s="19">
        <v>4</v>
      </c>
      <c r="Z69" s="19">
        <v>20</v>
      </c>
    </row>
    <row r="70" spans="1:26" s="32" customFormat="1" ht="14.25" customHeight="1" x14ac:dyDescent="0.2">
      <c r="A70" s="108"/>
      <c r="B70" s="36" t="s">
        <v>39</v>
      </c>
      <c r="C70" s="37" t="s">
        <v>163</v>
      </c>
      <c r="D70" s="19">
        <v>3</v>
      </c>
      <c r="E70" s="19">
        <v>0</v>
      </c>
      <c r="F70" s="19">
        <v>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2</v>
      </c>
      <c r="M70" s="19">
        <v>0</v>
      </c>
      <c r="N70" s="19">
        <v>0</v>
      </c>
      <c r="O70" s="19">
        <v>0</v>
      </c>
      <c r="P70" s="19">
        <v>1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</row>
    <row r="71" spans="1:26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42</v>
      </c>
      <c r="E71" s="31">
        <v>23</v>
      </c>
      <c r="F71" s="31">
        <v>19</v>
      </c>
      <c r="G71" s="31">
        <v>0</v>
      </c>
      <c r="H71" s="31">
        <v>0</v>
      </c>
      <c r="I71" s="31">
        <v>0</v>
      </c>
      <c r="J71" s="31">
        <v>0</v>
      </c>
      <c r="K71" s="31">
        <v>7</v>
      </c>
      <c r="L71" s="31">
        <v>2</v>
      </c>
      <c r="M71" s="31">
        <v>2</v>
      </c>
      <c r="N71" s="31">
        <v>0</v>
      </c>
      <c r="O71" s="31">
        <v>0</v>
      </c>
      <c r="P71" s="31">
        <v>3</v>
      </c>
      <c r="Q71" s="31">
        <v>6</v>
      </c>
      <c r="R71" s="31">
        <v>4</v>
      </c>
      <c r="S71" s="31">
        <v>2</v>
      </c>
      <c r="T71" s="31">
        <v>2</v>
      </c>
      <c r="U71" s="31">
        <v>1</v>
      </c>
      <c r="V71" s="31">
        <v>0</v>
      </c>
      <c r="W71" s="31">
        <v>3</v>
      </c>
      <c r="X71" s="31">
        <v>2</v>
      </c>
      <c r="Y71" s="31">
        <v>2</v>
      </c>
      <c r="Z71" s="31">
        <v>6</v>
      </c>
    </row>
    <row r="72" spans="1:26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41</v>
      </c>
      <c r="E72" s="19">
        <v>23</v>
      </c>
      <c r="F72" s="19">
        <v>18</v>
      </c>
      <c r="G72" s="19">
        <v>0</v>
      </c>
      <c r="H72" s="19">
        <v>0</v>
      </c>
      <c r="I72" s="19">
        <v>0</v>
      </c>
      <c r="J72" s="19">
        <v>0</v>
      </c>
      <c r="K72" s="19">
        <v>7</v>
      </c>
      <c r="L72" s="19">
        <v>2</v>
      </c>
      <c r="M72" s="19">
        <v>2</v>
      </c>
      <c r="N72" s="19">
        <v>0</v>
      </c>
      <c r="O72" s="19">
        <v>0</v>
      </c>
      <c r="P72" s="19">
        <v>2</v>
      </c>
      <c r="Q72" s="19">
        <v>6</v>
      </c>
      <c r="R72" s="19">
        <v>4</v>
      </c>
      <c r="S72" s="19">
        <v>2</v>
      </c>
      <c r="T72" s="19">
        <v>2</v>
      </c>
      <c r="U72" s="19">
        <v>1</v>
      </c>
      <c r="V72" s="19">
        <v>0</v>
      </c>
      <c r="W72" s="19">
        <v>3</v>
      </c>
      <c r="X72" s="19">
        <v>2</v>
      </c>
      <c r="Y72" s="19">
        <v>2</v>
      </c>
      <c r="Z72" s="19">
        <v>6</v>
      </c>
    </row>
    <row r="73" spans="1:26" s="32" customFormat="1" ht="14.25" customHeight="1" x14ac:dyDescent="0.2">
      <c r="A73" s="108"/>
      <c r="B73" s="36" t="s">
        <v>39</v>
      </c>
      <c r="C73" s="37" t="s">
        <v>163</v>
      </c>
      <c r="D73" s="19">
        <v>1</v>
      </c>
      <c r="E73" s="19">
        <v>0</v>
      </c>
      <c r="F73" s="19">
        <v>1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1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</row>
    <row r="74" spans="1:26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9</v>
      </c>
      <c r="E74" s="31">
        <v>6</v>
      </c>
      <c r="F74" s="31">
        <v>3</v>
      </c>
      <c r="G74" s="31">
        <v>0</v>
      </c>
      <c r="H74" s="31">
        <v>0</v>
      </c>
      <c r="I74" s="31">
        <v>0</v>
      </c>
      <c r="J74" s="31">
        <v>0</v>
      </c>
      <c r="K74" s="31">
        <v>1</v>
      </c>
      <c r="L74" s="31">
        <v>1</v>
      </c>
      <c r="M74" s="31">
        <v>1</v>
      </c>
      <c r="N74" s="31">
        <v>0</v>
      </c>
      <c r="O74" s="31">
        <v>0</v>
      </c>
      <c r="P74" s="31">
        <v>0</v>
      </c>
      <c r="Q74" s="31">
        <v>1</v>
      </c>
      <c r="R74" s="31">
        <v>1</v>
      </c>
      <c r="S74" s="31">
        <v>1</v>
      </c>
      <c r="T74" s="31">
        <v>1</v>
      </c>
      <c r="U74" s="31">
        <v>0</v>
      </c>
      <c r="V74" s="31">
        <v>0</v>
      </c>
      <c r="W74" s="31">
        <v>0</v>
      </c>
      <c r="X74" s="31">
        <v>0</v>
      </c>
      <c r="Y74" s="31">
        <v>2</v>
      </c>
      <c r="Z74" s="31">
        <v>0</v>
      </c>
    </row>
    <row r="75" spans="1:26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8</v>
      </c>
      <c r="E75" s="19">
        <v>6</v>
      </c>
      <c r="F75" s="19">
        <v>2</v>
      </c>
      <c r="G75" s="19">
        <v>0</v>
      </c>
      <c r="H75" s="19">
        <v>0</v>
      </c>
      <c r="I75" s="19">
        <v>0</v>
      </c>
      <c r="J75" s="19">
        <v>0</v>
      </c>
      <c r="K75" s="19">
        <v>1</v>
      </c>
      <c r="L75" s="19">
        <v>1</v>
      </c>
      <c r="M75" s="19">
        <v>1</v>
      </c>
      <c r="N75" s="19">
        <v>0</v>
      </c>
      <c r="O75" s="19">
        <v>0</v>
      </c>
      <c r="P75" s="19">
        <v>0</v>
      </c>
      <c r="Q75" s="19">
        <v>1</v>
      </c>
      <c r="R75" s="19">
        <v>0</v>
      </c>
      <c r="S75" s="19">
        <v>1</v>
      </c>
      <c r="T75" s="19">
        <v>1</v>
      </c>
      <c r="U75" s="19">
        <v>0</v>
      </c>
      <c r="V75" s="19">
        <v>0</v>
      </c>
      <c r="W75" s="19">
        <v>0</v>
      </c>
      <c r="X75" s="19">
        <v>0</v>
      </c>
      <c r="Y75" s="19">
        <v>2</v>
      </c>
      <c r="Z75" s="19">
        <v>0</v>
      </c>
    </row>
    <row r="76" spans="1:26" s="32" customFormat="1" ht="14.25" customHeight="1" x14ac:dyDescent="0.2">
      <c r="A76" s="108"/>
      <c r="B76" s="36" t="s">
        <v>39</v>
      </c>
      <c r="C76" s="37" t="s">
        <v>163</v>
      </c>
      <c r="D76" s="39">
        <v>1</v>
      </c>
      <c r="E76" s="39">
        <v>0</v>
      </c>
      <c r="F76" s="39">
        <v>1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1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</row>
    <row r="77" spans="1:26" ht="14.25" customHeight="1" x14ac:dyDescent="0.2">
      <c r="A77" s="6" t="s">
        <v>28</v>
      </c>
    </row>
    <row r="78" spans="1:26" ht="14.25" customHeight="1" x14ac:dyDescent="0.2">
      <c r="A78" s="23" t="s">
        <v>29</v>
      </c>
    </row>
    <row r="79" spans="1:26" ht="14.25" customHeight="1" x14ac:dyDescent="0.2"/>
    <row r="80" spans="1:26" ht="14.25" customHeight="1" x14ac:dyDescent="0.2">
      <c r="A80" s="62" t="s">
        <v>138</v>
      </c>
    </row>
  </sheetData>
  <mergeCells count="36">
    <mergeCell ref="A15:A16"/>
    <mergeCell ref="A4:C7"/>
    <mergeCell ref="D4:Z4"/>
    <mergeCell ref="D5:F6"/>
    <mergeCell ref="G5:J5"/>
    <mergeCell ref="K5:R5"/>
    <mergeCell ref="S5:T6"/>
    <mergeCell ref="U5:V6"/>
    <mergeCell ref="W5:X6"/>
    <mergeCell ref="Y5:Z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9" fitToWidth="0" fitToHeight="0" orientation="portrait" verticalDpi="0" r:id="rId1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0"/>
  <sheetViews>
    <sheetView workbookViewId="0">
      <pane xSplit="4" ySplit="8" topLeftCell="E9" activePane="bottomRight" state="frozen"/>
      <selection pane="topRight"/>
      <selection pane="bottomLeft"/>
      <selection pane="bottomRight" activeCell="J27" sqref="J27"/>
    </sheetView>
  </sheetViews>
  <sheetFormatPr defaultColWidth="5.5" defaultRowHeight="11.1" customHeight="1" x14ac:dyDescent="0.2"/>
  <cols>
    <col min="1" max="1" width="19.1640625" style="3" customWidth="1"/>
    <col min="2" max="2" width="10.33203125" style="3" customWidth="1"/>
    <col min="3" max="3" width="13.1640625" style="3" customWidth="1"/>
    <col min="4" max="26" width="10.1640625" style="3" customWidth="1"/>
    <col min="27" max="27" width="5.5" style="3" customWidth="1"/>
    <col min="28" max="16384" width="5.5" style="3"/>
  </cols>
  <sheetData>
    <row r="1" spans="1:26" ht="20.25" customHeight="1" x14ac:dyDescent="0.2">
      <c r="A1" s="15" t="s">
        <v>31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6" ht="14.25" customHeight="1" x14ac:dyDescent="0.2">
      <c r="A2" s="6" t="s">
        <v>24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6" s="6" customFormat="1" ht="12.75" customHeight="1" x14ac:dyDescent="0.25">
      <c r="A3" s="26" t="s">
        <v>32</v>
      </c>
      <c r="B3" s="27"/>
      <c r="C3" s="27"/>
      <c r="S3" s="7"/>
      <c r="T3" s="7"/>
      <c r="U3" s="7"/>
      <c r="V3" s="7"/>
    </row>
    <row r="4" spans="1:26" s="9" customFormat="1" ht="24.75" customHeight="1" x14ac:dyDescent="0.2">
      <c r="A4" s="102" t="s">
        <v>33</v>
      </c>
      <c r="B4" s="102"/>
      <c r="C4" s="102"/>
      <c r="D4" s="105" t="s">
        <v>25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5</v>
      </c>
      <c r="L5" s="106"/>
      <c r="M5" s="106"/>
      <c r="N5" s="106"/>
      <c r="O5" s="106"/>
      <c r="P5" s="106"/>
      <c r="Q5" s="106"/>
      <c r="R5" s="106"/>
      <c r="S5" s="107" t="s">
        <v>6</v>
      </c>
      <c r="T5" s="107"/>
      <c r="U5" s="107" t="s">
        <v>7</v>
      </c>
      <c r="V5" s="107"/>
      <c r="W5" s="100" t="s">
        <v>26</v>
      </c>
      <c r="X5" s="100"/>
      <c r="Y5" s="101" t="s">
        <v>27</v>
      </c>
      <c r="Z5" s="101"/>
    </row>
    <row r="6" spans="1:26" s="9" customFormat="1" ht="39" customHeight="1" x14ac:dyDescent="0.2">
      <c r="A6" s="102"/>
      <c r="B6" s="102"/>
      <c r="C6" s="102"/>
      <c r="D6" s="102"/>
      <c r="E6" s="102"/>
      <c r="F6" s="102"/>
      <c r="G6" s="17" t="s">
        <v>19</v>
      </c>
      <c r="H6" s="18"/>
      <c r="I6" s="17" t="s">
        <v>20</v>
      </c>
      <c r="J6" s="18"/>
      <c r="K6" s="102" t="s">
        <v>8</v>
      </c>
      <c r="L6" s="102"/>
      <c r="M6" s="102" t="s">
        <v>9</v>
      </c>
      <c r="N6" s="102"/>
      <c r="O6" s="102" t="s">
        <v>10</v>
      </c>
      <c r="P6" s="102"/>
      <c r="Q6" s="102" t="s">
        <v>11</v>
      </c>
      <c r="R6" s="102"/>
      <c r="S6" s="107"/>
      <c r="T6" s="107"/>
      <c r="U6" s="107"/>
      <c r="V6" s="107"/>
      <c r="W6" s="100"/>
      <c r="X6" s="100"/>
      <c r="Y6" s="101"/>
      <c r="Z6" s="101"/>
    </row>
    <row r="7" spans="1:26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8" t="s">
        <v>14</v>
      </c>
      <c r="U7" s="8" t="s">
        <v>13</v>
      </c>
      <c r="V7" s="10" t="s">
        <v>14</v>
      </c>
      <c r="W7" s="8" t="s">
        <v>13</v>
      </c>
      <c r="X7" s="10" t="s">
        <v>14</v>
      </c>
      <c r="Y7" s="8" t="s">
        <v>13</v>
      </c>
      <c r="Z7" s="10" t="s">
        <v>14</v>
      </c>
    </row>
    <row r="8" spans="1:26" s="79" customFormat="1" ht="18" customHeight="1" x14ac:dyDescent="0.2">
      <c r="A8" s="75" t="s">
        <v>149</v>
      </c>
      <c r="B8" s="76" t="s">
        <v>150</v>
      </c>
      <c r="C8" s="77" t="s">
        <v>36</v>
      </c>
      <c r="D8" s="78">
        <v>11113</v>
      </c>
      <c r="E8" s="78">
        <v>4832</v>
      </c>
      <c r="F8" s="78">
        <v>6281</v>
      </c>
      <c r="G8" s="78">
        <v>8</v>
      </c>
      <c r="H8" s="78">
        <v>8</v>
      </c>
      <c r="I8" s="78">
        <v>8</v>
      </c>
      <c r="J8" s="78">
        <v>4</v>
      </c>
      <c r="K8" s="78">
        <v>429</v>
      </c>
      <c r="L8" s="78">
        <v>315</v>
      </c>
      <c r="M8" s="78">
        <v>123</v>
      </c>
      <c r="N8" s="78">
        <v>152</v>
      </c>
      <c r="O8" s="78">
        <v>556</v>
      </c>
      <c r="P8" s="78">
        <v>2585</v>
      </c>
      <c r="Q8" s="78">
        <v>523</v>
      </c>
      <c r="R8" s="78">
        <v>480</v>
      </c>
      <c r="S8" s="78">
        <v>1879</v>
      </c>
      <c r="T8" s="78">
        <v>1154</v>
      </c>
      <c r="U8" s="78">
        <v>61</v>
      </c>
      <c r="V8" s="78">
        <v>57</v>
      </c>
      <c r="W8" s="78">
        <v>89</v>
      </c>
      <c r="X8" s="78">
        <v>126</v>
      </c>
      <c r="Y8" s="78">
        <v>1156</v>
      </c>
      <c r="Z8" s="78">
        <v>1400</v>
      </c>
    </row>
    <row r="9" spans="1:26" s="79" customFormat="1" ht="14.25" customHeight="1" x14ac:dyDescent="0.2">
      <c r="A9" s="111" t="s">
        <v>36</v>
      </c>
      <c r="B9" s="80" t="s">
        <v>151</v>
      </c>
      <c r="C9" s="81" t="s">
        <v>38</v>
      </c>
      <c r="D9" s="82">
        <v>9983</v>
      </c>
      <c r="E9" s="82">
        <v>4389</v>
      </c>
      <c r="F9" s="82">
        <v>5594</v>
      </c>
      <c r="G9" s="82">
        <v>6</v>
      </c>
      <c r="H9" s="82">
        <v>7</v>
      </c>
      <c r="I9" s="82">
        <v>7</v>
      </c>
      <c r="J9" s="82">
        <v>3</v>
      </c>
      <c r="K9" s="82">
        <v>403</v>
      </c>
      <c r="L9" s="82">
        <v>287</v>
      </c>
      <c r="M9" s="82">
        <v>116</v>
      </c>
      <c r="N9" s="82">
        <v>140</v>
      </c>
      <c r="O9" s="82">
        <v>500</v>
      </c>
      <c r="P9" s="82">
        <v>2316</v>
      </c>
      <c r="Q9" s="82">
        <v>456</v>
      </c>
      <c r="R9" s="82">
        <v>410</v>
      </c>
      <c r="S9" s="82">
        <v>1733</v>
      </c>
      <c r="T9" s="82">
        <v>1029</v>
      </c>
      <c r="U9" s="82">
        <v>53</v>
      </c>
      <c r="V9" s="82">
        <v>43</v>
      </c>
      <c r="W9" s="82">
        <v>76</v>
      </c>
      <c r="X9" s="82">
        <v>115</v>
      </c>
      <c r="Y9" s="82">
        <v>1039</v>
      </c>
      <c r="Z9" s="82">
        <v>1244</v>
      </c>
    </row>
    <row r="10" spans="1:26" s="79" customFormat="1" ht="14.25" customHeight="1" x14ac:dyDescent="0.2">
      <c r="A10" s="111"/>
      <c r="B10" s="80" t="s">
        <v>152</v>
      </c>
      <c r="C10" s="81" t="s">
        <v>163</v>
      </c>
      <c r="D10" s="82">
        <v>1130</v>
      </c>
      <c r="E10" s="82">
        <v>443</v>
      </c>
      <c r="F10" s="82">
        <v>687</v>
      </c>
      <c r="G10" s="82">
        <v>2</v>
      </c>
      <c r="H10" s="82">
        <v>1</v>
      </c>
      <c r="I10" s="82">
        <v>1</v>
      </c>
      <c r="J10" s="82">
        <v>1</v>
      </c>
      <c r="K10" s="82">
        <v>26</v>
      </c>
      <c r="L10" s="82">
        <v>28</v>
      </c>
      <c r="M10" s="82">
        <v>7</v>
      </c>
      <c r="N10" s="82">
        <v>12</v>
      </c>
      <c r="O10" s="82">
        <v>56</v>
      </c>
      <c r="P10" s="82">
        <v>269</v>
      </c>
      <c r="Q10" s="82">
        <v>67</v>
      </c>
      <c r="R10" s="82">
        <v>70</v>
      </c>
      <c r="S10" s="82">
        <v>146</v>
      </c>
      <c r="T10" s="82">
        <v>125</v>
      </c>
      <c r="U10" s="82">
        <v>8</v>
      </c>
      <c r="V10" s="82">
        <v>14</v>
      </c>
      <c r="W10" s="82">
        <v>13</v>
      </c>
      <c r="X10" s="82">
        <v>11</v>
      </c>
      <c r="Y10" s="82">
        <v>117</v>
      </c>
      <c r="Z10" s="82">
        <v>156</v>
      </c>
    </row>
    <row r="11" spans="1:26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1956</v>
      </c>
      <c r="E11" s="31">
        <v>850</v>
      </c>
      <c r="F11" s="31">
        <v>1106</v>
      </c>
      <c r="G11" s="31">
        <v>0</v>
      </c>
      <c r="H11" s="31">
        <v>1</v>
      </c>
      <c r="I11" s="31">
        <v>0</v>
      </c>
      <c r="J11" s="31">
        <v>1</v>
      </c>
      <c r="K11" s="31">
        <v>84</v>
      </c>
      <c r="L11" s="31">
        <v>69</v>
      </c>
      <c r="M11" s="31">
        <v>22</v>
      </c>
      <c r="N11" s="31">
        <v>34</v>
      </c>
      <c r="O11" s="31">
        <v>101</v>
      </c>
      <c r="P11" s="31">
        <v>484</v>
      </c>
      <c r="Q11" s="31">
        <v>20</v>
      </c>
      <c r="R11" s="31">
        <v>30</v>
      </c>
      <c r="S11" s="31">
        <v>402</v>
      </c>
      <c r="T11" s="31">
        <v>214</v>
      </c>
      <c r="U11" s="31">
        <v>4</v>
      </c>
      <c r="V11" s="31">
        <v>3</v>
      </c>
      <c r="W11" s="31">
        <v>12</v>
      </c>
      <c r="X11" s="31">
        <v>28</v>
      </c>
      <c r="Y11" s="31">
        <v>205</v>
      </c>
      <c r="Z11" s="31">
        <v>242</v>
      </c>
    </row>
    <row r="12" spans="1:26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1851</v>
      </c>
      <c r="E12" s="19">
        <v>802</v>
      </c>
      <c r="F12" s="19">
        <v>1049</v>
      </c>
      <c r="G12" s="19">
        <v>0</v>
      </c>
      <c r="H12" s="19">
        <v>1</v>
      </c>
      <c r="I12" s="19">
        <v>0</v>
      </c>
      <c r="J12" s="19">
        <v>1</v>
      </c>
      <c r="K12" s="19">
        <v>83</v>
      </c>
      <c r="L12" s="19">
        <v>67</v>
      </c>
      <c r="M12" s="19">
        <v>22</v>
      </c>
      <c r="N12" s="19">
        <v>33</v>
      </c>
      <c r="O12" s="19">
        <v>97</v>
      </c>
      <c r="P12" s="19">
        <v>460</v>
      </c>
      <c r="Q12" s="19">
        <v>20</v>
      </c>
      <c r="R12" s="19">
        <v>29</v>
      </c>
      <c r="S12" s="19">
        <v>370</v>
      </c>
      <c r="T12" s="19">
        <v>193</v>
      </c>
      <c r="U12" s="19">
        <v>4</v>
      </c>
      <c r="V12" s="19">
        <v>3</v>
      </c>
      <c r="W12" s="19">
        <v>10</v>
      </c>
      <c r="X12" s="19">
        <v>26</v>
      </c>
      <c r="Y12" s="19">
        <v>196</v>
      </c>
      <c r="Z12" s="19">
        <v>236</v>
      </c>
    </row>
    <row r="13" spans="1:26" s="32" customFormat="1" ht="14.25" customHeight="1" x14ac:dyDescent="0.2">
      <c r="A13" s="108"/>
      <c r="B13" s="33" t="s">
        <v>39</v>
      </c>
      <c r="C13" s="34" t="s">
        <v>163</v>
      </c>
      <c r="D13" s="19">
        <v>105</v>
      </c>
      <c r="E13" s="19">
        <v>48</v>
      </c>
      <c r="F13" s="19">
        <v>57</v>
      </c>
      <c r="G13" s="19">
        <v>0</v>
      </c>
      <c r="H13" s="19">
        <v>0</v>
      </c>
      <c r="I13" s="19">
        <v>0</v>
      </c>
      <c r="J13" s="19">
        <v>0</v>
      </c>
      <c r="K13" s="19">
        <v>1</v>
      </c>
      <c r="L13" s="19">
        <v>2</v>
      </c>
      <c r="M13" s="19">
        <v>0</v>
      </c>
      <c r="N13" s="19">
        <v>1</v>
      </c>
      <c r="O13" s="19">
        <v>4</v>
      </c>
      <c r="P13" s="19">
        <v>24</v>
      </c>
      <c r="Q13" s="19">
        <v>0</v>
      </c>
      <c r="R13" s="19">
        <v>1</v>
      </c>
      <c r="S13" s="19">
        <v>32</v>
      </c>
      <c r="T13" s="19">
        <v>21</v>
      </c>
      <c r="U13" s="19">
        <v>0</v>
      </c>
      <c r="V13" s="19">
        <v>0</v>
      </c>
      <c r="W13" s="19">
        <v>2</v>
      </c>
      <c r="X13" s="19">
        <v>2</v>
      </c>
      <c r="Y13" s="19">
        <v>9</v>
      </c>
      <c r="Z13" s="19">
        <v>6</v>
      </c>
    </row>
    <row r="14" spans="1:26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829</v>
      </c>
      <c r="E14" s="31">
        <v>380</v>
      </c>
      <c r="F14" s="31">
        <v>449</v>
      </c>
      <c r="G14" s="31">
        <v>1</v>
      </c>
      <c r="H14" s="31">
        <v>0</v>
      </c>
      <c r="I14" s="31">
        <v>2</v>
      </c>
      <c r="J14" s="31">
        <v>1</v>
      </c>
      <c r="K14" s="31">
        <v>45</v>
      </c>
      <c r="L14" s="31">
        <v>26</v>
      </c>
      <c r="M14" s="31">
        <v>4</v>
      </c>
      <c r="N14" s="31">
        <v>15</v>
      </c>
      <c r="O14" s="31">
        <v>63</v>
      </c>
      <c r="P14" s="31">
        <v>212</v>
      </c>
      <c r="Q14" s="31">
        <v>37</v>
      </c>
      <c r="R14" s="31">
        <v>34</v>
      </c>
      <c r="S14" s="31">
        <v>186</v>
      </c>
      <c r="T14" s="31">
        <v>104</v>
      </c>
      <c r="U14" s="31">
        <v>1</v>
      </c>
      <c r="V14" s="31">
        <v>2</v>
      </c>
      <c r="W14" s="31">
        <v>1</v>
      </c>
      <c r="X14" s="31">
        <v>3</v>
      </c>
      <c r="Y14" s="31">
        <v>40</v>
      </c>
      <c r="Z14" s="31">
        <v>52</v>
      </c>
    </row>
    <row r="15" spans="1:26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807</v>
      </c>
      <c r="E15" s="19">
        <v>374</v>
      </c>
      <c r="F15" s="19">
        <v>433</v>
      </c>
      <c r="G15" s="19">
        <v>1</v>
      </c>
      <c r="H15" s="19">
        <v>0</v>
      </c>
      <c r="I15" s="19">
        <v>2</v>
      </c>
      <c r="J15" s="19">
        <v>1</v>
      </c>
      <c r="K15" s="19">
        <v>45</v>
      </c>
      <c r="L15" s="19">
        <v>26</v>
      </c>
      <c r="M15" s="19">
        <v>4</v>
      </c>
      <c r="N15" s="19">
        <v>15</v>
      </c>
      <c r="O15" s="19">
        <v>58</v>
      </c>
      <c r="P15" s="19">
        <v>199</v>
      </c>
      <c r="Q15" s="19">
        <v>37</v>
      </c>
      <c r="R15" s="19">
        <v>34</v>
      </c>
      <c r="S15" s="19">
        <v>185</v>
      </c>
      <c r="T15" s="19">
        <v>101</v>
      </c>
      <c r="U15" s="19">
        <v>1</v>
      </c>
      <c r="V15" s="19">
        <v>2</v>
      </c>
      <c r="W15" s="19">
        <v>1</v>
      </c>
      <c r="X15" s="19">
        <v>3</v>
      </c>
      <c r="Y15" s="19">
        <v>40</v>
      </c>
      <c r="Z15" s="19">
        <v>52</v>
      </c>
    </row>
    <row r="16" spans="1:26" s="32" customFormat="1" ht="14.25" customHeight="1" x14ac:dyDescent="0.2">
      <c r="A16" s="108"/>
      <c r="B16" s="36" t="s">
        <v>39</v>
      </c>
      <c r="C16" s="37" t="s">
        <v>163</v>
      </c>
      <c r="D16" s="19">
        <v>22</v>
      </c>
      <c r="E16" s="19">
        <v>6</v>
      </c>
      <c r="F16" s="19">
        <v>16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5</v>
      </c>
      <c r="P16" s="19">
        <v>13</v>
      </c>
      <c r="Q16" s="19">
        <v>0</v>
      </c>
      <c r="R16" s="19">
        <v>0</v>
      </c>
      <c r="S16" s="19">
        <v>1</v>
      </c>
      <c r="T16" s="19">
        <v>3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</row>
    <row r="17" spans="1:26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1592</v>
      </c>
      <c r="E17" s="31">
        <v>752</v>
      </c>
      <c r="F17" s="31">
        <v>840</v>
      </c>
      <c r="G17" s="31">
        <v>1</v>
      </c>
      <c r="H17" s="31">
        <v>2</v>
      </c>
      <c r="I17" s="31">
        <v>0</v>
      </c>
      <c r="J17" s="31">
        <v>0</v>
      </c>
      <c r="K17" s="31">
        <v>22</v>
      </c>
      <c r="L17" s="31">
        <v>22</v>
      </c>
      <c r="M17" s="31">
        <v>7</v>
      </c>
      <c r="N17" s="31">
        <v>6</v>
      </c>
      <c r="O17" s="31">
        <v>78</v>
      </c>
      <c r="P17" s="31">
        <v>341</v>
      </c>
      <c r="Q17" s="31">
        <v>65</v>
      </c>
      <c r="R17" s="31">
        <v>71</v>
      </c>
      <c r="S17" s="31">
        <v>396</v>
      </c>
      <c r="T17" s="31">
        <v>229</v>
      </c>
      <c r="U17" s="31">
        <v>2</v>
      </c>
      <c r="V17" s="31">
        <v>3</v>
      </c>
      <c r="W17" s="31">
        <v>17</v>
      </c>
      <c r="X17" s="31">
        <v>12</v>
      </c>
      <c r="Y17" s="31">
        <v>164</v>
      </c>
      <c r="Z17" s="31">
        <v>154</v>
      </c>
    </row>
    <row r="18" spans="1:26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1361</v>
      </c>
      <c r="E18" s="19">
        <v>641</v>
      </c>
      <c r="F18" s="19">
        <v>720</v>
      </c>
      <c r="G18" s="19">
        <v>0</v>
      </c>
      <c r="H18" s="19">
        <v>1</v>
      </c>
      <c r="I18" s="19">
        <v>0</v>
      </c>
      <c r="J18" s="19">
        <v>0</v>
      </c>
      <c r="K18" s="19">
        <v>19</v>
      </c>
      <c r="L18" s="19">
        <v>18</v>
      </c>
      <c r="M18" s="19">
        <v>5</v>
      </c>
      <c r="N18" s="19">
        <v>5</v>
      </c>
      <c r="O18" s="19">
        <v>66</v>
      </c>
      <c r="P18" s="19">
        <v>301</v>
      </c>
      <c r="Q18" s="19">
        <v>54</v>
      </c>
      <c r="R18" s="19">
        <v>52</v>
      </c>
      <c r="S18" s="19">
        <v>343</v>
      </c>
      <c r="T18" s="19">
        <v>199</v>
      </c>
      <c r="U18" s="19">
        <v>2</v>
      </c>
      <c r="V18" s="19">
        <v>3</v>
      </c>
      <c r="W18" s="19">
        <v>14</v>
      </c>
      <c r="X18" s="19">
        <v>12</v>
      </c>
      <c r="Y18" s="19">
        <v>138</v>
      </c>
      <c r="Z18" s="19">
        <v>129</v>
      </c>
    </row>
    <row r="19" spans="1:26" s="32" customFormat="1" ht="14.25" customHeight="1" x14ac:dyDescent="0.2">
      <c r="A19" s="108"/>
      <c r="B19" s="36" t="s">
        <v>39</v>
      </c>
      <c r="C19" s="37" t="s">
        <v>163</v>
      </c>
      <c r="D19" s="19">
        <v>231</v>
      </c>
      <c r="E19" s="19">
        <v>111</v>
      </c>
      <c r="F19" s="19">
        <v>120</v>
      </c>
      <c r="G19" s="19">
        <v>1</v>
      </c>
      <c r="H19" s="19">
        <v>1</v>
      </c>
      <c r="I19" s="19">
        <v>0</v>
      </c>
      <c r="J19" s="19">
        <v>0</v>
      </c>
      <c r="K19" s="19">
        <v>3</v>
      </c>
      <c r="L19" s="19">
        <v>4</v>
      </c>
      <c r="M19" s="19">
        <v>2</v>
      </c>
      <c r="N19" s="19">
        <v>1</v>
      </c>
      <c r="O19" s="19">
        <v>12</v>
      </c>
      <c r="P19" s="19">
        <v>40</v>
      </c>
      <c r="Q19" s="19">
        <v>11</v>
      </c>
      <c r="R19" s="19">
        <v>19</v>
      </c>
      <c r="S19" s="19">
        <v>53</v>
      </c>
      <c r="T19" s="19">
        <v>30</v>
      </c>
      <c r="U19" s="19">
        <v>0</v>
      </c>
      <c r="V19" s="19">
        <v>0</v>
      </c>
      <c r="W19" s="19">
        <v>3</v>
      </c>
      <c r="X19" s="19">
        <v>0</v>
      </c>
      <c r="Y19" s="19">
        <v>26</v>
      </c>
      <c r="Z19" s="19">
        <v>25</v>
      </c>
    </row>
    <row r="20" spans="1:26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1185</v>
      </c>
      <c r="E20" s="31">
        <v>494</v>
      </c>
      <c r="F20" s="31">
        <v>691</v>
      </c>
      <c r="G20" s="31">
        <v>0</v>
      </c>
      <c r="H20" s="31">
        <v>1</v>
      </c>
      <c r="I20" s="31">
        <v>1</v>
      </c>
      <c r="J20" s="31">
        <v>0</v>
      </c>
      <c r="K20" s="31">
        <v>43</v>
      </c>
      <c r="L20" s="31">
        <v>37</v>
      </c>
      <c r="M20" s="31">
        <v>30</v>
      </c>
      <c r="N20" s="31">
        <v>20</v>
      </c>
      <c r="O20" s="31">
        <v>37</v>
      </c>
      <c r="P20" s="31">
        <v>299</v>
      </c>
      <c r="Q20" s="31">
        <v>80</v>
      </c>
      <c r="R20" s="31">
        <v>74</v>
      </c>
      <c r="S20" s="31">
        <v>188</v>
      </c>
      <c r="T20" s="31">
        <v>122</v>
      </c>
      <c r="U20" s="31">
        <v>6</v>
      </c>
      <c r="V20" s="31">
        <v>3</v>
      </c>
      <c r="W20" s="31">
        <v>8</v>
      </c>
      <c r="X20" s="31">
        <v>14</v>
      </c>
      <c r="Y20" s="31">
        <v>101</v>
      </c>
      <c r="Z20" s="31">
        <v>121</v>
      </c>
    </row>
    <row r="21" spans="1:26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1109</v>
      </c>
      <c r="E21" s="19">
        <v>463</v>
      </c>
      <c r="F21" s="19">
        <v>646</v>
      </c>
      <c r="G21" s="19">
        <v>0</v>
      </c>
      <c r="H21" s="19">
        <v>1</v>
      </c>
      <c r="I21" s="19">
        <v>1</v>
      </c>
      <c r="J21" s="19">
        <v>0</v>
      </c>
      <c r="K21" s="19">
        <v>37</v>
      </c>
      <c r="L21" s="19">
        <v>34</v>
      </c>
      <c r="M21" s="19">
        <v>30</v>
      </c>
      <c r="N21" s="19">
        <v>19</v>
      </c>
      <c r="O21" s="19">
        <v>36</v>
      </c>
      <c r="P21" s="19">
        <v>274</v>
      </c>
      <c r="Q21" s="19">
        <v>72</v>
      </c>
      <c r="R21" s="19">
        <v>69</v>
      </c>
      <c r="S21" s="19">
        <v>176</v>
      </c>
      <c r="T21" s="19">
        <v>118</v>
      </c>
      <c r="U21" s="19">
        <v>6</v>
      </c>
      <c r="V21" s="19">
        <v>3</v>
      </c>
      <c r="W21" s="19">
        <v>8</v>
      </c>
      <c r="X21" s="19">
        <v>14</v>
      </c>
      <c r="Y21" s="19">
        <v>97</v>
      </c>
      <c r="Z21" s="19">
        <v>114</v>
      </c>
    </row>
    <row r="22" spans="1:26" s="32" customFormat="1" ht="14.25" customHeight="1" x14ac:dyDescent="0.2">
      <c r="A22" s="108"/>
      <c r="B22" s="36" t="s">
        <v>39</v>
      </c>
      <c r="C22" s="37" t="s">
        <v>163</v>
      </c>
      <c r="D22" s="19">
        <v>76</v>
      </c>
      <c r="E22" s="19">
        <v>31</v>
      </c>
      <c r="F22" s="19">
        <v>45</v>
      </c>
      <c r="G22" s="19">
        <v>0</v>
      </c>
      <c r="H22" s="19">
        <v>0</v>
      </c>
      <c r="I22" s="19">
        <v>0</v>
      </c>
      <c r="J22" s="19">
        <v>0</v>
      </c>
      <c r="K22" s="19">
        <v>6</v>
      </c>
      <c r="L22" s="19">
        <v>3</v>
      </c>
      <c r="M22" s="19">
        <v>0</v>
      </c>
      <c r="N22" s="19">
        <v>1</v>
      </c>
      <c r="O22" s="19">
        <v>1</v>
      </c>
      <c r="P22" s="19">
        <v>25</v>
      </c>
      <c r="Q22" s="19">
        <v>8</v>
      </c>
      <c r="R22" s="19">
        <v>5</v>
      </c>
      <c r="S22" s="19">
        <v>12</v>
      </c>
      <c r="T22" s="19">
        <v>4</v>
      </c>
      <c r="U22" s="19">
        <v>0</v>
      </c>
      <c r="V22" s="19">
        <v>0</v>
      </c>
      <c r="W22" s="19">
        <v>0</v>
      </c>
      <c r="X22" s="19">
        <v>0</v>
      </c>
      <c r="Y22" s="19">
        <v>4</v>
      </c>
      <c r="Z22" s="19">
        <v>7</v>
      </c>
    </row>
    <row r="23" spans="1:26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688</v>
      </c>
      <c r="E23" s="31">
        <v>274</v>
      </c>
      <c r="F23" s="31">
        <v>414</v>
      </c>
      <c r="G23" s="31">
        <v>0</v>
      </c>
      <c r="H23" s="31">
        <v>0</v>
      </c>
      <c r="I23" s="31">
        <v>0</v>
      </c>
      <c r="J23" s="31">
        <v>0</v>
      </c>
      <c r="K23" s="31">
        <v>21</v>
      </c>
      <c r="L23" s="31">
        <v>17</v>
      </c>
      <c r="M23" s="31">
        <v>10</v>
      </c>
      <c r="N23" s="31">
        <v>15</v>
      </c>
      <c r="O23" s="31">
        <v>33</v>
      </c>
      <c r="P23" s="31">
        <v>148</v>
      </c>
      <c r="Q23" s="31">
        <v>40</v>
      </c>
      <c r="R23" s="31">
        <v>30</v>
      </c>
      <c r="S23" s="31">
        <v>97</v>
      </c>
      <c r="T23" s="31">
        <v>69</v>
      </c>
      <c r="U23" s="31">
        <v>4</v>
      </c>
      <c r="V23" s="31">
        <v>5</v>
      </c>
      <c r="W23" s="31">
        <v>12</v>
      </c>
      <c r="X23" s="31">
        <v>13</v>
      </c>
      <c r="Y23" s="31">
        <v>57</v>
      </c>
      <c r="Z23" s="31">
        <v>117</v>
      </c>
    </row>
    <row r="24" spans="1:26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672</v>
      </c>
      <c r="E24" s="19">
        <v>271</v>
      </c>
      <c r="F24" s="19">
        <v>401</v>
      </c>
      <c r="G24" s="19">
        <v>0</v>
      </c>
      <c r="H24" s="19">
        <v>0</v>
      </c>
      <c r="I24" s="19">
        <v>0</v>
      </c>
      <c r="J24" s="19">
        <v>0</v>
      </c>
      <c r="K24" s="19">
        <v>21</v>
      </c>
      <c r="L24" s="19">
        <v>17</v>
      </c>
      <c r="M24" s="19">
        <v>10</v>
      </c>
      <c r="N24" s="19">
        <v>15</v>
      </c>
      <c r="O24" s="19">
        <v>33</v>
      </c>
      <c r="P24" s="19">
        <v>144</v>
      </c>
      <c r="Q24" s="19">
        <v>38</v>
      </c>
      <c r="R24" s="19">
        <v>27</v>
      </c>
      <c r="S24" s="19">
        <v>96</v>
      </c>
      <c r="T24" s="19">
        <v>66</v>
      </c>
      <c r="U24" s="19">
        <v>4</v>
      </c>
      <c r="V24" s="19">
        <v>4</v>
      </c>
      <c r="W24" s="19">
        <v>12</v>
      </c>
      <c r="X24" s="19">
        <v>13</v>
      </c>
      <c r="Y24" s="19">
        <v>57</v>
      </c>
      <c r="Z24" s="19">
        <v>115</v>
      </c>
    </row>
    <row r="25" spans="1:26" s="32" customFormat="1" ht="14.25" customHeight="1" x14ac:dyDescent="0.2">
      <c r="A25" s="108"/>
      <c r="B25" s="36" t="s">
        <v>39</v>
      </c>
      <c r="C25" s="37" t="s">
        <v>163</v>
      </c>
      <c r="D25" s="19">
        <v>16</v>
      </c>
      <c r="E25" s="19">
        <v>3</v>
      </c>
      <c r="F25" s="19">
        <v>13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4</v>
      </c>
      <c r="Q25" s="19">
        <v>2</v>
      </c>
      <c r="R25" s="19">
        <v>3</v>
      </c>
      <c r="S25" s="19">
        <v>1</v>
      </c>
      <c r="T25" s="19">
        <v>3</v>
      </c>
      <c r="U25" s="19">
        <v>0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</row>
    <row r="26" spans="1:26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1566</v>
      </c>
      <c r="E26" s="31">
        <v>711</v>
      </c>
      <c r="F26" s="31">
        <v>855</v>
      </c>
      <c r="G26" s="31">
        <v>1</v>
      </c>
      <c r="H26" s="31">
        <v>1</v>
      </c>
      <c r="I26" s="31">
        <v>1</v>
      </c>
      <c r="J26" s="31">
        <v>0</v>
      </c>
      <c r="K26" s="31">
        <v>45</v>
      </c>
      <c r="L26" s="31">
        <v>36</v>
      </c>
      <c r="M26" s="31">
        <v>13</v>
      </c>
      <c r="N26" s="31">
        <v>17</v>
      </c>
      <c r="O26" s="31">
        <v>83</v>
      </c>
      <c r="P26" s="31">
        <v>329</v>
      </c>
      <c r="Q26" s="31">
        <v>110</v>
      </c>
      <c r="R26" s="31">
        <v>97</v>
      </c>
      <c r="S26" s="31">
        <v>299</v>
      </c>
      <c r="T26" s="31">
        <v>216</v>
      </c>
      <c r="U26" s="31">
        <v>8</v>
      </c>
      <c r="V26" s="31">
        <v>8</v>
      </c>
      <c r="W26" s="31">
        <v>12</v>
      </c>
      <c r="X26" s="31">
        <v>20</v>
      </c>
      <c r="Y26" s="31">
        <v>139</v>
      </c>
      <c r="Z26" s="31">
        <v>131</v>
      </c>
    </row>
    <row r="27" spans="1:26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1442</v>
      </c>
      <c r="E27" s="19">
        <v>671</v>
      </c>
      <c r="F27" s="19">
        <v>771</v>
      </c>
      <c r="G27" s="19">
        <v>1</v>
      </c>
      <c r="H27" s="19">
        <v>1</v>
      </c>
      <c r="I27" s="19">
        <v>1</v>
      </c>
      <c r="J27" s="19">
        <v>0</v>
      </c>
      <c r="K27" s="19">
        <v>44</v>
      </c>
      <c r="L27" s="19">
        <v>33</v>
      </c>
      <c r="M27" s="19">
        <v>12</v>
      </c>
      <c r="N27" s="19">
        <v>14</v>
      </c>
      <c r="O27" s="19">
        <v>80</v>
      </c>
      <c r="P27" s="19">
        <v>302</v>
      </c>
      <c r="Q27" s="19">
        <v>98</v>
      </c>
      <c r="R27" s="19">
        <v>86</v>
      </c>
      <c r="S27" s="19">
        <v>288</v>
      </c>
      <c r="T27" s="19">
        <v>198</v>
      </c>
      <c r="U27" s="19">
        <v>7</v>
      </c>
      <c r="V27" s="19">
        <v>7</v>
      </c>
      <c r="W27" s="19">
        <v>12</v>
      </c>
      <c r="X27" s="19">
        <v>16</v>
      </c>
      <c r="Y27" s="19">
        <v>128</v>
      </c>
      <c r="Z27" s="19">
        <v>114</v>
      </c>
    </row>
    <row r="28" spans="1:26" s="32" customFormat="1" ht="14.25" customHeight="1" x14ac:dyDescent="0.2">
      <c r="A28" s="108"/>
      <c r="B28" s="36" t="s">
        <v>39</v>
      </c>
      <c r="C28" s="37" t="s">
        <v>163</v>
      </c>
      <c r="D28" s="19">
        <v>124</v>
      </c>
      <c r="E28" s="19">
        <v>40</v>
      </c>
      <c r="F28" s="19">
        <v>84</v>
      </c>
      <c r="G28" s="19">
        <v>0</v>
      </c>
      <c r="H28" s="19">
        <v>0</v>
      </c>
      <c r="I28" s="19">
        <v>0</v>
      </c>
      <c r="J28" s="19">
        <v>0</v>
      </c>
      <c r="K28" s="19">
        <v>1</v>
      </c>
      <c r="L28" s="19">
        <v>3</v>
      </c>
      <c r="M28" s="19">
        <v>1</v>
      </c>
      <c r="N28" s="19">
        <v>3</v>
      </c>
      <c r="O28" s="19">
        <v>3</v>
      </c>
      <c r="P28" s="19">
        <v>27</v>
      </c>
      <c r="Q28" s="19">
        <v>12</v>
      </c>
      <c r="R28" s="19">
        <v>11</v>
      </c>
      <c r="S28" s="19">
        <v>11</v>
      </c>
      <c r="T28" s="19">
        <v>18</v>
      </c>
      <c r="U28" s="19">
        <v>1</v>
      </c>
      <c r="V28" s="19">
        <v>1</v>
      </c>
      <c r="W28" s="19">
        <v>0</v>
      </c>
      <c r="X28" s="19">
        <v>4</v>
      </c>
      <c r="Y28" s="19">
        <v>11</v>
      </c>
      <c r="Z28" s="19">
        <v>17</v>
      </c>
    </row>
    <row r="29" spans="1:26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169</v>
      </c>
      <c r="E29" s="31">
        <v>63</v>
      </c>
      <c r="F29" s="31">
        <v>106</v>
      </c>
      <c r="G29" s="31">
        <v>1</v>
      </c>
      <c r="H29" s="31">
        <v>0</v>
      </c>
      <c r="I29" s="31">
        <v>0</v>
      </c>
      <c r="J29" s="31">
        <v>0</v>
      </c>
      <c r="K29" s="31">
        <v>12</v>
      </c>
      <c r="L29" s="31">
        <v>3</v>
      </c>
      <c r="M29" s="31">
        <v>1</v>
      </c>
      <c r="N29" s="31">
        <v>1</v>
      </c>
      <c r="O29" s="31">
        <v>12</v>
      </c>
      <c r="P29" s="31">
        <v>53</v>
      </c>
      <c r="Q29" s="31">
        <v>5</v>
      </c>
      <c r="R29" s="31">
        <v>5</v>
      </c>
      <c r="S29" s="31">
        <v>11</v>
      </c>
      <c r="T29" s="31">
        <v>8</v>
      </c>
      <c r="U29" s="31">
        <v>0</v>
      </c>
      <c r="V29" s="31">
        <v>0</v>
      </c>
      <c r="W29" s="31">
        <v>1</v>
      </c>
      <c r="X29" s="31">
        <v>0</v>
      </c>
      <c r="Y29" s="31">
        <v>20</v>
      </c>
      <c r="Z29" s="31">
        <v>36</v>
      </c>
    </row>
    <row r="30" spans="1:26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150</v>
      </c>
      <c r="E30" s="19">
        <v>57</v>
      </c>
      <c r="F30" s="19">
        <v>93</v>
      </c>
      <c r="G30" s="19">
        <v>1</v>
      </c>
      <c r="H30" s="19">
        <v>0</v>
      </c>
      <c r="I30" s="19">
        <v>0</v>
      </c>
      <c r="J30" s="19">
        <v>0</v>
      </c>
      <c r="K30" s="19">
        <v>11</v>
      </c>
      <c r="L30" s="19">
        <v>3</v>
      </c>
      <c r="M30" s="19">
        <v>1</v>
      </c>
      <c r="N30" s="19">
        <v>1</v>
      </c>
      <c r="O30" s="19">
        <v>10</v>
      </c>
      <c r="P30" s="19">
        <v>47</v>
      </c>
      <c r="Q30" s="19">
        <v>5</v>
      </c>
      <c r="R30" s="19">
        <v>3</v>
      </c>
      <c r="S30" s="19">
        <v>9</v>
      </c>
      <c r="T30" s="19">
        <v>7</v>
      </c>
      <c r="U30" s="19">
        <v>0</v>
      </c>
      <c r="V30" s="19">
        <v>0</v>
      </c>
      <c r="W30" s="19">
        <v>1</v>
      </c>
      <c r="X30" s="19">
        <v>0</v>
      </c>
      <c r="Y30" s="19">
        <v>19</v>
      </c>
      <c r="Z30" s="19">
        <v>32</v>
      </c>
    </row>
    <row r="31" spans="1:26" s="32" customFormat="1" ht="14.25" customHeight="1" x14ac:dyDescent="0.2">
      <c r="A31" s="108"/>
      <c r="B31" s="36" t="s">
        <v>39</v>
      </c>
      <c r="C31" s="37" t="s">
        <v>163</v>
      </c>
      <c r="D31" s="19">
        <v>19</v>
      </c>
      <c r="E31" s="19">
        <v>6</v>
      </c>
      <c r="F31" s="19">
        <v>13</v>
      </c>
      <c r="G31" s="19">
        <v>0</v>
      </c>
      <c r="H31" s="19">
        <v>0</v>
      </c>
      <c r="I31" s="19">
        <v>0</v>
      </c>
      <c r="J31" s="19">
        <v>0</v>
      </c>
      <c r="K31" s="19">
        <v>1</v>
      </c>
      <c r="L31" s="19">
        <v>0</v>
      </c>
      <c r="M31" s="19">
        <v>0</v>
      </c>
      <c r="N31" s="19">
        <v>0</v>
      </c>
      <c r="O31" s="19">
        <v>2</v>
      </c>
      <c r="P31" s="19">
        <v>6</v>
      </c>
      <c r="Q31" s="19">
        <v>0</v>
      </c>
      <c r="R31" s="19">
        <v>2</v>
      </c>
      <c r="S31" s="19">
        <v>2</v>
      </c>
      <c r="T31" s="19">
        <v>1</v>
      </c>
      <c r="U31" s="19">
        <v>0</v>
      </c>
      <c r="V31" s="19">
        <v>0</v>
      </c>
      <c r="W31" s="19">
        <v>0</v>
      </c>
      <c r="X31" s="19">
        <v>0</v>
      </c>
      <c r="Y31" s="19">
        <v>1</v>
      </c>
      <c r="Z31" s="19">
        <v>4</v>
      </c>
    </row>
    <row r="32" spans="1:26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334</v>
      </c>
      <c r="E32" s="31">
        <v>139</v>
      </c>
      <c r="F32" s="31">
        <v>195</v>
      </c>
      <c r="G32" s="31">
        <v>0</v>
      </c>
      <c r="H32" s="31">
        <v>0</v>
      </c>
      <c r="I32" s="31">
        <v>1</v>
      </c>
      <c r="J32" s="31">
        <v>0</v>
      </c>
      <c r="K32" s="31">
        <v>20</v>
      </c>
      <c r="L32" s="31">
        <v>3</v>
      </c>
      <c r="M32" s="31">
        <v>6</v>
      </c>
      <c r="N32" s="31">
        <v>1</v>
      </c>
      <c r="O32" s="31">
        <v>16</v>
      </c>
      <c r="P32" s="31">
        <v>107</v>
      </c>
      <c r="Q32" s="31">
        <v>12</v>
      </c>
      <c r="R32" s="31">
        <v>14</v>
      </c>
      <c r="S32" s="31">
        <v>34</v>
      </c>
      <c r="T32" s="31">
        <v>23</v>
      </c>
      <c r="U32" s="31">
        <v>8</v>
      </c>
      <c r="V32" s="31">
        <v>2</v>
      </c>
      <c r="W32" s="31">
        <v>1</v>
      </c>
      <c r="X32" s="31">
        <v>1</v>
      </c>
      <c r="Y32" s="31">
        <v>41</v>
      </c>
      <c r="Z32" s="31">
        <v>44</v>
      </c>
    </row>
    <row r="33" spans="1:26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258</v>
      </c>
      <c r="E33" s="19">
        <v>114</v>
      </c>
      <c r="F33" s="19">
        <v>144</v>
      </c>
      <c r="G33" s="19">
        <v>0</v>
      </c>
      <c r="H33" s="19">
        <v>0</v>
      </c>
      <c r="I33" s="19">
        <v>1</v>
      </c>
      <c r="J33" s="19">
        <v>0</v>
      </c>
      <c r="K33" s="19">
        <v>19</v>
      </c>
      <c r="L33" s="19">
        <v>3</v>
      </c>
      <c r="M33" s="19">
        <v>6</v>
      </c>
      <c r="N33" s="19">
        <v>1</v>
      </c>
      <c r="O33" s="19">
        <v>14</v>
      </c>
      <c r="P33" s="19">
        <v>79</v>
      </c>
      <c r="Q33" s="19">
        <v>6</v>
      </c>
      <c r="R33" s="19">
        <v>8</v>
      </c>
      <c r="S33" s="19">
        <v>28</v>
      </c>
      <c r="T33" s="19">
        <v>17</v>
      </c>
      <c r="U33" s="19">
        <v>6</v>
      </c>
      <c r="V33" s="19">
        <v>2</v>
      </c>
      <c r="W33" s="19">
        <v>0</v>
      </c>
      <c r="X33" s="19">
        <v>1</v>
      </c>
      <c r="Y33" s="19">
        <v>34</v>
      </c>
      <c r="Z33" s="19">
        <v>33</v>
      </c>
    </row>
    <row r="34" spans="1:26" s="32" customFormat="1" ht="14.25" customHeight="1" x14ac:dyDescent="0.2">
      <c r="A34" s="108"/>
      <c r="B34" s="36" t="s">
        <v>39</v>
      </c>
      <c r="C34" s="37" t="s">
        <v>163</v>
      </c>
      <c r="D34" s="19">
        <v>76</v>
      </c>
      <c r="E34" s="19">
        <v>25</v>
      </c>
      <c r="F34" s="19">
        <v>51</v>
      </c>
      <c r="G34" s="19">
        <v>0</v>
      </c>
      <c r="H34" s="19">
        <v>0</v>
      </c>
      <c r="I34" s="19">
        <v>0</v>
      </c>
      <c r="J34" s="19">
        <v>0</v>
      </c>
      <c r="K34" s="19">
        <v>1</v>
      </c>
      <c r="L34" s="19">
        <v>0</v>
      </c>
      <c r="M34" s="19">
        <v>0</v>
      </c>
      <c r="N34" s="19">
        <v>0</v>
      </c>
      <c r="O34" s="19">
        <v>2</v>
      </c>
      <c r="P34" s="19">
        <v>28</v>
      </c>
      <c r="Q34" s="19">
        <v>6</v>
      </c>
      <c r="R34" s="19">
        <v>6</v>
      </c>
      <c r="S34" s="19">
        <v>6</v>
      </c>
      <c r="T34" s="19">
        <v>6</v>
      </c>
      <c r="U34" s="19">
        <v>2</v>
      </c>
      <c r="V34" s="19">
        <v>0</v>
      </c>
      <c r="W34" s="19">
        <v>1</v>
      </c>
      <c r="X34" s="19">
        <v>0</v>
      </c>
      <c r="Y34" s="19">
        <v>7</v>
      </c>
      <c r="Z34" s="19">
        <v>11</v>
      </c>
    </row>
    <row r="35" spans="1:26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180</v>
      </c>
      <c r="E35" s="31">
        <v>64</v>
      </c>
      <c r="F35" s="31">
        <v>116</v>
      </c>
      <c r="G35" s="31">
        <v>0</v>
      </c>
      <c r="H35" s="31">
        <v>0</v>
      </c>
      <c r="I35" s="31">
        <v>0</v>
      </c>
      <c r="J35" s="31">
        <v>0</v>
      </c>
      <c r="K35" s="31">
        <v>7</v>
      </c>
      <c r="L35" s="31">
        <v>1</v>
      </c>
      <c r="M35" s="31">
        <v>1</v>
      </c>
      <c r="N35" s="31">
        <v>2</v>
      </c>
      <c r="O35" s="31">
        <v>21</v>
      </c>
      <c r="P35" s="31">
        <v>80</v>
      </c>
      <c r="Q35" s="31">
        <v>14</v>
      </c>
      <c r="R35" s="31">
        <v>11</v>
      </c>
      <c r="S35" s="31">
        <v>10</v>
      </c>
      <c r="T35" s="31">
        <v>3</v>
      </c>
      <c r="U35" s="31">
        <v>0</v>
      </c>
      <c r="V35" s="31">
        <v>1</v>
      </c>
      <c r="W35" s="31">
        <v>0</v>
      </c>
      <c r="X35" s="31">
        <v>0</v>
      </c>
      <c r="Y35" s="31">
        <v>11</v>
      </c>
      <c r="Z35" s="31">
        <v>18</v>
      </c>
    </row>
    <row r="36" spans="1:26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160</v>
      </c>
      <c r="E36" s="19">
        <v>53</v>
      </c>
      <c r="F36" s="19">
        <v>107</v>
      </c>
      <c r="G36" s="19">
        <v>0</v>
      </c>
      <c r="H36" s="19">
        <v>0</v>
      </c>
      <c r="I36" s="19">
        <v>0</v>
      </c>
      <c r="J36" s="19">
        <v>0</v>
      </c>
      <c r="K36" s="19">
        <v>7</v>
      </c>
      <c r="L36" s="19">
        <v>1</v>
      </c>
      <c r="M36" s="19">
        <v>1</v>
      </c>
      <c r="N36" s="19">
        <v>2</v>
      </c>
      <c r="O36" s="19">
        <v>20</v>
      </c>
      <c r="P36" s="19">
        <v>74</v>
      </c>
      <c r="Q36" s="19">
        <v>8</v>
      </c>
      <c r="R36" s="19">
        <v>9</v>
      </c>
      <c r="S36" s="19">
        <v>8</v>
      </c>
      <c r="T36" s="19">
        <v>3</v>
      </c>
      <c r="U36" s="19">
        <v>0</v>
      </c>
      <c r="V36" s="19">
        <v>1</v>
      </c>
      <c r="W36" s="19">
        <v>0</v>
      </c>
      <c r="X36" s="19">
        <v>0</v>
      </c>
      <c r="Y36" s="19">
        <v>9</v>
      </c>
      <c r="Z36" s="19">
        <v>17</v>
      </c>
    </row>
    <row r="37" spans="1:26" s="32" customFormat="1" ht="14.25" customHeight="1" x14ac:dyDescent="0.2">
      <c r="A37" s="108"/>
      <c r="B37" s="36" t="s">
        <v>39</v>
      </c>
      <c r="C37" s="37" t="s">
        <v>163</v>
      </c>
      <c r="D37" s="19">
        <v>20</v>
      </c>
      <c r="E37" s="19">
        <v>11</v>
      </c>
      <c r="F37" s="19">
        <v>9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1</v>
      </c>
      <c r="P37" s="19">
        <v>6</v>
      </c>
      <c r="Q37" s="19">
        <v>6</v>
      </c>
      <c r="R37" s="19">
        <v>2</v>
      </c>
      <c r="S37" s="19">
        <v>2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2</v>
      </c>
      <c r="Z37" s="19">
        <v>1</v>
      </c>
    </row>
    <row r="38" spans="1:26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431</v>
      </c>
      <c r="E38" s="31">
        <v>167</v>
      </c>
      <c r="F38" s="31">
        <v>264</v>
      </c>
      <c r="G38" s="31">
        <v>1</v>
      </c>
      <c r="H38" s="31">
        <v>1</v>
      </c>
      <c r="I38" s="31">
        <v>0</v>
      </c>
      <c r="J38" s="31">
        <v>0</v>
      </c>
      <c r="K38" s="31">
        <v>26</v>
      </c>
      <c r="L38" s="31">
        <v>10</v>
      </c>
      <c r="M38" s="31">
        <v>3</v>
      </c>
      <c r="N38" s="31">
        <v>6</v>
      </c>
      <c r="O38" s="31">
        <v>27</v>
      </c>
      <c r="P38" s="31">
        <v>171</v>
      </c>
      <c r="Q38" s="31">
        <v>33</v>
      </c>
      <c r="R38" s="31">
        <v>18</v>
      </c>
      <c r="S38" s="31">
        <v>46</v>
      </c>
      <c r="T38" s="31">
        <v>19</v>
      </c>
      <c r="U38" s="31">
        <v>2</v>
      </c>
      <c r="V38" s="31">
        <v>4</v>
      </c>
      <c r="W38" s="31">
        <v>1</v>
      </c>
      <c r="X38" s="31">
        <v>1</v>
      </c>
      <c r="Y38" s="31">
        <v>28</v>
      </c>
      <c r="Z38" s="31">
        <v>34</v>
      </c>
    </row>
    <row r="39" spans="1:26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420</v>
      </c>
      <c r="E39" s="19">
        <v>164</v>
      </c>
      <c r="F39" s="19">
        <v>256</v>
      </c>
      <c r="G39" s="19">
        <v>1</v>
      </c>
      <c r="H39" s="19">
        <v>1</v>
      </c>
      <c r="I39" s="19">
        <v>0</v>
      </c>
      <c r="J39" s="19">
        <v>0</v>
      </c>
      <c r="K39" s="19">
        <v>26</v>
      </c>
      <c r="L39" s="19">
        <v>10</v>
      </c>
      <c r="M39" s="19">
        <v>3</v>
      </c>
      <c r="N39" s="19">
        <v>6</v>
      </c>
      <c r="O39" s="19">
        <v>27</v>
      </c>
      <c r="P39" s="19">
        <v>167</v>
      </c>
      <c r="Q39" s="19">
        <v>33</v>
      </c>
      <c r="R39" s="19">
        <v>18</v>
      </c>
      <c r="S39" s="19">
        <v>45</v>
      </c>
      <c r="T39" s="19">
        <v>19</v>
      </c>
      <c r="U39" s="19">
        <v>2</v>
      </c>
      <c r="V39" s="19">
        <v>0</v>
      </c>
      <c r="W39" s="19">
        <v>1</v>
      </c>
      <c r="X39" s="19">
        <v>1</v>
      </c>
      <c r="Y39" s="19">
        <v>26</v>
      </c>
      <c r="Z39" s="19">
        <v>34</v>
      </c>
    </row>
    <row r="40" spans="1:26" s="32" customFormat="1" ht="14.25" customHeight="1" x14ac:dyDescent="0.2">
      <c r="A40" s="108"/>
      <c r="B40" s="36" t="s">
        <v>39</v>
      </c>
      <c r="C40" s="37" t="s">
        <v>163</v>
      </c>
      <c r="D40" s="19">
        <v>11</v>
      </c>
      <c r="E40" s="19">
        <v>3</v>
      </c>
      <c r="F40" s="19">
        <v>8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4</v>
      </c>
      <c r="Q40" s="19">
        <v>0</v>
      </c>
      <c r="R40" s="19">
        <v>0</v>
      </c>
      <c r="S40" s="19">
        <v>1</v>
      </c>
      <c r="T40" s="19">
        <v>0</v>
      </c>
      <c r="U40" s="19">
        <v>0</v>
      </c>
      <c r="V40" s="19">
        <v>4</v>
      </c>
      <c r="W40" s="19">
        <v>0</v>
      </c>
      <c r="X40" s="19">
        <v>0</v>
      </c>
      <c r="Y40" s="19">
        <v>2</v>
      </c>
      <c r="Z40" s="19">
        <v>0</v>
      </c>
    </row>
    <row r="41" spans="1:26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268</v>
      </c>
      <c r="E41" s="31">
        <v>113</v>
      </c>
      <c r="F41" s="31">
        <v>155</v>
      </c>
      <c r="G41" s="31">
        <v>0</v>
      </c>
      <c r="H41" s="31">
        <v>0</v>
      </c>
      <c r="I41" s="31">
        <v>0</v>
      </c>
      <c r="J41" s="31">
        <v>0</v>
      </c>
      <c r="K41" s="31">
        <v>5</v>
      </c>
      <c r="L41" s="31">
        <v>6</v>
      </c>
      <c r="M41" s="31">
        <v>8</v>
      </c>
      <c r="N41" s="31">
        <v>5</v>
      </c>
      <c r="O41" s="31">
        <v>3</v>
      </c>
      <c r="P41" s="31">
        <v>38</v>
      </c>
      <c r="Q41" s="31">
        <v>20</v>
      </c>
      <c r="R41" s="31">
        <v>16</v>
      </c>
      <c r="S41" s="31">
        <v>22</v>
      </c>
      <c r="T41" s="31">
        <v>13</v>
      </c>
      <c r="U41" s="31">
        <v>0</v>
      </c>
      <c r="V41" s="31">
        <v>2</v>
      </c>
      <c r="W41" s="31">
        <v>0</v>
      </c>
      <c r="X41" s="31">
        <v>0</v>
      </c>
      <c r="Y41" s="31">
        <v>55</v>
      </c>
      <c r="Z41" s="31">
        <v>75</v>
      </c>
    </row>
    <row r="42" spans="1:26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205</v>
      </c>
      <c r="E42" s="19">
        <v>96</v>
      </c>
      <c r="F42" s="19">
        <v>109</v>
      </c>
      <c r="G42" s="19">
        <v>0</v>
      </c>
      <c r="H42" s="19">
        <v>0</v>
      </c>
      <c r="I42" s="19">
        <v>0</v>
      </c>
      <c r="J42" s="19">
        <v>0</v>
      </c>
      <c r="K42" s="19">
        <v>5</v>
      </c>
      <c r="L42" s="19">
        <v>6</v>
      </c>
      <c r="M42" s="19">
        <v>8</v>
      </c>
      <c r="N42" s="19">
        <v>5</v>
      </c>
      <c r="O42" s="19">
        <v>2</v>
      </c>
      <c r="P42" s="19">
        <v>25</v>
      </c>
      <c r="Q42" s="19">
        <v>16</v>
      </c>
      <c r="R42" s="19">
        <v>8</v>
      </c>
      <c r="S42" s="19">
        <v>19</v>
      </c>
      <c r="T42" s="19">
        <v>8</v>
      </c>
      <c r="U42" s="19">
        <v>0</v>
      </c>
      <c r="V42" s="19">
        <v>1</v>
      </c>
      <c r="W42" s="19">
        <v>0</v>
      </c>
      <c r="X42" s="19">
        <v>0</v>
      </c>
      <c r="Y42" s="19">
        <v>46</v>
      </c>
      <c r="Z42" s="19">
        <v>56</v>
      </c>
    </row>
    <row r="43" spans="1:26" s="32" customFormat="1" ht="14.25" customHeight="1" x14ac:dyDescent="0.2">
      <c r="A43" s="108"/>
      <c r="B43" s="36" t="s">
        <v>39</v>
      </c>
      <c r="C43" s="37" t="s">
        <v>163</v>
      </c>
      <c r="D43" s="19">
        <v>63</v>
      </c>
      <c r="E43" s="19">
        <v>17</v>
      </c>
      <c r="F43" s="19">
        <v>46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</v>
      </c>
      <c r="P43" s="19">
        <v>13</v>
      </c>
      <c r="Q43" s="19">
        <v>4</v>
      </c>
      <c r="R43" s="19">
        <v>8</v>
      </c>
      <c r="S43" s="19">
        <v>3</v>
      </c>
      <c r="T43" s="19">
        <v>5</v>
      </c>
      <c r="U43" s="19">
        <v>0</v>
      </c>
      <c r="V43" s="19">
        <v>1</v>
      </c>
      <c r="W43" s="19">
        <v>0</v>
      </c>
      <c r="X43" s="19">
        <v>0</v>
      </c>
      <c r="Y43" s="19">
        <v>9</v>
      </c>
      <c r="Z43" s="19">
        <v>19</v>
      </c>
    </row>
    <row r="44" spans="1:26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239</v>
      </c>
      <c r="E44" s="31">
        <v>102</v>
      </c>
      <c r="F44" s="31">
        <v>137</v>
      </c>
      <c r="G44" s="31">
        <v>1</v>
      </c>
      <c r="H44" s="31">
        <v>1</v>
      </c>
      <c r="I44" s="31">
        <v>0</v>
      </c>
      <c r="J44" s="31">
        <v>0</v>
      </c>
      <c r="K44" s="31">
        <v>11</v>
      </c>
      <c r="L44" s="31">
        <v>12</v>
      </c>
      <c r="M44" s="31">
        <v>2</v>
      </c>
      <c r="N44" s="31">
        <v>4</v>
      </c>
      <c r="O44" s="31">
        <v>11</v>
      </c>
      <c r="P44" s="31">
        <v>57</v>
      </c>
      <c r="Q44" s="31">
        <v>9</v>
      </c>
      <c r="R44" s="31">
        <v>10</v>
      </c>
      <c r="S44" s="31">
        <v>22</v>
      </c>
      <c r="T44" s="31">
        <v>12</v>
      </c>
      <c r="U44" s="31">
        <v>3</v>
      </c>
      <c r="V44" s="31">
        <v>1</v>
      </c>
      <c r="W44" s="31">
        <v>2</v>
      </c>
      <c r="X44" s="31">
        <v>1</v>
      </c>
      <c r="Y44" s="31">
        <v>41</v>
      </c>
      <c r="Z44" s="31">
        <v>39</v>
      </c>
    </row>
    <row r="45" spans="1:26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231</v>
      </c>
      <c r="E45" s="19">
        <v>101</v>
      </c>
      <c r="F45" s="19">
        <v>130</v>
      </c>
      <c r="G45" s="19">
        <v>1</v>
      </c>
      <c r="H45" s="19">
        <v>1</v>
      </c>
      <c r="I45" s="19">
        <v>0</v>
      </c>
      <c r="J45" s="19">
        <v>0</v>
      </c>
      <c r="K45" s="19">
        <v>11</v>
      </c>
      <c r="L45" s="19">
        <v>12</v>
      </c>
      <c r="M45" s="19">
        <v>2</v>
      </c>
      <c r="N45" s="19">
        <v>4</v>
      </c>
      <c r="O45" s="19">
        <v>11</v>
      </c>
      <c r="P45" s="19">
        <v>54</v>
      </c>
      <c r="Q45" s="19">
        <v>9</v>
      </c>
      <c r="R45" s="19">
        <v>9</v>
      </c>
      <c r="S45" s="19">
        <v>22</v>
      </c>
      <c r="T45" s="19">
        <v>12</v>
      </c>
      <c r="U45" s="19">
        <v>3</v>
      </c>
      <c r="V45" s="19">
        <v>1</v>
      </c>
      <c r="W45" s="19">
        <v>2</v>
      </c>
      <c r="X45" s="19">
        <v>1</v>
      </c>
      <c r="Y45" s="19">
        <v>40</v>
      </c>
      <c r="Z45" s="19">
        <v>36</v>
      </c>
    </row>
    <row r="46" spans="1:26" s="32" customFormat="1" ht="14.25" customHeight="1" x14ac:dyDescent="0.2">
      <c r="A46" s="108"/>
      <c r="B46" s="36" t="s">
        <v>39</v>
      </c>
      <c r="C46" s="37" t="s">
        <v>163</v>
      </c>
      <c r="D46" s="19">
        <v>8</v>
      </c>
      <c r="E46" s="19">
        <v>1</v>
      </c>
      <c r="F46" s="19">
        <v>7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3</v>
      </c>
      <c r="Q46" s="19">
        <v>0</v>
      </c>
      <c r="R46" s="19">
        <v>1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1</v>
      </c>
      <c r="Z46" s="19">
        <v>3</v>
      </c>
    </row>
    <row r="47" spans="1:26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149</v>
      </c>
      <c r="E47" s="31">
        <v>62</v>
      </c>
      <c r="F47" s="31">
        <v>87</v>
      </c>
      <c r="G47" s="31">
        <v>0</v>
      </c>
      <c r="H47" s="31">
        <v>0</v>
      </c>
      <c r="I47" s="31">
        <v>0</v>
      </c>
      <c r="J47" s="31">
        <v>0</v>
      </c>
      <c r="K47" s="31">
        <v>5</v>
      </c>
      <c r="L47" s="31">
        <v>1</v>
      </c>
      <c r="M47" s="31">
        <v>0</v>
      </c>
      <c r="N47" s="31">
        <v>2</v>
      </c>
      <c r="O47" s="31">
        <v>4</v>
      </c>
      <c r="P47" s="31">
        <v>38</v>
      </c>
      <c r="Q47" s="31">
        <v>9</v>
      </c>
      <c r="R47" s="31">
        <v>9</v>
      </c>
      <c r="S47" s="31">
        <v>12</v>
      </c>
      <c r="T47" s="31">
        <v>8</v>
      </c>
      <c r="U47" s="31">
        <v>2</v>
      </c>
      <c r="V47" s="31">
        <v>1</v>
      </c>
      <c r="W47" s="31">
        <v>7</v>
      </c>
      <c r="X47" s="31">
        <v>9</v>
      </c>
      <c r="Y47" s="31">
        <v>23</v>
      </c>
      <c r="Z47" s="31">
        <v>19</v>
      </c>
    </row>
    <row r="48" spans="1:26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145</v>
      </c>
      <c r="E48" s="19">
        <v>60</v>
      </c>
      <c r="F48" s="19">
        <v>85</v>
      </c>
      <c r="G48" s="19">
        <v>0</v>
      </c>
      <c r="H48" s="19">
        <v>0</v>
      </c>
      <c r="I48" s="19">
        <v>0</v>
      </c>
      <c r="J48" s="19">
        <v>0</v>
      </c>
      <c r="K48" s="19">
        <v>4</v>
      </c>
      <c r="L48" s="19">
        <v>0</v>
      </c>
      <c r="M48" s="19">
        <v>0</v>
      </c>
      <c r="N48" s="19">
        <v>2</v>
      </c>
      <c r="O48" s="19">
        <v>4</v>
      </c>
      <c r="P48" s="19">
        <v>37</v>
      </c>
      <c r="Q48" s="19">
        <v>9</v>
      </c>
      <c r="R48" s="19">
        <v>9</v>
      </c>
      <c r="S48" s="19">
        <v>12</v>
      </c>
      <c r="T48" s="19">
        <v>8</v>
      </c>
      <c r="U48" s="19">
        <v>2</v>
      </c>
      <c r="V48" s="19">
        <v>1</v>
      </c>
      <c r="W48" s="19">
        <v>6</v>
      </c>
      <c r="X48" s="19">
        <v>9</v>
      </c>
      <c r="Y48" s="19">
        <v>23</v>
      </c>
      <c r="Z48" s="19">
        <v>19</v>
      </c>
    </row>
    <row r="49" spans="1:26" s="32" customFormat="1" ht="14.25" customHeight="1" x14ac:dyDescent="0.2">
      <c r="A49" s="108"/>
      <c r="B49" s="36" t="s">
        <v>39</v>
      </c>
      <c r="C49" s="37" t="s">
        <v>163</v>
      </c>
      <c r="D49" s="19">
        <v>4</v>
      </c>
      <c r="E49" s="19">
        <v>2</v>
      </c>
      <c r="F49" s="19">
        <v>2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1</v>
      </c>
      <c r="M49" s="19">
        <v>0</v>
      </c>
      <c r="N49" s="19">
        <v>0</v>
      </c>
      <c r="O49" s="19">
        <v>0</v>
      </c>
      <c r="P49" s="19">
        <v>1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1</v>
      </c>
      <c r="X49" s="19">
        <v>0</v>
      </c>
      <c r="Y49" s="19">
        <v>0</v>
      </c>
      <c r="Z49" s="19">
        <v>0</v>
      </c>
    </row>
    <row r="50" spans="1:26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573</v>
      </c>
      <c r="E50" s="31">
        <v>290</v>
      </c>
      <c r="F50" s="31">
        <v>283</v>
      </c>
      <c r="G50" s="31">
        <v>0</v>
      </c>
      <c r="H50" s="31">
        <v>1</v>
      </c>
      <c r="I50" s="31">
        <v>2</v>
      </c>
      <c r="J50" s="31">
        <v>1</v>
      </c>
      <c r="K50" s="31">
        <v>29</v>
      </c>
      <c r="L50" s="31">
        <v>12</v>
      </c>
      <c r="M50" s="31">
        <v>7</v>
      </c>
      <c r="N50" s="31">
        <v>11</v>
      </c>
      <c r="O50" s="31">
        <v>23</v>
      </c>
      <c r="P50" s="31">
        <v>47</v>
      </c>
      <c r="Q50" s="31">
        <v>27</v>
      </c>
      <c r="R50" s="31">
        <v>18</v>
      </c>
      <c r="S50" s="31">
        <v>79</v>
      </c>
      <c r="T50" s="31">
        <v>54</v>
      </c>
      <c r="U50" s="31">
        <v>14</v>
      </c>
      <c r="V50" s="31">
        <v>15</v>
      </c>
      <c r="W50" s="31">
        <v>4</v>
      </c>
      <c r="X50" s="31">
        <v>12</v>
      </c>
      <c r="Y50" s="31">
        <v>105</v>
      </c>
      <c r="Z50" s="31">
        <v>112</v>
      </c>
    </row>
    <row r="51" spans="1:26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488</v>
      </c>
      <c r="E51" s="19">
        <v>248</v>
      </c>
      <c r="F51" s="19">
        <v>240</v>
      </c>
      <c r="G51" s="19">
        <v>0</v>
      </c>
      <c r="H51" s="19">
        <v>1</v>
      </c>
      <c r="I51" s="19">
        <v>2</v>
      </c>
      <c r="J51" s="19">
        <v>1</v>
      </c>
      <c r="K51" s="19">
        <v>24</v>
      </c>
      <c r="L51" s="19">
        <v>11</v>
      </c>
      <c r="M51" s="19">
        <v>5</v>
      </c>
      <c r="N51" s="19">
        <v>8</v>
      </c>
      <c r="O51" s="19">
        <v>19</v>
      </c>
      <c r="P51" s="19">
        <v>35</v>
      </c>
      <c r="Q51" s="19">
        <v>23</v>
      </c>
      <c r="R51" s="19">
        <v>17</v>
      </c>
      <c r="S51" s="19">
        <v>67</v>
      </c>
      <c r="T51" s="19">
        <v>45</v>
      </c>
      <c r="U51" s="19">
        <v>10</v>
      </c>
      <c r="V51" s="19">
        <v>11</v>
      </c>
      <c r="W51" s="19">
        <v>4</v>
      </c>
      <c r="X51" s="19">
        <v>10</v>
      </c>
      <c r="Y51" s="19">
        <v>94</v>
      </c>
      <c r="Z51" s="19">
        <v>101</v>
      </c>
    </row>
    <row r="52" spans="1:26" s="32" customFormat="1" ht="14.25" customHeight="1" x14ac:dyDescent="0.2">
      <c r="A52" s="108"/>
      <c r="B52" s="36" t="s">
        <v>39</v>
      </c>
      <c r="C52" s="37" t="s">
        <v>163</v>
      </c>
      <c r="D52" s="19">
        <v>85</v>
      </c>
      <c r="E52" s="19">
        <v>42</v>
      </c>
      <c r="F52" s="19">
        <v>43</v>
      </c>
      <c r="G52" s="19">
        <v>0</v>
      </c>
      <c r="H52" s="19">
        <v>0</v>
      </c>
      <c r="I52" s="19">
        <v>0</v>
      </c>
      <c r="J52" s="19">
        <v>0</v>
      </c>
      <c r="K52" s="19">
        <v>5</v>
      </c>
      <c r="L52" s="19">
        <v>1</v>
      </c>
      <c r="M52" s="19">
        <v>2</v>
      </c>
      <c r="N52" s="19">
        <v>3</v>
      </c>
      <c r="O52" s="19">
        <v>4</v>
      </c>
      <c r="P52" s="19">
        <v>12</v>
      </c>
      <c r="Q52" s="19">
        <v>4</v>
      </c>
      <c r="R52" s="19">
        <v>1</v>
      </c>
      <c r="S52" s="19">
        <v>12</v>
      </c>
      <c r="T52" s="19">
        <v>9</v>
      </c>
      <c r="U52" s="19">
        <v>4</v>
      </c>
      <c r="V52" s="19">
        <v>4</v>
      </c>
      <c r="W52" s="19">
        <v>0</v>
      </c>
      <c r="X52" s="19">
        <v>2</v>
      </c>
      <c r="Y52" s="19">
        <v>11</v>
      </c>
      <c r="Z52" s="19">
        <v>11</v>
      </c>
    </row>
    <row r="53" spans="1:26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179</v>
      </c>
      <c r="E53" s="31">
        <v>68</v>
      </c>
      <c r="F53" s="31">
        <v>111</v>
      </c>
      <c r="G53" s="31">
        <v>0</v>
      </c>
      <c r="H53" s="31">
        <v>0</v>
      </c>
      <c r="I53" s="31">
        <v>0</v>
      </c>
      <c r="J53" s="31">
        <v>0</v>
      </c>
      <c r="K53" s="31">
        <v>5</v>
      </c>
      <c r="L53" s="31">
        <v>8</v>
      </c>
      <c r="M53" s="31">
        <v>1</v>
      </c>
      <c r="N53" s="31">
        <v>0</v>
      </c>
      <c r="O53" s="31">
        <v>11</v>
      </c>
      <c r="P53" s="31">
        <v>24</v>
      </c>
      <c r="Q53" s="31">
        <v>7</v>
      </c>
      <c r="R53" s="31">
        <v>5</v>
      </c>
      <c r="S53" s="31">
        <v>11</v>
      </c>
      <c r="T53" s="31">
        <v>14</v>
      </c>
      <c r="U53" s="31">
        <v>1</v>
      </c>
      <c r="V53" s="31">
        <v>3</v>
      </c>
      <c r="W53" s="31">
        <v>5</v>
      </c>
      <c r="X53" s="31">
        <v>4</v>
      </c>
      <c r="Y53" s="31">
        <v>27</v>
      </c>
      <c r="Z53" s="31">
        <v>53</v>
      </c>
    </row>
    <row r="54" spans="1:26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57</v>
      </c>
      <c r="E54" s="19">
        <v>19</v>
      </c>
      <c r="F54" s="19">
        <v>38</v>
      </c>
      <c r="G54" s="19">
        <v>0</v>
      </c>
      <c r="H54" s="19">
        <v>0</v>
      </c>
      <c r="I54" s="19">
        <v>0</v>
      </c>
      <c r="J54" s="19">
        <v>0</v>
      </c>
      <c r="K54" s="19">
        <v>4</v>
      </c>
      <c r="L54" s="19">
        <v>1</v>
      </c>
      <c r="M54" s="19">
        <v>0</v>
      </c>
      <c r="N54" s="19">
        <v>0</v>
      </c>
      <c r="O54" s="19">
        <v>1</v>
      </c>
      <c r="P54" s="19">
        <v>10</v>
      </c>
      <c r="Q54" s="19">
        <v>2</v>
      </c>
      <c r="R54" s="19">
        <v>3</v>
      </c>
      <c r="S54" s="19">
        <v>4</v>
      </c>
      <c r="T54" s="19">
        <v>2</v>
      </c>
      <c r="U54" s="19">
        <v>0</v>
      </c>
      <c r="V54" s="19">
        <v>0</v>
      </c>
      <c r="W54" s="19">
        <v>0</v>
      </c>
      <c r="X54" s="19">
        <v>2</v>
      </c>
      <c r="Y54" s="19">
        <v>8</v>
      </c>
      <c r="Z54" s="19">
        <v>20</v>
      </c>
    </row>
    <row r="55" spans="1:26" s="32" customFormat="1" ht="14.25" customHeight="1" x14ac:dyDescent="0.2">
      <c r="A55" s="108"/>
      <c r="B55" s="36" t="s">
        <v>39</v>
      </c>
      <c r="C55" s="37" t="s">
        <v>163</v>
      </c>
      <c r="D55" s="19">
        <v>122</v>
      </c>
      <c r="E55" s="19">
        <v>49</v>
      </c>
      <c r="F55" s="19">
        <v>73</v>
      </c>
      <c r="G55" s="19">
        <v>0</v>
      </c>
      <c r="H55" s="19">
        <v>0</v>
      </c>
      <c r="I55" s="19">
        <v>0</v>
      </c>
      <c r="J55" s="19">
        <v>0</v>
      </c>
      <c r="K55" s="19">
        <v>1</v>
      </c>
      <c r="L55" s="19">
        <v>7</v>
      </c>
      <c r="M55" s="19">
        <v>1</v>
      </c>
      <c r="N55" s="19">
        <v>0</v>
      </c>
      <c r="O55" s="19">
        <v>10</v>
      </c>
      <c r="P55" s="19">
        <v>14</v>
      </c>
      <c r="Q55" s="19">
        <v>5</v>
      </c>
      <c r="R55" s="19">
        <v>2</v>
      </c>
      <c r="S55" s="19">
        <v>7</v>
      </c>
      <c r="T55" s="19">
        <v>12</v>
      </c>
      <c r="U55" s="19">
        <v>1</v>
      </c>
      <c r="V55" s="19">
        <v>3</v>
      </c>
      <c r="W55" s="19">
        <v>5</v>
      </c>
      <c r="X55" s="19">
        <v>2</v>
      </c>
      <c r="Y55" s="19">
        <v>19</v>
      </c>
      <c r="Z55" s="19">
        <v>33</v>
      </c>
    </row>
    <row r="56" spans="1:26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184</v>
      </c>
      <c r="E56" s="31">
        <v>61</v>
      </c>
      <c r="F56" s="31">
        <v>123</v>
      </c>
      <c r="G56" s="31">
        <v>1</v>
      </c>
      <c r="H56" s="31">
        <v>0</v>
      </c>
      <c r="I56" s="31">
        <v>0</v>
      </c>
      <c r="J56" s="31">
        <v>0</v>
      </c>
      <c r="K56" s="31">
        <v>13</v>
      </c>
      <c r="L56" s="31">
        <v>21</v>
      </c>
      <c r="M56" s="31">
        <v>1</v>
      </c>
      <c r="N56" s="31">
        <v>3</v>
      </c>
      <c r="O56" s="31">
        <v>18</v>
      </c>
      <c r="P56" s="31">
        <v>68</v>
      </c>
      <c r="Q56" s="31">
        <v>11</v>
      </c>
      <c r="R56" s="31">
        <v>6</v>
      </c>
      <c r="S56" s="31">
        <v>8</v>
      </c>
      <c r="T56" s="31">
        <v>15</v>
      </c>
      <c r="U56" s="31">
        <v>0</v>
      </c>
      <c r="V56" s="31">
        <v>0</v>
      </c>
      <c r="W56" s="31">
        <v>2</v>
      </c>
      <c r="X56" s="31">
        <v>1</v>
      </c>
      <c r="Y56" s="31">
        <v>7</v>
      </c>
      <c r="Z56" s="31">
        <v>9</v>
      </c>
    </row>
    <row r="57" spans="1:26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73</v>
      </c>
      <c r="E57" s="19">
        <v>26</v>
      </c>
      <c r="F57" s="19">
        <v>47</v>
      </c>
      <c r="G57" s="19">
        <v>0</v>
      </c>
      <c r="H57" s="19">
        <v>0</v>
      </c>
      <c r="I57" s="19">
        <v>0</v>
      </c>
      <c r="J57" s="19">
        <v>0</v>
      </c>
      <c r="K57" s="19">
        <v>7</v>
      </c>
      <c r="L57" s="19">
        <v>14</v>
      </c>
      <c r="M57" s="19">
        <v>1</v>
      </c>
      <c r="N57" s="19">
        <v>0</v>
      </c>
      <c r="O57" s="19">
        <v>7</v>
      </c>
      <c r="P57" s="19">
        <v>23</v>
      </c>
      <c r="Q57" s="19">
        <v>3</v>
      </c>
      <c r="R57" s="19">
        <v>3</v>
      </c>
      <c r="S57" s="19">
        <v>6</v>
      </c>
      <c r="T57" s="19">
        <v>4</v>
      </c>
      <c r="U57" s="19">
        <v>0</v>
      </c>
      <c r="V57" s="19">
        <v>0</v>
      </c>
      <c r="W57" s="19">
        <v>1</v>
      </c>
      <c r="X57" s="19">
        <v>0</v>
      </c>
      <c r="Y57" s="19">
        <v>1</v>
      </c>
      <c r="Z57" s="19">
        <v>3</v>
      </c>
    </row>
    <row r="58" spans="1:26" s="32" customFormat="1" ht="14.25" customHeight="1" x14ac:dyDescent="0.2">
      <c r="A58" s="108"/>
      <c r="B58" s="36" t="s">
        <v>39</v>
      </c>
      <c r="C58" s="37" t="s">
        <v>163</v>
      </c>
      <c r="D58" s="19">
        <v>111</v>
      </c>
      <c r="E58" s="19">
        <v>35</v>
      </c>
      <c r="F58" s="19">
        <v>76</v>
      </c>
      <c r="G58" s="19">
        <v>1</v>
      </c>
      <c r="H58" s="19">
        <v>0</v>
      </c>
      <c r="I58" s="19">
        <v>0</v>
      </c>
      <c r="J58" s="19">
        <v>0</v>
      </c>
      <c r="K58" s="19">
        <v>6</v>
      </c>
      <c r="L58" s="19">
        <v>7</v>
      </c>
      <c r="M58" s="19">
        <v>0</v>
      </c>
      <c r="N58" s="19">
        <v>3</v>
      </c>
      <c r="O58" s="19">
        <v>11</v>
      </c>
      <c r="P58" s="19">
        <v>45</v>
      </c>
      <c r="Q58" s="19">
        <v>8</v>
      </c>
      <c r="R58" s="19">
        <v>3</v>
      </c>
      <c r="S58" s="19">
        <v>2</v>
      </c>
      <c r="T58" s="19">
        <v>11</v>
      </c>
      <c r="U58" s="19">
        <v>0</v>
      </c>
      <c r="V58" s="19">
        <v>0</v>
      </c>
      <c r="W58" s="19">
        <v>1</v>
      </c>
      <c r="X58" s="19">
        <v>1</v>
      </c>
      <c r="Y58" s="19">
        <v>6</v>
      </c>
      <c r="Z58" s="19">
        <v>6</v>
      </c>
    </row>
    <row r="59" spans="1:26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31</v>
      </c>
      <c r="E59" s="31">
        <v>13</v>
      </c>
      <c r="F59" s="31">
        <v>18</v>
      </c>
      <c r="G59" s="31">
        <v>0</v>
      </c>
      <c r="H59" s="31">
        <v>0</v>
      </c>
      <c r="I59" s="31">
        <v>0</v>
      </c>
      <c r="J59" s="31">
        <v>0</v>
      </c>
      <c r="K59" s="31">
        <v>9</v>
      </c>
      <c r="L59" s="31">
        <v>6</v>
      </c>
      <c r="M59" s="31">
        <v>1</v>
      </c>
      <c r="N59" s="31">
        <v>5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2</v>
      </c>
      <c r="U59" s="31">
        <v>0</v>
      </c>
      <c r="V59" s="31">
        <v>1</v>
      </c>
      <c r="W59" s="31">
        <v>0</v>
      </c>
      <c r="X59" s="31">
        <v>0</v>
      </c>
      <c r="Y59" s="31">
        <v>2</v>
      </c>
      <c r="Z59" s="31">
        <v>3</v>
      </c>
    </row>
    <row r="60" spans="1:26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29</v>
      </c>
      <c r="E60" s="19">
        <v>12</v>
      </c>
      <c r="F60" s="19">
        <v>17</v>
      </c>
      <c r="G60" s="19">
        <v>0</v>
      </c>
      <c r="H60" s="19">
        <v>0</v>
      </c>
      <c r="I60" s="19">
        <v>0</v>
      </c>
      <c r="J60" s="19">
        <v>0</v>
      </c>
      <c r="K60" s="19">
        <v>9</v>
      </c>
      <c r="L60" s="19">
        <v>6</v>
      </c>
      <c r="M60" s="19">
        <v>1</v>
      </c>
      <c r="N60" s="19">
        <v>5</v>
      </c>
      <c r="O60" s="19">
        <v>1</v>
      </c>
      <c r="P60" s="19">
        <v>1</v>
      </c>
      <c r="Q60" s="19">
        <v>0</v>
      </c>
      <c r="R60" s="19">
        <v>0</v>
      </c>
      <c r="S60" s="19">
        <v>0</v>
      </c>
      <c r="T60" s="19">
        <v>2</v>
      </c>
      <c r="U60" s="19">
        <v>0</v>
      </c>
      <c r="V60" s="19">
        <v>1</v>
      </c>
      <c r="W60" s="19">
        <v>0</v>
      </c>
      <c r="X60" s="19">
        <v>0</v>
      </c>
      <c r="Y60" s="19">
        <v>1</v>
      </c>
      <c r="Z60" s="19">
        <v>2</v>
      </c>
    </row>
    <row r="61" spans="1:26" s="32" customFormat="1" ht="14.25" customHeight="1" x14ac:dyDescent="0.2">
      <c r="A61" s="108"/>
      <c r="B61" s="36" t="s">
        <v>39</v>
      </c>
      <c r="C61" s="37" t="s">
        <v>163</v>
      </c>
      <c r="D61" s="19">
        <v>2</v>
      </c>
      <c r="E61" s="19">
        <v>1</v>
      </c>
      <c r="F61" s="19">
        <v>1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1</v>
      </c>
      <c r="Z61" s="19">
        <v>1</v>
      </c>
    </row>
    <row r="62" spans="1:26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202</v>
      </c>
      <c r="E62" s="31">
        <v>79</v>
      </c>
      <c r="F62" s="31">
        <v>123</v>
      </c>
      <c r="G62" s="31">
        <v>1</v>
      </c>
      <c r="H62" s="31">
        <v>0</v>
      </c>
      <c r="I62" s="31">
        <v>0</v>
      </c>
      <c r="J62" s="31">
        <v>0</v>
      </c>
      <c r="K62" s="31">
        <v>6</v>
      </c>
      <c r="L62" s="31">
        <v>12</v>
      </c>
      <c r="M62" s="31">
        <v>1</v>
      </c>
      <c r="N62" s="31">
        <v>1</v>
      </c>
      <c r="O62" s="31">
        <v>4</v>
      </c>
      <c r="P62" s="31">
        <v>32</v>
      </c>
      <c r="Q62" s="31">
        <v>6</v>
      </c>
      <c r="R62" s="31">
        <v>13</v>
      </c>
      <c r="S62" s="31">
        <v>23</v>
      </c>
      <c r="T62" s="31">
        <v>7</v>
      </c>
      <c r="U62" s="31">
        <v>2</v>
      </c>
      <c r="V62" s="31">
        <v>1</v>
      </c>
      <c r="W62" s="31">
        <v>0</v>
      </c>
      <c r="X62" s="31">
        <v>2</v>
      </c>
      <c r="Y62" s="31">
        <v>36</v>
      </c>
      <c r="Z62" s="31">
        <v>55</v>
      </c>
    </row>
    <row r="63" spans="1:26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186</v>
      </c>
      <c r="E63" s="19">
        <v>72</v>
      </c>
      <c r="F63" s="19">
        <v>114</v>
      </c>
      <c r="G63" s="19">
        <v>1</v>
      </c>
      <c r="H63" s="19">
        <v>0</v>
      </c>
      <c r="I63" s="19">
        <v>0</v>
      </c>
      <c r="J63" s="19">
        <v>0</v>
      </c>
      <c r="K63" s="19">
        <v>6</v>
      </c>
      <c r="L63" s="19">
        <v>12</v>
      </c>
      <c r="M63" s="19">
        <v>1</v>
      </c>
      <c r="N63" s="19">
        <v>1</v>
      </c>
      <c r="O63" s="19">
        <v>4</v>
      </c>
      <c r="P63" s="19">
        <v>30</v>
      </c>
      <c r="Q63" s="19">
        <v>6</v>
      </c>
      <c r="R63" s="19">
        <v>12</v>
      </c>
      <c r="S63" s="19">
        <v>22</v>
      </c>
      <c r="T63" s="19">
        <v>6</v>
      </c>
      <c r="U63" s="19">
        <v>2</v>
      </c>
      <c r="V63" s="19">
        <v>1</v>
      </c>
      <c r="W63" s="19">
        <v>0</v>
      </c>
      <c r="X63" s="19">
        <v>2</v>
      </c>
      <c r="Y63" s="19">
        <v>30</v>
      </c>
      <c r="Z63" s="19">
        <v>50</v>
      </c>
    </row>
    <row r="64" spans="1:26" s="32" customFormat="1" ht="14.25" customHeight="1" x14ac:dyDescent="0.2">
      <c r="A64" s="108"/>
      <c r="B64" s="36" t="s">
        <v>39</v>
      </c>
      <c r="C64" s="37" t="s">
        <v>163</v>
      </c>
      <c r="D64" s="19">
        <v>16</v>
      </c>
      <c r="E64" s="19">
        <v>7</v>
      </c>
      <c r="F64" s="19">
        <v>9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2</v>
      </c>
      <c r="Q64" s="19">
        <v>0</v>
      </c>
      <c r="R64" s="19">
        <v>1</v>
      </c>
      <c r="S64" s="19">
        <v>1</v>
      </c>
      <c r="T64" s="19">
        <v>1</v>
      </c>
      <c r="U64" s="19">
        <v>0</v>
      </c>
      <c r="V64" s="19">
        <v>0</v>
      </c>
      <c r="W64" s="19">
        <v>0</v>
      </c>
      <c r="X64" s="19">
        <v>0</v>
      </c>
      <c r="Y64" s="19">
        <v>6</v>
      </c>
      <c r="Z64" s="19">
        <v>5</v>
      </c>
    </row>
    <row r="65" spans="1:26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200</v>
      </c>
      <c r="E65" s="31">
        <v>64</v>
      </c>
      <c r="F65" s="31">
        <v>136</v>
      </c>
      <c r="G65" s="31">
        <v>0</v>
      </c>
      <c r="H65" s="31">
        <v>0</v>
      </c>
      <c r="I65" s="31">
        <v>1</v>
      </c>
      <c r="J65" s="31">
        <v>1</v>
      </c>
      <c r="K65" s="31">
        <v>9</v>
      </c>
      <c r="L65" s="31">
        <v>10</v>
      </c>
      <c r="M65" s="31">
        <v>1</v>
      </c>
      <c r="N65" s="31">
        <v>3</v>
      </c>
      <c r="O65" s="31">
        <v>5</v>
      </c>
      <c r="P65" s="31">
        <v>36</v>
      </c>
      <c r="Q65" s="31">
        <v>13</v>
      </c>
      <c r="R65" s="31">
        <v>14</v>
      </c>
      <c r="S65" s="31">
        <v>7</v>
      </c>
      <c r="T65" s="31">
        <v>9</v>
      </c>
      <c r="U65" s="31">
        <v>1</v>
      </c>
      <c r="V65" s="31">
        <v>0</v>
      </c>
      <c r="W65" s="31">
        <v>0</v>
      </c>
      <c r="X65" s="31">
        <v>3</v>
      </c>
      <c r="Y65" s="31">
        <v>27</v>
      </c>
      <c r="Z65" s="31">
        <v>60</v>
      </c>
    </row>
    <row r="66" spans="1:26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185</v>
      </c>
      <c r="E66" s="19">
        <v>60</v>
      </c>
      <c r="F66" s="19">
        <v>125</v>
      </c>
      <c r="G66" s="19">
        <v>0</v>
      </c>
      <c r="H66" s="19">
        <v>0</v>
      </c>
      <c r="I66" s="19">
        <v>0</v>
      </c>
      <c r="J66" s="19">
        <v>0</v>
      </c>
      <c r="K66" s="19">
        <v>9</v>
      </c>
      <c r="L66" s="19">
        <v>10</v>
      </c>
      <c r="M66" s="19">
        <v>1</v>
      </c>
      <c r="N66" s="19">
        <v>3</v>
      </c>
      <c r="O66" s="19">
        <v>5</v>
      </c>
      <c r="P66" s="19">
        <v>35</v>
      </c>
      <c r="Q66" s="19">
        <v>12</v>
      </c>
      <c r="R66" s="19">
        <v>10</v>
      </c>
      <c r="S66" s="19">
        <v>7</v>
      </c>
      <c r="T66" s="19">
        <v>8</v>
      </c>
      <c r="U66" s="19">
        <v>1</v>
      </c>
      <c r="V66" s="19">
        <v>0</v>
      </c>
      <c r="W66" s="19">
        <v>0</v>
      </c>
      <c r="X66" s="19">
        <v>3</v>
      </c>
      <c r="Y66" s="19">
        <v>25</v>
      </c>
      <c r="Z66" s="19">
        <v>56</v>
      </c>
    </row>
    <row r="67" spans="1:26" s="32" customFormat="1" ht="14.25" customHeight="1" x14ac:dyDescent="0.2">
      <c r="A67" s="108"/>
      <c r="B67" s="36" t="s">
        <v>39</v>
      </c>
      <c r="C67" s="37" t="s">
        <v>163</v>
      </c>
      <c r="D67" s="19">
        <v>15</v>
      </c>
      <c r="E67" s="19">
        <v>4</v>
      </c>
      <c r="F67" s="19">
        <v>11</v>
      </c>
      <c r="G67" s="19">
        <v>0</v>
      </c>
      <c r="H67" s="19">
        <v>0</v>
      </c>
      <c r="I67" s="19">
        <v>1</v>
      </c>
      <c r="J67" s="19">
        <v>1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1</v>
      </c>
      <c r="Q67" s="19">
        <v>1</v>
      </c>
      <c r="R67" s="19">
        <v>4</v>
      </c>
      <c r="S67" s="19">
        <v>0</v>
      </c>
      <c r="T67" s="19">
        <v>1</v>
      </c>
      <c r="U67" s="19">
        <v>0</v>
      </c>
      <c r="V67" s="19">
        <v>0</v>
      </c>
      <c r="W67" s="19">
        <v>0</v>
      </c>
      <c r="X67" s="19">
        <v>0</v>
      </c>
      <c r="Y67" s="19">
        <v>2</v>
      </c>
      <c r="Z67" s="19">
        <v>4</v>
      </c>
    </row>
    <row r="68" spans="1:26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103</v>
      </c>
      <c r="E68" s="31">
        <v>52</v>
      </c>
      <c r="F68" s="31">
        <v>51</v>
      </c>
      <c r="G68" s="31">
        <v>0</v>
      </c>
      <c r="H68" s="31">
        <v>0</v>
      </c>
      <c r="I68" s="31">
        <v>0</v>
      </c>
      <c r="J68" s="31">
        <v>0</v>
      </c>
      <c r="K68" s="31">
        <v>8</v>
      </c>
      <c r="L68" s="31">
        <v>0</v>
      </c>
      <c r="M68" s="31">
        <v>1</v>
      </c>
      <c r="N68" s="31">
        <v>0</v>
      </c>
      <c r="O68" s="31">
        <v>4</v>
      </c>
      <c r="P68" s="31">
        <v>15</v>
      </c>
      <c r="Q68" s="31">
        <v>4</v>
      </c>
      <c r="R68" s="31">
        <v>4</v>
      </c>
      <c r="S68" s="31">
        <v>18</v>
      </c>
      <c r="T68" s="31">
        <v>12</v>
      </c>
      <c r="U68" s="31">
        <v>1</v>
      </c>
      <c r="V68" s="31">
        <v>2</v>
      </c>
      <c r="W68" s="31">
        <v>0</v>
      </c>
      <c r="X68" s="31">
        <v>2</v>
      </c>
      <c r="Y68" s="31">
        <v>16</v>
      </c>
      <c r="Z68" s="31">
        <v>16</v>
      </c>
    </row>
    <row r="69" spans="1:26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100</v>
      </c>
      <c r="E69" s="19">
        <v>52</v>
      </c>
      <c r="F69" s="19">
        <v>48</v>
      </c>
      <c r="G69" s="19">
        <v>0</v>
      </c>
      <c r="H69" s="19">
        <v>0</v>
      </c>
      <c r="I69" s="19">
        <v>0</v>
      </c>
      <c r="J69" s="19">
        <v>0</v>
      </c>
      <c r="K69" s="19">
        <v>8</v>
      </c>
      <c r="L69" s="19">
        <v>0</v>
      </c>
      <c r="M69" s="19">
        <v>1</v>
      </c>
      <c r="N69" s="19">
        <v>0</v>
      </c>
      <c r="O69" s="19">
        <v>4</v>
      </c>
      <c r="P69" s="19">
        <v>14</v>
      </c>
      <c r="Q69" s="19">
        <v>4</v>
      </c>
      <c r="R69" s="19">
        <v>3</v>
      </c>
      <c r="S69" s="19">
        <v>18</v>
      </c>
      <c r="T69" s="19">
        <v>12</v>
      </c>
      <c r="U69" s="19">
        <v>1</v>
      </c>
      <c r="V69" s="19">
        <v>2</v>
      </c>
      <c r="W69" s="19">
        <v>0</v>
      </c>
      <c r="X69" s="19">
        <v>2</v>
      </c>
      <c r="Y69" s="19">
        <v>16</v>
      </c>
      <c r="Z69" s="19">
        <v>15</v>
      </c>
    </row>
    <row r="70" spans="1:26" s="32" customFormat="1" ht="14.25" customHeight="1" x14ac:dyDescent="0.2">
      <c r="A70" s="108"/>
      <c r="B70" s="36" t="s">
        <v>39</v>
      </c>
      <c r="C70" s="37" t="s">
        <v>163</v>
      </c>
      <c r="D70" s="19">
        <v>3</v>
      </c>
      <c r="E70" s="19">
        <v>0</v>
      </c>
      <c r="F70" s="19">
        <v>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1</v>
      </c>
      <c r="Q70" s="19">
        <v>0</v>
      </c>
      <c r="R70" s="19">
        <v>1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1</v>
      </c>
    </row>
    <row r="71" spans="1:26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52</v>
      </c>
      <c r="E71" s="31">
        <v>33</v>
      </c>
      <c r="F71" s="31">
        <v>19</v>
      </c>
      <c r="G71" s="31">
        <v>0</v>
      </c>
      <c r="H71" s="31">
        <v>0</v>
      </c>
      <c r="I71" s="31">
        <v>0</v>
      </c>
      <c r="J71" s="31">
        <v>0</v>
      </c>
      <c r="K71" s="31">
        <v>3</v>
      </c>
      <c r="L71" s="31">
        <v>1</v>
      </c>
      <c r="M71" s="31">
        <v>3</v>
      </c>
      <c r="N71" s="31">
        <v>1</v>
      </c>
      <c r="O71" s="31">
        <v>1</v>
      </c>
      <c r="P71" s="31">
        <v>5</v>
      </c>
      <c r="Q71" s="31">
        <v>1</v>
      </c>
      <c r="R71" s="31">
        <v>1</v>
      </c>
      <c r="S71" s="31">
        <v>8</v>
      </c>
      <c r="T71" s="31">
        <v>1</v>
      </c>
      <c r="U71" s="31">
        <v>2</v>
      </c>
      <c r="V71" s="31">
        <v>0</v>
      </c>
      <c r="W71" s="31">
        <v>4</v>
      </c>
      <c r="X71" s="31">
        <v>0</v>
      </c>
      <c r="Y71" s="31">
        <v>11</v>
      </c>
      <c r="Z71" s="31">
        <v>10</v>
      </c>
    </row>
    <row r="72" spans="1:26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51</v>
      </c>
      <c r="E72" s="19">
        <v>32</v>
      </c>
      <c r="F72" s="19">
        <v>19</v>
      </c>
      <c r="G72" s="19">
        <v>0</v>
      </c>
      <c r="H72" s="19">
        <v>0</v>
      </c>
      <c r="I72" s="19">
        <v>0</v>
      </c>
      <c r="J72" s="19">
        <v>0</v>
      </c>
      <c r="K72" s="19">
        <v>3</v>
      </c>
      <c r="L72" s="19">
        <v>1</v>
      </c>
      <c r="M72" s="19">
        <v>2</v>
      </c>
      <c r="N72" s="19">
        <v>1</v>
      </c>
      <c r="O72" s="19">
        <v>1</v>
      </c>
      <c r="P72" s="19">
        <v>5</v>
      </c>
      <c r="Q72" s="19">
        <v>1</v>
      </c>
      <c r="R72" s="19">
        <v>1</v>
      </c>
      <c r="S72" s="19">
        <v>8</v>
      </c>
      <c r="T72" s="19">
        <v>1</v>
      </c>
      <c r="U72" s="19">
        <v>2</v>
      </c>
      <c r="V72" s="19">
        <v>0</v>
      </c>
      <c r="W72" s="19">
        <v>4</v>
      </c>
      <c r="X72" s="19">
        <v>0</v>
      </c>
      <c r="Y72" s="19">
        <v>11</v>
      </c>
      <c r="Z72" s="19">
        <v>10</v>
      </c>
    </row>
    <row r="73" spans="1:26" s="32" customFormat="1" ht="14.25" customHeight="1" x14ac:dyDescent="0.2">
      <c r="A73" s="108"/>
      <c r="B73" s="36" t="s">
        <v>39</v>
      </c>
      <c r="C73" s="37" t="s">
        <v>163</v>
      </c>
      <c r="D73" s="19">
        <v>1</v>
      </c>
      <c r="E73" s="19">
        <v>1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1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</row>
    <row r="74" spans="1:26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3</v>
      </c>
      <c r="E74" s="31">
        <v>1</v>
      </c>
      <c r="F74" s="31">
        <v>2</v>
      </c>
      <c r="G74" s="31">
        <v>0</v>
      </c>
      <c r="H74" s="31">
        <v>0</v>
      </c>
      <c r="I74" s="31">
        <v>0</v>
      </c>
      <c r="J74" s="31">
        <v>0</v>
      </c>
      <c r="K74" s="31">
        <v>1</v>
      </c>
      <c r="L74" s="31">
        <v>2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</row>
    <row r="75" spans="1:26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3</v>
      </c>
      <c r="E75" s="19">
        <v>1</v>
      </c>
      <c r="F75" s="19">
        <v>2</v>
      </c>
      <c r="G75" s="19">
        <v>0</v>
      </c>
      <c r="H75" s="19">
        <v>0</v>
      </c>
      <c r="I75" s="19">
        <v>0</v>
      </c>
      <c r="J75" s="19">
        <v>0</v>
      </c>
      <c r="K75" s="19">
        <v>1</v>
      </c>
      <c r="L75" s="19">
        <v>2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</row>
    <row r="76" spans="1:26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</row>
    <row r="77" spans="1:26" ht="14.25" customHeight="1" x14ac:dyDescent="0.2">
      <c r="A77" s="6" t="s">
        <v>28</v>
      </c>
    </row>
    <row r="78" spans="1:26" ht="14.25" customHeight="1" x14ac:dyDescent="0.2">
      <c r="A78" s="23" t="s">
        <v>29</v>
      </c>
    </row>
    <row r="79" spans="1:26" ht="14.25" customHeight="1" x14ac:dyDescent="0.2">
      <c r="A79" s="6" t="s">
        <v>30</v>
      </c>
    </row>
    <row r="80" spans="1:26" ht="14.25" customHeight="1" x14ac:dyDescent="0.2"/>
  </sheetData>
  <mergeCells count="36">
    <mergeCell ref="A15:A16"/>
    <mergeCell ref="A4:C7"/>
    <mergeCell ref="D4:Z4"/>
    <mergeCell ref="D5:F6"/>
    <mergeCell ref="G5:J5"/>
    <mergeCell ref="K5:R5"/>
    <mergeCell ref="S5:T6"/>
    <mergeCell ref="U5:V6"/>
    <mergeCell ref="W5:X6"/>
    <mergeCell ref="Y5:Z6"/>
    <mergeCell ref="K6:L6"/>
    <mergeCell ref="M6:N6"/>
    <mergeCell ref="O6:P6"/>
    <mergeCell ref="Q6:R6"/>
    <mergeCell ref="A9:A10"/>
    <mergeCell ref="A12:A13"/>
    <mergeCell ref="A51:A52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80"/>
  <sheetViews>
    <sheetView workbookViewId="0"/>
  </sheetViews>
  <sheetFormatPr defaultColWidth="5.5" defaultRowHeight="11.1" customHeight="1" x14ac:dyDescent="0.2"/>
  <cols>
    <col min="1" max="1" width="18.33203125" style="3" customWidth="1"/>
    <col min="2" max="2" width="8.1640625" style="3" customWidth="1"/>
    <col min="3" max="3" width="13.1640625" style="3" customWidth="1"/>
    <col min="4" max="22" width="9.33203125" style="3" customWidth="1"/>
    <col min="23" max="23" width="5.5" style="3" customWidth="1"/>
    <col min="24" max="16384" width="5.5" style="3"/>
  </cols>
  <sheetData>
    <row r="1" spans="1:22" ht="20.25" customHeight="1" x14ac:dyDescent="0.2">
      <c r="A1" s="15" t="s">
        <v>17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18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5">
      <c r="A3" s="26" t="s">
        <v>22</v>
      </c>
      <c r="B3" s="27"/>
      <c r="C3" s="27"/>
      <c r="S3" s="7"/>
      <c r="T3" s="7"/>
      <c r="U3" s="7"/>
      <c r="V3" s="7"/>
    </row>
    <row r="4" spans="1:22" s="9" customFormat="1" ht="24.75" customHeight="1" x14ac:dyDescent="0.2">
      <c r="A4" s="102" t="s">
        <v>33</v>
      </c>
      <c r="B4" s="102"/>
      <c r="C4" s="102"/>
      <c r="D4" s="105" t="s">
        <v>2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5</v>
      </c>
      <c r="L5" s="106"/>
      <c r="M5" s="106"/>
      <c r="N5" s="106"/>
      <c r="O5" s="106"/>
      <c r="P5" s="106"/>
      <c r="Q5" s="106"/>
      <c r="R5" s="106"/>
      <c r="S5" s="107" t="s">
        <v>6</v>
      </c>
      <c r="T5" s="107"/>
      <c r="U5" s="110" t="s">
        <v>7</v>
      </c>
      <c r="V5" s="110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7" t="s">
        <v>19</v>
      </c>
      <c r="H6" s="18"/>
      <c r="I6" s="17" t="s">
        <v>20</v>
      </c>
      <c r="J6" s="18"/>
      <c r="K6" s="102" t="s">
        <v>8</v>
      </c>
      <c r="L6" s="102"/>
      <c r="M6" s="102" t="s">
        <v>9</v>
      </c>
      <c r="N6" s="102"/>
      <c r="O6" s="102" t="s">
        <v>10</v>
      </c>
      <c r="P6" s="102"/>
      <c r="Q6" s="102" t="s">
        <v>11</v>
      </c>
      <c r="R6" s="102"/>
      <c r="S6" s="107"/>
      <c r="T6" s="107"/>
      <c r="U6" s="110"/>
      <c r="V6" s="110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8" t="s">
        <v>14</v>
      </c>
      <c r="U7" s="8" t="s">
        <v>13</v>
      </c>
      <c r="V7" s="10" t="s">
        <v>14</v>
      </c>
    </row>
    <row r="8" spans="1:22" s="32" customFormat="1" ht="18" customHeight="1" x14ac:dyDescent="0.2">
      <c r="A8" s="28" t="s">
        <v>34</v>
      </c>
      <c r="B8" s="29" t="s">
        <v>35</v>
      </c>
      <c r="C8" s="30" t="s">
        <v>36</v>
      </c>
      <c r="D8" s="31">
        <v>4175</v>
      </c>
      <c r="E8" s="31">
        <v>2081</v>
      </c>
      <c r="F8" s="31">
        <v>2094</v>
      </c>
      <c r="G8" s="31">
        <v>9</v>
      </c>
      <c r="H8" s="31">
        <v>5</v>
      </c>
      <c r="I8" s="31">
        <v>13</v>
      </c>
      <c r="J8" s="31">
        <v>8</v>
      </c>
      <c r="K8" s="31">
        <v>357</v>
      </c>
      <c r="L8" s="31">
        <v>290</v>
      </c>
      <c r="M8" s="31">
        <v>83</v>
      </c>
      <c r="N8" s="31">
        <v>117</v>
      </c>
      <c r="O8" s="31">
        <v>73</v>
      </c>
      <c r="P8" s="31">
        <v>508</v>
      </c>
      <c r="Q8" s="31">
        <v>416</v>
      </c>
      <c r="R8" s="31">
        <v>365</v>
      </c>
      <c r="S8" s="31">
        <v>1072</v>
      </c>
      <c r="T8" s="31">
        <v>752</v>
      </c>
      <c r="U8" s="31">
        <v>58</v>
      </c>
      <c r="V8" s="31">
        <v>49</v>
      </c>
    </row>
    <row r="9" spans="1:22" s="32" customFormat="1" ht="14.25" customHeight="1" x14ac:dyDescent="0.2">
      <c r="A9" s="112" t="s">
        <v>36</v>
      </c>
      <c r="B9" s="33" t="s">
        <v>37</v>
      </c>
      <c r="C9" s="34" t="s">
        <v>38</v>
      </c>
      <c r="D9" s="19">
        <v>3779</v>
      </c>
      <c r="E9" s="19">
        <v>1907</v>
      </c>
      <c r="F9" s="19">
        <v>1872</v>
      </c>
      <c r="G9" s="19">
        <v>5</v>
      </c>
      <c r="H9" s="19">
        <v>4</v>
      </c>
      <c r="I9" s="19">
        <v>7</v>
      </c>
      <c r="J9" s="19">
        <v>3</v>
      </c>
      <c r="K9" s="19">
        <v>334</v>
      </c>
      <c r="L9" s="19">
        <v>257</v>
      </c>
      <c r="M9" s="19">
        <v>74</v>
      </c>
      <c r="N9" s="19">
        <v>111</v>
      </c>
      <c r="O9" s="19">
        <v>67</v>
      </c>
      <c r="P9" s="19">
        <v>437</v>
      </c>
      <c r="Q9" s="19">
        <v>373</v>
      </c>
      <c r="R9" s="19">
        <v>325</v>
      </c>
      <c r="S9" s="19">
        <v>993</v>
      </c>
      <c r="T9" s="19">
        <v>695</v>
      </c>
      <c r="U9" s="19">
        <v>54</v>
      </c>
      <c r="V9" s="19">
        <v>40</v>
      </c>
    </row>
    <row r="10" spans="1:22" s="32" customFormat="1" ht="14.25" customHeight="1" x14ac:dyDescent="0.2">
      <c r="A10" s="112"/>
      <c r="B10" s="33" t="s">
        <v>39</v>
      </c>
      <c r="C10" s="34" t="s">
        <v>163</v>
      </c>
      <c r="D10" s="19">
        <v>396</v>
      </c>
      <c r="E10" s="19">
        <v>174</v>
      </c>
      <c r="F10" s="19">
        <v>222</v>
      </c>
      <c r="G10" s="19">
        <v>4</v>
      </c>
      <c r="H10" s="19">
        <v>1</v>
      </c>
      <c r="I10" s="19">
        <v>6</v>
      </c>
      <c r="J10" s="19">
        <v>5</v>
      </c>
      <c r="K10" s="19">
        <v>23</v>
      </c>
      <c r="L10" s="19">
        <v>33</v>
      </c>
      <c r="M10" s="19">
        <v>9</v>
      </c>
      <c r="N10" s="19">
        <v>6</v>
      </c>
      <c r="O10" s="19">
        <v>6</v>
      </c>
      <c r="P10" s="19">
        <v>71</v>
      </c>
      <c r="Q10" s="19">
        <v>43</v>
      </c>
      <c r="R10" s="19">
        <v>40</v>
      </c>
      <c r="S10" s="19">
        <v>79</v>
      </c>
      <c r="T10" s="19">
        <v>57</v>
      </c>
      <c r="U10" s="19">
        <v>4</v>
      </c>
      <c r="V10" s="19">
        <v>9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712</v>
      </c>
      <c r="E11" s="31">
        <v>356</v>
      </c>
      <c r="F11" s="31">
        <v>356</v>
      </c>
      <c r="G11" s="31">
        <v>1</v>
      </c>
      <c r="H11" s="31">
        <v>1</v>
      </c>
      <c r="I11" s="31">
        <v>5</v>
      </c>
      <c r="J11" s="31">
        <v>1</v>
      </c>
      <c r="K11" s="31">
        <v>62</v>
      </c>
      <c r="L11" s="31">
        <v>55</v>
      </c>
      <c r="M11" s="31">
        <v>14</v>
      </c>
      <c r="N11" s="31">
        <v>15</v>
      </c>
      <c r="O11" s="31">
        <v>15</v>
      </c>
      <c r="P11" s="31">
        <v>110</v>
      </c>
      <c r="Q11" s="31">
        <v>23</v>
      </c>
      <c r="R11" s="31">
        <v>26</v>
      </c>
      <c r="S11" s="31">
        <v>230</v>
      </c>
      <c r="T11" s="31">
        <v>139</v>
      </c>
      <c r="U11" s="31">
        <v>6</v>
      </c>
      <c r="V11" s="31">
        <v>9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668</v>
      </c>
      <c r="E12" s="19">
        <v>337</v>
      </c>
      <c r="F12" s="19">
        <v>331</v>
      </c>
      <c r="G12" s="19">
        <v>1</v>
      </c>
      <c r="H12" s="19">
        <v>1</v>
      </c>
      <c r="I12" s="19">
        <v>1</v>
      </c>
      <c r="J12" s="19">
        <v>0</v>
      </c>
      <c r="K12" s="19">
        <v>60</v>
      </c>
      <c r="L12" s="19">
        <v>51</v>
      </c>
      <c r="M12" s="19">
        <v>11</v>
      </c>
      <c r="N12" s="19">
        <v>15</v>
      </c>
      <c r="O12" s="19">
        <v>15</v>
      </c>
      <c r="P12" s="19">
        <v>96</v>
      </c>
      <c r="Q12" s="19">
        <v>22</v>
      </c>
      <c r="R12" s="19">
        <v>24</v>
      </c>
      <c r="S12" s="19">
        <v>221</v>
      </c>
      <c r="T12" s="19">
        <v>135</v>
      </c>
      <c r="U12" s="19">
        <v>6</v>
      </c>
      <c r="V12" s="19">
        <v>9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44</v>
      </c>
      <c r="E13" s="19">
        <v>19</v>
      </c>
      <c r="F13" s="19">
        <v>25</v>
      </c>
      <c r="G13" s="19">
        <v>0</v>
      </c>
      <c r="H13" s="19">
        <v>0</v>
      </c>
      <c r="I13" s="19">
        <v>4</v>
      </c>
      <c r="J13" s="19">
        <v>1</v>
      </c>
      <c r="K13" s="19">
        <v>2</v>
      </c>
      <c r="L13" s="19">
        <v>4</v>
      </c>
      <c r="M13" s="19">
        <v>3</v>
      </c>
      <c r="N13" s="19">
        <v>0</v>
      </c>
      <c r="O13" s="19">
        <v>0</v>
      </c>
      <c r="P13" s="19">
        <v>14</v>
      </c>
      <c r="Q13" s="19">
        <v>1</v>
      </c>
      <c r="R13" s="19">
        <v>2</v>
      </c>
      <c r="S13" s="19">
        <v>9</v>
      </c>
      <c r="T13" s="19">
        <v>4</v>
      </c>
      <c r="U13" s="19">
        <v>0</v>
      </c>
      <c r="V13" s="19">
        <v>0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395</v>
      </c>
      <c r="E14" s="31">
        <v>202</v>
      </c>
      <c r="F14" s="31">
        <v>193</v>
      </c>
      <c r="G14" s="31">
        <v>1</v>
      </c>
      <c r="H14" s="31">
        <v>0</v>
      </c>
      <c r="I14" s="31">
        <v>2</v>
      </c>
      <c r="J14" s="31">
        <v>0</v>
      </c>
      <c r="K14" s="31">
        <v>41</v>
      </c>
      <c r="L14" s="31">
        <v>25</v>
      </c>
      <c r="M14" s="31">
        <v>6</v>
      </c>
      <c r="N14" s="31">
        <v>6</v>
      </c>
      <c r="O14" s="31">
        <v>7</v>
      </c>
      <c r="P14" s="31">
        <v>49</v>
      </c>
      <c r="Q14" s="31">
        <v>33</v>
      </c>
      <c r="R14" s="31">
        <v>29</v>
      </c>
      <c r="S14" s="31">
        <v>110</v>
      </c>
      <c r="T14" s="31">
        <v>80</v>
      </c>
      <c r="U14" s="31">
        <v>2</v>
      </c>
      <c r="V14" s="31">
        <v>4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386</v>
      </c>
      <c r="E15" s="19">
        <v>195</v>
      </c>
      <c r="F15" s="19">
        <v>191</v>
      </c>
      <c r="G15" s="19">
        <v>1</v>
      </c>
      <c r="H15" s="19">
        <v>0</v>
      </c>
      <c r="I15" s="19">
        <v>2</v>
      </c>
      <c r="J15" s="19">
        <v>0</v>
      </c>
      <c r="K15" s="19">
        <v>38</v>
      </c>
      <c r="L15" s="19">
        <v>25</v>
      </c>
      <c r="M15" s="19">
        <v>6</v>
      </c>
      <c r="N15" s="19">
        <v>6</v>
      </c>
      <c r="O15" s="19">
        <v>7</v>
      </c>
      <c r="P15" s="19">
        <v>48</v>
      </c>
      <c r="Q15" s="19">
        <v>32</v>
      </c>
      <c r="R15" s="19">
        <v>29</v>
      </c>
      <c r="S15" s="19">
        <v>107</v>
      </c>
      <c r="T15" s="19">
        <v>79</v>
      </c>
      <c r="U15" s="19">
        <v>2</v>
      </c>
      <c r="V15" s="19">
        <v>4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9</v>
      </c>
      <c r="E16" s="19">
        <v>7</v>
      </c>
      <c r="F16" s="19">
        <v>2</v>
      </c>
      <c r="G16" s="19">
        <v>0</v>
      </c>
      <c r="H16" s="19">
        <v>0</v>
      </c>
      <c r="I16" s="19">
        <v>0</v>
      </c>
      <c r="J16" s="19">
        <v>0</v>
      </c>
      <c r="K16" s="19">
        <v>3</v>
      </c>
      <c r="L16" s="19">
        <v>0</v>
      </c>
      <c r="M16" s="19">
        <v>0</v>
      </c>
      <c r="N16" s="19">
        <v>0</v>
      </c>
      <c r="O16" s="19">
        <v>0</v>
      </c>
      <c r="P16" s="19">
        <v>1</v>
      </c>
      <c r="Q16" s="19">
        <v>1</v>
      </c>
      <c r="R16" s="19">
        <v>0</v>
      </c>
      <c r="S16" s="19">
        <v>3</v>
      </c>
      <c r="T16" s="19">
        <v>1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510</v>
      </c>
      <c r="E17" s="31">
        <v>250</v>
      </c>
      <c r="F17" s="31">
        <v>260</v>
      </c>
      <c r="G17" s="31">
        <v>6</v>
      </c>
      <c r="H17" s="31">
        <v>2</v>
      </c>
      <c r="I17" s="31">
        <v>0</v>
      </c>
      <c r="J17" s="31">
        <v>2</v>
      </c>
      <c r="K17" s="31">
        <v>31</v>
      </c>
      <c r="L17" s="31">
        <v>34</v>
      </c>
      <c r="M17" s="31">
        <v>4</v>
      </c>
      <c r="N17" s="31">
        <v>21</v>
      </c>
      <c r="O17" s="31">
        <v>7</v>
      </c>
      <c r="P17" s="31">
        <v>42</v>
      </c>
      <c r="Q17" s="31">
        <v>35</v>
      </c>
      <c r="R17" s="31">
        <v>38</v>
      </c>
      <c r="S17" s="31">
        <v>160</v>
      </c>
      <c r="T17" s="31">
        <v>117</v>
      </c>
      <c r="U17" s="31">
        <v>7</v>
      </c>
      <c r="V17" s="31">
        <v>4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433</v>
      </c>
      <c r="E18" s="19">
        <v>212</v>
      </c>
      <c r="F18" s="19">
        <v>221</v>
      </c>
      <c r="G18" s="19">
        <v>2</v>
      </c>
      <c r="H18" s="19">
        <v>2</v>
      </c>
      <c r="I18" s="19">
        <v>0</v>
      </c>
      <c r="J18" s="19">
        <v>0</v>
      </c>
      <c r="K18" s="19">
        <v>28</v>
      </c>
      <c r="L18" s="19">
        <v>27</v>
      </c>
      <c r="M18" s="19">
        <v>3</v>
      </c>
      <c r="N18" s="19">
        <v>21</v>
      </c>
      <c r="O18" s="19">
        <v>7</v>
      </c>
      <c r="P18" s="19">
        <v>33</v>
      </c>
      <c r="Q18" s="19">
        <v>28</v>
      </c>
      <c r="R18" s="19">
        <v>31</v>
      </c>
      <c r="S18" s="19">
        <v>137</v>
      </c>
      <c r="T18" s="19">
        <v>103</v>
      </c>
      <c r="U18" s="19">
        <v>7</v>
      </c>
      <c r="V18" s="19">
        <v>4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77</v>
      </c>
      <c r="E19" s="19">
        <v>38</v>
      </c>
      <c r="F19" s="19">
        <v>39</v>
      </c>
      <c r="G19" s="19">
        <v>4</v>
      </c>
      <c r="H19" s="19">
        <v>0</v>
      </c>
      <c r="I19" s="19">
        <v>0</v>
      </c>
      <c r="J19" s="19">
        <v>2</v>
      </c>
      <c r="K19" s="19">
        <v>3</v>
      </c>
      <c r="L19" s="19">
        <v>7</v>
      </c>
      <c r="M19" s="19">
        <v>1</v>
      </c>
      <c r="N19" s="19">
        <v>0</v>
      </c>
      <c r="O19" s="19">
        <v>0</v>
      </c>
      <c r="P19" s="19">
        <v>9</v>
      </c>
      <c r="Q19" s="19">
        <v>7</v>
      </c>
      <c r="R19" s="19">
        <v>7</v>
      </c>
      <c r="S19" s="19">
        <v>23</v>
      </c>
      <c r="T19" s="19">
        <v>14</v>
      </c>
      <c r="U19" s="19">
        <v>0</v>
      </c>
      <c r="V19" s="19">
        <v>0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534</v>
      </c>
      <c r="E20" s="31">
        <v>272</v>
      </c>
      <c r="F20" s="31">
        <v>262</v>
      </c>
      <c r="G20" s="31">
        <v>0</v>
      </c>
      <c r="H20" s="31">
        <v>1</v>
      </c>
      <c r="I20" s="31">
        <v>0</v>
      </c>
      <c r="J20" s="31">
        <v>0</v>
      </c>
      <c r="K20" s="31">
        <v>59</v>
      </c>
      <c r="L20" s="31">
        <v>40</v>
      </c>
      <c r="M20" s="31">
        <v>18</v>
      </c>
      <c r="N20" s="31">
        <v>17</v>
      </c>
      <c r="O20" s="31">
        <v>5</v>
      </c>
      <c r="P20" s="31">
        <v>60</v>
      </c>
      <c r="Q20" s="31">
        <v>62</v>
      </c>
      <c r="R20" s="31">
        <v>66</v>
      </c>
      <c r="S20" s="31">
        <v>124</v>
      </c>
      <c r="T20" s="31">
        <v>75</v>
      </c>
      <c r="U20" s="31">
        <v>4</v>
      </c>
      <c r="V20" s="31">
        <v>3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504</v>
      </c>
      <c r="E21" s="19">
        <v>259</v>
      </c>
      <c r="F21" s="19">
        <v>245</v>
      </c>
      <c r="G21" s="19">
        <v>0</v>
      </c>
      <c r="H21" s="19">
        <v>1</v>
      </c>
      <c r="I21" s="19">
        <v>0</v>
      </c>
      <c r="J21" s="19">
        <v>0</v>
      </c>
      <c r="K21" s="19">
        <v>56</v>
      </c>
      <c r="L21" s="19">
        <v>37</v>
      </c>
      <c r="M21" s="19">
        <v>17</v>
      </c>
      <c r="N21" s="19">
        <v>17</v>
      </c>
      <c r="O21" s="19">
        <v>5</v>
      </c>
      <c r="P21" s="19">
        <v>53</v>
      </c>
      <c r="Q21" s="19">
        <v>60</v>
      </c>
      <c r="R21" s="19">
        <v>60</v>
      </c>
      <c r="S21" s="19">
        <v>117</v>
      </c>
      <c r="T21" s="19">
        <v>74</v>
      </c>
      <c r="U21" s="19">
        <v>4</v>
      </c>
      <c r="V21" s="19">
        <v>3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30</v>
      </c>
      <c r="E22" s="19">
        <v>13</v>
      </c>
      <c r="F22" s="19">
        <v>17</v>
      </c>
      <c r="G22" s="19">
        <v>0</v>
      </c>
      <c r="H22" s="19">
        <v>0</v>
      </c>
      <c r="I22" s="19">
        <v>0</v>
      </c>
      <c r="J22" s="19">
        <v>0</v>
      </c>
      <c r="K22" s="19">
        <v>3</v>
      </c>
      <c r="L22" s="19">
        <v>3</v>
      </c>
      <c r="M22" s="19">
        <v>1</v>
      </c>
      <c r="N22" s="19">
        <v>0</v>
      </c>
      <c r="O22" s="19">
        <v>0</v>
      </c>
      <c r="P22" s="19">
        <v>7</v>
      </c>
      <c r="Q22" s="19">
        <v>2</v>
      </c>
      <c r="R22" s="19">
        <v>6</v>
      </c>
      <c r="S22" s="19">
        <v>7</v>
      </c>
      <c r="T22" s="19">
        <v>1</v>
      </c>
      <c r="U22" s="19">
        <v>0</v>
      </c>
      <c r="V22" s="19">
        <v>0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318</v>
      </c>
      <c r="E23" s="31">
        <v>174</v>
      </c>
      <c r="F23" s="31">
        <v>144</v>
      </c>
      <c r="G23" s="31">
        <v>0</v>
      </c>
      <c r="H23" s="31">
        <v>0</v>
      </c>
      <c r="I23" s="31">
        <v>0</v>
      </c>
      <c r="J23" s="31">
        <v>1</v>
      </c>
      <c r="K23" s="31">
        <v>18</v>
      </c>
      <c r="L23" s="31">
        <v>19</v>
      </c>
      <c r="M23" s="31">
        <v>8</v>
      </c>
      <c r="N23" s="31">
        <v>11</v>
      </c>
      <c r="O23" s="31">
        <v>2</v>
      </c>
      <c r="P23" s="31">
        <v>31</v>
      </c>
      <c r="Q23" s="31">
        <v>44</v>
      </c>
      <c r="R23" s="31">
        <v>18</v>
      </c>
      <c r="S23" s="31">
        <v>97</v>
      </c>
      <c r="T23" s="31">
        <v>57</v>
      </c>
      <c r="U23" s="31">
        <v>5</v>
      </c>
      <c r="V23" s="31">
        <v>7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308</v>
      </c>
      <c r="E24" s="19">
        <v>169</v>
      </c>
      <c r="F24" s="19">
        <v>139</v>
      </c>
      <c r="G24" s="19">
        <v>0</v>
      </c>
      <c r="H24" s="19">
        <v>0</v>
      </c>
      <c r="I24" s="19">
        <v>0</v>
      </c>
      <c r="J24" s="19">
        <v>1</v>
      </c>
      <c r="K24" s="19">
        <v>18</v>
      </c>
      <c r="L24" s="19">
        <v>19</v>
      </c>
      <c r="M24" s="19">
        <v>8</v>
      </c>
      <c r="N24" s="19">
        <v>11</v>
      </c>
      <c r="O24" s="19">
        <v>2</v>
      </c>
      <c r="P24" s="19">
        <v>30</v>
      </c>
      <c r="Q24" s="19">
        <v>42</v>
      </c>
      <c r="R24" s="19">
        <v>16</v>
      </c>
      <c r="S24" s="19">
        <v>95</v>
      </c>
      <c r="T24" s="19">
        <v>56</v>
      </c>
      <c r="U24" s="19">
        <v>4</v>
      </c>
      <c r="V24" s="19">
        <v>6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10</v>
      </c>
      <c r="E25" s="19">
        <v>5</v>
      </c>
      <c r="F25" s="19">
        <v>5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1</v>
      </c>
      <c r="Q25" s="19">
        <v>2</v>
      </c>
      <c r="R25" s="19">
        <v>2</v>
      </c>
      <c r="S25" s="19">
        <v>2</v>
      </c>
      <c r="T25" s="19">
        <v>1</v>
      </c>
      <c r="U25" s="19">
        <v>1</v>
      </c>
      <c r="V25" s="19">
        <v>1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580</v>
      </c>
      <c r="E26" s="31">
        <v>305</v>
      </c>
      <c r="F26" s="31">
        <v>275</v>
      </c>
      <c r="G26" s="31">
        <v>0</v>
      </c>
      <c r="H26" s="31">
        <v>0</v>
      </c>
      <c r="I26" s="31">
        <v>0</v>
      </c>
      <c r="J26" s="31">
        <v>0</v>
      </c>
      <c r="K26" s="31">
        <v>41</v>
      </c>
      <c r="L26" s="31">
        <v>22</v>
      </c>
      <c r="M26" s="31">
        <v>9</v>
      </c>
      <c r="N26" s="31">
        <v>17</v>
      </c>
      <c r="O26" s="31">
        <v>12</v>
      </c>
      <c r="P26" s="31">
        <v>49</v>
      </c>
      <c r="Q26" s="31">
        <v>74</v>
      </c>
      <c r="R26" s="31">
        <v>74</v>
      </c>
      <c r="S26" s="31">
        <v>165</v>
      </c>
      <c r="T26" s="31">
        <v>108</v>
      </c>
      <c r="U26" s="31">
        <v>4</v>
      </c>
      <c r="V26" s="31">
        <v>5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557</v>
      </c>
      <c r="E27" s="19">
        <v>294</v>
      </c>
      <c r="F27" s="19">
        <v>263</v>
      </c>
      <c r="G27" s="19">
        <v>0</v>
      </c>
      <c r="H27" s="19">
        <v>0</v>
      </c>
      <c r="I27" s="19">
        <v>0</v>
      </c>
      <c r="J27" s="19">
        <v>0</v>
      </c>
      <c r="K27" s="19">
        <v>41</v>
      </c>
      <c r="L27" s="19">
        <v>22</v>
      </c>
      <c r="M27" s="19">
        <v>9</v>
      </c>
      <c r="N27" s="19">
        <v>17</v>
      </c>
      <c r="O27" s="19">
        <v>11</v>
      </c>
      <c r="P27" s="19">
        <v>45</v>
      </c>
      <c r="Q27" s="19">
        <v>71</v>
      </c>
      <c r="R27" s="19">
        <v>71</v>
      </c>
      <c r="S27" s="19">
        <v>158</v>
      </c>
      <c r="T27" s="19">
        <v>103</v>
      </c>
      <c r="U27" s="19">
        <v>4</v>
      </c>
      <c r="V27" s="19">
        <v>5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23</v>
      </c>
      <c r="E28" s="19">
        <v>11</v>
      </c>
      <c r="F28" s="19">
        <v>12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1</v>
      </c>
      <c r="P28" s="19">
        <v>4</v>
      </c>
      <c r="Q28" s="19">
        <v>3</v>
      </c>
      <c r="R28" s="19">
        <v>3</v>
      </c>
      <c r="S28" s="19">
        <v>7</v>
      </c>
      <c r="T28" s="19">
        <v>5</v>
      </c>
      <c r="U28" s="19">
        <v>0</v>
      </c>
      <c r="V28" s="19">
        <v>0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46</v>
      </c>
      <c r="E29" s="31">
        <v>18</v>
      </c>
      <c r="F29" s="31">
        <v>28</v>
      </c>
      <c r="G29" s="31">
        <v>0</v>
      </c>
      <c r="H29" s="31">
        <v>0</v>
      </c>
      <c r="I29" s="31">
        <v>0</v>
      </c>
      <c r="J29" s="31">
        <v>1</v>
      </c>
      <c r="K29" s="31">
        <v>6</v>
      </c>
      <c r="L29" s="31">
        <v>5</v>
      </c>
      <c r="M29" s="31">
        <v>0</v>
      </c>
      <c r="N29" s="31">
        <v>0</v>
      </c>
      <c r="O29" s="31">
        <v>1</v>
      </c>
      <c r="P29" s="31">
        <v>12</v>
      </c>
      <c r="Q29" s="31">
        <v>3</v>
      </c>
      <c r="R29" s="31">
        <v>4</v>
      </c>
      <c r="S29" s="31">
        <v>8</v>
      </c>
      <c r="T29" s="31">
        <v>6</v>
      </c>
      <c r="U29" s="31">
        <v>0</v>
      </c>
      <c r="V29" s="31">
        <v>0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42</v>
      </c>
      <c r="E30" s="19">
        <v>16</v>
      </c>
      <c r="F30" s="19">
        <v>26</v>
      </c>
      <c r="G30" s="19">
        <v>0</v>
      </c>
      <c r="H30" s="19">
        <v>0</v>
      </c>
      <c r="I30" s="19">
        <v>0</v>
      </c>
      <c r="J30" s="19">
        <v>1</v>
      </c>
      <c r="K30" s="19">
        <v>6</v>
      </c>
      <c r="L30" s="19">
        <v>5</v>
      </c>
      <c r="M30" s="19">
        <v>0</v>
      </c>
      <c r="N30" s="19">
        <v>0</v>
      </c>
      <c r="O30" s="19">
        <v>1</v>
      </c>
      <c r="P30" s="19">
        <v>10</v>
      </c>
      <c r="Q30" s="19">
        <v>3</v>
      </c>
      <c r="R30" s="19">
        <v>4</v>
      </c>
      <c r="S30" s="19">
        <v>6</v>
      </c>
      <c r="T30" s="19">
        <v>6</v>
      </c>
      <c r="U30" s="19">
        <v>0</v>
      </c>
      <c r="V30" s="19">
        <v>0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4</v>
      </c>
      <c r="E31" s="19">
        <v>2</v>
      </c>
      <c r="F31" s="19">
        <v>2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2</v>
      </c>
      <c r="Q31" s="19">
        <v>0</v>
      </c>
      <c r="R31" s="19">
        <v>0</v>
      </c>
      <c r="S31" s="19">
        <v>2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106</v>
      </c>
      <c r="E32" s="31">
        <v>56</v>
      </c>
      <c r="F32" s="31">
        <v>50</v>
      </c>
      <c r="G32" s="31">
        <v>0</v>
      </c>
      <c r="H32" s="31">
        <v>0</v>
      </c>
      <c r="I32" s="31">
        <v>1</v>
      </c>
      <c r="J32" s="31">
        <v>0</v>
      </c>
      <c r="K32" s="31">
        <v>7</v>
      </c>
      <c r="L32" s="31">
        <v>3</v>
      </c>
      <c r="M32" s="31">
        <v>4</v>
      </c>
      <c r="N32" s="31">
        <v>2</v>
      </c>
      <c r="O32" s="31">
        <v>8</v>
      </c>
      <c r="P32" s="31">
        <v>23</v>
      </c>
      <c r="Q32" s="31">
        <v>19</v>
      </c>
      <c r="R32" s="31">
        <v>7</v>
      </c>
      <c r="S32" s="31">
        <v>13</v>
      </c>
      <c r="T32" s="31">
        <v>13</v>
      </c>
      <c r="U32" s="31">
        <v>4</v>
      </c>
      <c r="V32" s="31">
        <v>2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83</v>
      </c>
      <c r="E33" s="19">
        <v>43</v>
      </c>
      <c r="F33" s="19">
        <v>40</v>
      </c>
      <c r="G33" s="19">
        <v>0</v>
      </c>
      <c r="H33" s="19">
        <v>0</v>
      </c>
      <c r="I33" s="19">
        <v>1</v>
      </c>
      <c r="J33" s="19">
        <v>0</v>
      </c>
      <c r="K33" s="19">
        <v>6</v>
      </c>
      <c r="L33" s="19">
        <v>2</v>
      </c>
      <c r="M33" s="19">
        <v>3</v>
      </c>
      <c r="N33" s="19">
        <v>2</v>
      </c>
      <c r="O33" s="19">
        <v>4</v>
      </c>
      <c r="P33" s="19">
        <v>17</v>
      </c>
      <c r="Q33" s="19">
        <v>15</v>
      </c>
      <c r="R33" s="19">
        <v>6</v>
      </c>
      <c r="S33" s="19">
        <v>10</v>
      </c>
      <c r="T33" s="19">
        <v>12</v>
      </c>
      <c r="U33" s="19">
        <v>4</v>
      </c>
      <c r="V33" s="19">
        <v>1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23</v>
      </c>
      <c r="E34" s="19">
        <v>13</v>
      </c>
      <c r="F34" s="19">
        <v>10</v>
      </c>
      <c r="G34" s="19">
        <v>0</v>
      </c>
      <c r="H34" s="19">
        <v>0</v>
      </c>
      <c r="I34" s="19">
        <v>0</v>
      </c>
      <c r="J34" s="19">
        <v>0</v>
      </c>
      <c r="K34" s="19">
        <v>1</v>
      </c>
      <c r="L34" s="19">
        <v>1</v>
      </c>
      <c r="M34" s="19">
        <v>1</v>
      </c>
      <c r="N34" s="19">
        <v>0</v>
      </c>
      <c r="O34" s="19">
        <v>4</v>
      </c>
      <c r="P34" s="19">
        <v>6</v>
      </c>
      <c r="Q34" s="19">
        <v>4</v>
      </c>
      <c r="R34" s="19">
        <v>1</v>
      </c>
      <c r="S34" s="19">
        <v>3</v>
      </c>
      <c r="T34" s="19">
        <v>1</v>
      </c>
      <c r="U34" s="19">
        <v>0</v>
      </c>
      <c r="V34" s="19">
        <v>1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63</v>
      </c>
      <c r="E35" s="31">
        <v>24</v>
      </c>
      <c r="F35" s="31">
        <v>39</v>
      </c>
      <c r="G35" s="31">
        <v>0</v>
      </c>
      <c r="H35" s="31">
        <v>0</v>
      </c>
      <c r="I35" s="31">
        <v>0</v>
      </c>
      <c r="J35" s="31">
        <v>0</v>
      </c>
      <c r="K35" s="31">
        <v>2</v>
      </c>
      <c r="L35" s="31">
        <v>3</v>
      </c>
      <c r="M35" s="31">
        <v>1</v>
      </c>
      <c r="N35" s="31">
        <v>1</v>
      </c>
      <c r="O35" s="31">
        <v>0</v>
      </c>
      <c r="P35" s="31">
        <v>11</v>
      </c>
      <c r="Q35" s="31">
        <v>12</v>
      </c>
      <c r="R35" s="31">
        <v>14</v>
      </c>
      <c r="S35" s="31">
        <v>7</v>
      </c>
      <c r="T35" s="31">
        <v>9</v>
      </c>
      <c r="U35" s="31">
        <v>2</v>
      </c>
      <c r="V35" s="31">
        <v>1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58</v>
      </c>
      <c r="E36" s="19">
        <v>23</v>
      </c>
      <c r="F36" s="19">
        <v>35</v>
      </c>
      <c r="G36" s="19">
        <v>0</v>
      </c>
      <c r="H36" s="19">
        <v>0</v>
      </c>
      <c r="I36" s="19">
        <v>0</v>
      </c>
      <c r="J36" s="19">
        <v>0</v>
      </c>
      <c r="K36" s="19">
        <v>2</v>
      </c>
      <c r="L36" s="19">
        <v>3</v>
      </c>
      <c r="M36" s="19">
        <v>1</v>
      </c>
      <c r="N36" s="19">
        <v>1</v>
      </c>
      <c r="O36" s="19">
        <v>0</v>
      </c>
      <c r="P36" s="19">
        <v>10</v>
      </c>
      <c r="Q36" s="19">
        <v>11</v>
      </c>
      <c r="R36" s="19">
        <v>12</v>
      </c>
      <c r="S36" s="19">
        <v>7</v>
      </c>
      <c r="T36" s="19">
        <v>9</v>
      </c>
      <c r="U36" s="19">
        <v>2</v>
      </c>
      <c r="V36" s="19">
        <v>0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5</v>
      </c>
      <c r="E37" s="19">
        <v>1</v>
      </c>
      <c r="F37" s="19">
        <v>4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1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1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124</v>
      </c>
      <c r="E38" s="31">
        <v>61</v>
      </c>
      <c r="F38" s="31">
        <v>63</v>
      </c>
      <c r="G38" s="31">
        <v>0</v>
      </c>
      <c r="H38" s="31">
        <v>0</v>
      </c>
      <c r="I38" s="31">
        <v>0</v>
      </c>
      <c r="J38" s="31">
        <v>0</v>
      </c>
      <c r="K38" s="31">
        <v>17</v>
      </c>
      <c r="L38" s="31">
        <v>9</v>
      </c>
      <c r="M38" s="31">
        <v>2</v>
      </c>
      <c r="N38" s="31">
        <v>2</v>
      </c>
      <c r="O38" s="31">
        <v>5</v>
      </c>
      <c r="P38" s="31">
        <v>23</v>
      </c>
      <c r="Q38" s="31">
        <v>19</v>
      </c>
      <c r="R38" s="31">
        <v>10</v>
      </c>
      <c r="S38" s="31">
        <v>16</v>
      </c>
      <c r="T38" s="31">
        <v>17</v>
      </c>
      <c r="U38" s="31">
        <v>2</v>
      </c>
      <c r="V38" s="31">
        <v>2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112</v>
      </c>
      <c r="E39" s="19">
        <v>53</v>
      </c>
      <c r="F39" s="19">
        <v>59</v>
      </c>
      <c r="G39" s="19">
        <v>0</v>
      </c>
      <c r="H39" s="19">
        <v>0</v>
      </c>
      <c r="I39" s="19">
        <v>0</v>
      </c>
      <c r="J39" s="19">
        <v>0</v>
      </c>
      <c r="K39" s="19">
        <v>16</v>
      </c>
      <c r="L39" s="19">
        <v>8</v>
      </c>
      <c r="M39" s="19">
        <v>2</v>
      </c>
      <c r="N39" s="19">
        <v>2</v>
      </c>
      <c r="O39" s="19">
        <v>5</v>
      </c>
      <c r="P39" s="19">
        <v>21</v>
      </c>
      <c r="Q39" s="19">
        <v>14</v>
      </c>
      <c r="R39" s="19">
        <v>9</v>
      </c>
      <c r="S39" s="19">
        <v>14</v>
      </c>
      <c r="T39" s="19">
        <v>17</v>
      </c>
      <c r="U39" s="19">
        <v>2</v>
      </c>
      <c r="V39" s="19">
        <v>2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12</v>
      </c>
      <c r="E40" s="19">
        <v>8</v>
      </c>
      <c r="F40" s="19">
        <v>4</v>
      </c>
      <c r="G40" s="19">
        <v>0</v>
      </c>
      <c r="H40" s="19">
        <v>0</v>
      </c>
      <c r="I40" s="19">
        <v>0</v>
      </c>
      <c r="J40" s="19">
        <v>0</v>
      </c>
      <c r="K40" s="19">
        <v>1</v>
      </c>
      <c r="L40" s="19">
        <v>1</v>
      </c>
      <c r="M40" s="19">
        <v>0</v>
      </c>
      <c r="N40" s="19">
        <v>0</v>
      </c>
      <c r="O40" s="19">
        <v>0</v>
      </c>
      <c r="P40" s="19">
        <v>2</v>
      </c>
      <c r="Q40" s="19">
        <v>5</v>
      </c>
      <c r="R40" s="19">
        <v>1</v>
      </c>
      <c r="S40" s="19">
        <v>2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59</v>
      </c>
      <c r="E41" s="31">
        <v>26</v>
      </c>
      <c r="F41" s="31">
        <v>33</v>
      </c>
      <c r="G41" s="31">
        <v>0</v>
      </c>
      <c r="H41" s="31">
        <v>0</v>
      </c>
      <c r="I41" s="31">
        <v>0</v>
      </c>
      <c r="J41" s="31">
        <v>0</v>
      </c>
      <c r="K41" s="31">
        <v>8</v>
      </c>
      <c r="L41" s="31">
        <v>5</v>
      </c>
      <c r="M41" s="31">
        <v>0</v>
      </c>
      <c r="N41" s="31">
        <v>0</v>
      </c>
      <c r="O41" s="31">
        <v>1</v>
      </c>
      <c r="P41" s="31">
        <v>10</v>
      </c>
      <c r="Q41" s="31">
        <v>5</v>
      </c>
      <c r="R41" s="31">
        <v>5</v>
      </c>
      <c r="S41" s="31">
        <v>12</v>
      </c>
      <c r="T41" s="31">
        <v>12</v>
      </c>
      <c r="U41" s="31">
        <v>0</v>
      </c>
      <c r="V41" s="31">
        <v>1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47</v>
      </c>
      <c r="E42" s="19">
        <v>23</v>
      </c>
      <c r="F42" s="19">
        <v>24</v>
      </c>
      <c r="G42" s="19">
        <v>0</v>
      </c>
      <c r="H42" s="19">
        <v>0</v>
      </c>
      <c r="I42" s="19">
        <v>0</v>
      </c>
      <c r="J42" s="19">
        <v>0</v>
      </c>
      <c r="K42" s="19">
        <v>8</v>
      </c>
      <c r="L42" s="19">
        <v>4</v>
      </c>
      <c r="M42" s="19">
        <v>0</v>
      </c>
      <c r="N42" s="19">
        <v>0</v>
      </c>
      <c r="O42" s="19">
        <v>1</v>
      </c>
      <c r="P42" s="19">
        <v>8</v>
      </c>
      <c r="Q42" s="19">
        <v>4</v>
      </c>
      <c r="R42" s="19">
        <v>4</v>
      </c>
      <c r="S42" s="19">
        <v>10</v>
      </c>
      <c r="T42" s="19">
        <v>8</v>
      </c>
      <c r="U42" s="19">
        <v>0</v>
      </c>
      <c r="V42" s="19">
        <v>0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12</v>
      </c>
      <c r="E43" s="19">
        <v>3</v>
      </c>
      <c r="F43" s="19">
        <v>9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1</v>
      </c>
      <c r="M43" s="19">
        <v>0</v>
      </c>
      <c r="N43" s="19">
        <v>0</v>
      </c>
      <c r="O43" s="19">
        <v>0</v>
      </c>
      <c r="P43" s="19">
        <v>2</v>
      </c>
      <c r="Q43" s="19">
        <v>1</v>
      </c>
      <c r="R43" s="19">
        <v>1</v>
      </c>
      <c r="S43" s="19">
        <v>2</v>
      </c>
      <c r="T43" s="19">
        <v>4</v>
      </c>
      <c r="U43" s="19">
        <v>0</v>
      </c>
      <c r="V43" s="19">
        <v>1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106</v>
      </c>
      <c r="E44" s="31">
        <v>42</v>
      </c>
      <c r="F44" s="31">
        <v>64</v>
      </c>
      <c r="G44" s="31">
        <v>0</v>
      </c>
      <c r="H44" s="31">
        <v>0</v>
      </c>
      <c r="I44" s="31">
        <v>1</v>
      </c>
      <c r="J44" s="31">
        <v>0</v>
      </c>
      <c r="K44" s="31">
        <v>18</v>
      </c>
      <c r="L44" s="31">
        <v>18</v>
      </c>
      <c r="M44" s="31">
        <v>0</v>
      </c>
      <c r="N44" s="31">
        <v>2</v>
      </c>
      <c r="O44" s="31">
        <v>1</v>
      </c>
      <c r="P44" s="31">
        <v>19</v>
      </c>
      <c r="Q44" s="31">
        <v>6</v>
      </c>
      <c r="R44" s="31">
        <v>9</v>
      </c>
      <c r="S44" s="31">
        <v>15</v>
      </c>
      <c r="T44" s="31">
        <v>14</v>
      </c>
      <c r="U44" s="31">
        <v>1</v>
      </c>
      <c r="V44" s="31">
        <v>2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105</v>
      </c>
      <c r="E45" s="19">
        <v>41</v>
      </c>
      <c r="F45" s="19">
        <v>64</v>
      </c>
      <c r="G45" s="19">
        <v>0</v>
      </c>
      <c r="H45" s="19">
        <v>0</v>
      </c>
      <c r="I45" s="19">
        <v>0</v>
      </c>
      <c r="J45" s="19">
        <v>0</v>
      </c>
      <c r="K45" s="19">
        <v>18</v>
      </c>
      <c r="L45" s="19">
        <v>18</v>
      </c>
      <c r="M45" s="19">
        <v>0</v>
      </c>
      <c r="N45" s="19">
        <v>2</v>
      </c>
      <c r="O45" s="19">
        <v>1</v>
      </c>
      <c r="P45" s="19">
        <v>19</v>
      </c>
      <c r="Q45" s="19">
        <v>6</v>
      </c>
      <c r="R45" s="19">
        <v>9</v>
      </c>
      <c r="S45" s="19">
        <v>15</v>
      </c>
      <c r="T45" s="19">
        <v>14</v>
      </c>
      <c r="U45" s="19">
        <v>1</v>
      </c>
      <c r="V45" s="19">
        <v>2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1</v>
      </c>
      <c r="E46" s="19">
        <v>1</v>
      </c>
      <c r="F46" s="19">
        <v>0</v>
      </c>
      <c r="G46" s="19">
        <v>0</v>
      </c>
      <c r="H46" s="19">
        <v>0</v>
      </c>
      <c r="I46" s="19">
        <v>1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40</v>
      </c>
      <c r="E47" s="31">
        <v>21</v>
      </c>
      <c r="F47" s="31">
        <v>19</v>
      </c>
      <c r="G47" s="31">
        <v>0</v>
      </c>
      <c r="H47" s="31">
        <v>0</v>
      </c>
      <c r="I47" s="31">
        <v>0</v>
      </c>
      <c r="J47" s="31">
        <v>0</v>
      </c>
      <c r="K47" s="31">
        <v>1</v>
      </c>
      <c r="L47" s="31">
        <v>2</v>
      </c>
      <c r="M47" s="31">
        <v>1</v>
      </c>
      <c r="N47" s="31">
        <v>1</v>
      </c>
      <c r="O47" s="31">
        <v>1</v>
      </c>
      <c r="P47" s="31">
        <v>6</v>
      </c>
      <c r="Q47" s="31">
        <v>12</v>
      </c>
      <c r="R47" s="31">
        <v>5</v>
      </c>
      <c r="S47" s="31">
        <v>6</v>
      </c>
      <c r="T47" s="31">
        <v>5</v>
      </c>
      <c r="U47" s="31">
        <v>0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39</v>
      </c>
      <c r="E48" s="19">
        <v>20</v>
      </c>
      <c r="F48" s="19">
        <v>19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2</v>
      </c>
      <c r="M48" s="19">
        <v>1</v>
      </c>
      <c r="N48" s="19">
        <v>1</v>
      </c>
      <c r="O48" s="19">
        <v>1</v>
      </c>
      <c r="P48" s="19">
        <v>6</v>
      </c>
      <c r="Q48" s="19">
        <v>12</v>
      </c>
      <c r="R48" s="19">
        <v>5</v>
      </c>
      <c r="S48" s="19">
        <v>6</v>
      </c>
      <c r="T48" s="19">
        <v>5</v>
      </c>
      <c r="U48" s="19">
        <v>0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</v>
      </c>
      <c r="E49" s="19">
        <v>1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241</v>
      </c>
      <c r="E50" s="31">
        <v>121</v>
      </c>
      <c r="F50" s="31">
        <v>120</v>
      </c>
      <c r="G50" s="31">
        <v>0</v>
      </c>
      <c r="H50" s="31">
        <v>0</v>
      </c>
      <c r="I50" s="31">
        <v>1</v>
      </c>
      <c r="J50" s="31">
        <v>1</v>
      </c>
      <c r="K50" s="31">
        <v>16</v>
      </c>
      <c r="L50" s="31">
        <v>14</v>
      </c>
      <c r="M50" s="31">
        <v>4</v>
      </c>
      <c r="N50" s="31">
        <v>10</v>
      </c>
      <c r="O50" s="31">
        <v>1</v>
      </c>
      <c r="P50" s="31">
        <v>18</v>
      </c>
      <c r="Q50" s="31">
        <v>22</v>
      </c>
      <c r="R50" s="31">
        <v>19</v>
      </c>
      <c r="S50" s="31">
        <v>60</v>
      </c>
      <c r="T50" s="31">
        <v>54</v>
      </c>
      <c r="U50" s="31">
        <v>17</v>
      </c>
      <c r="V50" s="31">
        <v>4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191</v>
      </c>
      <c r="E51" s="19">
        <v>99</v>
      </c>
      <c r="F51" s="19">
        <v>92</v>
      </c>
      <c r="G51" s="19">
        <v>0</v>
      </c>
      <c r="H51" s="19">
        <v>0</v>
      </c>
      <c r="I51" s="19">
        <v>1</v>
      </c>
      <c r="J51" s="19">
        <v>1</v>
      </c>
      <c r="K51" s="19">
        <v>12</v>
      </c>
      <c r="L51" s="19">
        <v>9</v>
      </c>
      <c r="M51" s="19">
        <v>4</v>
      </c>
      <c r="N51" s="19">
        <v>10</v>
      </c>
      <c r="O51" s="19">
        <v>1</v>
      </c>
      <c r="P51" s="19">
        <v>15</v>
      </c>
      <c r="Q51" s="19">
        <v>15</v>
      </c>
      <c r="R51" s="19">
        <v>14</v>
      </c>
      <c r="S51" s="19">
        <v>50</v>
      </c>
      <c r="T51" s="19">
        <v>40</v>
      </c>
      <c r="U51" s="19">
        <v>16</v>
      </c>
      <c r="V51" s="19">
        <v>3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50</v>
      </c>
      <c r="E52" s="19">
        <v>22</v>
      </c>
      <c r="F52" s="19">
        <v>28</v>
      </c>
      <c r="G52" s="19">
        <v>0</v>
      </c>
      <c r="H52" s="19">
        <v>0</v>
      </c>
      <c r="I52" s="19">
        <v>0</v>
      </c>
      <c r="J52" s="19">
        <v>0</v>
      </c>
      <c r="K52" s="19">
        <v>4</v>
      </c>
      <c r="L52" s="19">
        <v>5</v>
      </c>
      <c r="M52" s="19">
        <v>0</v>
      </c>
      <c r="N52" s="19">
        <v>0</v>
      </c>
      <c r="O52" s="19">
        <v>0</v>
      </c>
      <c r="P52" s="19">
        <v>3</v>
      </c>
      <c r="Q52" s="19">
        <v>7</v>
      </c>
      <c r="R52" s="19">
        <v>5</v>
      </c>
      <c r="S52" s="19">
        <v>10</v>
      </c>
      <c r="T52" s="19">
        <v>14</v>
      </c>
      <c r="U52" s="19">
        <v>1</v>
      </c>
      <c r="V52" s="19">
        <v>1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33</v>
      </c>
      <c r="E53" s="31">
        <v>12</v>
      </c>
      <c r="F53" s="31">
        <v>21</v>
      </c>
      <c r="G53" s="31">
        <v>0</v>
      </c>
      <c r="H53" s="31">
        <v>0</v>
      </c>
      <c r="I53" s="31">
        <v>0</v>
      </c>
      <c r="J53" s="31">
        <v>0</v>
      </c>
      <c r="K53" s="31">
        <v>4</v>
      </c>
      <c r="L53" s="31">
        <v>5</v>
      </c>
      <c r="M53" s="31">
        <v>0</v>
      </c>
      <c r="N53" s="31">
        <v>1</v>
      </c>
      <c r="O53" s="31">
        <v>0</v>
      </c>
      <c r="P53" s="31">
        <v>6</v>
      </c>
      <c r="Q53" s="31">
        <v>4</v>
      </c>
      <c r="R53" s="31">
        <v>4</v>
      </c>
      <c r="S53" s="31">
        <v>2</v>
      </c>
      <c r="T53" s="31">
        <v>3</v>
      </c>
      <c r="U53" s="31">
        <v>2</v>
      </c>
      <c r="V53" s="31">
        <v>2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11</v>
      </c>
      <c r="E54" s="19">
        <v>4</v>
      </c>
      <c r="F54" s="19">
        <v>7</v>
      </c>
      <c r="G54" s="19">
        <v>0</v>
      </c>
      <c r="H54" s="19">
        <v>0</v>
      </c>
      <c r="I54" s="19">
        <v>0</v>
      </c>
      <c r="J54" s="19">
        <v>0</v>
      </c>
      <c r="K54" s="19">
        <v>2</v>
      </c>
      <c r="L54" s="19">
        <v>2</v>
      </c>
      <c r="M54" s="19">
        <v>0</v>
      </c>
      <c r="N54" s="19">
        <v>0</v>
      </c>
      <c r="O54" s="19">
        <v>0</v>
      </c>
      <c r="P54" s="19">
        <v>3</v>
      </c>
      <c r="Q54" s="19">
        <v>0</v>
      </c>
      <c r="R54" s="19">
        <v>1</v>
      </c>
      <c r="S54" s="19">
        <v>2</v>
      </c>
      <c r="T54" s="19">
        <v>1</v>
      </c>
      <c r="U54" s="19">
        <v>0</v>
      </c>
      <c r="V54" s="19">
        <v>0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22</v>
      </c>
      <c r="E55" s="19">
        <v>8</v>
      </c>
      <c r="F55" s="19">
        <v>14</v>
      </c>
      <c r="G55" s="19">
        <v>0</v>
      </c>
      <c r="H55" s="19">
        <v>0</v>
      </c>
      <c r="I55" s="19">
        <v>0</v>
      </c>
      <c r="J55" s="19">
        <v>0</v>
      </c>
      <c r="K55" s="19">
        <v>2</v>
      </c>
      <c r="L55" s="19">
        <v>3</v>
      </c>
      <c r="M55" s="19">
        <v>0</v>
      </c>
      <c r="N55" s="19">
        <v>1</v>
      </c>
      <c r="O55" s="19">
        <v>0</v>
      </c>
      <c r="P55" s="19">
        <v>3</v>
      </c>
      <c r="Q55" s="19">
        <v>4</v>
      </c>
      <c r="R55" s="19">
        <v>3</v>
      </c>
      <c r="S55" s="19">
        <v>0</v>
      </c>
      <c r="T55" s="19">
        <v>2</v>
      </c>
      <c r="U55" s="19">
        <v>2</v>
      </c>
      <c r="V55" s="19">
        <v>2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79</v>
      </c>
      <c r="E56" s="31">
        <v>30</v>
      </c>
      <c r="F56" s="31">
        <v>49</v>
      </c>
      <c r="G56" s="31">
        <v>1</v>
      </c>
      <c r="H56" s="31">
        <v>1</v>
      </c>
      <c r="I56" s="31">
        <v>1</v>
      </c>
      <c r="J56" s="31">
        <v>2</v>
      </c>
      <c r="K56" s="31">
        <v>5</v>
      </c>
      <c r="L56" s="31">
        <v>4</v>
      </c>
      <c r="M56" s="31">
        <v>5</v>
      </c>
      <c r="N56" s="31">
        <v>5</v>
      </c>
      <c r="O56" s="31">
        <v>2</v>
      </c>
      <c r="P56" s="31">
        <v>20</v>
      </c>
      <c r="Q56" s="31">
        <v>5</v>
      </c>
      <c r="R56" s="31">
        <v>4</v>
      </c>
      <c r="S56" s="31">
        <v>11</v>
      </c>
      <c r="T56" s="31">
        <v>12</v>
      </c>
      <c r="U56" s="31">
        <v>0</v>
      </c>
      <c r="V56" s="31">
        <v>1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22</v>
      </c>
      <c r="E57" s="19">
        <v>11</v>
      </c>
      <c r="F57" s="19">
        <v>11</v>
      </c>
      <c r="G57" s="19">
        <v>1</v>
      </c>
      <c r="H57" s="19">
        <v>0</v>
      </c>
      <c r="I57" s="19">
        <v>0</v>
      </c>
      <c r="J57" s="19">
        <v>0</v>
      </c>
      <c r="K57" s="19">
        <v>3</v>
      </c>
      <c r="L57" s="19">
        <v>0</v>
      </c>
      <c r="M57" s="19">
        <v>2</v>
      </c>
      <c r="N57" s="19">
        <v>0</v>
      </c>
      <c r="O57" s="19">
        <v>1</v>
      </c>
      <c r="P57" s="19">
        <v>6</v>
      </c>
      <c r="Q57" s="19">
        <v>1</v>
      </c>
      <c r="R57" s="19">
        <v>0</v>
      </c>
      <c r="S57" s="19">
        <v>3</v>
      </c>
      <c r="T57" s="19">
        <v>5</v>
      </c>
      <c r="U57" s="19">
        <v>0</v>
      </c>
      <c r="V57" s="19">
        <v>0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57</v>
      </c>
      <c r="E58" s="19">
        <v>19</v>
      </c>
      <c r="F58" s="19">
        <v>38</v>
      </c>
      <c r="G58" s="19">
        <v>0</v>
      </c>
      <c r="H58" s="19">
        <v>1</v>
      </c>
      <c r="I58" s="19">
        <v>1</v>
      </c>
      <c r="J58" s="19">
        <v>2</v>
      </c>
      <c r="K58" s="19">
        <v>2</v>
      </c>
      <c r="L58" s="19">
        <v>4</v>
      </c>
      <c r="M58" s="19">
        <v>3</v>
      </c>
      <c r="N58" s="19">
        <v>5</v>
      </c>
      <c r="O58" s="19">
        <v>1</v>
      </c>
      <c r="P58" s="19">
        <v>14</v>
      </c>
      <c r="Q58" s="19">
        <v>4</v>
      </c>
      <c r="R58" s="19">
        <v>4</v>
      </c>
      <c r="S58" s="19">
        <v>8</v>
      </c>
      <c r="T58" s="19">
        <v>7</v>
      </c>
      <c r="U58" s="19">
        <v>0</v>
      </c>
      <c r="V58" s="19">
        <v>1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8</v>
      </c>
      <c r="E59" s="31">
        <v>3</v>
      </c>
      <c r="F59" s="31">
        <v>5</v>
      </c>
      <c r="G59" s="31">
        <v>0</v>
      </c>
      <c r="H59" s="31">
        <v>0</v>
      </c>
      <c r="I59" s="31">
        <v>0</v>
      </c>
      <c r="J59" s="31">
        <v>0</v>
      </c>
      <c r="K59" s="31">
        <v>1</v>
      </c>
      <c r="L59" s="31">
        <v>4</v>
      </c>
      <c r="M59" s="31">
        <v>0</v>
      </c>
      <c r="N59" s="31">
        <v>0</v>
      </c>
      <c r="O59" s="31">
        <v>1</v>
      </c>
      <c r="P59" s="31">
        <v>0</v>
      </c>
      <c r="Q59" s="31">
        <v>0</v>
      </c>
      <c r="R59" s="31">
        <v>1</v>
      </c>
      <c r="S59" s="31">
        <v>1</v>
      </c>
      <c r="T59" s="31">
        <v>0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8</v>
      </c>
      <c r="E60" s="19">
        <v>3</v>
      </c>
      <c r="F60" s="19">
        <v>5</v>
      </c>
      <c r="G60" s="19">
        <v>0</v>
      </c>
      <c r="H60" s="19">
        <v>0</v>
      </c>
      <c r="I60" s="19">
        <v>0</v>
      </c>
      <c r="J60" s="19">
        <v>0</v>
      </c>
      <c r="K60" s="19">
        <v>1</v>
      </c>
      <c r="L60" s="19">
        <v>4</v>
      </c>
      <c r="M60" s="19">
        <v>0</v>
      </c>
      <c r="N60" s="19">
        <v>0</v>
      </c>
      <c r="O60" s="19">
        <v>1</v>
      </c>
      <c r="P60" s="19">
        <v>0</v>
      </c>
      <c r="Q60" s="19">
        <v>0</v>
      </c>
      <c r="R60" s="19">
        <v>1</v>
      </c>
      <c r="S60" s="19">
        <v>1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83</v>
      </c>
      <c r="E62" s="31">
        <v>33</v>
      </c>
      <c r="F62" s="31">
        <v>50</v>
      </c>
      <c r="G62" s="31">
        <v>0</v>
      </c>
      <c r="H62" s="31">
        <v>0</v>
      </c>
      <c r="I62" s="31">
        <v>0</v>
      </c>
      <c r="J62" s="31">
        <v>0</v>
      </c>
      <c r="K62" s="31">
        <v>3</v>
      </c>
      <c r="L62" s="31">
        <v>3</v>
      </c>
      <c r="M62" s="31">
        <v>1</v>
      </c>
      <c r="N62" s="31">
        <v>1</v>
      </c>
      <c r="O62" s="31">
        <v>0</v>
      </c>
      <c r="P62" s="31">
        <v>8</v>
      </c>
      <c r="Q62" s="31">
        <v>14</v>
      </c>
      <c r="R62" s="31">
        <v>16</v>
      </c>
      <c r="S62" s="31">
        <v>15</v>
      </c>
      <c r="T62" s="31">
        <v>21</v>
      </c>
      <c r="U62" s="31">
        <v>0</v>
      </c>
      <c r="V62" s="31">
        <v>1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74</v>
      </c>
      <c r="E63" s="19">
        <v>31</v>
      </c>
      <c r="F63" s="19">
        <v>43</v>
      </c>
      <c r="G63" s="19">
        <v>0</v>
      </c>
      <c r="H63" s="19">
        <v>0</v>
      </c>
      <c r="I63" s="19">
        <v>0</v>
      </c>
      <c r="J63" s="19">
        <v>0</v>
      </c>
      <c r="K63" s="19">
        <v>3</v>
      </c>
      <c r="L63" s="19">
        <v>2</v>
      </c>
      <c r="M63" s="19">
        <v>1</v>
      </c>
      <c r="N63" s="19">
        <v>1</v>
      </c>
      <c r="O63" s="19">
        <v>0</v>
      </c>
      <c r="P63" s="19">
        <v>7</v>
      </c>
      <c r="Q63" s="19">
        <v>13</v>
      </c>
      <c r="R63" s="19">
        <v>15</v>
      </c>
      <c r="S63" s="19">
        <v>14</v>
      </c>
      <c r="T63" s="19">
        <v>18</v>
      </c>
      <c r="U63" s="19">
        <v>0</v>
      </c>
      <c r="V63" s="19">
        <v>0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9</v>
      </c>
      <c r="E64" s="19">
        <v>2</v>
      </c>
      <c r="F64" s="19">
        <v>7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</v>
      </c>
      <c r="M64" s="19">
        <v>0</v>
      </c>
      <c r="N64" s="19">
        <v>0</v>
      </c>
      <c r="O64" s="19">
        <v>0</v>
      </c>
      <c r="P64" s="19">
        <v>1</v>
      </c>
      <c r="Q64" s="19">
        <v>1</v>
      </c>
      <c r="R64" s="19">
        <v>1</v>
      </c>
      <c r="S64" s="19">
        <v>1</v>
      </c>
      <c r="T64" s="19">
        <v>3</v>
      </c>
      <c r="U64" s="19">
        <v>0</v>
      </c>
      <c r="V64" s="19">
        <v>1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89</v>
      </c>
      <c r="E65" s="31">
        <v>46</v>
      </c>
      <c r="F65" s="31">
        <v>43</v>
      </c>
      <c r="G65" s="31">
        <v>0</v>
      </c>
      <c r="H65" s="31">
        <v>0</v>
      </c>
      <c r="I65" s="31">
        <v>1</v>
      </c>
      <c r="J65" s="31">
        <v>0</v>
      </c>
      <c r="K65" s="31">
        <v>15</v>
      </c>
      <c r="L65" s="31">
        <v>13</v>
      </c>
      <c r="M65" s="31">
        <v>3</v>
      </c>
      <c r="N65" s="31">
        <v>2</v>
      </c>
      <c r="O65" s="31">
        <v>4</v>
      </c>
      <c r="P65" s="31">
        <v>8</v>
      </c>
      <c r="Q65" s="31">
        <v>13</v>
      </c>
      <c r="R65" s="31">
        <v>13</v>
      </c>
      <c r="S65" s="31">
        <v>9</v>
      </c>
      <c r="T65" s="31">
        <v>7</v>
      </c>
      <c r="U65" s="31">
        <v>1</v>
      </c>
      <c r="V65" s="31">
        <v>0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83</v>
      </c>
      <c r="E66" s="19">
        <v>45</v>
      </c>
      <c r="F66" s="19">
        <v>38</v>
      </c>
      <c r="G66" s="19">
        <v>0</v>
      </c>
      <c r="H66" s="19">
        <v>0</v>
      </c>
      <c r="I66" s="19">
        <v>1</v>
      </c>
      <c r="J66" s="19">
        <v>0</v>
      </c>
      <c r="K66" s="19">
        <v>14</v>
      </c>
      <c r="L66" s="19">
        <v>11</v>
      </c>
      <c r="M66" s="19">
        <v>3</v>
      </c>
      <c r="N66" s="19">
        <v>2</v>
      </c>
      <c r="O66" s="19">
        <v>4</v>
      </c>
      <c r="P66" s="19">
        <v>7</v>
      </c>
      <c r="Q66" s="19">
        <v>13</v>
      </c>
      <c r="R66" s="19">
        <v>11</v>
      </c>
      <c r="S66" s="19">
        <v>9</v>
      </c>
      <c r="T66" s="19">
        <v>7</v>
      </c>
      <c r="U66" s="19">
        <v>1</v>
      </c>
      <c r="V66" s="19">
        <v>0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6</v>
      </c>
      <c r="E67" s="19">
        <v>1</v>
      </c>
      <c r="F67" s="19">
        <v>5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2</v>
      </c>
      <c r="M67" s="19">
        <v>0</v>
      </c>
      <c r="N67" s="19">
        <v>0</v>
      </c>
      <c r="O67" s="19">
        <v>0</v>
      </c>
      <c r="P67" s="19">
        <v>1</v>
      </c>
      <c r="Q67" s="19">
        <v>0</v>
      </c>
      <c r="R67" s="19">
        <v>2</v>
      </c>
      <c r="S67" s="19">
        <v>0</v>
      </c>
      <c r="T67" s="19">
        <v>0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32</v>
      </c>
      <c r="E68" s="31">
        <v>20</v>
      </c>
      <c r="F68" s="31">
        <v>12</v>
      </c>
      <c r="G68" s="31">
        <v>0</v>
      </c>
      <c r="H68" s="31">
        <v>0</v>
      </c>
      <c r="I68" s="31">
        <v>1</v>
      </c>
      <c r="J68" s="31">
        <v>0</v>
      </c>
      <c r="K68" s="31">
        <v>1</v>
      </c>
      <c r="L68" s="31">
        <v>3</v>
      </c>
      <c r="M68" s="31">
        <v>1</v>
      </c>
      <c r="N68" s="31">
        <v>1</v>
      </c>
      <c r="O68" s="31">
        <v>0</v>
      </c>
      <c r="P68" s="31">
        <v>3</v>
      </c>
      <c r="Q68" s="31">
        <v>10</v>
      </c>
      <c r="R68" s="31">
        <v>3</v>
      </c>
      <c r="S68" s="31">
        <v>7</v>
      </c>
      <c r="T68" s="31">
        <v>2</v>
      </c>
      <c r="U68" s="31">
        <v>0</v>
      </c>
      <c r="V68" s="31">
        <v>0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31</v>
      </c>
      <c r="E69" s="19">
        <v>20</v>
      </c>
      <c r="F69" s="19">
        <v>11</v>
      </c>
      <c r="G69" s="19">
        <v>0</v>
      </c>
      <c r="H69" s="19">
        <v>0</v>
      </c>
      <c r="I69" s="19">
        <v>1</v>
      </c>
      <c r="J69" s="19">
        <v>0</v>
      </c>
      <c r="K69" s="19">
        <v>1</v>
      </c>
      <c r="L69" s="19">
        <v>2</v>
      </c>
      <c r="M69" s="19">
        <v>1</v>
      </c>
      <c r="N69" s="19">
        <v>1</v>
      </c>
      <c r="O69" s="19">
        <v>0</v>
      </c>
      <c r="P69" s="19">
        <v>3</v>
      </c>
      <c r="Q69" s="19">
        <v>10</v>
      </c>
      <c r="R69" s="19">
        <v>3</v>
      </c>
      <c r="S69" s="19">
        <v>7</v>
      </c>
      <c r="T69" s="19">
        <v>2</v>
      </c>
      <c r="U69" s="19">
        <v>0</v>
      </c>
      <c r="V69" s="19">
        <v>0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1</v>
      </c>
      <c r="E70" s="19">
        <v>0</v>
      </c>
      <c r="F70" s="19">
        <v>1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1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13</v>
      </c>
      <c r="E71" s="31">
        <v>5</v>
      </c>
      <c r="F71" s="31">
        <v>8</v>
      </c>
      <c r="G71" s="31">
        <v>0</v>
      </c>
      <c r="H71" s="31">
        <v>0</v>
      </c>
      <c r="I71" s="31">
        <v>0</v>
      </c>
      <c r="J71" s="31">
        <v>0</v>
      </c>
      <c r="K71" s="31">
        <v>1</v>
      </c>
      <c r="L71" s="31">
        <v>4</v>
      </c>
      <c r="M71" s="31">
        <v>2</v>
      </c>
      <c r="N71" s="31">
        <v>2</v>
      </c>
      <c r="O71" s="31">
        <v>0</v>
      </c>
      <c r="P71" s="31">
        <v>0</v>
      </c>
      <c r="Q71" s="31">
        <v>1</v>
      </c>
      <c r="R71" s="31">
        <v>0</v>
      </c>
      <c r="S71" s="31">
        <v>1</v>
      </c>
      <c r="T71" s="31">
        <v>1</v>
      </c>
      <c r="U71" s="31">
        <v>0</v>
      </c>
      <c r="V71" s="31">
        <v>1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13</v>
      </c>
      <c r="E72" s="19">
        <v>5</v>
      </c>
      <c r="F72" s="19">
        <v>8</v>
      </c>
      <c r="G72" s="19">
        <v>0</v>
      </c>
      <c r="H72" s="19">
        <v>0</v>
      </c>
      <c r="I72" s="19">
        <v>0</v>
      </c>
      <c r="J72" s="19">
        <v>0</v>
      </c>
      <c r="K72" s="19">
        <v>1</v>
      </c>
      <c r="L72" s="19">
        <v>4</v>
      </c>
      <c r="M72" s="19">
        <v>2</v>
      </c>
      <c r="N72" s="19">
        <v>2</v>
      </c>
      <c r="O72" s="19">
        <v>0</v>
      </c>
      <c r="P72" s="19">
        <v>0</v>
      </c>
      <c r="Q72" s="19">
        <v>1</v>
      </c>
      <c r="R72" s="19">
        <v>0</v>
      </c>
      <c r="S72" s="19">
        <v>1</v>
      </c>
      <c r="T72" s="19">
        <v>1</v>
      </c>
      <c r="U72" s="19">
        <v>0</v>
      </c>
      <c r="V72" s="19">
        <v>1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4</v>
      </c>
      <c r="E74" s="31">
        <v>4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3</v>
      </c>
      <c r="T74" s="31">
        <v>0</v>
      </c>
      <c r="U74" s="31">
        <v>1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4</v>
      </c>
      <c r="E75" s="19">
        <v>4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3</v>
      </c>
      <c r="T75" s="19">
        <v>0</v>
      </c>
      <c r="U75" s="19">
        <v>1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>
      <c r="A79" s="6" t="s">
        <v>87</v>
      </c>
    </row>
    <row r="80" spans="1:22" ht="14.25" customHeight="1" x14ac:dyDescent="0.2"/>
  </sheetData>
  <mergeCells count="34">
    <mergeCell ref="O6:P6"/>
    <mergeCell ref="A39:A40"/>
    <mergeCell ref="Q6:R6"/>
    <mergeCell ref="A9:A10"/>
    <mergeCell ref="A12:A13"/>
    <mergeCell ref="A15:A16"/>
    <mergeCell ref="A18:A19"/>
    <mergeCell ref="A21:A22"/>
    <mergeCell ref="A4:C7"/>
    <mergeCell ref="D4:V4"/>
    <mergeCell ref="D5:F6"/>
    <mergeCell ref="G5:J5"/>
    <mergeCell ref="K5:R5"/>
    <mergeCell ref="S5:T6"/>
    <mergeCell ref="U5:V6"/>
    <mergeCell ref="K6:L6"/>
    <mergeCell ref="M6:N6"/>
    <mergeCell ref="A24:A25"/>
    <mergeCell ref="A27:A28"/>
    <mergeCell ref="A30:A31"/>
    <mergeCell ref="A33:A34"/>
    <mergeCell ref="A36:A37"/>
    <mergeCell ref="A75:A76"/>
    <mergeCell ref="A42:A43"/>
    <mergeCell ref="A45:A46"/>
    <mergeCell ref="A48:A49"/>
    <mergeCell ref="A51:A52"/>
    <mergeCell ref="A54:A55"/>
    <mergeCell ref="A57:A58"/>
    <mergeCell ref="A60:A61"/>
    <mergeCell ref="A63:A64"/>
    <mergeCell ref="A66:A67"/>
    <mergeCell ref="A69:A70"/>
    <mergeCell ref="A72:A7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80"/>
  <sheetViews>
    <sheetView workbookViewId="0"/>
  </sheetViews>
  <sheetFormatPr defaultColWidth="5.5" defaultRowHeight="11.1" customHeight="1" x14ac:dyDescent="0.2"/>
  <cols>
    <col min="1" max="1" width="18.33203125" style="3" customWidth="1"/>
    <col min="2" max="2" width="8.1640625" style="3" customWidth="1"/>
    <col min="3" max="3" width="13.1640625" style="3" customWidth="1"/>
    <col min="4" max="22" width="9.33203125" style="3" customWidth="1"/>
    <col min="23" max="23" width="5.5" style="3" customWidth="1"/>
    <col min="24" max="16384" width="5.5" style="3"/>
  </cols>
  <sheetData>
    <row r="1" spans="1:22" ht="20.25" customHeight="1" x14ac:dyDescent="0.2">
      <c r="A1" s="15" t="s">
        <v>17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A2" s="6" t="s">
        <v>18</v>
      </c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s="6" customFormat="1" ht="12.75" customHeight="1" x14ac:dyDescent="0.25">
      <c r="A3" s="26" t="s">
        <v>21</v>
      </c>
      <c r="B3" s="27"/>
      <c r="C3" s="27"/>
      <c r="S3" s="7"/>
      <c r="T3" s="7"/>
      <c r="U3" s="7"/>
      <c r="V3" s="7"/>
    </row>
    <row r="4" spans="1:22" s="9" customFormat="1" ht="24.75" customHeight="1" x14ac:dyDescent="0.2">
      <c r="A4" s="102" t="s">
        <v>33</v>
      </c>
      <c r="B4" s="102"/>
      <c r="C4" s="102"/>
      <c r="D4" s="105" t="s">
        <v>88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22" s="9" customFormat="1" ht="24.75" customHeight="1" x14ac:dyDescent="0.2">
      <c r="A5" s="102"/>
      <c r="B5" s="102"/>
      <c r="C5" s="102"/>
      <c r="D5" s="102" t="s">
        <v>3</v>
      </c>
      <c r="E5" s="102"/>
      <c r="F5" s="102"/>
      <c r="G5" s="102" t="s">
        <v>4</v>
      </c>
      <c r="H5" s="102"/>
      <c r="I5" s="102"/>
      <c r="J5" s="102"/>
      <c r="K5" s="106" t="s">
        <v>5</v>
      </c>
      <c r="L5" s="106"/>
      <c r="M5" s="106"/>
      <c r="N5" s="106"/>
      <c r="O5" s="106"/>
      <c r="P5" s="106"/>
      <c r="Q5" s="106"/>
      <c r="R5" s="106"/>
      <c r="S5" s="107" t="s">
        <v>6</v>
      </c>
      <c r="T5" s="107"/>
      <c r="U5" s="110" t="s">
        <v>7</v>
      </c>
      <c r="V5" s="110"/>
    </row>
    <row r="6" spans="1:22" s="9" customFormat="1" ht="39" customHeight="1" x14ac:dyDescent="0.2">
      <c r="A6" s="102"/>
      <c r="B6" s="102"/>
      <c r="C6" s="102"/>
      <c r="D6" s="102"/>
      <c r="E6" s="102"/>
      <c r="F6" s="102"/>
      <c r="G6" s="17" t="s">
        <v>19</v>
      </c>
      <c r="H6" s="18"/>
      <c r="I6" s="17" t="s">
        <v>20</v>
      </c>
      <c r="J6" s="18"/>
      <c r="K6" s="102" t="s">
        <v>8</v>
      </c>
      <c r="L6" s="102"/>
      <c r="M6" s="102" t="s">
        <v>9</v>
      </c>
      <c r="N6" s="102"/>
      <c r="O6" s="102" t="s">
        <v>10</v>
      </c>
      <c r="P6" s="102"/>
      <c r="Q6" s="102" t="s">
        <v>11</v>
      </c>
      <c r="R6" s="102"/>
      <c r="S6" s="107"/>
      <c r="T6" s="107"/>
      <c r="U6" s="110"/>
      <c r="V6" s="110"/>
    </row>
    <row r="7" spans="1:22" s="11" customFormat="1" ht="30.75" customHeight="1" x14ac:dyDescent="0.2">
      <c r="A7" s="102"/>
      <c r="B7" s="102"/>
      <c r="C7" s="102"/>
      <c r="D7" s="8" t="s">
        <v>12</v>
      </c>
      <c r="E7" s="8" t="s">
        <v>13</v>
      </c>
      <c r="F7" s="8" t="s">
        <v>14</v>
      </c>
      <c r="G7" s="8" t="s">
        <v>13</v>
      </c>
      <c r="H7" s="8" t="s">
        <v>14</v>
      </c>
      <c r="I7" s="8" t="s">
        <v>13</v>
      </c>
      <c r="J7" s="8" t="s">
        <v>14</v>
      </c>
      <c r="K7" s="8" t="s">
        <v>13</v>
      </c>
      <c r="L7" s="8" t="s">
        <v>14</v>
      </c>
      <c r="M7" s="8" t="s">
        <v>13</v>
      </c>
      <c r="N7" s="8" t="s">
        <v>14</v>
      </c>
      <c r="O7" s="8" t="s">
        <v>13</v>
      </c>
      <c r="P7" s="8" t="s">
        <v>14</v>
      </c>
      <c r="Q7" s="8" t="s">
        <v>13</v>
      </c>
      <c r="R7" s="8" t="s">
        <v>14</v>
      </c>
      <c r="S7" s="8" t="s">
        <v>13</v>
      </c>
      <c r="T7" s="8" t="s">
        <v>14</v>
      </c>
      <c r="U7" s="8" t="s">
        <v>13</v>
      </c>
      <c r="V7" s="10" t="s">
        <v>14</v>
      </c>
    </row>
    <row r="8" spans="1:22" s="32" customFormat="1" ht="18" customHeight="1" x14ac:dyDescent="0.2">
      <c r="A8" s="38" t="s">
        <v>34</v>
      </c>
      <c r="B8" s="29" t="s">
        <v>35</v>
      </c>
      <c r="C8" s="30" t="s">
        <v>36</v>
      </c>
      <c r="D8" s="31">
        <v>4135</v>
      </c>
      <c r="E8" s="31">
        <v>2025</v>
      </c>
      <c r="F8" s="31">
        <v>2110</v>
      </c>
      <c r="G8" s="31">
        <v>10</v>
      </c>
      <c r="H8" s="31">
        <v>13</v>
      </c>
      <c r="I8" s="31">
        <v>14</v>
      </c>
      <c r="J8" s="31">
        <v>23</v>
      </c>
      <c r="K8" s="31">
        <v>339</v>
      </c>
      <c r="L8" s="31">
        <v>271</v>
      </c>
      <c r="M8" s="31">
        <v>114</v>
      </c>
      <c r="N8" s="31">
        <v>139</v>
      </c>
      <c r="O8" s="31">
        <v>67</v>
      </c>
      <c r="P8" s="31">
        <v>477</v>
      </c>
      <c r="Q8" s="31">
        <v>419</v>
      </c>
      <c r="R8" s="31">
        <v>407</v>
      </c>
      <c r="S8" s="31">
        <v>985</v>
      </c>
      <c r="T8" s="31">
        <v>706</v>
      </c>
      <c r="U8" s="31">
        <v>77</v>
      </c>
      <c r="V8" s="31">
        <v>74</v>
      </c>
    </row>
    <row r="9" spans="1:22" s="32" customFormat="1" ht="14.25" customHeight="1" x14ac:dyDescent="0.2">
      <c r="A9" s="112" t="s">
        <v>36</v>
      </c>
      <c r="B9" s="33" t="s">
        <v>37</v>
      </c>
      <c r="C9" s="34" t="s">
        <v>38</v>
      </c>
      <c r="D9" s="19">
        <v>3685</v>
      </c>
      <c r="E9" s="19">
        <v>1806</v>
      </c>
      <c r="F9" s="19">
        <v>1879</v>
      </c>
      <c r="G9" s="19">
        <v>9</v>
      </c>
      <c r="H9" s="19">
        <v>13</v>
      </c>
      <c r="I9" s="19">
        <v>14</v>
      </c>
      <c r="J9" s="19">
        <v>18</v>
      </c>
      <c r="K9" s="19">
        <v>301</v>
      </c>
      <c r="L9" s="19">
        <v>239</v>
      </c>
      <c r="M9" s="19">
        <v>106</v>
      </c>
      <c r="N9" s="19">
        <v>122</v>
      </c>
      <c r="O9" s="19">
        <v>58</v>
      </c>
      <c r="P9" s="19">
        <v>414</v>
      </c>
      <c r="Q9" s="19">
        <v>357</v>
      </c>
      <c r="R9" s="19">
        <v>358</v>
      </c>
      <c r="S9" s="19">
        <v>890</v>
      </c>
      <c r="T9" s="19">
        <v>649</v>
      </c>
      <c r="U9" s="19">
        <v>71</v>
      </c>
      <c r="V9" s="19">
        <v>66</v>
      </c>
    </row>
    <row r="10" spans="1:22" s="32" customFormat="1" ht="14.25" customHeight="1" x14ac:dyDescent="0.2">
      <c r="A10" s="112"/>
      <c r="B10" s="33" t="s">
        <v>39</v>
      </c>
      <c r="C10" s="34" t="s">
        <v>163</v>
      </c>
      <c r="D10" s="19">
        <v>450</v>
      </c>
      <c r="E10" s="19">
        <v>219</v>
      </c>
      <c r="F10" s="19">
        <v>231</v>
      </c>
      <c r="G10" s="19">
        <v>1</v>
      </c>
      <c r="H10" s="19">
        <v>0</v>
      </c>
      <c r="I10" s="19">
        <v>0</v>
      </c>
      <c r="J10" s="19">
        <v>5</v>
      </c>
      <c r="K10" s="19">
        <v>38</v>
      </c>
      <c r="L10" s="19">
        <v>32</v>
      </c>
      <c r="M10" s="19">
        <v>8</v>
      </c>
      <c r="N10" s="19">
        <v>17</v>
      </c>
      <c r="O10" s="19">
        <v>9</v>
      </c>
      <c r="P10" s="19">
        <v>63</v>
      </c>
      <c r="Q10" s="19">
        <v>62</v>
      </c>
      <c r="R10" s="19">
        <v>49</v>
      </c>
      <c r="S10" s="19">
        <v>95</v>
      </c>
      <c r="T10" s="19">
        <v>57</v>
      </c>
      <c r="U10" s="19">
        <v>6</v>
      </c>
      <c r="V10" s="19">
        <v>8</v>
      </c>
    </row>
    <row r="11" spans="1:22" s="32" customFormat="1" ht="14.25" customHeight="1" x14ac:dyDescent="0.2">
      <c r="A11" s="35" t="s">
        <v>40</v>
      </c>
      <c r="B11" s="29" t="s">
        <v>35</v>
      </c>
      <c r="C11" s="30" t="s">
        <v>36</v>
      </c>
      <c r="D11" s="31">
        <v>702</v>
      </c>
      <c r="E11" s="31">
        <v>359</v>
      </c>
      <c r="F11" s="31">
        <v>343</v>
      </c>
      <c r="G11" s="31">
        <v>0</v>
      </c>
      <c r="H11" s="31">
        <v>1</v>
      </c>
      <c r="I11" s="31">
        <v>2</v>
      </c>
      <c r="J11" s="31">
        <v>0</v>
      </c>
      <c r="K11" s="31">
        <v>44</v>
      </c>
      <c r="L11" s="31">
        <v>35</v>
      </c>
      <c r="M11" s="31">
        <v>17</v>
      </c>
      <c r="N11" s="31">
        <v>20</v>
      </c>
      <c r="O11" s="31">
        <v>11</v>
      </c>
      <c r="P11" s="31">
        <v>82</v>
      </c>
      <c r="Q11" s="31">
        <v>26</v>
      </c>
      <c r="R11" s="31">
        <v>26</v>
      </c>
      <c r="S11" s="31">
        <v>246</v>
      </c>
      <c r="T11" s="31">
        <v>170</v>
      </c>
      <c r="U11" s="31">
        <v>13</v>
      </c>
      <c r="V11" s="31">
        <v>9</v>
      </c>
    </row>
    <row r="12" spans="1:22" s="32" customFormat="1" ht="14.25" customHeight="1" x14ac:dyDescent="0.2">
      <c r="A12" s="108" t="s">
        <v>41</v>
      </c>
      <c r="B12" s="33" t="s">
        <v>37</v>
      </c>
      <c r="C12" s="34" t="s">
        <v>38</v>
      </c>
      <c r="D12" s="19">
        <v>663</v>
      </c>
      <c r="E12" s="19">
        <v>342</v>
      </c>
      <c r="F12" s="19">
        <v>321</v>
      </c>
      <c r="G12" s="19">
        <v>0</v>
      </c>
      <c r="H12" s="19">
        <v>1</v>
      </c>
      <c r="I12" s="19">
        <v>2</v>
      </c>
      <c r="J12" s="19">
        <v>0</v>
      </c>
      <c r="K12" s="19">
        <v>40</v>
      </c>
      <c r="L12" s="19">
        <v>32</v>
      </c>
      <c r="M12" s="19">
        <v>17</v>
      </c>
      <c r="N12" s="19">
        <v>20</v>
      </c>
      <c r="O12" s="19">
        <v>11</v>
      </c>
      <c r="P12" s="19">
        <v>74</v>
      </c>
      <c r="Q12" s="19">
        <v>25</v>
      </c>
      <c r="R12" s="19">
        <v>24</v>
      </c>
      <c r="S12" s="19">
        <v>235</v>
      </c>
      <c r="T12" s="19">
        <v>162</v>
      </c>
      <c r="U12" s="19">
        <v>12</v>
      </c>
      <c r="V12" s="19">
        <v>8</v>
      </c>
    </row>
    <row r="13" spans="1:22" s="32" customFormat="1" ht="14.25" customHeight="1" x14ac:dyDescent="0.2">
      <c r="A13" s="108"/>
      <c r="B13" s="33" t="s">
        <v>39</v>
      </c>
      <c r="C13" s="34" t="s">
        <v>163</v>
      </c>
      <c r="D13" s="19">
        <v>39</v>
      </c>
      <c r="E13" s="19">
        <v>17</v>
      </c>
      <c r="F13" s="19">
        <v>22</v>
      </c>
      <c r="G13" s="19">
        <v>0</v>
      </c>
      <c r="H13" s="19">
        <v>0</v>
      </c>
      <c r="I13" s="19">
        <v>0</v>
      </c>
      <c r="J13" s="19">
        <v>0</v>
      </c>
      <c r="K13" s="19">
        <v>4</v>
      </c>
      <c r="L13" s="19">
        <v>3</v>
      </c>
      <c r="M13" s="19">
        <v>0</v>
      </c>
      <c r="N13" s="19">
        <v>0</v>
      </c>
      <c r="O13" s="19">
        <v>0</v>
      </c>
      <c r="P13" s="19">
        <v>8</v>
      </c>
      <c r="Q13" s="19">
        <v>1</v>
      </c>
      <c r="R13" s="19">
        <v>2</v>
      </c>
      <c r="S13" s="19">
        <v>11</v>
      </c>
      <c r="T13" s="19">
        <v>8</v>
      </c>
      <c r="U13" s="19">
        <v>1</v>
      </c>
      <c r="V13" s="19">
        <v>1</v>
      </c>
    </row>
    <row r="14" spans="1:22" s="32" customFormat="1" ht="14.25" customHeight="1" x14ac:dyDescent="0.2">
      <c r="A14" s="35" t="s">
        <v>42</v>
      </c>
      <c r="B14" s="29" t="s">
        <v>35</v>
      </c>
      <c r="C14" s="30" t="s">
        <v>36</v>
      </c>
      <c r="D14" s="31">
        <v>262</v>
      </c>
      <c r="E14" s="31">
        <v>132</v>
      </c>
      <c r="F14" s="31">
        <v>130</v>
      </c>
      <c r="G14" s="31">
        <v>2</v>
      </c>
      <c r="H14" s="31">
        <v>3</v>
      </c>
      <c r="I14" s="31">
        <v>0</v>
      </c>
      <c r="J14" s="31">
        <v>0</v>
      </c>
      <c r="K14" s="31">
        <v>22</v>
      </c>
      <c r="L14" s="31">
        <v>16</v>
      </c>
      <c r="M14" s="31">
        <v>3</v>
      </c>
      <c r="N14" s="31">
        <v>10</v>
      </c>
      <c r="O14" s="31">
        <v>4</v>
      </c>
      <c r="P14" s="31">
        <v>33</v>
      </c>
      <c r="Q14" s="31">
        <v>23</v>
      </c>
      <c r="R14" s="31">
        <v>17</v>
      </c>
      <c r="S14" s="31">
        <v>71</v>
      </c>
      <c r="T14" s="31">
        <v>49</v>
      </c>
      <c r="U14" s="31">
        <v>7</v>
      </c>
      <c r="V14" s="31">
        <v>2</v>
      </c>
    </row>
    <row r="15" spans="1:22" s="32" customFormat="1" ht="14.25" customHeight="1" x14ac:dyDescent="0.2">
      <c r="A15" s="108" t="s">
        <v>43</v>
      </c>
      <c r="B15" s="33" t="s">
        <v>37</v>
      </c>
      <c r="C15" s="34" t="s">
        <v>38</v>
      </c>
      <c r="D15" s="19">
        <v>250</v>
      </c>
      <c r="E15" s="19">
        <v>124</v>
      </c>
      <c r="F15" s="19">
        <v>126</v>
      </c>
      <c r="G15" s="19">
        <v>2</v>
      </c>
      <c r="H15" s="19">
        <v>3</v>
      </c>
      <c r="I15" s="19">
        <v>0</v>
      </c>
      <c r="J15" s="19">
        <v>0</v>
      </c>
      <c r="K15" s="19">
        <v>19</v>
      </c>
      <c r="L15" s="19">
        <v>15</v>
      </c>
      <c r="M15" s="19">
        <v>3</v>
      </c>
      <c r="N15" s="19">
        <v>10</v>
      </c>
      <c r="O15" s="19">
        <v>4</v>
      </c>
      <c r="P15" s="19">
        <v>33</v>
      </c>
      <c r="Q15" s="19">
        <v>23</v>
      </c>
      <c r="R15" s="19">
        <v>14</v>
      </c>
      <c r="S15" s="19">
        <v>66</v>
      </c>
      <c r="T15" s="19">
        <v>49</v>
      </c>
      <c r="U15" s="19">
        <v>7</v>
      </c>
      <c r="V15" s="19">
        <v>2</v>
      </c>
    </row>
    <row r="16" spans="1:22" s="32" customFormat="1" ht="14.25" customHeight="1" x14ac:dyDescent="0.2">
      <c r="A16" s="108"/>
      <c r="B16" s="36" t="s">
        <v>39</v>
      </c>
      <c r="C16" s="37" t="s">
        <v>163</v>
      </c>
      <c r="D16" s="19">
        <v>12</v>
      </c>
      <c r="E16" s="19">
        <v>8</v>
      </c>
      <c r="F16" s="19">
        <v>4</v>
      </c>
      <c r="G16" s="19">
        <v>0</v>
      </c>
      <c r="H16" s="19">
        <v>0</v>
      </c>
      <c r="I16" s="19">
        <v>0</v>
      </c>
      <c r="J16" s="19">
        <v>0</v>
      </c>
      <c r="K16" s="19">
        <v>3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3</v>
      </c>
      <c r="S16" s="19">
        <v>5</v>
      </c>
      <c r="T16" s="19">
        <v>0</v>
      </c>
      <c r="U16" s="19">
        <v>0</v>
      </c>
      <c r="V16" s="19">
        <v>0</v>
      </c>
    </row>
    <row r="17" spans="1:22" s="32" customFormat="1" ht="14.25" customHeight="1" x14ac:dyDescent="0.2">
      <c r="A17" s="35" t="s">
        <v>44</v>
      </c>
      <c r="B17" s="29" t="s">
        <v>35</v>
      </c>
      <c r="C17" s="30" t="s">
        <v>36</v>
      </c>
      <c r="D17" s="31">
        <v>559</v>
      </c>
      <c r="E17" s="31">
        <v>295</v>
      </c>
      <c r="F17" s="31">
        <v>264</v>
      </c>
      <c r="G17" s="31">
        <v>3</v>
      </c>
      <c r="H17" s="31">
        <v>0</v>
      </c>
      <c r="I17" s="31">
        <v>2</v>
      </c>
      <c r="J17" s="31">
        <v>13</v>
      </c>
      <c r="K17" s="31">
        <v>57</v>
      </c>
      <c r="L17" s="31">
        <v>33</v>
      </c>
      <c r="M17" s="31">
        <v>8</v>
      </c>
      <c r="N17" s="31">
        <v>9</v>
      </c>
      <c r="O17" s="31">
        <v>13</v>
      </c>
      <c r="P17" s="31">
        <v>55</v>
      </c>
      <c r="Q17" s="31">
        <v>53</v>
      </c>
      <c r="R17" s="31">
        <v>53</v>
      </c>
      <c r="S17" s="31">
        <v>148</v>
      </c>
      <c r="T17" s="31">
        <v>95</v>
      </c>
      <c r="U17" s="31">
        <v>11</v>
      </c>
      <c r="V17" s="31">
        <v>6</v>
      </c>
    </row>
    <row r="18" spans="1:22" s="32" customFormat="1" ht="14.25" customHeight="1" x14ac:dyDescent="0.2">
      <c r="A18" s="108" t="s">
        <v>45</v>
      </c>
      <c r="B18" s="33" t="s">
        <v>37</v>
      </c>
      <c r="C18" s="34" t="s">
        <v>38</v>
      </c>
      <c r="D18" s="19">
        <v>470</v>
      </c>
      <c r="E18" s="19">
        <v>250</v>
      </c>
      <c r="F18" s="19">
        <v>220</v>
      </c>
      <c r="G18" s="19">
        <v>2</v>
      </c>
      <c r="H18" s="19">
        <v>0</v>
      </c>
      <c r="I18" s="19">
        <v>2</v>
      </c>
      <c r="J18" s="19">
        <v>10</v>
      </c>
      <c r="K18" s="19">
        <v>48</v>
      </c>
      <c r="L18" s="19">
        <v>27</v>
      </c>
      <c r="M18" s="19">
        <v>7</v>
      </c>
      <c r="N18" s="19">
        <v>6</v>
      </c>
      <c r="O18" s="19">
        <v>9</v>
      </c>
      <c r="P18" s="19">
        <v>47</v>
      </c>
      <c r="Q18" s="19">
        <v>42</v>
      </c>
      <c r="R18" s="19">
        <v>41</v>
      </c>
      <c r="S18" s="19">
        <v>131</v>
      </c>
      <c r="T18" s="19">
        <v>84</v>
      </c>
      <c r="U18" s="19">
        <v>9</v>
      </c>
      <c r="V18" s="19">
        <v>5</v>
      </c>
    </row>
    <row r="19" spans="1:22" s="32" customFormat="1" ht="14.25" customHeight="1" x14ac:dyDescent="0.2">
      <c r="A19" s="108"/>
      <c r="B19" s="36" t="s">
        <v>39</v>
      </c>
      <c r="C19" s="37" t="s">
        <v>163</v>
      </c>
      <c r="D19" s="19">
        <v>89</v>
      </c>
      <c r="E19" s="19">
        <v>45</v>
      </c>
      <c r="F19" s="19">
        <v>44</v>
      </c>
      <c r="G19" s="19">
        <v>1</v>
      </c>
      <c r="H19" s="19">
        <v>0</v>
      </c>
      <c r="I19" s="19">
        <v>0</v>
      </c>
      <c r="J19" s="19">
        <v>3</v>
      </c>
      <c r="K19" s="19">
        <v>9</v>
      </c>
      <c r="L19" s="19">
        <v>6</v>
      </c>
      <c r="M19" s="19">
        <v>1</v>
      </c>
      <c r="N19" s="19">
        <v>3</v>
      </c>
      <c r="O19" s="19">
        <v>4</v>
      </c>
      <c r="P19" s="19">
        <v>8</v>
      </c>
      <c r="Q19" s="19">
        <v>11</v>
      </c>
      <c r="R19" s="19">
        <v>12</v>
      </c>
      <c r="S19" s="19">
        <v>17</v>
      </c>
      <c r="T19" s="19">
        <v>11</v>
      </c>
      <c r="U19" s="19">
        <v>2</v>
      </c>
      <c r="V19" s="19">
        <v>1</v>
      </c>
    </row>
    <row r="20" spans="1:22" s="32" customFormat="1" ht="14.25" customHeight="1" x14ac:dyDescent="0.2">
      <c r="A20" s="35" t="s">
        <v>46</v>
      </c>
      <c r="B20" s="29" t="s">
        <v>35</v>
      </c>
      <c r="C20" s="30" t="s">
        <v>36</v>
      </c>
      <c r="D20" s="31">
        <v>621</v>
      </c>
      <c r="E20" s="31">
        <v>308</v>
      </c>
      <c r="F20" s="31">
        <v>313</v>
      </c>
      <c r="G20" s="31">
        <v>2</v>
      </c>
      <c r="H20" s="31">
        <v>4</v>
      </c>
      <c r="I20" s="31">
        <v>4</v>
      </c>
      <c r="J20" s="31">
        <v>5</v>
      </c>
      <c r="K20" s="31">
        <v>70</v>
      </c>
      <c r="L20" s="31">
        <v>49</v>
      </c>
      <c r="M20" s="31">
        <v>19</v>
      </c>
      <c r="N20" s="31">
        <v>33</v>
      </c>
      <c r="O20" s="31">
        <v>11</v>
      </c>
      <c r="P20" s="31">
        <v>60</v>
      </c>
      <c r="Q20" s="31">
        <v>72</v>
      </c>
      <c r="R20" s="31">
        <v>72</v>
      </c>
      <c r="S20" s="31">
        <v>120</v>
      </c>
      <c r="T20" s="31">
        <v>80</v>
      </c>
      <c r="U20" s="31">
        <v>10</v>
      </c>
      <c r="V20" s="31">
        <v>10</v>
      </c>
    </row>
    <row r="21" spans="1:22" s="32" customFormat="1" ht="14.25" customHeight="1" x14ac:dyDescent="0.2">
      <c r="A21" s="108" t="s">
        <v>47</v>
      </c>
      <c r="B21" s="33" t="s">
        <v>37</v>
      </c>
      <c r="C21" s="34" t="s">
        <v>38</v>
      </c>
      <c r="D21" s="19">
        <v>569</v>
      </c>
      <c r="E21" s="19">
        <v>282</v>
      </c>
      <c r="F21" s="19">
        <v>287</v>
      </c>
      <c r="G21" s="19">
        <v>2</v>
      </c>
      <c r="H21" s="19">
        <v>4</v>
      </c>
      <c r="I21" s="19">
        <v>4</v>
      </c>
      <c r="J21" s="19">
        <v>3</v>
      </c>
      <c r="K21" s="19">
        <v>64</v>
      </c>
      <c r="L21" s="19">
        <v>43</v>
      </c>
      <c r="M21" s="19">
        <v>19</v>
      </c>
      <c r="N21" s="19">
        <v>31</v>
      </c>
      <c r="O21" s="19">
        <v>9</v>
      </c>
      <c r="P21" s="19">
        <v>55</v>
      </c>
      <c r="Q21" s="19">
        <v>65</v>
      </c>
      <c r="R21" s="19">
        <v>67</v>
      </c>
      <c r="S21" s="19">
        <v>110</v>
      </c>
      <c r="T21" s="19">
        <v>76</v>
      </c>
      <c r="U21" s="19">
        <v>9</v>
      </c>
      <c r="V21" s="19">
        <v>8</v>
      </c>
    </row>
    <row r="22" spans="1:22" s="32" customFormat="1" ht="14.25" customHeight="1" x14ac:dyDescent="0.2">
      <c r="A22" s="108"/>
      <c r="B22" s="36" t="s">
        <v>39</v>
      </c>
      <c r="C22" s="37" t="s">
        <v>163</v>
      </c>
      <c r="D22" s="19">
        <v>52</v>
      </c>
      <c r="E22" s="19">
        <v>26</v>
      </c>
      <c r="F22" s="19">
        <v>26</v>
      </c>
      <c r="G22" s="19">
        <v>0</v>
      </c>
      <c r="H22" s="19">
        <v>0</v>
      </c>
      <c r="I22" s="19">
        <v>0</v>
      </c>
      <c r="J22" s="19">
        <v>2</v>
      </c>
      <c r="K22" s="19">
        <v>6</v>
      </c>
      <c r="L22" s="19">
        <v>6</v>
      </c>
      <c r="M22" s="19">
        <v>0</v>
      </c>
      <c r="N22" s="19">
        <v>2</v>
      </c>
      <c r="O22" s="19">
        <v>2</v>
      </c>
      <c r="P22" s="19">
        <v>5</v>
      </c>
      <c r="Q22" s="19">
        <v>7</v>
      </c>
      <c r="R22" s="19">
        <v>5</v>
      </c>
      <c r="S22" s="19">
        <v>10</v>
      </c>
      <c r="T22" s="19">
        <v>4</v>
      </c>
      <c r="U22" s="19">
        <v>1</v>
      </c>
      <c r="V22" s="19">
        <v>2</v>
      </c>
    </row>
    <row r="23" spans="1:22" s="32" customFormat="1" ht="14.25" customHeight="1" x14ac:dyDescent="0.2">
      <c r="A23" s="35" t="s">
        <v>48</v>
      </c>
      <c r="B23" s="29" t="s">
        <v>35</v>
      </c>
      <c r="C23" s="30" t="s">
        <v>36</v>
      </c>
      <c r="D23" s="31">
        <v>238</v>
      </c>
      <c r="E23" s="31">
        <v>118</v>
      </c>
      <c r="F23" s="31">
        <v>120</v>
      </c>
      <c r="G23" s="31">
        <v>1</v>
      </c>
      <c r="H23" s="31">
        <v>0</v>
      </c>
      <c r="I23" s="31">
        <v>2</v>
      </c>
      <c r="J23" s="31">
        <v>2</v>
      </c>
      <c r="K23" s="31">
        <v>22</v>
      </c>
      <c r="L23" s="31">
        <v>23</v>
      </c>
      <c r="M23" s="31">
        <v>10</v>
      </c>
      <c r="N23" s="31">
        <v>4</v>
      </c>
      <c r="O23" s="31">
        <v>2</v>
      </c>
      <c r="P23" s="31">
        <v>30</v>
      </c>
      <c r="Q23" s="31">
        <v>32</v>
      </c>
      <c r="R23" s="31">
        <v>19</v>
      </c>
      <c r="S23" s="31">
        <v>46</v>
      </c>
      <c r="T23" s="31">
        <v>33</v>
      </c>
      <c r="U23" s="31">
        <v>3</v>
      </c>
      <c r="V23" s="31">
        <v>9</v>
      </c>
    </row>
    <row r="24" spans="1:22" s="32" customFormat="1" ht="14.25" customHeight="1" x14ac:dyDescent="0.2">
      <c r="A24" s="108" t="s">
        <v>49</v>
      </c>
      <c r="B24" s="33" t="s">
        <v>37</v>
      </c>
      <c r="C24" s="34" t="s">
        <v>38</v>
      </c>
      <c r="D24" s="19">
        <v>233</v>
      </c>
      <c r="E24" s="19">
        <v>115</v>
      </c>
      <c r="F24" s="19">
        <v>118</v>
      </c>
      <c r="G24" s="19">
        <v>1</v>
      </c>
      <c r="H24" s="19">
        <v>0</v>
      </c>
      <c r="I24" s="19">
        <v>2</v>
      </c>
      <c r="J24" s="19">
        <v>2</v>
      </c>
      <c r="K24" s="19">
        <v>22</v>
      </c>
      <c r="L24" s="19">
        <v>23</v>
      </c>
      <c r="M24" s="19">
        <v>10</v>
      </c>
      <c r="N24" s="19">
        <v>4</v>
      </c>
      <c r="O24" s="19">
        <v>2</v>
      </c>
      <c r="P24" s="19">
        <v>30</v>
      </c>
      <c r="Q24" s="19">
        <v>29</v>
      </c>
      <c r="R24" s="19">
        <v>18</v>
      </c>
      <c r="S24" s="19">
        <v>46</v>
      </c>
      <c r="T24" s="19">
        <v>32</v>
      </c>
      <c r="U24" s="19">
        <v>3</v>
      </c>
      <c r="V24" s="19">
        <v>9</v>
      </c>
    </row>
    <row r="25" spans="1:22" s="32" customFormat="1" ht="14.25" customHeight="1" x14ac:dyDescent="0.2">
      <c r="A25" s="108"/>
      <c r="B25" s="36" t="s">
        <v>39</v>
      </c>
      <c r="C25" s="37" t="s">
        <v>163</v>
      </c>
      <c r="D25" s="19">
        <v>5</v>
      </c>
      <c r="E25" s="19">
        <v>3</v>
      </c>
      <c r="F25" s="19">
        <v>2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3</v>
      </c>
      <c r="R25" s="19">
        <v>1</v>
      </c>
      <c r="S25" s="19">
        <v>0</v>
      </c>
      <c r="T25" s="19">
        <v>1</v>
      </c>
      <c r="U25" s="19">
        <v>0</v>
      </c>
      <c r="V25" s="19">
        <v>0</v>
      </c>
    </row>
    <row r="26" spans="1:22" s="32" customFormat="1" ht="14.25" customHeight="1" x14ac:dyDescent="0.2">
      <c r="A26" s="35" t="s">
        <v>50</v>
      </c>
      <c r="B26" s="29" t="s">
        <v>35</v>
      </c>
      <c r="C26" s="30" t="s">
        <v>36</v>
      </c>
      <c r="D26" s="31">
        <v>611</v>
      </c>
      <c r="E26" s="31">
        <v>292</v>
      </c>
      <c r="F26" s="31">
        <v>319</v>
      </c>
      <c r="G26" s="31">
        <v>1</v>
      </c>
      <c r="H26" s="31">
        <v>0</v>
      </c>
      <c r="I26" s="31">
        <v>1</v>
      </c>
      <c r="J26" s="31">
        <v>0</v>
      </c>
      <c r="K26" s="31">
        <v>44</v>
      </c>
      <c r="L26" s="31">
        <v>45</v>
      </c>
      <c r="M26" s="31">
        <v>20</v>
      </c>
      <c r="N26" s="31">
        <v>31</v>
      </c>
      <c r="O26" s="31">
        <v>9</v>
      </c>
      <c r="P26" s="31">
        <v>58</v>
      </c>
      <c r="Q26" s="31">
        <v>81</v>
      </c>
      <c r="R26" s="31">
        <v>82</v>
      </c>
      <c r="S26" s="31">
        <v>124</v>
      </c>
      <c r="T26" s="31">
        <v>89</v>
      </c>
      <c r="U26" s="31">
        <v>12</v>
      </c>
      <c r="V26" s="31">
        <v>14</v>
      </c>
    </row>
    <row r="27" spans="1:22" s="32" customFormat="1" ht="14.25" customHeight="1" x14ac:dyDescent="0.2">
      <c r="A27" s="108" t="s">
        <v>51</v>
      </c>
      <c r="B27" s="33" t="s">
        <v>37</v>
      </c>
      <c r="C27" s="34" t="s">
        <v>38</v>
      </c>
      <c r="D27" s="19">
        <v>567</v>
      </c>
      <c r="E27" s="19">
        <v>276</v>
      </c>
      <c r="F27" s="19">
        <v>291</v>
      </c>
      <c r="G27" s="19">
        <v>1</v>
      </c>
      <c r="H27" s="19">
        <v>0</v>
      </c>
      <c r="I27" s="19">
        <v>1</v>
      </c>
      <c r="J27" s="19">
        <v>0</v>
      </c>
      <c r="K27" s="19">
        <v>42</v>
      </c>
      <c r="L27" s="19">
        <v>41</v>
      </c>
      <c r="M27" s="19">
        <v>19</v>
      </c>
      <c r="N27" s="19">
        <v>26</v>
      </c>
      <c r="O27" s="19">
        <v>8</v>
      </c>
      <c r="P27" s="19">
        <v>53</v>
      </c>
      <c r="Q27" s="19">
        <v>73</v>
      </c>
      <c r="R27" s="19">
        <v>75</v>
      </c>
      <c r="S27" s="19">
        <v>121</v>
      </c>
      <c r="T27" s="19">
        <v>84</v>
      </c>
      <c r="U27" s="19">
        <v>11</v>
      </c>
      <c r="V27" s="19">
        <v>12</v>
      </c>
    </row>
    <row r="28" spans="1:22" s="32" customFormat="1" ht="14.25" customHeight="1" x14ac:dyDescent="0.2">
      <c r="A28" s="108"/>
      <c r="B28" s="36" t="s">
        <v>39</v>
      </c>
      <c r="C28" s="37" t="s">
        <v>163</v>
      </c>
      <c r="D28" s="19">
        <v>44</v>
      </c>
      <c r="E28" s="19">
        <v>16</v>
      </c>
      <c r="F28" s="19">
        <v>28</v>
      </c>
      <c r="G28" s="19">
        <v>0</v>
      </c>
      <c r="H28" s="19">
        <v>0</v>
      </c>
      <c r="I28" s="19">
        <v>0</v>
      </c>
      <c r="J28" s="19">
        <v>0</v>
      </c>
      <c r="K28" s="19">
        <v>2</v>
      </c>
      <c r="L28" s="19">
        <v>4</v>
      </c>
      <c r="M28" s="19">
        <v>1</v>
      </c>
      <c r="N28" s="19">
        <v>5</v>
      </c>
      <c r="O28" s="19">
        <v>1</v>
      </c>
      <c r="P28" s="19">
        <v>5</v>
      </c>
      <c r="Q28" s="19">
        <v>8</v>
      </c>
      <c r="R28" s="19">
        <v>7</v>
      </c>
      <c r="S28" s="19">
        <v>3</v>
      </c>
      <c r="T28" s="19">
        <v>5</v>
      </c>
      <c r="U28" s="19">
        <v>1</v>
      </c>
      <c r="V28" s="19">
        <v>2</v>
      </c>
    </row>
    <row r="29" spans="1:22" s="32" customFormat="1" ht="14.25" customHeight="1" x14ac:dyDescent="0.2">
      <c r="A29" s="38" t="s">
        <v>52</v>
      </c>
      <c r="B29" s="29" t="s">
        <v>35</v>
      </c>
      <c r="C29" s="30" t="s">
        <v>36</v>
      </c>
      <c r="D29" s="31">
        <v>57</v>
      </c>
      <c r="E29" s="31">
        <v>21</v>
      </c>
      <c r="F29" s="31">
        <v>36</v>
      </c>
      <c r="G29" s="31">
        <v>0</v>
      </c>
      <c r="H29" s="31">
        <v>3</v>
      </c>
      <c r="I29" s="31">
        <v>0</v>
      </c>
      <c r="J29" s="31">
        <v>0</v>
      </c>
      <c r="K29" s="31">
        <v>2</v>
      </c>
      <c r="L29" s="31">
        <v>1</v>
      </c>
      <c r="M29" s="31">
        <v>2</v>
      </c>
      <c r="N29" s="31">
        <v>0</v>
      </c>
      <c r="O29" s="31">
        <v>2</v>
      </c>
      <c r="P29" s="31">
        <v>13</v>
      </c>
      <c r="Q29" s="31">
        <v>6</v>
      </c>
      <c r="R29" s="31">
        <v>6</v>
      </c>
      <c r="S29" s="31">
        <v>8</v>
      </c>
      <c r="T29" s="31">
        <v>12</v>
      </c>
      <c r="U29" s="31">
        <v>1</v>
      </c>
      <c r="V29" s="31">
        <v>1</v>
      </c>
    </row>
    <row r="30" spans="1:22" s="32" customFormat="1" ht="14.25" customHeight="1" x14ac:dyDescent="0.2">
      <c r="A30" s="108" t="s">
        <v>53</v>
      </c>
      <c r="B30" s="33" t="s">
        <v>37</v>
      </c>
      <c r="C30" s="34" t="s">
        <v>38</v>
      </c>
      <c r="D30" s="19">
        <v>54</v>
      </c>
      <c r="E30" s="19">
        <v>19</v>
      </c>
      <c r="F30" s="19">
        <v>35</v>
      </c>
      <c r="G30" s="19">
        <v>0</v>
      </c>
      <c r="H30" s="19">
        <v>3</v>
      </c>
      <c r="I30" s="19">
        <v>0</v>
      </c>
      <c r="J30" s="19">
        <v>0</v>
      </c>
      <c r="K30" s="19">
        <v>2</v>
      </c>
      <c r="L30" s="19">
        <v>1</v>
      </c>
      <c r="M30" s="19">
        <v>2</v>
      </c>
      <c r="N30" s="19">
        <v>0</v>
      </c>
      <c r="O30" s="19">
        <v>2</v>
      </c>
      <c r="P30" s="19">
        <v>12</v>
      </c>
      <c r="Q30" s="19">
        <v>5</v>
      </c>
      <c r="R30" s="19">
        <v>6</v>
      </c>
      <c r="S30" s="19">
        <v>7</v>
      </c>
      <c r="T30" s="19">
        <v>12</v>
      </c>
      <c r="U30" s="19">
        <v>1</v>
      </c>
      <c r="V30" s="19">
        <v>1</v>
      </c>
    </row>
    <row r="31" spans="1:22" s="32" customFormat="1" ht="14.25" customHeight="1" x14ac:dyDescent="0.2">
      <c r="A31" s="108"/>
      <c r="B31" s="36" t="s">
        <v>39</v>
      </c>
      <c r="C31" s="37" t="s">
        <v>163</v>
      </c>
      <c r="D31" s="19">
        <v>3</v>
      </c>
      <c r="E31" s="19">
        <v>2</v>
      </c>
      <c r="F31" s="19">
        <v>1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1</v>
      </c>
      <c r="Q31" s="19">
        <v>1</v>
      </c>
      <c r="R31" s="19">
        <v>0</v>
      </c>
      <c r="S31" s="19">
        <v>1</v>
      </c>
      <c r="T31" s="19">
        <v>0</v>
      </c>
      <c r="U31" s="19">
        <v>0</v>
      </c>
      <c r="V31" s="19">
        <v>0</v>
      </c>
    </row>
    <row r="32" spans="1:22" s="32" customFormat="1" ht="14.25" customHeight="1" x14ac:dyDescent="0.2">
      <c r="A32" s="38" t="s">
        <v>54</v>
      </c>
      <c r="B32" s="29" t="s">
        <v>35</v>
      </c>
      <c r="C32" s="30" t="s">
        <v>36</v>
      </c>
      <c r="D32" s="31">
        <v>104</v>
      </c>
      <c r="E32" s="31">
        <v>47</v>
      </c>
      <c r="F32" s="31">
        <v>57</v>
      </c>
      <c r="G32" s="31">
        <v>0</v>
      </c>
      <c r="H32" s="31">
        <v>0</v>
      </c>
      <c r="I32" s="31">
        <v>1</v>
      </c>
      <c r="J32" s="31">
        <v>0</v>
      </c>
      <c r="K32" s="31">
        <v>6</v>
      </c>
      <c r="L32" s="31">
        <v>8</v>
      </c>
      <c r="M32" s="31">
        <v>7</v>
      </c>
      <c r="N32" s="31">
        <v>4</v>
      </c>
      <c r="O32" s="31">
        <v>1</v>
      </c>
      <c r="P32" s="31">
        <v>24</v>
      </c>
      <c r="Q32" s="31">
        <v>10</v>
      </c>
      <c r="R32" s="31">
        <v>8</v>
      </c>
      <c r="S32" s="31">
        <v>19</v>
      </c>
      <c r="T32" s="31">
        <v>10</v>
      </c>
      <c r="U32" s="31">
        <v>3</v>
      </c>
      <c r="V32" s="31">
        <v>3</v>
      </c>
    </row>
    <row r="33" spans="1:22" s="32" customFormat="1" ht="14.25" customHeight="1" x14ac:dyDescent="0.2">
      <c r="A33" s="108" t="s">
        <v>55</v>
      </c>
      <c r="B33" s="33" t="s">
        <v>37</v>
      </c>
      <c r="C33" s="34" t="s">
        <v>38</v>
      </c>
      <c r="D33" s="19">
        <v>91</v>
      </c>
      <c r="E33" s="19">
        <v>39</v>
      </c>
      <c r="F33" s="19">
        <v>52</v>
      </c>
      <c r="G33" s="19">
        <v>0</v>
      </c>
      <c r="H33" s="19">
        <v>0</v>
      </c>
      <c r="I33" s="19">
        <v>1</v>
      </c>
      <c r="J33" s="19">
        <v>0</v>
      </c>
      <c r="K33" s="19">
        <v>6</v>
      </c>
      <c r="L33" s="19">
        <v>8</v>
      </c>
      <c r="M33" s="19">
        <v>7</v>
      </c>
      <c r="N33" s="19">
        <v>4</v>
      </c>
      <c r="O33" s="19">
        <v>1</v>
      </c>
      <c r="P33" s="19">
        <v>22</v>
      </c>
      <c r="Q33" s="19">
        <v>8</v>
      </c>
      <c r="R33" s="19">
        <v>6</v>
      </c>
      <c r="S33" s="19">
        <v>13</v>
      </c>
      <c r="T33" s="19">
        <v>9</v>
      </c>
      <c r="U33" s="19">
        <v>3</v>
      </c>
      <c r="V33" s="19">
        <v>3</v>
      </c>
    </row>
    <row r="34" spans="1:22" s="32" customFormat="1" ht="14.25" customHeight="1" x14ac:dyDescent="0.2">
      <c r="A34" s="108"/>
      <c r="B34" s="36" t="s">
        <v>39</v>
      </c>
      <c r="C34" s="37" t="s">
        <v>163</v>
      </c>
      <c r="D34" s="19">
        <v>13</v>
      </c>
      <c r="E34" s="19">
        <v>8</v>
      </c>
      <c r="F34" s="19">
        <v>5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2</v>
      </c>
      <c r="Q34" s="19">
        <v>2</v>
      </c>
      <c r="R34" s="19">
        <v>2</v>
      </c>
      <c r="S34" s="19">
        <v>6</v>
      </c>
      <c r="T34" s="19">
        <v>1</v>
      </c>
      <c r="U34" s="19">
        <v>0</v>
      </c>
      <c r="V34" s="19">
        <v>0</v>
      </c>
    </row>
    <row r="35" spans="1:22" s="32" customFormat="1" ht="14.25" customHeight="1" x14ac:dyDescent="0.2">
      <c r="A35" s="38" t="s">
        <v>56</v>
      </c>
      <c r="B35" s="29" t="s">
        <v>35</v>
      </c>
      <c r="C35" s="30" t="s">
        <v>36</v>
      </c>
      <c r="D35" s="31">
        <v>53</v>
      </c>
      <c r="E35" s="31">
        <v>28</v>
      </c>
      <c r="F35" s="31">
        <v>25</v>
      </c>
      <c r="G35" s="31">
        <v>0</v>
      </c>
      <c r="H35" s="31">
        <v>0</v>
      </c>
      <c r="I35" s="31">
        <v>0</v>
      </c>
      <c r="J35" s="31">
        <v>1</v>
      </c>
      <c r="K35" s="31">
        <v>7</v>
      </c>
      <c r="L35" s="31">
        <v>1</v>
      </c>
      <c r="M35" s="31">
        <v>1</v>
      </c>
      <c r="N35" s="31">
        <v>1</v>
      </c>
      <c r="O35" s="31">
        <v>0</v>
      </c>
      <c r="P35" s="31">
        <v>7</v>
      </c>
      <c r="Q35" s="31">
        <v>13</v>
      </c>
      <c r="R35" s="31">
        <v>11</v>
      </c>
      <c r="S35" s="31">
        <v>6</v>
      </c>
      <c r="T35" s="31">
        <v>3</v>
      </c>
      <c r="U35" s="31">
        <v>1</v>
      </c>
      <c r="V35" s="31">
        <v>1</v>
      </c>
    </row>
    <row r="36" spans="1:22" s="32" customFormat="1" ht="14.25" customHeight="1" x14ac:dyDescent="0.2">
      <c r="A36" s="108" t="s">
        <v>57</v>
      </c>
      <c r="B36" s="33" t="s">
        <v>37</v>
      </c>
      <c r="C36" s="34" t="s">
        <v>38</v>
      </c>
      <c r="D36" s="19">
        <v>47</v>
      </c>
      <c r="E36" s="19">
        <v>24</v>
      </c>
      <c r="F36" s="19">
        <v>23</v>
      </c>
      <c r="G36" s="19">
        <v>0</v>
      </c>
      <c r="H36" s="19">
        <v>0</v>
      </c>
      <c r="I36" s="19">
        <v>0</v>
      </c>
      <c r="J36" s="19">
        <v>1</v>
      </c>
      <c r="K36" s="19">
        <v>7</v>
      </c>
      <c r="L36" s="19">
        <v>1</v>
      </c>
      <c r="M36" s="19">
        <v>1</v>
      </c>
      <c r="N36" s="19">
        <v>1</v>
      </c>
      <c r="O36" s="19">
        <v>0</v>
      </c>
      <c r="P36" s="19">
        <v>7</v>
      </c>
      <c r="Q36" s="19">
        <v>9</v>
      </c>
      <c r="R36" s="19">
        <v>9</v>
      </c>
      <c r="S36" s="19">
        <v>6</v>
      </c>
      <c r="T36" s="19">
        <v>3</v>
      </c>
      <c r="U36" s="19">
        <v>1</v>
      </c>
      <c r="V36" s="19">
        <v>1</v>
      </c>
    </row>
    <row r="37" spans="1:22" s="32" customFormat="1" ht="14.25" customHeight="1" x14ac:dyDescent="0.2">
      <c r="A37" s="108"/>
      <c r="B37" s="36" t="s">
        <v>39</v>
      </c>
      <c r="C37" s="37" t="s">
        <v>163</v>
      </c>
      <c r="D37" s="19">
        <v>6</v>
      </c>
      <c r="E37" s="19">
        <v>4</v>
      </c>
      <c r="F37" s="19">
        <v>2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4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</row>
    <row r="38" spans="1:22" s="32" customFormat="1" ht="14.25" customHeight="1" x14ac:dyDescent="0.2">
      <c r="A38" s="38" t="s">
        <v>58</v>
      </c>
      <c r="B38" s="29" t="s">
        <v>35</v>
      </c>
      <c r="C38" s="30" t="s">
        <v>36</v>
      </c>
      <c r="D38" s="31">
        <v>159</v>
      </c>
      <c r="E38" s="31">
        <v>60</v>
      </c>
      <c r="F38" s="31">
        <v>99</v>
      </c>
      <c r="G38" s="31">
        <v>0</v>
      </c>
      <c r="H38" s="31">
        <v>0</v>
      </c>
      <c r="I38" s="31">
        <v>0</v>
      </c>
      <c r="J38" s="31">
        <v>0</v>
      </c>
      <c r="K38" s="31">
        <v>11</v>
      </c>
      <c r="L38" s="31">
        <v>12</v>
      </c>
      <c r="M38" s="31">
        <v>2</v>
      </c>
      <c r="N38" s="31">
        <v>8</v>
      </c>
      <c r="O38" s="31">
        <v>5</v>
      </c>
      <c r="P38" s="31">
        <v>37</v>
      </c>
      <c r="Q38" s="31">
        <v>17</v>
      </c>
      <c r="R38" s="31">
        <v>17</v>
      </c>
      <c r="S38" s="31">
        <v>24</v>
      </c>
      <c r="T38" s="31">
        <v>21</v>
      </c>
      <c r="U38" s="31">
        <v>1</v>
      </c>
      <c r="V38" s="31">
        <v>4</v>
      </c>
    </row>
    <row r="39" spans="1:22" s="32" customFormat="1" ht="14.25" customHeight="1" x14ac:dyDescent="0.2">
      <c r="A39" s="108" t="s">
        <v>59</v>
      </c>
      <c r="B39" s="33" t="s">
        <v>37</v>
      </c>
      <c r="C39" s="34" t="s">
        <v>38</v>
      </c>
      <c r="D39" s="19">
        <v>149</v>
      </c>
      <c r="E39" s="19">
        <v>57</v>
      </c>
      <c r="F39" s="19">
        <v>92</v>
      </c>
      <c r="G39" s="19">
        <v>0</v>
      </c>
      <c r="H39" s="19">
        <v>0</v>
      </c>
      <c r="I39" s="19">
        <v>0</v>
      </c>
      <c r="J39" s="19">
        <v>0</v>
      </c>
      <c r="K39" s="19">
        <v>11</v>
      </c>
      <c r="L39" s="19">
        <v>12</v>
      </c>
      <c r="M39" s="19">
        <v>1</v>
      </c>
      <c r="N39" s="19">
        <v>8</v>
      </c>
      <c r="O39" s="19">
        <v>5</v>
      </c>
      <c r="P39" s="19">
        <v>32</v>
      </c>
      <c r="Q39" s="19">
        <v>16</v>
      </c>
      <c r="R39" s="19">
        <v>15</v>
      </c>
      <c r="S39" s="19">
        <v>23</v>
      </c>
      <c r="T39" s="19">
        <v>21</v>
      </c>
      <c r="U39" s="19">
        <v>1</v>
      </c>
      <c r="V39" s="19">
        <v>4</v>
      </c>
    </row>
    <row r="40" spans="1:22" s="32" customFormat="1" ht="14.25" customHeight="1" x14ac:dyDescent="0.2">
      <c r="A40" s="108"/>
      <c r="B40" s="36" t="s">
        <v>39</v>
      </c>
      <c r="C40" s="37" t="s">
        <v>163</v>
      </c>
      <c r="D40" s="19">
        <v>10</v>
      </c>
      <c r="E40" s="19">
        <v>3</v>
      </c>
      <c r="F40" s="19">
        <v>7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1</v>
      </c>
      <c r="N40" s="19">
        <v>0</v>
      </c>
      <c r="O40" s="19">
        <v>0</v>
      </c>
      <c r="P40" s="19">
        <v>5</v>
      </c>
      <c r="Q40" s="19">
        <v>1</v>
      </c>
      <c r="R40" s="19">
        <v>2</v>
      </c>
      <c r="S40" s="19">
        <v>1</v>
      </c>
      <c r="T40" s="19">
        <v>0</v>
      </c>
      <c r="U40" s="19">
        <v>0</v>
      </c>
      <c r="V40" s="19">
        <v>0</v>
      </c>
    </row>
    <row r="41" spans="1:22" s="32" customFormat="1" ht="14.25" customHeight="1" x14ac:dyDescent="0.2">
      <c r="A41" s="38" t="s">
        <v>60</v>
      </c>
      <c r="B41" s="29" t="s">
        <v>35</v>
      </c>
      <c r="C41" s="30" t="s">
        <v>36</v>
      </c>
      <c r="D41" s="31">
        <v>55</v>
      </c>
      <c r="E41" s="31">
        <v>25</v>
      </c>
      <c r="F41" s="31">
        <v>30</v>
      </c>
      <c r="G41" s="31">
        <v>0</v>
      </c>
      <c r="H41" s="31">
        <v>0</v>
      </c>
      <c r="I41" s="31">
        <v>0</v>
      </c>
      <c r="J41" s="31">
        <v>0</v>
      </c>
      <c r="K41" s="31">
        <v>1</v>
      </c>
      <c r="L41" s="31">
        <v>2</v>
      </c>
      <c r="M41" s="31">
        <v>1</v>
      </c>
      <c r="N41" s="31">
        <v>0</v>
      </c>
      <c r="O41" s="31">
        <v>0</v>
      </c>
      <c r="P41" s="31">
        <v>4</v>
      </c>
      <c r="Q41" s="31">
        <v>13</v>
      </c>
      <c r="R41" s="31">
        <v>10</v>
      </c>
      <c r="S41" s="31">
        <v>10</v>
      </c>
      <c r="T41" s="31">
        <v>12</v>
      </c>
      <c r="U41" s="31">
        <v>0</v>
      </c>
      <c r="V41" s="31">
        <v>2</v>
      </c>
    </row>
    <row r="42" spans="1:22" s="32" customFormat="1" ht="14.25" customHeight="1" x14ac:dyDescent="0.2">
      <c r="A42" s="108" t="s">
        <v>61</v>
      </c>
      <c r="B42" s="33" t="s">
        <v>37</v>
      </c>
      <c r="C42" s="34" t="s">
        <v>38</v>
      </c>
      <c r="D42" s="19">
        <v>46</v>
      </c>
      <c r="E42" s="19">
        <v>19</v>
      </c>
      <c r="F42" s="19">
        <v>27</v>
      </c>
      <c r="G42" s="19">
        <v>0</v>
      </c>
      <c r="H42" s="19">
        <v>0</v>
      </c>
      <c r="I42" s="19">
        <v>0</v>
      </c>
      <c r="J42" s="19">
        <v>0</v>
      </c>
      <c r="K42" s="19">
        <v>1</v>
      </c>
      <c r="L42" s="19">
        <v>2</v>
      </c>
      <c r="M42" s="19">
        <v>1</v>
      </c>
      <c r="N42" s="19">
        <v>0</v>
      </c>
      <c r="O42" s="19">
        <v>0</v>
      </c>
      <c r="P42" s="19">
        <v>4</v>
      </c>
      <c r="Q42" s="19">
        <v>9</v>
      </c>
      <c r="R42" s="19">
        <v>9</v>
      </c>
      <c r="S42" s="19">
        <v>8</v>
      </c>
      <c r="T42" s="19">
        <v>10</v>
      </c>
      <c r="U42" s="19">
        <v>0</v>
      </c>
      <c r="V42" s="19">
        <v>2</v>
      </c>
    </row>
    <row r="43" spans="1:22" s="32" customFormat="1" ht="14.25" customHeight="1" x14ac:dyDescent="0.2">
      <c r="A43" s="108"/>
      <c r="B43" s="36" t="s">
        <v>39</v>
      </c>
      <c r="C43" s="37" t="s">
        <v>163</v>
      </c>
      <c r="D43" s="19">
        <v>9</v>
      </c>
      <c r="E43" s="19">
        <v>6</v>
      </c>
      <c r="F43" s="19">
        <v>3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4</v>
      </c>
      <c r="R43" s="19">
        <v>1</v>
      </c>
      <c r="S43" s="19">
        <v>2</v>
      </c>
      <c r="T43" s="19">
        <v>2</v>
      </c>
      <c r="U43" s="19">
        <v>0</v>
      </c>
      <c r="V43" s="19">
        <v>0</v>
      </c>
    </row>
    <row r="44" spans="1:22" s="32" customFormat="1" ht="14.25" customHeight="1" x14ac:dyDescent="0.2">
      <c r="A44" s="38" t="s">
        <v>62</v>
      </c>
      <c r="B44" s="29" t="s">
        <v>35</v>
      </c>
      <c r="C44" s="30" t="s">
        <v>36</v>
      </c>
      <c r="D44" s="31">
        <v>86</v>
      </c>
      <c r="E44" s="31">
        <v>42</v>
      </c>
      <c r="F44" s="31">
        <v>44</v>
      </c>
      <c r="G44" s="31">
        <v>1</v>
      </c>
      <c r="H44" s="31">
        <v>0</v>
      </c>
      <c r="I44" s="31">
        <v>1</v>
      </c>
      <c r="J44" s="31">
        <v>0</v>
      </c>
      <c r="K44" s="31">
        <v>7</v>
      </c>
      <c r="L44" s="31">
        <v>6</v>
      </c>
      <c r="M44" s="31">
        <v>3</v>
      </c>
      <c r="N44" s="31">
        <v>2</v>
      </c>
      <c r="O44" s="31">
        <v>2</v>
      </c>
      <c r="P44" s="31">
        <v>5</v>
      </c>
      <c r="Q44" s="31">
        <v>8</v>
      </c>
      <c r="R44" s="31">
        <v>8</v>
      </c>
      <c r="S44" s="31">
        <v>17</v>
      </c>
      <c r="T44" s="31">
        <v>18</v>
      </c>
      <c r="U44" s="31">
        <v>3</v>
      </c>
      <c r="V44" s="31">
        <v>5</v>
      </c>
    </row>
    <row r="45" spans="1:22" s="32" customFormat="1" ht="14.25" customHeight="1" x14ac:dyDescent="0.2">
      <c r="A45" s="108" t="s">
        <v>63</v>
      </c>
      <c r="B45" s="33" t="s">
        <v>37</v>
      </c>
      <c r="C45" s="34" t="s">
        <v>38</v>
      </c>
      <c r="D45" s="19">
        <v>82</v>
      </c>
      <c r="E45" s="19">
        <v>41</v>
      </c>
      <c r="F45" s="19">
        <v>41</v>
      </c>
      <c r="G45" s="19">
        <v>1</v>
      </c>
      <c r="H45" s="19">
        <v>0</v>
      </c>
      <c r="I45" s="19">
        <v>1</v>
      </c>
      <c r="J45" s="19">
        <v>0</v>
      </c>
      <c r="K45" s="19">
        <v>7</v>
      </c>
      <c r="L45" s="19">
        <v>6</v>
      </c>
      <c r="M45" s="19">
        <v>3</v>
      </c>
      <c r="N45" s="19">
        <v>2</v>
      </c>
      <c r="O45" s="19">
        <v>2</v>
      </c>
      <c r="P45" s="19">
        <v>4</v>
      </c>
      <c r="Q45" s="19">
        <v>7</v>
      </c>
      <c r="R45" s="19">
        <v>8</v>
      </c>
      <c r="S45" s="19">
        <v>17</v>
      </c>
      <c r="T45" s="19">
        <v>16</v>
      </c>
      <c r="U45" s="19">
        <v>3</v>
      </c>
      <c r="V45" s="19">
        <v>5</v>
      </c>
    </row>
    <row r="46" spans="1:22" s="32" customFormat="1" ht="14.25" customHeight="1" x14ac:dyDescent="0.2">
      <c r="A46" s="108"/>
      <c r="B46" s="36" t="s">
        <v>39</v>
      </c>
      <c r="C46" s="37" t="s">
        <v>163</v>
      </c>
      <c r="D46" s="19">
        <v>4</v>
      </c>
      <c r="E46" s="19">
        <v>1</v>
      </c>
      <c r="F46" s="19">
        <v>3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1</v>
      </c>
      <c r="Q46" s="19">
        <v>1</v>
      </c>
      <c r="R46" s="19">
        <v>0</v>
      </c>
      <c r="S46" s="19">
        <v>0</v>
      </c>
      <c r="T46" s="19">
        <v>2</v>
      </c>
      <c r="U46" s="19">
        <v>0</v>
      </c>
      <c r="V46" s="19">
        <v>0</v>
      </c>
    </row>
    <row r="47" spans="1:22" s="32" customFormat="1" ht="14.25" customHeight="1" x14ac:dyDescent="0.2">
      <c r="A47" s="38" t="s">
        <v>64</v>
      </c>
      <c r="B47" s="29" t="s">
        <v>35</v>
      </c>
      <c r="C47" s="30" t="s">
        <v>36</v>
      </c>
      <c r="D47" s="31">
        <v>42</v>
      </c>
      <c r="E47" s="31">
        <v>15</v>
      </c>
      <c r="F47" s="31">
        <v>27</v>
      </c>
      <c r="G47" s="31">
        <v>0</v>
      </c>
      <c r="H47" s="31">
        <v>0</v>
      </c>
      <c r="I47" s="31">
        <v>0</v>
      </c>
      <c r="J47" s="31">
        <v>0</v>
      </c>
      <c r="K47" s="31">
        <v>2</v>
      </c>
      <c r="L47" s="31">
        <v>1</v>
      </c>
      <c r="M47" s="31">
        <v>2</v>
      </c>
      <c r="N47" s="31">
        <v>1</v>
      </c>
      <c r="O47" s="31">
        <v>2</v>
      </c>
      <c r="P47" s="31">
        <v>10</v>
      </c>
      <c r="Q47" s="31">
        <v>6</v>
      </c>
      <c r="R47" s="31">
        <v>10</v>
      </c>
      <c r="S47" s="31">
        <v>3</v>
      </c>
      <c r="T47" s="31">
        <v>5</v>
      </c>
      <c r="U47" s="31">
        <v>0</v>
      </c>
      <c r="V47" s="31">
        <v>0</v>
      </c>
    </row>
    <row r="48" spans="1:22" s="32" customFormat="1" ht="14.25" customHeight="1" x14ac:dyDescent="0.2">
      <c r="A48" s="108" t="s">
        <v>65</v>
      </c>
      <c r="B48" s="33" t="s">
        <v>37</v>
      </c>
      <c r="C48" s="34" t="s">
        <v>38</v>
      </c>
      <c r="D48" s="19">
        <v>41</v>
      </c>
      <c r="E48" s="19">
        <v>14</v>
      </c>
      <c r="F48" s="19">
        <v>27</v>
      </c>
      <c r="G48" s="19">
        <v>0</v>
      </c>
      <c r="H48" s="19">
        <v>0</v>
      </c>
      <c r="I48" s="19">
        <v>0</v>
      </c>
      <c r="J48" s="19">
        <v>0</v>
      </c>
      <c r="K48" s="19">
        <v>2</v>
      </c>
      <c r="L48" s="19">
        <v>1</v>
      </c>
      <c r="M48" s="19">
        <v>2</v>
      </c>
      <c r="N48" s="19">
        <v>1</v>
      </c>
      <c r="O48" s="19">
        <v>2</v>
      </c>
      <c r="P48" s="19">
        <v>10</v>
      </c>
      <c r="Q48" s="19">
        <v>5</v>
      </c>
      <c r="R48" s="19">
        <v>10</v>
      </c>
      <c r="S48" s="19">
        <v>3</v>
      </c>
      <c r="T48" s="19">
        <v>5</v>
      </c>
      <c r="U48" s="19">
        <v>0</v>
      </c>
      <c r="V48" s="19">
        <v>0</v>
      </c>
    </row>
    <row r="49" spans="1:22" s="32" customFormat="1" ht="14.25" customHeight="1" x14ac:dyDescent="0.2">
      <c r="A49" s="108"/>
      <c r="B49" s="36" t="s">
        <v>39</v>
      </c>
      <c r="C49" s="37" t="s">
        <v>163</v>
      </c>
      <c r="D49" s="19">
        <v>1</v>
      </c>
      <c r="E49" s="19">
        <v>1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1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</row>
    <row r="50" spans="1:22" s="32" customFormat="1" ht="14.25" customHeight="1" x14ac:dyDescent="0.2">
      <c r="A50" s="38" t="s">
        <v>66</v>
      </c>
      <c r="B50" s="29" t="s">
        <v>35</v>
      </c>
      <c r="C50" s="30" t="s">
        <v>36</v>
      </c>
      <c r="D50" s="31">
        <v>243</v>
      </c>
      <c r="E50" s="31">
        <v>112</v>
      </c>
      <c r="F50" s="31">
        <v>131</v>
      </c>
      <c r="G50" s="31">
        <v>0</v>
      </c>
      <c r="H50" s="31">
        <v>0</v>
      </c>
      <c r="I50" s="31">
        <v>0</v>
      </c>
      <c r="J50" s="31">
        <v>1</v>
      </c>
      <c r="K50" s="31">
        <v>18</v>
      </c>
      <c r="L50" s="31">
        <v>17</v>
      </c>
      <c r="M50" s="31">
        <v>7</v>
      </c>
      <c r="N50" s="31">
        <v>6</v>
      </c>
      <c r="O50" s="31">
        <v>4</v>
      </c>
      <c r="P50" s="31">
        <v>10</v>
      </c>
      <c r="Q50" s="31">
        <v>17</v>
      </c>
      <c r="R50" s="31">
        <v>23</v>
      </c>
      <c r="S50" s="31">
        <v>58</v>
      </c>
      <c r="T50" s="31">
        <v>67</v>
      </c>
      <c r="U50" s="31">
        <v>8</v>
      </c>
      <c r="V50" s="31">
        <v>7</v>
      </c>
    </row>
    <row r="51" spans="1:22" s="32" customFormat="1" ht="14.25" customHeight="1" x14ac:dyDescent="0.2">
      <c r="A51" s="108" t="s">
        <v>67</v>
      </c>
      <c r="B51" s="33" t="s">
        <v>37</v>
      </c>
      <c r="C51" s="34" t="s">
        <v>38</v>
      </c>
      <c r="D51" s="19">
        <v>203</v>
      </c>
      <c r="E51" s="19">
        <v>92</v>
      </c>
      <c r="F51" s="19">
        <v>111</v>
      </c>
      <c r="G51" s="19">
        <v>0</v>
      </c>
      <c r="H51" s="19">
        <v>0</v>
      </c>
      <c r="I51" s="19">
        <v>0</v>
      </c>
      <c r="J51" s="19">
        <v>1</v>
      </c>
      <c r="K51" s="19">
        <v>16</v>
      </c>
      <c r="L51" s="19">
        <v>15</v>
      </c>
      <c r="M51" s="19">
        <v>4</v>
      </c>
      <c r="N51" s="19">
        <v>4</v>
      </c>
      <c r="O51" s="19">
        <v>2</v>
      </c>
      <c r="P51" s="19">
        <v>9</v>
      </c>
      <c r="Q51" s="19">
        <v>13</v>
      </c>
      <c r="R51" s="19">
        <v>23</v>
      </c>
      <c r="S51" s="19">
        <v>50</v>
      </c>
      <c r="T51" s="19">
        <v>54</v>
      </c>
      <c r="U51" s="19">
        <v>7</v>
      </c>
      <c r="V51" s="19">
        <v>5</v>
      </c>
    </row>
    <row r="52" spans="1:22" s="32" customFormat="1" ht="14.25" customHeight="1" x14ac:dyDescent="0.2">
      <c r="A52" s="108"/>
      <c r="B52" s="36" t="s">
        <v>39</v>
      </c>
      <c r="C52" s="37" t="s">
        <v>163</v>
      </c>
      <c r="D52" s="19">
        <v>40</v>
      </c>
      <c r="E52" s="19">
        <v>20</v>
      </c>
      <c r="F52" s="19">
        <v>20</v>
      </c>
      <c r="G52" s="19">
        <v>0</v>
      </c>
      <c r="H52" s="19">
        <v>0</v>
      </c>
      <c r="I52" s="19">
        <v>0</v>
      </c>
      <c r="J52" s="19">
        <v>0</v>
      </c>
      <c r="K52" s="19">
        <v>2</v>
      </c>
      <c r="L52" s="19">
        <v>2</v>
      </c>
      <c r="M52" s="19">
        <v>3</v>
      </c>
      <c r="N52" s="19">
        <v>2</v>
      </c>
      <c r="O52" s="19">
        <v>2</v>
      </c>
      <c r="P52" s="19">
        <v>1</v>
      </c>
      <c r="Q52" s="19">
        <v>4</v>
      </c>
      <c r="R52" s="19">
        <v>0</v>
      </c>
      <c r="S52" s="19">
        <v>8</v>
      </c>
      <c r="T52" s="19">
        <v>13</v>
      </c>
      <c r="U52" s="19">
        <v>1</v>
      </c>
      <c r="V52" s="19">
        <v>2</v>
      </c>
    </row>
    <row r="53" spans="1:22" s="32" customFormat="1" ht="14.25" customHeight="1" x14ac:dyDescent="0.2">
      <c r="A53" s="38" t="s">
        <v>68</v>
      </c>
      <c r="B53" s="29" t="s">
        <v>35</v>
      </c>
      <c r="C53" s="30" t="s">
        <v>36</v>
      </c>
      <c r="D53" s="31">
        <v>72</v>
      </c>
      <c r="E53" s="31">
        <v>38</v>
      </c>
      <c r="F53" s="31">
        <v>34</v>
      </c>
      <c r="G53" s="31">
        <v>0</v>
      </c>
      <c r="H53" s="31">
        <v>0</v>
      </c>
      <c r="I53" s="31">
        <v>0</v>
      </c>
      <c r="J53" s="31">
        <v>0</v>
      </c>
      <c r="K53" s="31">
        <v>6</v>
      </c>
      <c r="L53" s="31">
        <v>2</v>
      </c>
      <c r="M53" s="31">
        <v>4</v>
      </c>
      <c r="N53" s="31">
        <v>5</v>
      </c>
      <c r="O53" s="31">
        <v>0</v>
      </c>
      <c r="P53" s="31">
        <v>12</v>
      </c>
      <c r="Q53" s="31">
        <v>4</v>
      </c>
      <c r="R53" s="31">
        <v>8</v>
      </c>
      <c r="S53" s="31">
        <v>24</v>
      </c>
      <c r="T53" s="31">
        <v>7</v>
      </c>
      <c r="U53" s="31">
        <v>0</v>
      </c>
      <c r="V53" s="31">
        <v>0</v>
      </c>
    </row>
    <row r="54" spans="1:22" s="32" customFormat="1" ht="14.25" customHeight="1" x14ac:dyDescent="0.2">
      <c r="A54" s="108" t="s">
        <v>69</v>
      </c>
      <c r="B54" s="33" t="s">
        <v>37</v>
      </c>
      <c r="C54" s="34" t="s">
        <v>38</v>
      </c>
      <c r="D54" s="19">
        <v>18</v>
      </c>
      <c r="E54" s="19">
        <v>10</v>
      </c>
      <c r="F54" s="19">
        <v>8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4</v>
      </c>
      <c r="N54" s="19">
        <v>2</v>
      </c>
      <c r="O54" s="19">
        <v>0</v>
      </c>
      <c r="P54" s="19">
        <v>3</v>
      </c>
      <c r="Q54" s="19">
        <v>0</v>
      </c>
      <c r="R54" s="19">
        <v>2</v>
      </c>
      <c r="S54" s="19">
        <v>6</v>
      </c>
      <c r="T54" s="19">
        <v>1</v>
      </c>
      <c r="U54" s="19">
        <v>0</v>
      </c>
      <c r="V54" s="19">
        <v>0</v>
      </c>
    </row>
    <row r="55" spans="1:22" s="32" customFormat="1" ht="14.25" customHeight="1" x14ac:dyDescent="0.2">
      <c r="A55" s="108"/>
      <c r="B55" s="36" t="s">
        <v>39</v>
      </c>
      <c r="C55" s="37" t="s">
        <v>163</v>
      </c>
      <c r="D55" s="19">
        <v>54</v>
      </c>
      <c r="E55" s="19">
        <v>28</v>
      </c>
      <c r="F55" s="19">
        <v>26</v>
      </c>
      <c r="G55" s="19">
        <v>0</v>
      </c>
      <c r="H55" s="19">
        <v>0</v>
      </c>
      <c r="I55" s="19">
        <v>0</v>
      </c>
      <c r="J55" s="19">
        <v>0</v>
      </c>
      <c r="K55" s="19">
        <v>6</v>
      </c>
      <c r="L55" s="19">
        <v>2</v>
      </c>
      <c r="M55" s="19">
        <v>0</v>
      </c>
      <c r="N55" s="19">
        <v>3</v>
      </c>
      <c r="O55" s="19">
        <v>0</v>
      </c>
      <c r="P55" s="19">
        <v>9</v>
      </c>
      <c r="Q55" s="19">
        <v>4</v>
      </c>
      <c r="R55" s="19">
        <v>6</v>
      </c>
      <c r="S55" s="19">
        <v>18</v>
      </c>
      <c r="T55" s="19">
        <v>6</v>
      </c>
      <c r="U55" s="19">
        <v>0</v>
      </c>
      <c r="V55" s="19">
        <v>0</v>
      </c>
    </row>
    <row r="56" spans="1:22" s="32" customFormat="1" ht="14.25" customHeight="1" x14ac:dyDescent="0.2">
      <c r="A56" s="38" t="s">
        <v>70</v>
      </c>
      <c r="B56" s="29" t="s">
        <v>35</v>
      </c>
      <c r="C56" s="30" t="s">
        <v>36</v>
      </c>
      <c r="D56" s="31">
        <v>83</v>
      </c>
      <c r="E56" s="31">
        <v>40</v>
      </c>
      <c r="F56" s="31">
        <v>43</v>
      </c>
      <c r="G56" s="31">
        <v>0</v>
      </c>
      <c r="H56" s="31">
        <v>0</v>
      </c>
      <c r="I56" s="31">
        <v>1</v>
      </c>
      <c r="J56" s="31">
        <v>1</v>
      </c>
      <c r="K56" s="31">
        <v>7</v>
      </c>
      <c r="L56" s="31">
        <v>8</v>
      </c>
      <c r="M56" s="31">
        <v>2</v>
      </c>
      <c r="N56" s="31">
        <v>2</v>
      </c>
      <c r="O56" s="31">
        <v>1</v>
      </c>
      <c r="P56" s="31">
        <v>20</v>
      </c>
      <c r="Q56" s="31">
        <v>12</v>
      </c>
      <c r="R56" s="31">
        <v>8</v>
      </c>
      <c r="S56" s="31">
        <v>17</v>
      </c>
      <c r="T56" s="31">
        <v>4</v>
      </c>
      <c r="U56" s="31">
        <v>0</v>
      </c>
      <c r="V56" s="31">
        <v>0</v>
      </c>
    </row>
    <row r="57" spans="1:22" s="32" customFormat="1" ht="14.25" customHeight="1" x14ac:dyDescent="0.2">
      <c r="A57" s="108" t="s">
        <v>71</v>
      </c>
      <c r="B57" s="33" t="s">
        <v>37</v>
      </c>
      <c r="C57" s="34" t="s">
        <v>38</v>
      </c>
      <c r="D57" s="19">
        <v>23</v>
      </c>
      <c r="E57" s="19">
        <v>15</v>
      </c>
      <c r="F57" s="19">
        <v>8</v>
      </c>
      <c r="G57" s="19">
        <v>0</v>
      </c>
      <c r="H57" s="19">
        <v>0</v>
      </c>
      <c r="I57" s="19">
        <v>1</v>
      </c>
      <c r="J57" s="19">
        <v>1</v>
      </c>
      <c r="K57" s="19">
        <v>2</v>
      </c>
      <c r="L57" s="19">
        <v>1</v>
      </c>
      <c r="M57" s="19">
        <v>0</v>
      </c>
      <c r="N57" s="19">
        <v>0</v>
      </c>
      <c r="O57" s="19">
        <v>1</v>
      </c>
      <c r="P57" s="19">
        <v>2</v>
      </c>
      <c r="Q57" s="19">
        <v>4</v>
      </c>
      <c r="R57" s="19">
        <v>3</v>
      </c>
      <c r="S57" s="19">
        <v>7</v>
      </c>
      <c r="T57" s="19">
        <v>1</v>
      </c>
      <c r="U57" s="19">
        <v>0</v>
      </c>
      <c r="V57" s="19">
        <v>0</v>
      </c>
    </row>
    <row r="58" spans="1:22" s="32" customFormat="1" ht="14.25" customHeight="1" x14ac:dyDescent="0.2">
      <c r="A58" s="108"/>
      <c r="B58" s="36" t="s">
        <v>39</v>
      </c>
      <c r="C58" s="37" t="s">
        <v>163</v>
      </c>
      <c r="D58" s="19">
        <v>60</v>
      </c>
      <c r="E58" s="19">
        <v>25</v>
      </c>
      <c r="F58" s="19">
        <v>35</v>
      </c>
      <c r="G58" s="19">
        <v>0</v>
      </c>
      <c r="H58" s="19">
        <v>0</v>
      </c>
      <c r="I58" s="19">
        <v>0</v>
      </c>
      <c r="J58" s="19">
        <v>0</v>
      </c>
      <c r="K58" s="19">
        <v>5</v>
      </c>
      <c r="L58" s="19">
        <v>7</v>
      </c>
      <c r="M58" s="19">
        <v>2</v>
      </c>
      <c r="N58" s="19">
        <v>2</v>
      </c>
      <c r="O58" s="19">
        <v>0</v>
      </c>
      <c r="P58" s="19">
        <v>18</v>
      </c>
      <c r="Q58" s="19">
        <v>8</v>
      </c>
      <c r="R58" s="19">
        <v>5</v>
      </c>
      <c r="S58" s="19">
        <v>10</v>
      </c>
      <c r="T58" s="19">
        <v>3</v>
      </c>
      <c r="U58" s="19">
        <v>0</v>
      </c>
      <c r="V58" s="19">
        <v>0</v>
      </c>
    </row>
    <row r="59" spans="1:22" s="32" customFormat="1" ht="14.25" customHeight="1" x14ac:dyDescent="0.2">
      <c r="A59" s="38" t="s">
        <v>72</v>
      </c>
      <c r="B59" s="29" t="s">
        <v>35</v>
      </c>
      <c r="C59" s="30" t="s">
        <v>36</v>
      </c>
      <c r="D59" s="31">
        <v>6</v>
      </c>
      <c r="E59" s="31">
        <v>3</v>
      </c>
      <c r="F59" s="31">
        <v>3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1</v>
      </c>
      <c r="M59" s="31">
        <v>1</v>
      </c>
      <c r="N59" s="31">
        <v>0</v>
      </c>
      <c r="O59" s="31">
        <v>0</v>
      </c>
      <c r="P59" s="31">
        <v>0</v>
      </c>
      <c r="Q59" s="31">
        <v>0</v>
      </c>
      <c r="R59" s="31">
        <v>2</v>
      </c>
      <c r="S59" s="31">
        <v>2</v>
      </c>
      <c r="T59" s="31">
        <v>0</v>
      </c>
      <c r="U59" s="31">
        <v>0</v>
      </c>
      <c r="V59" s="31">
        <v>0</v>
      </c>
    </row>
    <row r="60" spans="1:22" s="32" customFormat="1" ht="14.25" customHeight="1" x14ac:dyDescent="0.2">
      <c r="A60" s="108" t="s">
        <v>73</v>
      </c>
      <c r="B60" s="33" t="s">
        <v>37</v>
      </c>
      <c r="C60" s="34" t="s">
        <v>38</v>
      </c>
      <c r="D60" s="19">
        <v>6</v>
      </c>
      <c r="E60" s="19">
        <v>3</v>
      </c>
      <c r="F60" s="19">
        <v>3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1</v>
      </c>
      <c r="M60" s="19">
        <v>1</v>
      </c>
      <c r="N60" s="19">
        <v>0</v>
      </c>
      <c r="O60" s="19">
        <v>0</v>
      </c>
      <c r="P60" s="19">
        <v>0</v>
      </c>
      <c r="Q60" s="19">
        <v>0</v>
      </c>
      <c r="R60" s="19">
        <v>2</v>
      </c>
      <c r="S60" s="19">
        <v>2</v>
      </c>
      <c r="T60" s="19">
        <v>0</v>
      </c>
      <c r="U60" s="19">
        <v>0</v>
      </c>
      <c r="V60" s="19">
        <v>0</v>
      </c>
    </row>
    <row r="61" spans="1:22" s="32" customFormat="1" ht="14.25" customHeight="1" x14ac:dyDescent="0.2">
      <c r="A61" s="108"/>
      <c r="B61" s="36" t="s">
        <v>39</v>
      </c>
      <c r="C61" s="37" t="s">
        <v>163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</row>
    <row r="62" spans="1:22" s="32" customFormat="1" ht="14.25" customHeight="1" x14ac:dyDescent="0.2">
      <c r="A62" s="38" t="s">
        <v>74</v>
      </c>
      <c r="B62" s="29" t="s">
        <v>35</v>
      </c>
      <c r="C62" s="30" t="s">
        <v>36</v>
      </c>
      <c r="D62" s="31">
        <v>73</v>
      </c>
      <c r="E62" s="31">
        <v>38</v>
      </c>
      <c r="F62" s="31">
        <v>35</v>
      </c>
      <c r="G62" s="31">
        <v>0</v>
      </c>
      <c r="H62" s="31">
        <v>2</v>
      </c>
      <c r="I62" s="31">
        <v>0</v>
      </c>
      <c r="J62" s="31">
        <v>0</v>
      </c>
      <c r="K62" s="31">
        <v>6</v>
      </c>
      <c r="L62" s="31">
        <v>4</v>
      </c>
      <c r="M62" s="31">
        <v>1</v>
      </c>
      <c r="N62" s="31">
        <v>2</v>
      </c>
      <c r="O62" s="31">
        <v>0</v>
      </c>
      <c r="P62" s="31">
        <v>10</v>
      </c>
      <c r="Q62" s="31">
        <v>10</v>
      </c>
      <c r="R62" s="31">
        <v>6</v>
      </c>
      <c r="S62" s="31">
        <v>19</v>
      </c>
      <c r="T62" s="31">
        <v>10</v>
      </c>
      <c r="U62" s="31">
        <v>2</v>
      </c>
      <c r="V62" s="31">
        <v>1</v>
      </c>
    </row>
    <row r="63" spans="1:22" s="32" customFormat="1" ht="14.25" customHeight="1" x14ac:dyDescent="0.2">
      <c r="A63" s="108" t="s">
        <v>75</v>
      </c>
      <c r="B63" s="33" t="s">
        <v>37</v>
      </c>
      <c r="C63" s="34" t="s">
        <v>38</v>
      </c>
      <c r="D63" s="19">
        <v>72</v>
      </c>
      <c r="E63" s="19">
        <v>38</v>
      </c>
      <c r="F63" s="19">
        <v>34</v>
      </c>
      <c r="G63" s="19">
        <v>0</v>
      </c>
      <c r="H63" s="19">
        <v>2</v>
      </c>
      <c r="I63" s="19">
        <v>0</v>
      </c>
      <c r="J63" s="19">
        <v>0</v>
      </c>
      <c r="K63" s="19">
        <v>6</v>
      </c>
      <c r="L63" s="19">
        <v>4</v>
      </c>
      <c r="M63" s="19">
        <v>1</v>
      </c>
      <c r="N63" s="19">
        <v>2</v>
      </c>
      <c r="O63" s="19">
        <v>0</v>
      </c>
      <c r="P63" s="19">
        <v>10</v>
      </c>
      <c r="Q63" s="19">
        <v>10</v>
      </c>
      <c r="R63" s="19">
        <v>5</v>
      </c>
      <c r="S63" s="19">
        <v>19</v>
      </c>
      <c r="T63" s="19">
        <v>10</v>
      </c>
      <c r="U63" s="19">
        <v>2</v>
      </c>
      <c r="V63" s="19">
        <v>1</v>
      </c>
    </row>
    <row r="64" spans="1:22" s="32" customFormat="1" ht="14.25" customHeight="1" x14ac:dyDescent="0.2">
      <c r="A64" s="108"/>
      <c r="B64" s="36" t="s">
        <v>39</v>
      </c>
      <c r="C64" s="37" t="s">
        <v>163</v>
      </c>
      <c r="D64" s="19">
        <v>1</v>
      </c>
      <c r="E64" s="19">
        <v>0</v>
      </c>
      <c r="F64" s="19">
        <v>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1</v>
      </c>
      <c r="S64" s="19">
        <v>0</v>
      </c>
      <c r="T64" s="19">
        <v>0</v>
      </c>
      <c r="U64" s="19">
        <v>0</v>
      </c>
      <c r="V64" s="19">
        <v>0</v>
      </c>
    </row>
    <row r="65" spans="1:22" s="32" customFormat="1" ht="14.25" customHeight="1" x14ac:dyDescent="0.2">
      <c r="A65" s="38" t="s">
        <v>76</v>
      </c>
      <c r="B65" s="29" t="s">
        <v>35</v>
      </c>
      <c r="C65" s="30" t="s">
        <v>36</v>
      </c>
      <c r="D65" s="31">
        <v>57</v>
      </c>
      <c r="E65" s="31">
        <v>24</v>
      </c>
      <c r="F65" s="31">
        <v>33</v>
      </c>
      <c r="G65" s="31">
        <v>0</v>
      </c>
      <c r="H65" s="31">
        <v>0</v>
      </c>
      <c r="I65" s="31">
        <v>0</v>
      </c>
      <c r="J65" s="31">
        <v>0</v>
      </c>
      <c r="K65" s="31">
        <v>6</v>
      </c>
      <c r="L65" s="31">
        <v>7</v>
      </c>
      <c r="M65" s="31">
        <v>1</v>
      </c>
      <c r="N65" s="31">
        <v>1</v>
      </c>
      <c r="O65" s="31">
        <v>0</v>
      </c>
      <c r="P65" s="31">
        <v>3</v>
      </c>
      <c r="Q65" s="31">
        <v>8</v>
      </c>
      <c r="R65" s="31">
        <v>11</v>
      </c>
      <c r="S65" s="31">
        <v>9</v>
      </c>
      <c r="T65" s="31">
        <v>11</v>
      </c>
      <c r="U65" s="31">
        <v>0</v>
      </c>
      <c r="V65" s="31">
        <v>0</v>
      </c>
    </row>
    <row r="66" spans="1:22" s="32" customFormat="1" ht="14.25" customHeight="1" x14ac:dyDescent="0.2">
      <c r="A66" s="108" t="s">
        <v>77</v>
      </c>
      <c r="B66" s="33" t="s">
        <v>37</v>
      </c>
      <c r="C66" s="34" t="s">
        <v>38</v>
      </c>
      <c r="D66" s="19">
        <v>50</v>
      </c>
      <c r="E66" s="19">
        <v>19</v>
      </c>
      <c r="F66" s="19">
        <v>31</v>
      </c>
      <c r="G66" s="19">
        <v>0</v>
      </c>
      <c r="H66" s="19">
        <v>0</v>
      </c>
      <c r="I66" s="19">
        <v>0</v>
      </c>
      <c r="J66" s="19">
        <v>0</v>
      </c>
      <c r="K66" s="19">
        <v>5</v>
      </c>
      <c r="L66" s="19">
        <v>6</v>
      </c>
      <c r="M66" s="19">
        <v>1</v>
      </c>
      <c r="N66" s="19">
        <v>1</v>
      </c>
      <c r="O66" s="19">
        <v>0</v>
      </c>
      <c r="P66" s="19">
        <v>3</v>
      </c>
      <c r="Q66" s="19">
        <v>6</v>
      </c>
      <c r="R66" s="19">
        <v>11</v>
      </c>
      <c r="S66" s="19">
        <v>7</v>
      </c>
      <c r="T66" s="19">
        <v>10</v>
      </c>
      <c r="U66" s="19">
        <v>0</v>
      </c>
      <c r="V66" s="19">
        <v>0</v>
      </c>
    </row>
    <row r="67" spans="1:22" s="32" customFormat="1" ht="14.25" customHeight="1" x14ac:dyDescent="0.2">
      <c r="A67" s="108"/>
      <c r="B67" s="36" t="s">
        <v>39</v>
      </c>
      <c r="C67" s="37" t="s">
        <v>163</v>
      </c>
      <c r="D67" s="19">
        <v>7</v>
      </c>
      <c r="E67" s="19">
        <v>5</v>
      </c>
      <c r="F67" s="19">
        <v>2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1</v>
      </c>
      <c r="M67" s="19">
        <v>0</v>
      </c>
      <c r="N67" s="19">
        <v>0</v>
      </c>
      <c r="O67" s="19">
        <v>0</v>
      </c>
      <c r="P67" s="19">
        <v>0</v>
      </c>
      <c r="Q67" s="19">
        <v>2</v>
      </c>
      <c r="R67" s="19">
        <v>0</v>
      </c>
      <c r="S67" s="19">
        <v>2</v>
      </c>
      <c r="T67" s="19">
        <v>1</v>
      </c>
      <c r="U67" s="19">
        <v>0</v>
      </c>
      <c r="V67" s="19">
        <v>0</v>
      </c>
    </row>
    <row r="68" spans="1:22" s="32" customFormat="1" ht="14.25" customHeight="1" x14ac:dyDescent="0.2">
      <c r="A68" s="38" t="s">
        <v>78</v>
      </c>
      <c r="B68" s="29" t="s">
        <v>35</v>
      </c>
      <c r="C68" s="30" t="s">
        <v>36</v>
      </c>
      <c r="D68" s="31">
        <v>33</v>
      </c>
      <c r="E68" s="31">
        <v>17</v>
      </c>
      <c r="F68" s="31">
        <v>16</v>
      </c>
      <c r="G68" s="31">
        <v>0</v>
      </c>
      <c r="H68" s="31">
        <v>0</v>
      </c>
      <c r="I68" s="31">
        <v>0</v>
      </c>
      <c r="J68" s="31">
        <v>0</v>
      </c>
      <c r="K68" s="31">
        <v>0</v>
      </c>
      <c r="L68" s="31">
        <v>0</v>
      </c>
      <c r="M68" s="31">
        <v>1</v>
      </c>
      <c r="N68" s="31">
        <v>0</v>
      </c>
      <c r="O68" s="31">
        <v>0</v>
      </c>
      <c r="P68" s="31">
        <v>3</v>
      </c>
      <c r="Q68" s="31">
        <v>6</v>
      </c>
      <c r="R68" s="31">
        <v>6</v>
      </c>
      <c r="S68" s="31">
        <v>8</v>
      </c>
      <c r="T68" s="31">
        <v>7</v>
      </c>
      <c r="U68" s="31">
        <v>2</v>
      </c>
      <c r="V68" s="31">
        <v>0</v>
      </c>
    </row>
    <row r="69" spans="1:22" s="32" customFormat="1" ht="14.25" customHeight="1" x14ac:dyDescent="0.2">
      <c r="A69" s="108" t="s">
        <v>79</v>
      </c>
      <c r="B69" s="33" t="s">
        <v>37</v>
      </c>
      <c r="C69" s="34" t="s">
        <v>38</v>
      </c>
      <c r="D69" s="19">
        <v>33</v>
      </c>
      <c r="E69" s="19">
        <v>17</v>
      </c>
      <c r="F69" s="19">
        <v>16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1</v>
      </c>
      <c r="N69" s="19">
        <v>0</v>
      </c>
      <c r="O69" s="19">
        <v>0</v>
      </c>
      <c r="P69" s="19">
        <v>3</v>
      </c>
      <c r="Q69" s="19">
        <v>6</v>
      </c>
      <c r="R69" s="19">
        <v>6</v>
      </c>
      <c r="S69" s="19">
        <v>8</v>
      </c>
      <c r="T69" s="19">
        <v>7</v>
      </c>
      <c r="U69" s="19">
        <v>2</v>
      </c>
      <c r="V69" s="19">
        <v>0</v>
      </c>
    </row>
    <row r="70" spans="1:22" s="32" customFormat="1" ht="14.25" customHeight="1" x14ac:dyDescent="0.2">
      <c r="A70" s="108"/>
      <c r="B70" s="36" t="s">
        <v>39</v>
      </c>
      <c r="C70" s="37" t="s">
        <v>163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</row>
    <row r="71" spans="1:22" s="32" customFormat="1" ht="14.25" customHeight="1" x14ac:dyDescent="0.2">
      <c r="A71" s="38" t="s">
        <v>80</v>
      </c>
      <c r="B71" s="29" t="s">
        <v>35</v>
      </c>
      <c r="C71" s="30" t="s">
        <v>36</v>
      </c>
      <c r="D71" s="31">
        <v>15</v>
      </c>
      <c r="E71" s="31">
        <v>8</v>
      </c>
      <c r="F71" s="31">
        <v>7</v>
      </c>
      <c r="G71" s="31">
        <v>0</v>
      </c>
      <c r="H71" s="31">
        <v>0</v>
      </c>
      <c r="I71" s="31">
        <v>0</v>
      </c>
      <c r="J71" s="31">
        <v>0</v>
      </c>
      <c r="K71" s="31">
        <v>1</v>
      </c>
      <c r="L71" s="31">
        <v>0</v>
      </c>
      <c r="M71" s="31">
        <v>1</v>
      </c>
      <c r="N71" s="31">
        <v>0</v>
      </c>
      <c r="O71" s="31">
        <v>0</v>
      </c>
      <c r="P71" s="31">
        <v>1</v>
      </c>
      <c r="Q71" s="31">
        <v>2</v>
      </c>
      <c r="R71" s="31">
        <v>4</v>
      </c>
      <c r="S71" s="31">
        <v>4</v>
      </c>
      <c r="T71" s="31">
        <v>2</v>
      </c>
      <c r="U71" s="31">
        <v>0</v>
      </c>
      <c r="V71" s="31">
        <v>0</v>
      </c>
    </row>
    <row r="72" spans="1:22" s="32" customFormat="1" ht="14.25" customHeight="1" x14ac:dyDescent="0.2">
      <c r="A72" s="108" t="s">
        <v>81</v>
      </c>
      <c r="B72" s="33" t="s">
        <v>37</v>
      </c>
      <c r="C72" s="34" t="s">
        <v>38</v>
      </c>
      <c r="D72" s="19">
        <v>15</v>
      </c>
      <c r="E72" s="19">
        <v>8</v>
      </c>
      <c r="F72" s="19">
        <v>7</v>
      </c>
      <c r="G72" s="19">
        <v>0</v>
      </c>
      <c r="H72" s="19">
        <v>0</v>
      </c>
      <c r="I72" s="19">
        <v>0</v>
      </c>
      <c r="J72" s="19">
        <v>0</v>
      </c>
      <c r="K72" s="19">
        <v>1</v>
      </c>
      <c r="L72" s="19">
        <v>0</v>
      </c>
      <c r="M72" s="19">
        <v>1</v>
      </c>
      <c r="N72" s="19">
        <v>0</v>
      </c>
      <c r="O72" s="19">
        <v>0</v>
      </c>
      <c r="P72" s="19">
        <v>1</v>
      </c>
      <c r="Q72" s="19">
        <v>2</v>
      </c>
      <c r="R72" s="19">
        <v>4</v>
      </c>
      <c r="S72" s="19">
        <v>4</v>
      </c>
      <c r="T72" s="19">
        <v>2</v>
      </c>
      <c r="U72" s="19">
        <v>0</v>
      </c>
      <c r="V72" s="19">
        <v>0</v>
      </c>
    </row>
    <row r="73" spans="1:22" s="32" customFormat="1" ht="14.25" customHeight="1" x14ac:dyDescent="0.2">
      <c r="A73" s="108"/>
      <c r="B73" s="36" t="s">
        <v>39</v>
      </c>
      <c r="C73" s="37" t="s">
        <v>163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</row>
    <row r="74" spans="1:22" s="32" customFormat="1" ht="14.25" customHeight="1" x14ac:dyDescent="0.2">
      <c r="A74" s="38" t="s">
        <v>82</v>
      </c>
      <c r="B74" s="29" t="s">
        <v>35</v>
      </c>
      <c r="C74" s="30" t="s">
        <v>36</v>
      </c>
      <c r="D74" s="31">
        <v>4</v>
      </c>
      <c r="E74" s="31">
        <v>3</v>
      </c>
      <c r="F74" s="31">
        <v>1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1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2</v>
      </c>
      <c r="T74" s="31">
        <v>1</v>
      </c>
      <c r="U74" s="31">
        <v>0</v>
      </c>
      <c r="V74" s="31">
        <v>0</v>
      </c>
    </row>
    <row r="75" spans="1:22" s="32" customFormat="1" ht="14.25" customHeight="1" x14ac:dyDescent="0.2">
      <c r="A75" s="108" t="s">
        <v>83</v>
      </c>
      <c r="B75" s="33" t="s">
        <v>37</v>
      </c>
      <c r="C75" s="34" t="s">
        <v>38</v>
      </c>
      <c r="D75" s="19">
        <v>3</v>
      </c>
      <c r="E75" s="19">
        <v>2</v>
      </c>
      <c r="F75" s="19">
        <v>1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1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1</v>
      </c>
      <c r="T75" s="19">
        <v>1</v>
      </c>
      <c r="U75" s="19">
        <v>0</v>
      </c>
      <c r="V75" s="19">
        <v>0</v>
      </c>
    </row>
    <row r="76" spans="1:22" s="32" customFormat="1" ht="14.25" customHeight="1" x14ac:dyDescent="0.2">
      <c r="A76" s="108"/>
      <c r="B76" s="36" t="s">
        <v>39</v>
      </c>
      <c r="C76" s="37" t="s">
        <v>163</v>
      </c>
      <c r="D76" s="39">
        <v>1</v>
      </c>
      <c r="E76" s="39">
        <v>1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1</v>
      </c>
      <c r="T76" s="39">
        <v>0</v>
      </c>
      <c r="U76" s="39">
        <v>0</v>
      </c>
      <c r="V76" s="39">
        <v>0</v>
      </c>
    </row>
    <row r="77" spans="1:22" ht="14.25" customHeight="1" x14ac:dyDescent="0.2">
      <c r="A77" s="6" t="s">
        <v>28</v>
      </c>
    </row>
    <row r="78" spans="1:22" ht="14.25" customHeight="1" x14ac:dyDescent="0.2">
      <c r="A78" s="23" t="s">
        <v>29</v>
      </c>
    </row>
    <row r="79" spans="1:22" ht="14.25" customHeight="1" x14ac:dyDescent="0.2"/>
    <row r="80" spans="1:22" ht="14.25" customHeight="1" x14ac:dyDescent="0.2">
      <c r="A80" s="6" t="s">
        <v>89</v>
      </c>
    </row>
  </sheetData>
  <mergeCells count="34">
    <mergeCell ref="O6:P6"/>
    <mergeCell ref="A39:A40"/>
    <mergeCell ref="Q6:R6"/>
    <mergeCell ref="A9:A10"/>
    <mergeCell ref="A12:A13"/>
    <mergeCell ref="A15:A16"/>
    <mergeCell ref="A18:A19"/>
    <mergeCell ref="A21:A22"/>
    <mergeCell ref="A4:C7"/>
    <mergeCell ref="D4:V4"/>
    <mergeCell ref="D5:F6"/>
    <mergeCell ref="G5:J5"/>
    <mergeCell ref="K5:R5"/>
    <mergeCell ref="S5:T6"/>
    <mergeCell ref="U5:V6"/>
    <mergeCell ref="K6:L6"/>
    <mergeCell ref="M6:N6"/>
    <mergeCell ref="A24:A25"/>
    <mergeCell ref="A27:A28"/>
    <mergeCell ref="A30:A31"/>
    <mergeCell ref="A33:A34"/>
    <mergeCell ref="A36:A37"/>
    <mergeCell ref="A75:A76"/>
    <mergeCell ref="A42:A43"/>
    <mergeCell ref="A45:A46"/>
    <mergeCell ref="A48:A49"/>
    <mergeCell ref="A51:A52"/>
    <mergeCell ref="A54:A55"/>
    <mergeCell ref="A57:A58"/>
    <mergeCell ref="A60:A61"/>
    <mergeCell ref="A63:A64"/>
    <mergeCell ref="A66:A67"/>
    <mergeCell ref="A69:A70"/>
    <mergeCell ref="A72:A7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80"/>
  <sheetViews>
    <sheetView workbookViewId="0"/>
  </sheetViews>
  <sheetFormatPr defaultColWidth="5.5" defaultRowHeight="11.1" customHeight="1" x14ac:dyDescent="0.2"/>
  <cols>
    <col min="1" max="1" width="18.33203125" style="3" customWidth="1"/>
    <col min="2" max="2" width="7.1640625" style="3" customWidth="1"/>
    <col min="3" max="3" width="13.1640625" style="3" customWidth="1"/>
    <col min="4" max="22" width="11.5" style="3" customWidth="1"/>
    <col min="23" max="23" width="5.5" style="3" customWidth="1"/>
    <col min="24" max="16384" width="5.5" style="3"/>
  </cols>
  <sheetData>
    <row r="1" spans="1:22" ht="20.25" customHeight="1" x14ac:dyDescent="0.2">
      <c r="A1" s="1" t="s">
        <v>0</v>
      </c>
      <c r="B1" s="1"/>
      <c r="C1" s="1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4.25" customHeight="1" x14ac:dyDescent="0.2"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22" ht="12.75" customHeight="1" x14ac:dyDescent="0.25">
      <c r="A3" s="26" t="s">
        <v>16</v>
      </c>
      <c r="B3" s="41"/>
      <c r="C3" s="41"/>
      <c r="S3" s="42"/>
      <c r="T3" s="42"/>
      <c r="U3" s="42"/>
      <c r="V3" s="42"/>
    </row>
    <row r="4" spans="1:22" s="44" customFormat="1" ht="24.75" customHeight="1" x14ac:dyDescent="0.2">
      <c r="A4" s="114" t="s">
        <v>90</v>
      </c>
      <c r="B4" s="114"/>
      <c r="C4" s="114"/>
      <c r="D4" s="115" t="s">
        <v>91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</row>
    <row r="5" spans="1:22" s="44" customFormat="1" ht="24.75" customHeight="1" x14ac:dyDescent="0.2">
      <c r="A5" s="114"/>
      <c r="B5" s="114"/>
      <c r="C5" s="114"/>
      <c r="D5" s="114" t="s">
        <v>92</v>
      </c>
      <c r="E5" s="114"/>
      <c r="F5" s="114"/>
      <c r="G5" s="114" t="s">
        <v>93</v>
      </c>
      <c r="H5" s="114"/>
      <c r="I5" s="116" t="s">
        <v>94</v>
      </c>
      <c r="J5" s="116"/>
      <c r="K5" s="116"/>
      <c r="L5" s="116"/>
      <c r="M5" s="116"/>
      <c r="N5" s="116"/>
      <c r="O5" s="116"/>
      <c r="P5" s="116"/>
      <c r="Q5" s="117" t="s">
        <v>95</v>
      </c>
      <c r="R5" s="117"/>
      <c r="S5" s="117" t="s">
        <v>96</v>
      </c>
      <c r="T5" s="117"/>
      <c r="U5" s="118" t="s">
        <v>97</v>
      </c>
      <c r="V5" s="118"/>
    </row>
    <row r="6" spans="1:22" s="44" customFormat="1" ht="33.75" customHeight="1" x14ac:dyDescent="0.2">
      <c r="A6" s="114"/>
      <c r="B6" s="114"/>
      <c r="C6" s="114"/>
      <c r="D6" s="114"/>
      <c r="E6" s="114"/>
      <c r="F6" s="114"/>
      <c r="G6" s="114"/>
      <c r="H6" s="114"/>
      <c r="I6" s="114" t="s">
        <v>98</v>
      </c>
      <c r="J6" s="114"/>
      <c r="K6" s="114" t="s">
        <v>99</v>
      </c>
      <c r="L6" s="114"/>
      <c r="M6" s="114" t="s">
        <v>100</v>
      </c>
      <c r="N6" s="114"/>
      <c r="O6" s="114" t="s">
        <v>101</v>
      </c>
      <c r="P6" s="114"/>
      <c r="Q6" s="117"/>
      <c r="R6" s="117"/>
      <c r="S6" s="117"/>
      <c r="T6" s="117"/>
      <c r="U6" s="118"/>
      <c r="V6" s="118"/>
    </row>
    <row r="7" spans="1:22" s="46" customFormat="1" ht="30.75" customHeight="1" x14ac:dyDescent="0.2">
      <c r="A7" s="114"/>
      <c r="B7" s="114"/>
      <c r="C7" s="114"/>
      <c r="D7" s="43" t="s">
        <v>102</v>
      </c>
      <c r="E7" s="43" t="s">
        <v>103</v>
      </c>
      <c r="F7" s="43" t="s">
        <v>104</v>
      </c>
      <c r="G7" s="43" t="s">
        <v>103</v>
      </c>
      <c r="H7" s="43" t="s">
        <v>104</v>
      </c>
      <c r="I7" s="43" t="s">
        <v>103</v>
      </c>
      <c r="J7" s="43" t="s">
        <v>104</v>
      </c>
      <c r="K7" s="43" t="s">
        <v>103</v>
      </c>
      <c r="L7" s="43" t="s">
        <v>104</v>
      </c>
      <c r="M7" s="43" t="s">
        <v>103</v>
      </c>
      <c r="N7" s="43" t="s">
        <v>104</v>
      </c>
      <c r="O7" s="43" t="s">
        <v>103</v>
      </c>
      <c r="P7" s="43" t="s">
        <v>104</v>
      </c>
      <c r="Q7" s="43" t="s">
        <v>103</v>
      </c>
      <c r="R7" s="43" t="s">
        <v>104</v>
      </c>
      <c r="S7" s="43" t="s">
        <v>103</v>
      </c>
      <c r="T7" s="43" t="s">
        <v>104</v>
      </c>
      <c r="U7" s="43" t="s">
        <v>103</v>
      </c>
      <c r="V7" s="45" t="s">
        <v>104</v>
      </c>
    </row>
    <row r="8" spans="1:22" s="51" customFormat="1" ht="18" customHeight="1" x14ac:dyDescent="0.2">
      <c r="A8" s="47" t="s">
        <v>105</v>
      </c>
      <c r="B8" s="48" t="s">
        <v>106</v>
      </c>
      <c r="C8" s="49" t="s">
        <v>36</v>
      </c>
      <c r="D8" s="50">
        <v>10520</v>
      </c>
      <c r="E8" s="50">
        <v>4775</v>
      </c>
      <c r="F8" s="50">
        <v>5745</v>
      </c>
      <c r="G8" s="50">
        <v>38</v>
      </c>
      <c r="H8" s="50">
        <v>36</v>
      </c>
      <c r="I8" s="50">
        <v>1232</v>
      </c>
      <c r="J8" s="50">
        <v>1045</v>
      </c>
      <c r="K8" s="50">
        <v>352</v>
      </c>
      <c r="L8" s="50">
        <v>413</v>
      </c>
      <c r="M8" s="50">
        <v>290</v>
      </c>
      <c r="N8" s="50">
        <v>1545</v>
      </c>
      <c r="O8" s="50">
        <v>610</v>
      </c>
      <c r="P8" s="50">
        <v>544</v>
      </c>
      <c r="Q8" s="50">
        <v>292</v>
      </c>
      <c r="R8" s="50">
        <v>242</v>
      </c>
      <c r="S8" s="50">
        <v>1299</v>
      </c>
      <c r="T8" s="50">
        <v>972</v>
      </c>
      <c r="U8" s="50">
        <v>662</v>
      </c>
      <c r="V8" s="50">
        <v>948</v>
      </c>
    </row>
    <row r="9" spans="1:22" s="51" customFormat="1" ht="14.25" customHeight="1" x14ac:dyDescent="0.2">
      <c r="A9" s="119" t="s">
        <v>36</v>
      </c>
      <c r="B9" s="52" t="s">
        <v>107</v>
      </c>
      <c r="C9" s="53" t="s">
        <v>38</v>
      </c>
      <c r="D9" s="24">
        <v>9680</v>
      </c>
      <c r="E9" s="24">
        <v>4439</v>
      </c>
      <c r="F9" s="24">
        <v>5241</v>
      </c>
      <c r="G9" s="24">
        <v>35</v>
      </c>
      <c r="H9" s="24">
        <v>33</v>
      </c>
      <c r="I9" s="24">
        <v>1186</v>
      </c>
      <c r="J9" s="24">
        <v>1012</v>
      </c>
      <c r="K9" s="24">
        <v>334</v>
      </c>
      <c r="L9" s="24">
        <v>394</v>
      </c>
      <c r="M9" s="24">
        <v>253</v>
      </c>
      <c r="N9" s="24">
        <v>1336</v>
      </c>
      <c r="O9" s="24">
        <v>541</v>
      </c>
      <c r="P9" s="24">
        <v>481</v>
      </c>
      <c r="Q9" s="24">
        <v>277</v>
      </c>
      <c r="R9" s="24">
        <v>219</v>
      </c>
      <c r="S9" s="24">
        <v>1193</v>
      </c>
      <c r="T9" s="24">
        <v>906</v>
      </c>
      <c r="U9" s="24">
        <v>620</v>
      </c>
      <c r="V9" s="24">
        <v>860</v>
      </c>
    </row>
    <row r="10" spans="1:22" s="51" customFormat="1" ht="14.25" customHeight="1" x14ac:dyDescent="0.2">
      <c r="A10" s="119"/>
      <c r="B10" s="52" t="s">
        <v>108</v>
      </c>
      <c r="C10" s="53" t="s">
        <v>163</v>
      </c>
      <c r="D10" s="24">
        <v>840</v>
      </c>
      <c r="E10" s="24">
        <v>336</v>
      </c>
      <c r="F10" s="24">
        <v>504</v>
      </c>
      <c r="G10" s="24">
        <v>3</v>
      </c>
      <c r="H10" s="24">
        <v>3</v>
      </c>
      <c r="I10" s="24">
        <v>46</v>
      </c>
      <c r="J10" s="24">
        <v>33</v>
      </c>
      <c r="K10" s="24">
        <v>18</v>
      </c>
      <c r="L10" s="24">
        <v>19</v>
      </c>
      <c r="M10" s="24">
        <v>37</v>
      </c>
      <c r="N10" s="24">
        <v>209</v>
      </c>
      <c r="O10" s="24">
        <v>69</v>
      </c>
      <c r="P10" s="24">
        <v>63</v>
      </c>
      <c r="Q10" s="24">
        <v>15</v>
      </c>
      <c r="R10" s="24">
        <v>23</v>
      </c>
      <c r="S10" s="24">
        <v>106</v>
      </c>
      <c r="T10" s="24">
        <v>66</v>
      </c>
      <c r="U10" s="24">
        <v>42</v>
      </c>
      <c r="V10" s="24">
        <v>88</v>
      </c>
    </row>
    <row r="11" spans="1:22" s="51" customFormat="1" ht="14.25" customHeight="1" x14ac:dyDescent="0.2">
      <c r="A11" s="54" t="s">
        <v>109</v>
      </c>
      <c r="B11" s="48" t="s">
        <v>106</v>
      </c>
      <c r="C11" s="49" t="s">
        <v>36</v>
      </c>
      <c r="D11" s="50">
        <v>1388</v>
      </c>
      <c r="E11" s="50">
        <v>592</v>
      </c>
      <c r="F11" s="50">
        <v>796</v>
      </c>
      <c r="G11" s="50">
        <v>2</v>
      </c>
      <c r="H11" s="50">
        <v>3</v>
      </c>
      <c r="I11" s="50">
        <v>101</v>
      </c>
      <c r="J11" s="50">
        <v>81</v>
      </c>
      <c r="K11" s="50">
        <v>40</v>
      </c>
      <c r="L11" s="50">
        <v>46</v>
      </c>
      <c r="M11" s="50">
        <v>8</v>
      </c>
      <c r="N11" s="50">
        <v>183</v>
      </c>
      <c r="O11" s="50">
        <v>25</v>
      </c>
      <c r="P11" s="50">
        <v>30</v>
      </c>
      <c r="Q11" s="50">
        <v>36</v>
      </c>
      <c r="R11" s="50">
        <v>25</v>
      </c>
      <c r="S11" s="50">
        <v>300</v>
      </c>
      <c r="T11" s="50">
        <v>238</v>
      </c>
      <c r="U11" s="50">
        <v>80</v>
      </c>
      <c r="V11" s="50">
        <v>190</v>
      </c>
    </row>
    <row r="12" spans="1:22" s="51" customFormat="1" ht="14.25" customHeight="1" x14ac:dyDescent="0.2">
      <c r="A12" s="113" t="s">
        <v>41</v>
      </c>
      <c r="B12" s="52" t="s">
        <v>107</v>
      </c>
      <c r="C12" s="53" t="s">
        <v>38</v>
      </c>
      <c r="D12" s="24">
        <v>1321</v>
      </c>
      <c r="E12" s="24">
        <v>568</v>
      </c>
      <c r="F12" s="24">
        <v>753</v>
      </c>
      <c r="G12" s="24">
        <v>2</v>
      </c>
      <c r="H12" s="24">
        <v>3</v>
      </c>
      <c r="I12" s="24">
        <v>97</v>
      </c>
      <c r="J12" s="24">
        <v>79</v>
      </c>
      <c r="K12" s="24">
        <v>39</v>
      </c>
      <c r="L12" s="24">
        <v>45</v>
      </c>
      <c r="M12" s="24">
        <v>8</v>
      </c>
      <c r="N12" s="24">
        <v>170</v>
      </c>
      <c r="O12" s="24">
        <v>23</v>
      </c>
      <c r="P12" s="24">
        <v>26</v>
      </c>
      <c r="Q12" s="24">
        <v>32</v>
      </c>
      <c r="R12" s="24">
        <v>23</v>
      </c>
      <c r="S12" s="24">
        <v>291</v>
      </c>
      <c r="T12" s="24">
        <v>228</v>
      </c>
      <c r="U12" s="24">
        <v>76</v>
      </c>
      <c r="V12" s="24">
        <v>179</v>
      </c>
    </row>
    <row r="13" spans="1:22" s="51" customFormat="1" ht="14.25" customHeight="1" x14ac:dyDescent="0.2">
      <c r="A13" s="113"/>
      <c r="B13" s="52" t="s">
        <v>108</v>
      </c>
      <c r="C13" s="53" t="s">
        <v>163</v>
      </c>
      <c r="D13" s="24">
        <v>67</v>
      </c>
      <c r="E13" s="24">
        <v>24</v>
      </c>
      <c r="F13" s="24">
        <v>43</v>
      </c>
      <c r="G13" s="24">
        <v>0</v>
      </c>
      <c r="H13" s="24">
        <v>0</v>
      </c>
      <c r="I13" s="24">
        <v>4</v>
      </c>
      <c r="J13" s="24">
        <v>2</v>
      </c>
      <c r="K13" s="24">
        <v>1</v>
      </c>
      <c r="L13" s="24">
        <v>1</v>
      </c>
      <c r="M13" s="24">
        <v>0</v>
      </c>
      <c r="N13" s="24">
        <v>13</v>
      </c>
      <c r="O13" s="24">
        <v>2</v>
      </c>
      <c r="P13" s="24">
        <v>4</v>
      </c>
      <c r="Q13" s="24">
        <v>4</v>
      </c>
      <c r="R13" s="24">
        <v>2</v>
      </c>
      <c r="S13" s="24">
        <v>9</v>
      </c>
      <c r="T13" s="24">
        <v>10</v>
      </c>
      <c r="U13" s="24">
        <v>4</v>
      </c>
      <c r="V13" s="24">
        <v>11</v>
      </c>
    </row>
    <row r="14" spans="1:22" s="51" customFormat="1" ht="14.25" customHeight="1" x14ac:dyDescent="0.2">
      <c r="A14" s="54" t="s">
        <v>110</v>
      </c>
      <c r="B14" s="48" t="s">
        <v>106</v>
      </c>
      <c r="C14" s="49" t="s">
        <v>36</v>
      </c>
      <c r="D14" s="50">
        <v>1872</v>
      </c>
      <c r="E14" s="50">
        <v>932</v>
      </c>
      <c r="F14" s="50">
        <v>940</v>
      </c>
      <c r="G14" s="50">
        <v>3</v>
      </c>
      <c r="H14" s="50">
        <v>4</v>
      </c>
      <c r="I14" s="50">
        <v>565</v>
      </c>
      <c r="J14" s="50">
        <v>458</v>
      </c>
      <c r="K14" s="50">
        <v>119</v>
      </c>
      <c r="L14" s="50">
        <v>129</v>
      </c>
      <c r="M14" s="50">
        <v>30</v>
      </c>
      <c r="N14" s="50">
        <v>151</v>
      </c>
      <c r="O14" s="50">
        <v>87</v>
      </c>
      <c r="P14" s="50">
        <v>74</v>
      </c>
      <c r="Q14" s="50">
        <v>10</v>
      </c>
      <c r="R14" s="50">
        <v>7</v>
      </c>
      <c r="S14" s="50">
        <v>46</v>
      </c>
      <c r="T14" s="50">
        <v>38</v>
      </c>
      <c r="U14" s="50">
        <v>72</v>
      </c>
      <c r="V14" s="50">
        <v>79</v>
      </c>
    </row>
    <row r="15" spans="1:22" s="51" customFormat="1" ht="14.25" customHeight="1" x14ac:dyDescent="0.2">
      <c r="A15" s="113" t="s">
        <v>43</v>
      </c>
      <c r="B15" s="52" t="s">
        <v>107</v>
      </c>
      <c r="C15" s="53" t="s">
        <v>38</v>
      </c>
      <c r="D15" s="24">
        <v>1847</v>
      </c>
      <c r="E15" s="24">
        <v>926</v>
      </c>
      <c r="F15" s="24">
        <v>921</v>
      </c>
      <c r="G15" s="24">
        <v>3</v>
      </c>
      <c r="H15" s="24">
        <v>4</v>
      </c>
      <c r="I15" s="24">
        <v>560</v>
      </c>
      <c r="J15" s="24">
        <v>453</v>
      </c>
      <c r="K15" s="24">
        <v>118</v>
      </c>
      <c r="L15" s="24">
        <v>128</v>
      </c>
      <c r="M15" s="24">
        <v>30</v>
      </c>
      <c r="N15" s="24">
        <v>144</v>
      </c>
      <c r="O15" s="24">
        <v>87</v>
      </c>
      <c r="P15" s="24">
        <v>73</v>
      </c>
      <c r="Q15" s="24">
        <v>10</v>
      </c>
      <c r="R15" s="24">
        <v>7</v>
      </c>
      <c r="S15" s="24">
        <v>46</v>
      </c>
      <c r="T15" s="24">
        <v>38</v>
      </c>
      <c r="U15" s="24">
        <v>72</v>
      </c>
      <c r="V15" s="24">
        <v>74</v>
      </c>
    </row>
    <row r="16" spans="1:22" s="51" customFormat="1" ht="14.25" customHeight="1" x14ac:dyDescent="0.2">
      <c r="A16" s="113"/>
      <c r="B16" s="55" t="s">
        <v>108</v>
      </c>
      <c r="C16" s="56" t="s">
        <v>163</v>
      </c>
      <c r="D16" s="24">
        <v>25</v>
      </c>
      <c r="E16" s="24">
        <v>6</v>
      </c>
      <c r="F16" s="24">
        <v>19</v>
      </c>
      <c r="G16" s="24">
        <v>0</v>
      </c>
      <c r="H16" s="24">
        <v>0</v>
      </c>
      <c r="I16" s="24">
        <v>5</v>
      </c>
      <c r="J16" s="24">
        <v>5</v>
      </c>
      <c r="K16" s="24">
        <v>1</v>
      </c>
      <c r="L16" s="24">
        <v>1</v>
      </c>
      <c r="M16" s="24">
        <v>0</v>
      </c>
      <c r="N16" s="24">
        <v>7</v>
      </c>
      <c r="O16" s="24">
        <v>0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5</v>
      </c>
    </row>
    <row r="17" spans="1:22" s="51" customFormat="1" ht="14.25" customHeight="1" x14ac:dyDescent="0.2">
      <c r="A17" s="54" t="s">
        <v>111</v>
      </c>
      <c r="B17" s="48" t="s">
        <v>106</v>
      </c>
      <c r="C17" s="49" t="s">
        <v>36</v>
      </c>
      <c r="D17" s="50">
        <v>1033</v>
      </c>
      <c r="E17" s="50">
        <v>409</v>
      </c>
      <c r="F17" s="50">
        <v>624</v>
      </c>
      <c r="G17" s="50">
        <v>8</v>
      </c>
      <c r="H17" s="50">
        <v>1</v>
      </c>
      <c r="I17" s="50">
        <v>32</v>
      </c>
      <c r="J17" s="50">
        <v>27</v>
      </c>
      <c r="K17" s="50">
        <v>12</v>
      </c>
      <c r="L17" s="50">
        <v>11</v>
      </c>
      <c r="M17" s="50">
        <v>79</v>
      </c>
      <c r="N17" s="50">
        <v>386</v>
      </c>
      <c r="O17" s="50">
        <v>53</v>
      </c>
      <c r="P17" s="50">
        <v>34</v>
      </c>
      <c r="Q17" s="50">
        <v>10</v>
      </c>
      <c r="R17" s="50">
        <v>12</v>
      </c>
      <c r="S17" s="50">
        <v>181</v>
      </c>
      <c r="T17" s="50">
        <v>117</v>
      </c>
      <c r="U17" s="50">
        <v>34</v>
      </c>
      <c r="V17" s="50">
        <v>36</v>
      </c>
    </row>
    <row r="18" spans="1:22" s="51" customFormat="1" ht="14.25" customHeight="1" x14ac:dyDescent="0.2">
      <c r="A18" s="113" t="s">
        <v>45</v>
      </c>
      <c r="B18" s="52" t="s">
        <v>107</v>
      </c>
      <c r="C18" s="53" t="s">
        <v>38</v>
      </c>
      <c r="D18" s="24">
        <v>893</v>
      </c>
      <c r="E18" s="24">
        <v>352</v>
      </c>
      <c r="F18" s="24">
        <v>541</v>
      </c>
      <c r="G18" s="24">
        <v>6</v>
      </c>
      <c r="H18" s="24">
        <v>1</v>
      </c>
      <c r="I18" s="24">
        <v>32</v>
      </c>
      <c r="J18" s="24">
        <v>25</v>
      </c>
      <c r="K18" s="24">
        <v>12</v>
      </c>
      <c r="L18" s="24">
        <v>11</v>
      </c>
      <c r="M18" s="24">
        <v>69</v>
      </c>
      <c r="N18" s="24">
        <v>334</v>
      </c>
      <c r="O18" s="24">
        <v>40</v>
      </c>
      <c r="P18" s="24">
        <v>23</v>
      </c>
      <c r="Q18" s="24">
        <v>9</v>
      </c>
      <c r="R18" s="24">
        <v>10</v>
      </c>
      <c r="S18" s="24">
        <v>152</v>
      </c>
      <c r="T18" s="24">
        <v>105</v>
      </c>
      <c r="U18" s="24">
        <v>32</v>
      </c>
      <c r="V18" s="24">
        <v>32</v>
      </c>
    </row>
    <row r="19" spans="1:22" s="51" customFormat="1" ht="14.25" customHeight="1" x14ac:dyDescent="0.2">
      <c r="A19" s="113"/>
      <c r="B19" s="55" t="s">
        <v>108</v>
      </c>
      <c r="C19" s="56" t="s">
        <v>163</v>
      </c>
      <c r="D19" s="24">
        <v>140</v>
      </c>
      <c r="E19" s="24">
        <v>57</v>
      </c>
      <c r="F19" s="24">
        <v>83</v>
      </c>
      <c r="G19" s="24">
        <v>2</v>
      </c>
      <c r="H19" s="24">
        <v>0</v>
      </c>
      <c r="I19" s="24">
        <v>0</v>
      </c>
      <c r="J19" s="24">
        <v>2</v>
      </c>
      <c r="K19" s="24">
        <v>0</v>
      </c>
      <c r="L19" s="24">
        <v>0</v>
      </c>
      <c r="M19" s="24">
        <v>10</v>
      </c>
      <c r="N19" s="24">
        <v>52</v>
      </c>
      <c r="O19" s="24">
        <v>13</v>
      </c>
      <c r="P19" s="24">
        <v>11</v>
      </c>
      <c r="Q19" s="24">
        <v>1</v>
      </c>
      <c r="R19" s="24">
        <v>2</v>
      </c>
      <c r="S19" s="24">
        <v>29</v>
      </c>
      <c r="T19" s="24">
        <v>12</v>
      </c>
      <c r="U19" s="24">
        <v>2</v>
      </c>
      <c r="V19" s="24">
        <v>4</v>
      </c>
    </row>
    <row r="20" spans="1:22" s="51" customFormat="1" ht="14.25" customHeight="1" x14ac:dyDescent="0.2">
      <c r="A20" s="54" t="s">
        <v>112</v>
      </c>
      <c r="B20" s="48" t="s">
        <v>106</v>
      </c>
      <c r="C20" s="49" t="s">
        <v>36</v>
      </c>
      <c r="D20" s="50">
        <v>1043</v>
      </c>
      <c r="E20" s="50">
        <v>517</v>
      </c>
      <c r="F20" s="50">
        <v>526</v>
      </c>
      <c r="G20" s="50">
        <v>7</v>
      </c>
      <c r="H20" s="50">
        <v>6</v>
      </c>
      <c r="I20" s="50">
        <v>102</v>
      </c>
      <c r="J20" s="50">
        <v>91</v>
      </c>
      <c r="K20" s="50">
        <v>41</v>
      </c>
      <c r="L20" s="50">
        <v>45</v>
      </c>
      <c r="M20" s="50">
        <v>10</v>
      </c>
      <c r="N20" s="50">
        <v>60</v>
      </c>
      <c r="O20" s="50">
        <v>70</v>
      </c>
      <c r="P20" s="50">
        <v>58</v>
      </c>
      <c r="Q20" s="50">
        <v>28</v>
      </c>
      <c r="R20" s="50">
        <v>14</v>
      </c>
      <c r="S20" s="50">
        <v>137</v>
      </c>
      <c r="T20" s="50">
        <v>94</v>
      </c>
      <c r="U20" s="50">
        <v>122</v>
      </c>
      <c r="V20" s="50">
        <v>158</v>
      </c>
    </row>
    <row r="21" spans="1:22" s="51" customFormat="1" ht="14.25" customHeight="1" x14ac:dyDescent="0.2">
      <c r="A21" s="113" t="s">
        <v>47</v>
      </c>
      <c r="B21" s="52" t="s">
        <v>107</v>
      </c>
      <c r="C21" s="53" t="s">
        <v>38</v>
      </c>
      <c r="D21" s="24">
        <v>996</v>
      </c>
      <c r="E21" s="24">
        <v>493</v>
      </c>
      <c r="F21" s="24">
        <v>503</v>
      </c>
      <c r="G21" s="24">
        <v>7</v>
      </c>
      <c r="H21" s="24">
        <v>5</v>
      </c>
      <c r="I21" s="24">
        <v>102</v>
      </c>
      <c r="J21" s="24">
        <v>89</v>
      </c>
      <c r="K21" s="24">
        <v>39</v>
      </c>
      <c r="L21" s="24">
        <v>41</v>
      </c>
      <c r="M21" s="24">
        <v>8</v>
      </c>
      <c r="N21" s="24">
        <v>59</v>
      </c>
      <c r="O21" s="24">
        <v>62</v>
      </c>
      <c r="P21" s="24">
        <v>55</v>
      </c>
      <c r="Q21" s="24">
        <v>28</v>
      </c>
      <c r="R21" s="24">
        <v>14</v>
      </c>
      <c r="S21" s="24">
        <v>129</v>
      </c>
      <c r="T21" s="24">
        <v>92</v>
      </c>
      <c r="U21" s="24">
        <v>118</v>
      </c>
      <c r="V21" s="24">
        <v>148</v>
      </c>
    </row>
    <row r="22" spans="1:22" s="51" customFormat="1" ht="14.25" customHeight="1" x14ac:dyDescent="0.2">
      <c r="A22" s="113"/>
      <c r="B22" s="55" t="s">
        <v>108</v>
      </c>
      <c r="C22" s="56" t="s">
        <v>163</v>
      </c>
      <c r="D22" s="24">
        <v>47</v>
      </c>
      <c r="E22" s="24">
        <v>24</v>
      </c>
      <c r="F22" s="24">
        <v>23</v>
      </c>
      <c r="G22" s="24">
        <v>0</v>
      </c>
      <c r="H22" s="24">
        <v>1</v>
      </c>
      <c r="I22" s="24">
        <v>0</v>
      </c>
      <c r="J22" s="24">
        <v>2</v>
      </c>
      <c r="K22" s="24">
        <v>2</v>
      </c>
      <c r="L22" s="24">
        <v>4</v>
      </c>
      <c r="M22" s="24">
        <v>2</v>
      </c>
      <c r="N22" s="24">
        <v>1</v>
      </c>
      <c r="O22" s="24">
        <v>8</v>
      </c>
      <c r="P22" s="24">
        <v>3</v>
      </c>
      <c r="Q22" s="24">
        <v>0</v>
      </c>
      <c r="R22" s="24">
        <v>0</v>
      </c>
      <c r="S22" s="24">
        <v>8</v>
      </c>
      <c r="T22" s="24">
        <v>2</v>
      </c>
      <c r="U22" s="24">
        <v>4</v>
      </c>
      <c r="V22" s="24">
        <v>10</v>
      </c>
    </row>
    <row r="23" spans="1:22" s="51" customFormat="1" ht="14.25" customHeight="1" x14ac:dyDescent="0.2">
      <c r="A23" s="54" t="s">
        <v>113</v>
      </c>
      <c r="B23" s="48" t="s">
        <v>106</v>
      </c>
      <c r="C23" s="49" t="s">
        <v>36</v>
      </c>
      <c r="D23" s="50">
        <v>629</v>
      </c>
      <c r="E23" s="50">
        <v>262</v>
      </c>
      <c r="F23" s="50">
        <v>367</v>
      </c>
      <c r="G23" s="50">
        <v>4</v>
      </c>
      <c r="H23" s="50">
        <v>3</v>
      </c>
      <c r="I23" s="50">
        <v>43</v>
      </c>
      <c r="J23" s="50">
        <v>41</v>
      </c>
      <c r="K23" s="50">
        <v>11</v>
      </c>
      <c r="L23" s="50">
        <v>19</v>
      </c>
      <c r="M23" s="50">
        <v>14</v>
      </c>
      <c r="N23" s="50">
        <v>103</v>
      </c>
      <c r="O23" s="50">
        <v>38</v>
      </c>
      <c r="P23" s="50">
        <v>34</v>
      </c>
      <c r="Q23" s="50">
        <v>12</v>
      </c>
      <c r="R23" s="50">
        <v>14</v>
      </c>
      <c r="S23" s="50">
        <v>81</v>
      </c>
      <c r="T23" s="50">
        <v>58</v>
      </c>
      <c r="U23" s="50">
        <v>59</v>
      </c>
      <c r="V23" s="50">
        <v>95</v>
      </c>
    </row>
    <row r="24" spans="1:22" s="51" customFormat="1" ht="14.25" customHeight="1" x14ac:dyDescent="0.2">
      <c r="A24" s="113" t="s">
        <v>49</v>
      </c>
      <c r="B24" s="52" t="s">
        <v>107</v>
      </c>
      <c r="C24" s="53" t="s">
        <v>38</v>
      </c>
      <c r="D24" s="24">
        <v>616</v>
      </c>
      <c r="E24" s="24">
        <v>257</v>
      </c>
      <c r="F24" s="24">
        <v>359</v>
      </c>
      <c r="G24" s="24">
        <v>4</v>
      </c>
      <c r="H24" s="24">
        <v>3</v>
      </c>
      <c r="I24" s="24">
        <v>42</v>
      </c>
      <c r="J24" s="24">
        <v>41</v>
      </c>
      <c r="K24" s="24">
        <v>10</v>
      </c>
      <c r="L24" s="24">
        <v>19</v>
      </c>
      <c r="M24" s="24">
        <v>14</v>
      </c>
      <c r="N24" s="24">
        <v>100</v>
      </c>
      <c r="O24" s="24">
        <v>37</v>
      </c>
      <c r="P24" s="24">
        <v>34</v>
      </c>
      <c r="Q24" s="24">
        <v>12</v>
      </c>
      <c r="R24" s="24">
        <v>14</v>
      </c>
      <c r="S24" s="24">
        <v>80</v>
      </c>
      <c r="T24" s="24">
        <v>57</v>
      </c>
      <c r="U24" s="24">
        <v>58</v>
      </c>
      <c r="V24" s="24">
        <v>91</v>
      </c>
    </row>
    <row r="25" spans="1:22" s="51" customFormat="1" ht="14.25" customHeight="1" x14ac:dyDescent="0.2">
      <c r="A25" s="113"/>
      <c r="B25" s="55" t="s">
        <v>108</v>
      </c>
      <c r="C25" s="56" t="s">
        <v>163</v>
      </c>
      <c r="D25" s="24">
        <v>13</v>
      </c>
      <c r="E25" s="24">
        <v>5</v>
      </c>
      <c r="F25" s="24">
        <v>8</v>
      </c>
      <c r="G25" s="24">
        <v>0</v>
      </c>
      <c r="H25" s="24">
        <v>0</v>
      </c>
      <c r="I25" s="24">
        <v>1</v>
      </c>
      <c r="J25" s="24">
        <v>0</v>
      </c>
      <c r="K25" s="24">
        <v>1</v>
      </c>
      <c r="L25" s="24">
        <v>0</v>
      </c>
      <c r="M25" s="24">
        <v>0</v>
      </c>
      <c r="N25" s="24">
        <v>3</v>
      </c>
      <c r="O25" s="24">
        <v>1</v>
      </c>
      <c r="P25" s="24">
        <v>0</v>
      </c>
      <c r="Q25" s="24">
        <v>0</v>
      </c>
      <c r="R25" s="24">
        <v>0</v>
      </c>
      <c r="S25" s="24">
        <v>1</v>
      </c>
      <c r="T25" s="24">
        <v>1</v>
      </c>
      <c r="U25" s="24">
        <v>1</v>
      </c>
      <c r="V25" s="24">
        <v>4</v>
      </c>
    </row>
    <row r="26" spans="1:22" s="51" customFormat="1" ht="14.25" customHeight="1" x14ac:dyDescent="0.2">
      <c r="A26" s="54" t="s">
        <v>114</v>
      </c>
      <c r="B26" s="48" t="s">
        <v>106</v>
      </c>
      <c r="C26" s="49" t="s">
        <v>36</v>
      </c>
      <c r="D26" s="50">
        <v>1521</v>
      </c>
      <c r="E26" s="50">
        <v>689</v>
      </c>
      <c r="F26" s="50">
        <v>832</v>
      </c>
      <c r="G26" s="50">
        <v>5</v>
      </c>
      <c r="H26" s="50">
        <v>6</v>
      </c>
      <c r="I26" s="50">
        <v>64</v>
      </c>
      <c r="J26" s="50">
        <v>64</v>
      </c>
      <c r="K26" s="50">
        <v>34</v>
      </c>
      <c r="L26" s="50">
        <v>37</v>
      </c>
      <c r="M26" s="50">
        <v>80</v>
      </c>
      <c r="N26" s="50">
        <v>292</v>
      </c>
      <c r="O26" s="50">
        <v>99</v>
      </c>
      <c r="P26" s="50">
        <v>92</v>
      </c>
      <c r="Q26" s="50">
        <v>130</v>
      </c>
      <c r="R26" s="50">
        <v>116</v>
      </c>
      <c r="S26" s="50">
        <v>183</v>
      </c>
      <c r="T26" s="50">
        <v>126</v>
      </c>
      <c r="U26" s="50">
        <v>94</v>
      </c>
      <c r="V26" s="50">
        <v>99</v>
      </c>
    </row>
    <row r="27" spans="1:22" s="51" customFormat="1" ht="14.25" customHeight="1" x14ac:dyDescent="0.2">
      <c r="A27" s="113" t="s">
        <v>51</v>
      </c>
      <c r="B27" s="52" t="s">
        <v>107</v>
      </c>
      <c r="C27" s="53" t="s">
        <v>38</v>
      </c>
      <c r="D27" s="24">
        <v>1424</v>
      </c>
      <c r="E27" s="24">
        <v>655</v>
      </c>
      <c r="F27" s="24">
        <v>769</v>
      </c>
      <c r="G27" s="24">
        <v>5</v>
      </c>
      <c r="H27" s="24">
        <v>6</v>
      </c>
      <c r="I27" s="24">
        <v>59</v>
      </c>
      <c r="J27" s="24">
        <v>62</v>
      </c>
      <c r="K27" s="24">
        <v>32</v>
      </c>
      <c r="L27" s="24">
        <v>35</v>
      </c>
      <c r="M27" s="24">
        <v>77</v>
      </c>
      <c r="N27" s="24">
        <v>272</v>
      </c>
      <c r="O27" s="24">
        <v>95</v>
      </c>
      <c r="P27" s="24">
        <v>85</v>
      </c>
      <c r="Q27" s="24">
        <v>124</v>
      </c>
      <c r="R27" s="24">
        <v>104</v>
      </c>
      <c r="S27" s="24">
        <v>176</v>
      </c>
      <c r="T27" s="24">
        <v>118</v>
      </c>
      <c r="U27" s="24">
        <v>87</v>
      </c>
      <c r="V27" s="24">
        <v>87</v>
      </c>
    </row>
    <row r="28" spans="1:22" s="51" customFormat="1" ht="14.25" customHeight="1" x14ac:dyDescent="0.2">
      <c r="A28" s="113"/>
      <c r="B28" s="55" t="s">
        <v>108</v>
      </c>
      <c r="C28" s="56" t="s">
        <v>163</v>
      </c>
      <c r="D28" s="24">
        <v>97</v>
      </c>
      <c r="E28" s="24">
        <v>34</v>
      </c>
      <c r="F28" s="24">
        <v>63</v>
      </c>
      <c r="G28" s="24">
        <v>0</v>
      </c>
      <c r="H28" s="24">
        <v>0</v>
      </c>
      <c r="I28" s="24">
        <v>5</v>
      </c>
      <c r="J28" s="24">
        <v>2</v>
      </c>
      <c r="K28" s="24">
        <v>2</v>
      </c>
      <c r="L28" s="24">
        <v>2</v>
      </c>
      <c r="M28" s="24">
        <v>3</v>
      </c>
      <c r="N28" s="24">
        <v>20</v>
      </c>
      <c r="O28" s="24">
        <v>4</v>
      </c>
      <c r="P28" s="24">
        <v>7</v>
      </c>
      <c r="Q28" s="24">
        <v>6</v>
      </c>
      <c r="R28" s="24">
        <v>12</v>
      </c>
      <c r="S28" s="24">
        <v>7</v>
      </c>
      <c r="T28" s="24">
        <v>8</v>
      </c>
      <c r="U28" s="24">
        <v>7</v>
      </c>
      <c r="V28" s="24">
        <v>12</v>
      </c>
    </row>
    <row r="29" spans="1:22" s="51" customFormat="1" ht="14.25" customHeight="1" x14ac:dyDescent="0.2">
      <c r="A29" s="54" t="s">
        <v>115</v>
      </c>
      <c r="B29" s="48" t="s">
        <v>106</v>
      </c>
      <c r="C29" s="49" t="s">
        <v>36</v>
      </c>
      <c r="D29" s="50">
        <v>152</v>
      </c>
      <c r="E29" s="50">
        <v>54</v>
      </c>
      <c r="F29" s="50">
        <v>98</v>
      </c>
      <c r="G29" s="50">
        <v>1</v>
      </c>
      <c r="H29" s="50">
        <v>1</v>
      </c>
      <c r="I29" s="50">
        <v>5</v>
      </c>
      <c r="J29" s="50">
        <v>11</v>
      </c>
      <c r="K29" s="50">
        <v>3</v>
      </c>
      <c r="L29" s="50">
        <v>6</v>
      </c>
      <c r="M29" s="50">
        <v>2</v>
      </c>
      <c r="N29" s="50">
        <v>28</v>
      </c>
      <c r="O29" s="50">
        <v>13</v>
      </c>
      <c r="P29" s="50">
        <v>10</v>
      </c>
      <c r="Q29" s="50">
        <v>3</v>
      </c>
      <c r="R29" s="50">
        <v>4</v>
      </c>
      <c r="S29" s="50">
        <v>16</v>
      </c>
      <c r="T29" s="50">
        <v>19</v>
      </c>
      <c r="U29" s="50">
        <v>11</v>
      </c>
      <c r="V29" s="50">
        <v>19</v>
      </c>
    </row>
    <row r="30" spans="1:22" s="51" customFormat="1" ht="14.25" customHeight="1" x14ac:dyDescent="0.2">
      <c r="A30" s="113" t="s">
        <v>53</v>
      </c>
      <c r="B30" s="52" t="s">
        <v>107</v>
      </c>
      <c r="C30" s="53" t="s">
        <v>38</v>
      </c>
      <c r="D30" s="24">
        <v>128</v>
      </c>
      <c r="E30" s="24">
        <v>44</v>
      </c>
      <c r="F30" s="24">
        <v>84</v>
      </c>
      <c r="G30" s="24">
        <v>1</v>
      </c>
      <c r="H30" s="24">
        <v>0</v>
      </c>
      <c r="I30" s="24">
        <v>3</v>
      </c>
      <c r="J30" s="24">
        <v>10</v>
      </c>
      <c r="K30" s="24">
        <v>2</v>
      </c>
      <c r="L30" s="24">
        <v>6</v>
      </c>
      <c r="M30" s="24">
        <v>2</v>
      </c>
      <c r="N30" s="24">
        <v>25</v>
      </c>
      <c r="O30" s="24">
        <v>12</v>
      </c>
      <c r="P30" s="24">
        <v>7</v>
      </c>
      <c r="Q30" s="24">
        <v>3</v>
      </c>
      <c r="R30" s="24">
        <v>4</v>
      </c>
      <c r="S30" s="24">
        <v>11</v>
      </c>
      <c r="T30" s="24">
        <v>16</v>
      </c>
      <c r="U30" s="24">
        <v>10</v>
      </c>
      <c r="V30" s="24">
        <v>16</v>
      </c>
    </row>
    <row r="31" spans="1:22" s="51" customFormat="1" ht="14.25" customHeight="1" x14ac:dyDescent="0.2">
      <c r="A31" s="113"/>
      <c r="B31" s="55" t="s">
        <v>108</v>
      </c>
      <c r="C31" s="56" t="s">
        <v>163</v>
      </c>
      <c r="D31" s="24">
        <v>24</v>
      </c>
      <c r="E31" s="24">
        <v>10</v>
      </c>
      <c r="F31" s="24">
        <v>14</v>
      </c>
      <c r="G31" s="24">
        <v>0</v>
      </c>
      <c r="H31" s="24">
        <v>1</v>
      </c>
      <c r="I31" s="24">
        <v>2</v>
      </c>
      <c r="J31" s="24">
        <v>1</v>
      </c>
      <c r="K31" s="24">
        <v>1</v>
      </c>
      <c r="L31" s="24">
        <v>0</v>
      </c>
      <c r="M31" s="24">
        <v>0</v>
      </c>
      <c r="N31" s="24">
        <v>3</v>
      </c>
      <c r="O31" s="24">
        <v>1</v>
      </c>
      <c r="P31" s="24">
        <v>3</v>
      </c>
      <c r="Q31" s="24">
        <v>0</v>
      </c>
      <c r="R31" s="24">
        <v>0</v>
      </c>
      <c r="S31" s="24">
        <v>5</v>
      </c>
      <c r="T31" s="24">
        <v>3</v>
      </c>
      <c r="U31" s="24">
        <v>1</v>
      </c>
      <c r="V31" s="24">
        <v>3</v>
      </c>
    </row>
    <row r="32" spans="1:22" s="51" customFormat="1" ht="14.25" customHeight="1" x14ac:dyDescent="0.2">
      <c r="A32" s="47" t="s">
        <v>116</v>
      </c>
      <c r="B32" s="48" t="s">
        <v>106</v>
      </c>
      <c r="C32" s="49" t="s">
        <v>36</v>
      </c>
      <c r="D32" s="50">
        <v>232</v>
      </c>
      <c r="E32" s="50">
        <v>107</v>
      </c>
      <c r="F32" s="50">
        <v>125</v>
      </c>
      <c r="G32" s="50">
        <v>1</v>
      </c>
      <c r="H32" s="50">
        <v>1</v>
      </c>
      <c r="I32" s="50">
        <v>14</v>
      </c>
      <c r="J32" s="50">
        <v>16</v>
      </c>
      <c r="K32" s="50">
        <v>7</v>
      </c>
      <c r="L32" s="50">
        <v>6</v>
      </c>
      <c r="M32" s="50">
        <v>9</v>
      </c>
      <c r="N32" s="50">
        <v>37</v>
      </c>
      <c r="O32" s="50">
        <v>16</v>
      </c>
      <c r="P32" s="50">
        <v>14</v>
      </c>
      <c r="Q32" s="50">
        <v>9</v>
      </c>
      <c r="R32" s="50">
        <v>5</v>
      </c>
      <c r="S32" s="50">
        <v>39</v>
      </c>
      <c r="T32" s="50">
        <v>22</v>
      </c>
      <c r="U32" s="50">
        <v>12</v>
      </c>
      <c r="V32" s="50">
        <v>24</v>
      </c>
    </row>
    <row r="33" spans="1:22" s="51" customFormat="1" ht="14.25" customHeight="1" x14ac:dyDescent="0.2">
      <c r="A33" s="113" t="s">
        <v>55</v>
      </c>
      <c r="B33" s="52" t="s">
        <v>107</v>
      </c>
      <c r="C33" s="53" t="s">
        <v>38</v>
      </c>
      <c r="D33" s="24">
        <v>177</v>
      </c>
      <c r="E33" s="24">
        <v>82</v>
      </c>
      <c r="F33" s="24">
        <v>95</v>
      </c>
      <c r="G33" s="24">
        <v>1</v>
      </c>
      <c r="H33" s="24">
        <v>1</v>
      </c>
      <c r="I33" s="24">
        <v>10</v>
      </c>
      <c r="J33" s="24">
        <v>14</v>
      </c>
      <c r="K33" s="24">
        <v>5</v>
      </c>
      <c r="L33" s="24">
        <v>2</v>
      </c>
      <c r="M33" s="24">
        <v>7</v>
      </c>
      <c r="N33" s="24">
        <v>30</v>
      </c>
      <c r="O33" s="24">
        <v>10</v>
      </c>
      <c r="P33" s="24">
        <v>8</v>
      </c>
      <c r="Q33" s="24">
        <v>9</v>
      </c>
      <c r="R33" s="24">
        <v>5</v>
      </c>
      <c r="S33" s="24">
        <v>29</v>
      </c>
      <c r="T33" s="24">
        <v>16</v>
      </c>
      <c r="U33" s="24">
        <v>11</v>
      </c>
      <c r="V33" s="24">
        <v>19</v>
      </c>
    </row>
    <row r="34" spans="1:22" s="51" customFormat="1" ht="14.25" customHeight="1" x14ac:dyDescent="0.2">
      <c r="A34" s="113"/>
      <c r="B34" s="55" t="s">
        <v>108</v>
      </c>
      <c r="C34" s="56" t="s">
        <v>163</v>
      </c>
      <c r="D34" s="24">
        <v>55</v>
      </c>
      <c r="E34" s="24">
        <v>25</v>
      </c>
      <c r="F34" s="24">
        <v>30</v>
      </c>
      <c r="G34" s="24">
        <v>0</v>
      </c>
      <c r="H34" s="24">
        <v>0</v>
      </c>
      <c r="I34" s="24">
        <v>4</v>
      </c>
      <c r="J34" s="24">
        <v>2</v>
      </c>
      <c r="K34" s="24">
        <v>2</v>
      </c>
      <c r="L34" s="24">
        <v>4</v>
      </c>
      <c r="M34" s="24">
        <v>2</v>
      </c>
      <c r="N34" s="24">
        <v>7</v>
      </c>
      <c r="O34" s="24">
        <v>6</v>
      </c>
      <c r="P34" s="24">
        <v>6</v>
      </c>
      <c r="Q34" s="24">
        <v>0</v>
      </c>
      <c r="R34" s="24">
        <v>0</v>
      </c>
      <c r="S34" s="24">
        <v>10</v>
      </c>
      <c r="T34" s="24">
        <v>6</v>
      </c>
      <c r="U34" s="24">
        <v>1</v>
      </c>
      <c r="V34" s="24">
        <v>5</v>
      </c>
    </row>
    <row r="35" spans="1:22" s="51" customFormat="1" ht="14.25" customHeight="1" x14ac:dyDescent="0.2">
      <c r="A35" s="47" t="s">
        <v>117</v>
      </c>
      <c r="B35" s="48" t="s">
        <v>106</v>
      </c>
      <c r="C35" s="49" t="s">
        <v>36</v>
      </c>
      <c r="D35" s="50">
        <v>230</v>
      </c>
      <c r="E35" s="50">
        <v>110</v>
      </c>
      <c r="F35" s="50">
        <v>120</v>
      </c>
      <c r="G35" s="50">
        <v>2</v>
      </c>
      <c r="H35" s="50">
        <v>0</v>
      </c>
      <c r="I35" s="50">
        <v>15</v>
      </c>
      <c r="J35" s="50">
        <v>12</v>
      </c>
      <c r="K35" s="50">
        <v>1</v>
      </c>
      <c r="L35" s="50">
        <v>4</v>
      </c>
      <c r="M35" s="50">
        <v>0</v>
      </c>
      <c r="N35" s="50">
        <v>20</v>
      </c>
      <c r="O35" s="50">
        <v>28</v>
      </c>
      <c r="P35" s="50">
        <v>24</v>
      </c>
      <c r="Q35" s="50">
        <v>3</v>
      </c>
      <c r="R35" s="50">
        <v>1</v>
      </c>
      <c r="S35" s="50">
        <v>28</v>
      </c>
      <c r="T35" s="50">
        <v>26</v>
      </c>
      <c r="U35" s="50">
        <v>33</v>
      </c>
      <c r="V35" s="50">
        <v>33</v>
      </c>
    </row>
    <row r="36" spans="1:22" s="51" customFormat="1" ht="14.25" customHeight="1" x14ac:dyDescent="0.2">
      <c r="A36" s="113" t="s">
        <v>57</v>
      </c>
      <c r="B36" s="52" t="s">
        <v>107</v>
      </c>
      <c r="C36" s="53" t="s">
        <v>38</v>
      </c>
      <c r="D36" s="24">
        <v>200</v>
      </c>
      <c r="E36" s="24">
        <v>99</v>
      </c>
      <c r="F36" s="24">
        <v>101</v>
      </c>
      <c r="G36" s="24">
        <v>2</v>
      </c>
      <c r="H36" s="24">
        <v>0</v>
      </c>
      <c r="I36" s="24">
        <v>15</v>
      </c>
      <c r="J36" s="24">
        <v>12</v>
      </c>
      <c r="K36" s="24">
        <v>1</v>
      </c>
      <c r="L36" s="24">
        <v>4</v>
      </c>
      <c r="M36" s="24">
        <v>0</v>
      </c>
      <c r="N36" s="24">
        <v>16</v>
      </c>
      <c r="O36" s="24">
        <v>20</v>
      </c>
      <c r="P36" s="24">
        <v>20</v>
      </c>
      <c r="Q36" s="24">
        <v>3</v>
      </c>
      <c r="R36" s="24">
        <v>1</v>
      </c>
      <c r="S36" s="24">
        <v>26</v>
      </c>
      <c r="T36" s="24">
        <v>22</v>
      </c>
      <c r="U36" s="24">
        <v>32</v>
      </c>
      <c r="V36" s="24">
        <v>26</v>
      </c>
    </row>
    <row r="37" spans="1:22" s="51" customFormat="1" ht="14.25" customHeight="1" x14ac:dyDescent="0.2">
      <c r="A37" s="113"/>
      <c r="B37" s="55" t="s">
        <v>108</v>
      </c>
      <c r="C37" s="56" t="s">
        <v>163</v>
      </c>
      <c r="D37" s="24">
        <v>30</v>
      </c>
      <c r="E37" s="24">
        <v>11</v>
      </c>
      <c r="F37" s="24">
        <v>19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4</v>
      </c>
      <c r="O37" s="24">
        <v>8</v>
      </c>
      <c r="P37" s="24">
        <v>4</v>
      </c>
      <c r="Q37" s="24">
        <v>0</v>
      </c>
      <c r="R37" s="24">
        <v>0</v>
      </c>
      <c r="S37" s="24">
        <v>2</v>
      </c>
      <c r="T37" s="24">
        <v>4</v>
      </c>
      <c r="U37" s="24">
        <v>1</v>
      </c>
      <c r="V37" s="24">
        <v>7</v>
      </c>
    </row>
    <row r="38" spans="1:22" s="51" customFormat="1" ht="14.25" customHeight="1" x14ac:dyDescent="0.2">
      <c r="A38" s="47" t="s">
        <v>118</v>
      </c>
      <c r="B38" s="48" t="s">
        <v>106</v>
      </c>
      <c r="C38" s="49" t="s">
        <v>36</v>
      </c>
      <c r="D38" s="50">
        <v>306</v>
      </c>
      <c r="E38" s="50">
        <v>139</v>
      </c>
      <c r="F38" s="50">
        <v>167</v>
      </c>
      <c r="G38" s="50">
        <v>0</v>
      </c>
      <c r="H38" s="50">
        <v>1</v>
      </c>
      <c r="I38" s="50">
        <v>20</v>
      </c>
      <c r="J38" s="50">
        <v>28</v>
      </c>
      <c r="K38" s="50">
        <v>4</v>
      </c>
      <c r="L38" s="50">
        <v>14</v>
      </c>
      <c r="M38" s="50">
        <v>8</v>
      </c>
      <c r="N38" s="50">
        <v>35</v>
      </c>
      <c r="O38" s="50">
        <v>23</v>
      </c>
      <c r="P38" s="50">
        <v>11</v>
      </c>
      <c r="Q38" s="50">
        <v>10</v>
      </c>
      <c r="R38" s="50">
        <v>6</v>
      </c>
      <c r="S38" s="50">
        <v>54</v>
      </c>
      <c r="T38" s="50">
        <v>49</v>
      </c>
      <c r="U38" s="50">
        <v>20</v>
      </c>
      <c r="V38" s="50">
        <v>23</v>
      </c>
    </row>
    <row r="39" spans="1:22" s="51" customFormat="1" ht="14.25" customHeight="1" x14ac:dyDescent="0.2">
      <c r="A39" s="113" t="s">
        <v>59</v>
      </c>
      <c r="B39" s="52" t="s">
        <v>107</v>
      </c>
      <c r="C39" s="53" t="s">
        <v>38</v>
      </c>
      <c r="D39" s="24">
        <v>303</v>
      </c>
      <c r="E39" s="24">
        <v>137</v>
      </c>
      <c r="F39" s="24">
        <v>166</v>
      </c>
      <c r="G39" s="24">
        <v>0</v>
      </c>
      <c r="H39" s="24">
        <v>1</v>
      </c>
      <c r="I39" s="24">
        <v>20</v>
      </c>
      <c r="J39" s="24">
        <v>27</v>
      </c>
      <c r="K39" s="24">
        <v>4</v>
      </c>
      <c r="L39" s="24">
        <v>14</v>
      </c>
      <c r="M39" s="24">
        <v>8</v>
      </c>
      <c r="N39" s="24">
        <v>35</v>
      </c>
      <c r="O39" s="24">
        <v>23</v>
      </c>
      <c r="P39" s="24">
        <v>11</v>
      </c>
      <c r="Q39" s="24">
        <v>10</v>
      </c>
      <c r="R39" s="24">
        <v>6</v>
      </c>
      <c r="S39" s="24">
        <v>52</v>
      </c>
      <c r="T39" s="24">
        <v>49</v>
      </c>
      <c r="U39" s="24">
        <v>20</v>
      </c>
      <c r="V39" s="24">
        <v>23</v>
      </c>
    </row>
    <row r="40" spans="1:22" s="51" customFormat="1" ht="14.25" customHeight="1" x14ac:dyDescent="0.2">
      <c r="A40" s="113"/>
      <c r="B40" s="55" t="s">
        <v>108</v>
      </c>
      <c r="C40" s="56" t="s">
        <v>163</v>
      </c>
      <c r="D40" s="24">
        <v>3</v>
      </c>
      <c r="E40" s="24">
        <v>2</v>
      </c>
      <c r="F40" s="24">
        <v>1</v>
      </c>
      <c r="G40" s="24">
        <v>0</v>
      </c>
      <c r="H40" s="24">
        <v>0</v>
      </c>
      <c r="I40" s="24">
        <v>0</v>
      </c>
      <c r="J40" s="24">
        <v>1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2</v>
      </c>
      <c r="T40" s="24">
        <v>0</v>
      </c>
      <c r="U40" s="24">
        <v>0</v>
      </c>
      <c r="V40" s="24">
        <v>0</v>
      </c>
    </row>
    <row r="41" spans="1:22" s="51" customFormat="1" ht="14.25" customHeight="1" x14ac:dyDescent="0.2">
      <c r="A41" s="47" t="s">
        <v>119</v>
      </c>
      <c r="B41" s="48" t="s">
        <v>106</v>
      </c>
      <c r="C41" s="49" t="s">
        <v>36</v>
      </c>
      <c r="D41" s="50">
        <v>115</v>
      </c>
      <c r="E41" s="50">
        <v>57</v>
      </c>
      <c r="F41" s="50">
        <v>58</v>
      </c>
      <c r="G41" s="50">
        <v>1</v>
      </c>
      <c r="H41" s="50">
        <v>0</v>
      </c>
      <c r="I41" s="50">
        <v>8</v>
      </c>
      <c r="J41" s="50">
        <v>5</v>
      </c>
      <c r="K41" s="50">
        <v>0</v>
      </c>
      <c r="L41" s="50">
        <v>2</v>
      </c>
      <c r="M41" s="50">
        <v>3</v>
      </c>
      <c r="N41" s="50">
        <v>12</v>
      </c>
      <c r="O41" s="50">
        <v>18</v>
      </c>
      <c r="P41" s="50">
        <v>13</v>
      </c>
      <c r="Q41" s="50">
        <v>4</v>
      </c>
      <c r="R41" s="50">
        <v>2</v>
      </c>
      <c r="S41" s="50">
        <v>5</v>
      </c>
      <c r="T41" s="50">
        <v>4</v>
      </c>
      <c r="U41" s="50">
        <v>18</v>
      </c>
      <c r="V41" s="50">
        <v>20</v>
      </c>
    </row>
    <row r="42" spans="1:22" s="51" customFormat="1" ht="14.25" customHeight="1" x14ac:dyDescent="0.2">
      <c r="A42" s="113" t="s">
        <v>61</v>
      </c>
      <c r="B42" s="52" t="s">
        <v>107</v>
      </c>
      <c r="C42" s="53" t="s">
        <v>38</v>
      </c>
      <c r="D42" s="24">
        <v>91</v>
      </c>
      <c r="E42" s="24">
        <v>48</v>
      </c>
      <c r="F42" s="24">
        <v>43</v>
      </c>
      <c r="G42" s="24">
        <v>0</v>
      </c>
      <c r="H42" s="24">
        <v>0</v>
      </c>
      <c r="I42" s="24">
        <v>7</v>
      </c>
      <c r="J42" s="24">
        <v>4</v>
      </c>
      <c r="K42" s="24">
        <v>0</v>
      </c>
      <c r="L42" s="24">
        <v>2</v>
      </c>
      <c r="M42" s="24">
        <v>3</v>
      </c>
      <c r="N42" s="24">
        <v>7</v>
      </c>
      <c r="O42" s="24">
        <v>16</v>
      </c>
      <c r="P42" s="24">
        <v>9</v>
      </c>
      <c r="Q42" s="24">
        <v>4</v>
      </c>
      <c r="R42" s="24">
        <v>2</v>
      </c>
      <c r="S42" s="24">
        <v>5</v>
      </c>
      <c r="T42" s="24">
        <v>3</v>
      </c>
      <c r="U42" s="24">
        <v>13</v>
      </c>
      <c r="V42" s="24">
        <v>16</v>
      </c>
    </row>
    <row r="43" spans="1:22" s="51" customFormat="1" ht="14.25" customHeight="1" x14ac:dyDescent="0.2">
      <c r="A43" s="113"/>
      <c r="B43" s="55" t="s">
        <v>108</v>
      </c>
      <c r="C43" s="56" t="s">
        <v>163</v>
      </c>
      <c r="D43" s="24">
        <v>24</v>
      </c>
      <c r="E43" s="24">
        <v>9</v>
      </c>
      <c r="F43" s="24">
        <v>15</v>
      </c>
      <c r="G43" s="24">
        <v>1</v>
      </c>
      <c r="H43" s="24">
        <v>0</v>
      </c>
      <c r="I43" s="24">
        <v>1</v>
      </c>
      <c r="J43" s="24">
        <v>1</v>
      </c>
      <c r="K43" s="24">
        <v>0</v>
      </c>
      <c r="L43" s="24">
        <v>0</v>
      </c>
      <c r="M43" s="24">
        <v>0</v>
      </c>
      <c r="N43" s="24">
        <v>5</v>
      </c>
      <c r="O43" s="24">
        <v>2</v>
      </c>
      <c r="P43" s="24">
        <v>4</v>
      </c>
      <c r="Q43" s="24">
        <v>0</v>
      </c>
      <c r="R43" s="24">
        <v>0</v>
      </c>
      <c r="S43" s="24">
        <v>0</v>
      </c>
      <c r="T43" s="24">
        <v>1</v>
      </c>
      <c r="U43" s="24">
        <v>5</v>
      </c>
      <c r="V43" s="24">
        <v>4</v>
      </c>
    </row>
    <row r="44" spans="1:22" s="51" customFormat="1" ht="14.25" customHeight="1" x14ac:dyDescent="0.2">
      <c r="A44" s="47" t="s">
        <v>120</v>
      </c>
      <c r="B44" s="48" t="s">
        <v>106</v>
      </c>
      <c r="C44" s="49" t="s">
        <v>36</v>
      </c>
      <c r="D44" s="50">
        <v>609</v>
      </c>
      <c r="E44" s="50">
        <v>291</v>
      </c>
      <c r="F44" s="50">
        <v>318</v>
      </c>
      <c r="G44" s="50">
        <v>2</v>
      </c>
      <c r="H44" s="50">
        <v>1</v>
      </c>
      <c r="I44" s="50">
        <v>101</v>
      </c>
      <c r="J44" s="50">
        <v>84</v>
      </c>
      <c r="K44" s="50">
        <v>28</v>
      </c>
      <c r="L44" s="50">
        <v>47</v>
      </c>
      <c r="M44" s="50">
        <v>3</v>
      </c>
      <c r="N44" s="50">
        <v>21</v>
      </c>
      <c r="O44" s="50">
        <v>51</v>
      </c>
      <c r="P44" s="50">
        <v>59</v>
      </c>
      <c r="Q44" s="50">
        <v>9</v>
      </c>
      <c r="R44" s="50">
        <v>7</v>
      </c>
      <c r="S44" s="50">
        <v>75</v>
      </c>
      <c r="T44" s="50">
        <v>62</v>
      </c>
      <c r="U44" s="50">
        <v>22</v>
      </c>
      <c r="V44" s="50">
        <v>37</v>
      </c>
    </row>
    <row r="45" spans="1:22" s="51" customFormat="1" ht="14.25" customHeight="1" x14ac:dyDescent="0.2">
      <c r="A45" s="113" t="s">
        <v>63</v>
      </c>
      <c r="B45" s="52" t="s">
        <v>107</v>
      </c>
      <c r="C45" s="53" t="s">
        <v>38</v>
      </c>
      <c r="D45" s="24">
        <v>608</v>
      </c>
      <c r="E45" s="24">
        <v>290</v>
      </c>
      <c r="F45" s="24">
        <v>318</v>
      </c>
      <c r="G45" s="24">
        <v>2</v>
      </c>
      <c r="H45" s="24">
        <v>1</v>
      </c>
      <c r="I45" s="24">
        <v>101</v>
      </c>
      <c r="J45" s="24">
        <v>84</v>
      </c>
      <c r="K45" s="24">
        <v>28</v>
      </c>
      <c r="L45" s="24">
        <v>47</v>
      </c>
      <c r="M45" s="24">
        <v>3</v>
      </c>
      <c r="N45" s="24">
        <v>21</v>
      </c>
      <c r="O45" s="24">
        <v>50</v>
      </c>
      <c r="P45" s="24">
        <v>59</v>
      </c>
      <c r="Q45" s="24">
        <v>9</v>
      </c>
      <c r="R45" s="24">
        <v>7</v>
      </c>
      <c r="S45" s="24">
        <v>75</v>
      </c>
      <c r="T45" s="24">
        <v>62</v>
      </c>
      <c r="U45" s="24">
        <v>22</v>
      </c>
      <c r="V45" s="24">
        <v>37</v>
      </c>
    </row>
    <row r="46" spans="1:22" s="51" customFormat="1" ht="14.25" customHeight="1" x14ac:dyDescent="0.2">
      <c r="A46" s="113"/>
      <c r="B46" s="55" t="s">
        <v>108</v>
      </c>
      <c r="C46" s="56" t="s">
        <v>163</v>
      </c>
      <c r="D46" s="24">
        <v>1</v>
      </c>
      <c r="E46" s="24">
        <v>1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1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</row>
    <row r="47" spans="1:22" s="51" customFormat="1" ht="14.25" customHeight="1" x14ac:dyDescent="0.2">
      <c r="A47" s="47" t="s">
        <v>121</v>
      </c>
      <c r="B47" s="48" t="s">
        <v>106</v>
      </c>
      <c r="C47" s="49" t="s">
        <v>36</v>
      </c>
      <c r="D47" s="50">
        <v>80</v>
      </c>
      <c r="E47" s="50">
        <v>35</v>
      </c>
      <c r="F47" s="50">
        <v>45</v>
      </c>
      <c r="G47" s="50">
        <v>1</v>
      </c>
      <c r="H47" s="50">
        <v>0</v>
      </c>
      <c r="I47" s="50">
        <v>4</v>
      </c>
      <c r="J47" s="50">
        <v>5</v>
      </c>
      <c r="K47" s="50">
        <v>7</v>
      </c>
      <c r="L47" s="50">
        <v>3</v>
      </c>
      <c r="M47" s="50">
        <v>1</v>
      </c>
      <c r="N47" s="50">
        <v>7</v>
      </c>
      <c r="O47" s="50">
        <v>2</v>
      </c>
      <c r="P47" s="50">
        <v>4</v>
      </c>
      <c r="Q47" s="50">
        <v>1</v>
      </c>
      <c r="R47" s="50">
        <v>5</v>
      </c>
      <c r="S47" s="50">
        <v>6</v>
      </c>
      <c r="T47" s="50">
        <v>8</v>
      </c>
      <c r="U47" s="50">
        <v>13</v>
      </c>
      <c r="V47" s="50">
        <v>13</v>
      </c>
    </row>
    <row r="48" spans="1:22" s="51" customFormat="1" ht="14.25" customHeight="1" x14ac:dyDescent="0.2">
      <c r="A48" s="113" t="s">
        <v>65</v>
      </c>
      <c r="B48" s="52" t="s">
        <v>107</v>
      </c>
      <c r="C48" s="53" t="s">
        <v>38</v>
      </c>
      <c r="D48" s="24">
        <v>78</v>
      </c>
      <c r="E48" s="24">
        <v>35</v>
      </c>
      <c r="F48" s="24">
        <v>43</v>
      </c>
      <c r="G48" s="24">
        <v>1</v>
      </c>
      <c r="H48" s="24">
        <v>0</v>
      </c>
      <c r="I48" s="24">
        <v>4</v>
      </c>
      <c r="J48" s="24">
        <v>5</v>
      </c>
      <c r="K48" s="24">
        <v>7</v>
      </c>
      <c r="L48" s="24">
        <v>3</v>
      </c>
      <c r="M48" s="24">
        <v>1</v>
      </c>
      <c r="N48" s="24">
        <v>6</v>
      </c>
      <c r="O48" s="24">
        <v>2</v>
      </c>
      <c r="P48" s="24">
        <v>4</v>
      </c>
      <c r="Q48" s="24">
        <v>1</v>
      </c>
      <c r="R48" s="24">
        <v>5</v>
      </c>
      <c r="S48" s="24">
        <v>6</v>
      </c>
      <c r="T48" s="24">
        <v>8</v>
      </c>
      <c r="U48" s="24">
        <v>13</v>
      </c>
      <c r="V48" s="24">
        <v>12</v>
      </c>
    </row>
    <row r="49" spans="1:22" s="51" customFormat="1" ht="14.25" customHeight="1" x14ac:dyDescent="0.2">
      <c r="A49" s="113"/>
      <c r="B49" s="55" t="s">
        <v>108</v>
      </c>
      <c r="C49" s="56" t="s">
        <v>163</v>
      </c>
      <c r="D49" s="24">
        <v>2</v>
      </c>
      <c r="E49" s="24">
        <v>0</v>
      </c>
      <c r="F49" s="24">
        <v>2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1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</row>
    <row r="50" spans="1:22" s="51" customFormat="1" ht="14.25" customHeight="1" x14ac:dyDescent="0.2">
      <c r="A50" s="47" t="s">
        <v>122</v>
      </c>
      <c r="B50" s="48" t="s">
        <v>106</v>
      </c>
      <c r="C50" s="49" t="s">
        <v>36</v>
      </c>
      <c r="D50" s="50">
        <v>394</v>
      </c>
      <c r="E50" s="50">
        <v>183</v>
      </c>
      <c r="F50" s="50">
        <v>211</v>
      </c>
      <c r="G50" s="50">
        <v>1</v>
      </c>
      <c r="H50" s="50">
        <v>5</v>
      </c>
      <c r="I50" s="50">
        <v>43</v>
      </c>
      <c r="J50" s="50">
        <v>20</v>
      </c>
      <c r="K50" s="50">
        <v>14</v>
      </c>
      <c r="L50" s="50">
        <v>13</v>
      </c>
      <c r="M50" s="50">
        <v>11</v>
      </c>
      <c r="N50" s="50">
        <v>36</v>
      </c>
      <c r="O50" s="50">
        <v>22</v>
      </c>
      <c r="P50" s="50">
        <v>15</v>
      </c>
      <c r="Q50" s="50">
        <v>13</v>
      </c>
      <c r="R50" s="50">
        <v>10</v>
      </c>
      <c r="S50" s="50">
        <v>41</v>
      </c>
      <c r="T50" s="50">
        <v>41</v>
      </c>
      <c r="U50" s="50">
        <v>38</v>
      </c>
      <c r="V50" s="50">
        <v>71</v>
      </c>
    </row>
    <row r="51" spans="1:22" s="51" customFormat="1" ht="14.25" customHeight="1" x14ac:dyDescent="0.2">
      <c r="A51" s="113" t="s">
        <v>67</v>
      </c>
      <c r="B51" s="52" t="s">
        <v>107</v>
      </c>
      <c r="C51" s="53" t="s">
        <v>38</v>
      </c>
      <c r="D51" s="24">
        <v>323</v>
      </c>
      <c r="E51" s="24">
        <v>153</v>
      </c>
      <c r="F51" s="24">
        <v>170</v>
      </c>
      <c r="G51" s="24">
        <v>1</v>
      </c>
      <c r="H51" s="24">
        <v>4</v>
      </c>
      <c r="I51" s="24">
        <v>36</v>
      </c>
      <c r="J51" s="24">
        <v>19</v>
      </c>
      <c r="K51" s="24">
        <v>13</v>
      </c>
      <c r="L51" s="24">
        <v>12</v>
      </c>
      <c r="M51" s="24">
        <v>7</v>
      </c>
      <c r="N51" s="24">
        <v>21</v>
      </c>
      <c r="O51" s="24">
        <v>21</v>
      </c>
      <c r="P51" s="24">
        <v>13</v>
      </c>
      <c r="Q51" s="24">
        <v>12</v>
      </c>
      <c r="R51" s="24">
        <v>8</v>
      </c>
      <c r="S51" s="24">
        <v>32</v>
      </c>
      <c r="T51" s="24">
        <v>33</v>
      </c>
      <c r="U51" s="24">
        <v>31</v>
      </c>
      <c r="V51" s="24">
        <v>60</v>
      </c>
    </row>
    <row r="52" spans="1:22" s="51" customFormat="1" ht="14.25" customHeight="1" x14ac:dyDescent="0.2">
      <c r="A52" s="113"/>
      <c r="B52" s="55" t="s">
        <v>108</v>
      </c>
      <c r="C52" s="56" t="s">
        <v>163</v>
      </c>
      <c r="D52" s="24">
        <v>71</v>
      </c>
      <c r="E52" s="24">
        <v>30</v>
      </c>
      <c r="F52" s="24">
        <v>41</v>
      </c>
      <c r="G52" s="24">
        <v>0</v>
      </c>
      <c r="H52" s="24">
        <v>1</v>
      </c>
      <c r="I52" s="24">
        <v>7</v>
      </c>
      <c r="J52" s="24">
        <v>1</v>
      </c>
      <c r="K52" s="24">
        <v>1</v>
      </c>
      <c r="L52" s="24">
        <v>1</v>
      </c>
      <c r="M52" s="24">
        <v>4</v>
      </c>
      <c r="N52" s="24">
        <v>15</v>
      </c>
      <c r="O52" s="24">
        <v>1</v>
      </c>
      <c r="P52" s="24">
        <v>2</v>
      </c>
      <c r="Q52" s="24">
        <v>1</v>
      </c>
      <c r="R52" s="24">
        <v>2</v>
      </c>
      <c r="S52" s="24">
        <v>9</v>
      </c>
      <c r="T52" s="24">
        <v>8</v>
      </c>
      <c r="U52" s="24">
        <v>7</v>
      </c>
      <c r="V52" s="24">
        <v>11</v>
      </c>
    </row>
    <row r="53" spans="1:22" s="51" customFormat="1" ht="14.25" customHeight="1" x14ac:dyDescent="0.2">
      <c r="A53" s="47" t="s">
        <v>123</v>
      </c>
      <c r="B53" s="48" t="s">
        <v>106</v>
      </c>
      <c r="C53" s="49" t="s">
        <v>36</v>
      </c>
      <c r="D53" s="50">
        <v>210</v>
      </c>
      <c r="E53" s="50">
        <v>86</v>
      </c>
      <c r="F53" s="50">
        <v>124</v>
      </c>
      <c r="G53" s="50">
        <v>0</v>
      </c>
      <c r="H53" s="50">
        <v>0</v>
      </c>
      <c r="I53" s="50">
        <v>20</v>
      </c>
      <c r="J53" s="50">
        <v>25</v>
      </c>
      <c r="K53" s="50">
        <v>7</v>
      </c>
      <c r="L53" s="50">
        <v>14</v>
      </c>
      <c r="M53" s="50">
        <v>8</v>
      </c>
      <c r="N53" s="50">
        <v>53</v>
      </c>
      <c r="O53" s="50">
        <v>13</v>
      </c>
      <c r="P53" s="50">
        <v>16</v>
      </c>
      <c r="Q53" s="50">
        <v>0</v>
      </c>
      <c r="R53" s="50">
        <v>1</v>
      </c>
      <c r="S53" s="50">
        <v>27</v>
      </c>
      <c r="T53" s="50">
        <v>6</v>
      </c>
      <c r="U53" s="50">
        <v>11</v>
      </c>
      <c r="V53" s="50">
        <v>9</v>
      </c>
    </row>
    <row r="54" spans="1:22" s="51" customFormat="1" ht="14.25" customHeight="1" x14ac:dyDescent="0.2">
      <c r="A54" s="113" t="s">
        <v>69</v>
      </c>
      <c r="B54" s="52" t="s">
        <v>107</v>
      </c>
      <c r="C54" s="53" t="s">
        <v>38</v>
      </c>
      <c r="D54" s="24">
        <v>104</v>
      </c>
      <c r="E54" s="24">
        <v>44</v>
      </c>
      <c r="F54" s="24">
        <v>60</v>
      </c>
      <c r="G54" s="24">
        <v>0</v>
      </c>
      <c r="H54" s="24">
        <v>0</v>
      </c>
      <c r="I54" s="24">
        <v>17</v>
      </c>
      <c r="J54" s="24">
        <v>18</v>
      </c>
      <c r="K54" s="24">
        <v>5</v>
      </c>
      <c r="L54" s="24">
        <v>9</v>
      </c>
      <c r="M54" s="24">
        <v>1</v>
      </c>
      <c r="N54" s="24">
        <v>17</v>
      </c>
      <c r="O54" s="24">
        <v>6</v>
      </c>
      <c r="P54" s="24">
        <v>9</v>
      </c>
      <c r="Q54" s="24">
        <v>0</v>
      </c>
      <c r="R54" s="24">
        <v>0</v>
      </c>
      <c r="S54" s="24">
        <v>12</v>
      </c>
      <c r="T54" s="24">
        <v>4</v>
      </c>
      <c r="U54" s="24">
        <v>3</v>
      </c>
      <c r="V54" s="24">
        <v>3</v>
      </c>
    </row>
    <row r="55" spans="1:22" s="51" customFormat="1" ht="14.25" customHeight="1" x14ac:dyDescent="0.2">
      <c r="A55" s="113"/>
      <c r="B55" s="55" t="s">
        <v>108</v>
      </c>
      <c r="C55" s="56" t="s">
        <v>163</v>
      </c>
      <c r="D55" s="24">
        <v>106</v>
      </c>
      <c r="E55" s="24">
        <v>42</v>
      </c>
      <c r="F55" s="24">
        <v>64</v>
      </c>
      <c r="G55" s="24">
        <v>0</v>
      </c>
      <c r="H55" s="24">
        <v>0</v>
      </c>
      <c r="I55" s="24">
        <v>3</v>
      </c>
      <c r="J55" s="24">
        <v>7</v>
      </c>
      <c r="K55" s="24">
        <v>2</v>
      </c>
      <c r="L55" s="24">
        <v>5</v>
      </c>
      <c r="M55" s="24">
        <v>7</v>
      </c>
      <c r="N55" s="24">
        <v>36</v>
      </c>
      <c r="O55" s="24">
        <v>7</v>
      </c>
      <c r="P55" s="24">
        <v>7</v>
      </c>
      <c r="Q55" s="24">
        <v>0</v>
      </c>
      <c r="R55" s="24">
        <v>1</v>
      </c>
      <c r="S55" s="24">
        <v>15</v>
      </c>
      <c r="T55" s="24">
        <v>2</v>
      </c>
      <c r="U55" s="24">
        <v>8</v>
      </c>
      <c r="V55" s="24">
        <v>6</v>
      </c>
    </row>
    <row r="56" spans="1:22" s="51" customFormat="1" ht="14.25" customHeight="1" x14ac:dyDescent="0.2">
      <c r="A56" s="47" t="s">
        <v>124</v>
      </c>
      <c r="B56" s="48" t="s">
        <v>106</v>
      </c>
      <c r="C56" s="49" t="s">
        <v>36</v>
      </c>
      <c r="D56" s="50">
        <v>184</v>
      </c>
      <c r="E56" s="50">
        <v>84</v>
      </c>
      <c r="F56" s="50">
        <v>100</v>
      </c>
      <c r="G56" s="50">
        <v>0</v>
      </c>
      <c r="H56" s="50">
        <v>0</v>
      </c>
      <c r="I56" s="50">
        <v>25</v>
      </c>
      <c r="J56" s="50">
        <v>7</v>
      </c>
      <c r="K56" s="50">
        <v>11</v>
      </c>
      <c r="L56" s="50">
        <v>2</v>
      </c>
      <c r="M56" s="50">
        <v>15</v>
      </c>
      <c r="N56" s="50">
        <v>59</v>
      </c>
      <c r="O56" s="50">
        <v>16</v>
      </c>
      <c r="P56" s="50">
        <v>14</v>
      </c>
      <c r="Q56" s="50">
        <v>6</v>
      </c>
      <c r="R56" s="50">
        <v>3</v>
      </c>
      <c r="S56" s="50">
        <v>10</v>
      </c>
      <c r="T56" s="50">
        <v>15</v>
      </c>
      <c r="U56" s="50">
        <v>1</v>
      </c>
      <c r="V56" s="50">
        <v>0</v>
      </c>
    </row>
    <row r="57" spans="1:22" s="51" customFormat="1" ht="14.25" customHeight="1" x14ac:dyDescent="0.2">
      <c r="A57" s="113" t="s">
        <v>71</v>
      </c>
      <c r="B57" s="52" t="s">
        <v>107</v>
      </c>
      <c r="C57" s="53" t="s">
        <v>38</v>
      </c>
      <c r="D57" s="24">
        <v>77</v>
      </c>
      <c r="E57" s="24">
        <v>39</v>
      </c>
      <c r="F57" s="24">
        <v>38</v>
      </c>
      <c r="G57" s="24">
        <v>0</v>
      </c>
      <c r="H57" s="24">
        <v>0</v>
      </c>
      <c r="I57" s="24">
        <v>12</v>
      </c>
      <c r="J57" s="24">
        <v>3</v>
      </c>
      <c r="K57" s="24">
        <v>6</v>
      </c>
      <c r="L57" s="24">
        <v>1</v>
      </c>
      <c r="M57" s="24">
        <v>7</v>
      </c>
      <c r="N57" s="24">
        <v>21</v>
      </c>
      <c r="O57" s="24">
        <v>5</v>
      </c>
      <c r="P57" s="24">
        <v>6</v>
      </c>
      <c r="Q57" s="24">
        <v>3</v>
      </c>
      <c r="R57" s="24">
        <v>0</v>
      </c>
      <c r="S57" s="24">
        <v>5</v>
      </c>
      <c r="T57" s="24">
        <v>7</v>
      </c>
      <c r="U57" s="24">
        <v>1</v>
      </c>
      <c r="V57" s="24">
        <v>0</v>
      </c>
    </row>
    <row r="58" spans="1:22" s="51" customFormat="1" ht="14.25" customHeight="1" x14ac:dyDescent="0.2">
      <c r="A58" s="113"/>
      <c r="B58" s="55" t="s">
        <v>108</v>
      </c>
      <c r="C58" s="56" t="s">
        <v>163</v>
      </c>
      <c r="D58" s="24">
        <v>107</v>
      </c>
      <c r="E58" s="24">
        <v>45</v>
      </c>
      <c r="F58" s="24">
        <v>62</v>
      </c>
      <c r="G58" s="24">
        <v>0</v>
      </c>
      <c r="H58" s="24">
        <v>0</v>
      </c>
      <c r="I58" s="24">
        <v>13</v>
      </c>
      <c r="J58" s="24">
        <v>4</v>
      </c>
      <c r="K58" s="24">
        <v>5</v>
      </c>
      <c r="L58" s="24">
        <v>1</v>
      </c>
      <c r="M58" s="24">
        <v>8</v>
      </c>
      <c r="N58" s="24">
        <v>38</v>
      </c>
      <c r="O58" s="24">
        <v>11</v>
      </c>
      <c r="P58" s="24">
        <v>8</v>
      </c>
      <c r="Q58" s="24">
        <v>3</v>
      </c>
      <c r="R58" s="24">
        <v>3</v>
      </c>
      <c r="S58" s="24">
        <v>5</v>
      </c>
      <c r="T58" s="24">
        <v>8</v>
      </c>
      <c r="U58" s="24">
        <v>0</v>
      </c>
      <c r="V58" s="24">
        <v>0</v>
      </c>
    </row>
    <row r="59" spans="1:22" s="51" customFormat="1" ht="14.25" customHeight="1" x14ac:dyDescent="0.2">
      <c r="A59" s="47" t="s">
        <v>125</v>
      </c>
      <c r="B59" s="48" t="s">
        <v>106</v>
      </c>
      <c r="C59" s="49" t="s">
        <v>36</v>
      </c>
      <c r="D59" s="50">
        <v>13</v>
      </c>
      <c r="E59" s="50">
        <v>4</v>
      </c>
      <c r="F59" s="50">
        <v>9</v>
      </c>
      <c r="G59" s="50">
        <v>0</v>
      </c>
      <c r="H59" s="50">
        <v>0</v>
      </c>
      <c r="I59" s="50">
        <v>2</v>
      </c>
      <c r="J59" s="50">
        <v>5</v>
      </c>
      <c r="K59" s="50">
        <v>0</v>
      </c>
      <c r="L59" s="50">
        <v>1</v>
      </c>
      <c r="M59" s="50">
        <v>0</v>
      </c>
      <c r="N59" s="50">
        <v>1</v>
      </c>
      <c r="O59" s="50">
        <v>0</v>
      </c>
      <c r="P59" s="50">
        <v>1</v>
      </c>
      <c r="Q59" s="50">
        <v>0</v>
      </c>
      <c r="R59" s="50">
        <v>0</v>
      </c>
      <c r="S59" s="50">
        <v>2</v>
      </c>
      <c r="T59" s="50">
        <v>0</v>
      </c>
      <c r="U59" s="50">
        <v>0</v>
      </c>
      <c r="V59" s="50">
        <v>1</v>
      </c>
    </row>
    <row r="60" spans="1:22" s="51" customFormat="1" ht="14.25" customHeight="1" x14ac:dyDescent="0.2">
      <c r="A60" s="113" t="s">
        <v>73</v>
      </c>
      <c r="B60" s="52" t="s">
        <v>107</v>
      </c>
      <c r="C60" s="53" t="s">
        <v>38</v>
      </c>
      <c r="D60" s="24">
        <v>13</v>
      </c>
      <c r="E60" s="24">
        <v>4</v>
      </c>
      <c r="F60" s="24">
        <v>9</v>
      </c>
      <c r="G60" s="24">
        <v>0</v>
      </c>
      <c r="H60" s="24">
        <v>0</v>
      </c>
      <c r="I60" s="24">
        <v>2</v>
      </c>
      <c r="J60" s="24">
        <v>5</v>
      </c>
      <c r="K60" s="24">
        <v>0</v>
      </c>
      <c r="L60" s="24">
        <v>1</v>
      </c>
      <c r="M60" s="24">
        <v>0</v>
      </c>
      <c r="N60" s="24">
        <v>1</v>
      </c>
      <c r="O60" s="24">
        <v>0</v>
      </c>
      <c r="P60" s="24">
        <v>1</v>
      </c>
      <c r="Q60" s="24">
        <v>0</v>
      </c>
      <c r="R60" s="24">
        <v>0</v>
      </c>
      <c r="S60" s="24">
        <v>2</v>
      </c>
      <c r="T60" s="24">
        <v>0</v>
      </c>
      <c r="U60" s="24">
        <v>0</v>
      </c>
      <c r="V60" s="24">
        <v>1</v>
      </c>
    </row>
    <row r="61" spans="1:22" s="51" customFormat="1" ht="14.25" customHeight="1" x14ac:dyDescent="0.2">
      <c r="A61" s="113"/>
      <c r="B61" s="55" t="s">
        <v>108</v>
      </c>
      <c r="C61" s="56" t="s">
        <v>163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</row>
    <row r="62" spans="1:22" s="51" customFormat="1" ht="14.25" customHeight="1" x14ac:dyDescent="0.2">
      <c r="A62" s="47" t="s">
        <v>126</v>
      </c>
      <c r="B62" s="48" t="s">
        <v>106</v>
      </c>
      <c r="C62" s="49" t="s">
        <v>36</v>
      </c>
      <c r="D62" s="50">
        <v>317</v>
      </c>
      <c r="E62" s="50">
        <v>145</v>
      </c>
      <c r="F62" s="50">
        <v>172</v>
      </c>
      <c r="G62" s="50">
        <v>0</v>
      </c>
      <c r="H62" s="50">
        <v>1</v>
      </c>
      <c r="I62" s="50">
        <v>57</v>
      </c>
      <c r="J62" s="50">
        <v>56</v>
      </c>
      <c r="K62" s="50">
        <v>6</v>
      </c>
      <c r="L62" s="50">
        <v>8</v>
      </c>
      <c r="M62" s="50">
        <v>7</v>
      </c>
      <c r="N62" s="50">
        <v>37</v>
      </c>
      <c r="O62" s="50">
        <v>20</v>
      </c>
      <c r="P62" s="50">
        <v>19</v>
      </c>
      <c r="Q62" s="50">
        <v>4</v>
      </c>
      <c r="R62" s="50">
        <v>6</v>
      </c>
      <c r="S62" s="50">
        <v>40</v>
      </c>
      <c r="T62" s="50">
        <v>20</v>
      </c>
      <c r="U62" s="50">
        <v>11</v>
      </c>
      <c r="V62" s="50">
        <v>25</v>
      </c>
    </row>
    <row r="63" spans="1:22" s="51" customFormat="1" ht="14.25" customHeight="1" x14ac:dyDescent="0.2">
      <c r="A63" s="113" t="s">
        <v>75</v>
      </c>
      <c r="B63" s="52" t="s">
        <v>107</v>
      </c>
      <c r="C63" s="53" t="s">
        <v>38</v>
      </c>
      <c r="D63" s="24">
        <v>294</v>
      </c>
      <c r="E63" s="24">
        <v>134</v>
      </c>
      <c r="F63" s="24">
        <v>160</v>
      </c>
      <c r="G63" s="24">
        <v>0</v>
      </c>
      <c r="H63" s="24">
        <v>1</v>
      </c>
      <c r="I63" s="24">
        <v>56</v>
      </c>
      <c r="J63" s="24">
        <v>53</v>
      </c>
      <c r="K63" s="24">
        <v>6</v>
      </c>
      <c r="L63" s="24">
        <v>8</v>
      </c>
      <c r="M63" s="24">
        <v>6</v>
      </c>
      <c r="N63" s="24">
        <v>33</v>
      </c>
      <c r="O63" s="24">
        <v>16</v>
      </c>
      <c r="P63" s="24">
        <v>18</v>
      </c>
      <c r="Q63" s="24">
        <v>4</v>
      </c>
      <c r="R63" s="24">
        <v>5</v>
      </c>
      <c r="S63" s="24">
        <v>36</v>
      </c>
      <c r="T63" s="24">
        <v>19</v>
      </c>
      <c r="U63" s="24">
        <v>10</v>
      </c>
      <c r="V63" s="24">
        <v>23</v>
      </c>
    </row>
    <row r="64" spans="1:22" s="51" customFormat="1" ht="14.25" customHeight="1" x14ac:dyDescent="0.2">
      <c r="A64" s="113"/>
      <c r="B64" s="55" t="s">
        <v>108</v>
      </c>
      <c r="C64" s="56" t="s">
        <v>163</v>
      </c>
      <c r="D64" s="24">
        <v>23</v>
      </c>
      <c r="E64" s="24">
        <v>11</v>
      </c>
      <c r="F64" s="24">
        <v>12</v>
      </c>
      <c r="G64" s="24">
        <v>0</v>
      </c>
      <c r="H64" s="24">
        <v>0</v>
      </c>
      <c r="I64" s="24">
        <v>1</v>
      </c>
      <c r="J64" s="24">
        <v>3</v>
      </c>
      <c r="K64" s="24">
        <v>0</v>
      </c>
      <c r="L64" s="24">
        <v>0</v>
      </c>
      <c r="M64" s="24">
        <v>1</v>
      </c>
      <c r="N64" s="24">
        <v>4</v>
      </c>
      <c r="O64" s="24">
        <v>4</v>
      </c>
      <c r="P64" s="24">
        <v>1</v>
      </c>
      <c r="Q64" s="24">
        <v>0</v>
      </c>
      <c r="R64" s="24">
        <v>1</v>
      </c>
      <c r="S64" s="24">
        <v>4</v>
      </c>
      <c r="T64" s="24">
        <v>1</v>
      </c>
      <c r="U64" s="24">
        <v>1</v>
      </c>
      <c r="V64" s="24">
        <v>2</v>
      </c>
    </row>
    <row r="65" spans="1:22" s="51" customFormat="1" ht="14.25" customHeight="1" x14ac:dyDescent="0.2">
      <c r="A65" s="47" t="s">
        <v>127</v>
      </c>
      <c r="B65" s="48" t="s">
        <v>106</v>
      </c>
      <c r="C65" s="49" t="s">
        <v>36</v>
      </c>
      <c r="D65" s="50">
        <v>95</v>
      </c>
      <c r="E65" s="50">
        <v>40</v>
      </c>
      <c r="F65" s="50">
        <v>55</v>
      </c>
      <c r="G65" s="50">
        <v>0</v>
      </c>
      <c r="H65" s="50">
        <v>2</v>
      </c>
      <c r="I65" s="50">
        <v>2</v>
      </c>
      <c r="J65" s="50">
        <v>4</v>
      </c>
      <c r="K65" s="50">
        <v>4</v>
      </c>
      <c r="L65" s="50">
        <v>3</v>
      </c>
      <c r="M65" s="50">
        <v>2</v>
      </c>
      <c r="N65" s="50">
        <v>15</v>
      </c>
      <c r="O65" s="50">
        <v>11</v>
      </c>
      <c r="P65" s="50">
        <v>12</v>
      </c>
      <c r="Q65" s="50">
        <v>1</v>
      </c>
      <c r="R65" s="50">
        <v>1</v>
      </c>
      <c r="S65" s="50">
        <v>15</v>
      </c>
      <c r="T65" s="50">
        <v>16</v>
      </c>
      <c r="U65" s="50">
        <v>5</v>
      </c>
      <c r="V65" s="50">
        <v>2</v>
      </c>
    </row>
    <row r="66" spans="1:22" s="51" customFormat="1" ht="14.25" customHeight="1" x14ac:dyDescent="0.2">
      <c r="A66" s="113" t="s">
        <v>77</v>
      </c>
      <c r="B66" s="52" t="s">
        <v>107</v>
      </c>
      <c r="C66" s="53" t="s">
        <v>38</v>
      </c>
      <c r="D66" s="24">
        <v>93</v>
      </c>
      <c r="E66" s="24">
        <v>40</v>
      </c>
      <c r="F66" s="24">
        <v>53</v>
      </c>
      <c r="G66" s="24">
        <v>0</v>
      </c>
      <c r="H66" s="24">
        <v>2</v>
      </c>
      <c r="I66" s="24">
        <v>2</v>
      </c>
      <c r="J66" s="24">
        <v>4</v>
      </c>
      <c r="K66" s="24">
        <v>4</v>
      </c>
      <c r="L66" s="24">
        <v>3</v>
      </c>
      <c r="M66" s="24">
        <v>2</v>
      </c>
      <c r="N66" s="24">
        <v>15</v>
      </c>
      <c r="O66" s="24">
        <v>11</v>
      </c>
      <c r="P66" s="24">
        <v>10</v>
      </c>
      <c r="Q66" s="24">
        <v>1</v>
      </c>
      <c r="R66" s="24">
        <v>1</v>
      </c>
      <c r="S66" s="24">
        <v>15</v>
      </c>
      <c r="T66" s="24">
        <v>16</v>
      </c>
      <c r="U66" s="24">
        <v>5</v>
      </c>
      <c r="V66" s="24">
        <v>2</v>
      </c>
    </row>
    <row r="67" spans="1:22" s="51" customFormat="1" ht="14.25" customHeight="1" x14ac:dyDescent="0.2">
      <c r="A67" s="113"/>
      <c r="B67" s="55" t="s">
        <v>108</v>
      </c>
      <c r="C67" s="56" t="s">
        <v>163</v>
      </c>
      <c r="D67" s="24">
        <v>2</v>
      </c>
      <c r="E67" s="24">
        <v>0</v>
      </c>
      <c r="F67" s="24">
        <v>2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2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</row>
    <row r="68" spans="1:22" s="51" customFormat="1" ht="14.25" customHeight="1" x14ac:dyDescent="0.2">
      <c r="A68" s="47" t="s">
        <v>128</v>
      </c>
      <c r="B68" s="48" t="s">
        <v>106</v>
      </c>
      <c r="C68" s="49" t="s">
        <v>36</v>
      </c>
      <c r="D68" s="50">
        <v>58</v>
      </c>
      <c r="E68" s="50">
        <v>24</v>
      </c>
      <c r="F68" s="50">
        <v>34</v>
      </c>
      <c r="G68" s="50">
        <v>0</v>
      </c>
      <c r="H68" s="50">
        <v>1</v>
      </c>
      <c r="I68" s="50">
        <v>7</v>
      </c>
      <c r="J68" s="50">
        <v>3</v>
      </c>
      <c r="K68" s="50">
        <v>3</v>
      </c>
      <c r="L68" s="50">
        <v>3</v>
      </c>
      <c r="M68" s="50">
        <v>0</v>
      </c>
      <c r="N68" s="50">
        <v>2</v>
      </c>
      <c r="O68" s="50">
        <v>3</v>
      </c>
      <c r="P68" s="50">
        <v>8</v>
      </c>
      <c r="Q68" s="50">
        <v>3</v>
      </c>
      <c r="R68" s="50">
        <v>2</v>
      </c>
      <c r="S68" s="50">
        <v>4</v>
      </c>
      <c r="T68" s="50">
        <v>2</v>
      </c>
      <c r="U68" s="50">
        <v>4</v>
      </c>
      <c r="V68" s="50">
        <v>13</v>
      </c>
    </row>
    <row r="69" spans="1:22" s="51" customFormat="1" ht="14.25" customHeight="1" x14ac:dyDescent="0.2">
      <c r="A69" s="113" t="s">
        <v>79</v>
      </c>
      <c r="B69" s="52" t="s">
        <v>107</v>
      </c>
      <c r="C69" s="53" t="s">
        <v>38</v>
      </c>
      <c r="D69" s="24">
        <v>55</v>
      </c>
      <c r="E69" s="24">
        <v>24</v>
      </c>
      <c r="F69" s="24">
        <v>31</v>
      </c>
      <c r="G69" s="24">
        <v>0</v>
      </c>
      <c r="H69" s="24">
        <v>1</v>
      </c>
      <c r="I69" s="24">
        <v>7</v>
      </c>
      <c r="J69" s="24">
        <v>3</v>
      </c>
      <c r="K69" s="24">
        <v>3</v>
      </c>
      <c r="L69" s="24">
        <v>3</v>
      </c>
      <c r="M69" s="24">
        <v>0</v>
      </c>
      <c r="N69" s="24">
        <v>2</v>
      </c>
      <c r="O69" s="24">
        <v>3</v>
      </c>
      <c r="P69" s="24">
        <v>8</v>
      </c>
      <c r="Q69" s="24">
        <v>3</v>
      </c>
      <c r="R69" s="24">
        <v>2</v>
      </c>
      <c r="S69" s="24">
        <v>4</v>
      </c>
      <c r="T69" s="24">
        <v>2</v>
      </c>
      <c r="U69" s="24">
        <v>4</v>
      </c>
      <c r="V69" s="24">
        <v>10</v>
      </c>
    </row>
    <row r="70" spans="1:22" s="51" customFormat="1" ht="14.25" customHeight="1" x14ac:dyDescent="0.2">
      <c r="A70" s="113"/>
      <c r="B70" s="55" t="s">
        <v>108</v>
      </c>
      <c r="C70" s="56" t="s">
        <v>163</v>
      </c>
      <c r="D70" s="24">
        <v>3</v>
      </c>
      <c r="E70" s="24">
        <v>0</v>
      </c>
      <c r="F70" s="24">
        <v>3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3</v>
      </c>
    </row>
    <row r="71" spans="1:22" s="51" customFormat="1" ht="14.25" customHeight="1" x14ac:dyDescent="0.2">
      <c r="A71" s="47" t="s">
        <v>129</v>
      </c>
      <c r="B71" s="48" t="s">
        <v>106</v>
      </c>
      <c r="C71" s="49" t="s">
        <v>36</v>
      </c>
      <c r="D71" s="50">
        <v>36</v>
      </c>
      <c r="E71" s="50">
        <v>13</v>
      </c>
      <c r="F71" s="50">
        <v>23</v>
      </c>
      <c r="G71" s="50">
        <v>0</v>
      </c>
      <c r="H71" s="50">
        <v>0</v>
      </c>
      <c r="I71" s="50">
        <v>2</v>
      </c>
      <c r="J71" s="50">
        <v>2</v>
      </c>
      <c r="K71" s="50">
        <v>0</v>
      </c>
      <c r="L71" s="50">
        <v>0</v>
      </c>
      <c r="M71" s="50">
        <v>0</v>
      </c>
      <c r="N71" s="50">
        <v>7</v>
      </c>
      <c r="O71" s="50">
        <v>2</v>
      </c>
      <c r="P71" s="50">
        <v>1</v>
      </c>
      <c r="Q71" s="50">
        <v>0</v>
      </c>
      <c r="R71" s="50">
        <v>1</v>
      </c>
      <c r="S71" s="50">
        <v>9</v>
      </c>
      <c r="T71" s="50">
        <v>11</v>
      </c>
      <c r="U71" s="50">
        <v>0</v>
      </c>
      <c r="V71" s="50">
        <v>1</v>
      </c>
    </row>
    <row r="72" spans="1:22" s="51" customFormat="1" ht="14.25" customHeight="1" x14ac:dyDescent="0.2">
      <c r="A72" s="113" t="s">
        <v>81</v>
      </c>
      <c r="B72" s="52" t="s">
        <v>107</v>
      </c>
      <c r="C72" s="53" t="s">
        <v>38</v>
      </c>
      <c r="D72" s="24">
        <v>36</v>
      </c>
      <c r="E72" s="24">
        <v>13</v>
      </c>
      <c r="F72" s="24">
        <v>23</v>
      </c>
      <c r="G72" s="24">
        <v>0</v>
      </c>
      <c r="H72" s="24">
        <v>0</v>
      </c>
      <c r="I72" s="24">
        <v>2</v>
      </c>
      <c r="J72" s="24">
        <v>2</v>
      </c>
      <c r="K72" s="24">
        <v>0</v>
      </c>
      <c r="L72" s="24">
        <v>0</v>
      </c>
      <c r="M72" s="24">
        <v>0</v>
      </c>
      <c r="N72" s="24">
        <v>7</v>
      </c>
      <c r="O72" s="24">
        <v>2</v>
      </c>
      <c r="P72" s="24">
        <v>1</v>
      </c>
      <c r="Q72" s="24">
        <v>0</v>
      </c>
      <c r="R72" s="24">
        <v>1</v>
      </c>
      <c r="S72" s="24">
        <v>9</v>
      </c>
      <c r="T72" s="24">
        <v>11</v>
      </c>
      <c r="U72" s="24">
        <v>0</v>
      </c>
      <c r="V72" s="24">
        <v>1</v>
      </c>
    </row>
    <row r="73" spans="1:22" s="51" customFormat="1" ht="14.25" customHeight="1" x14ac:dyDescent="0.2">
      <c r="A73" s="113"/>
      <c r="B73" s="55" t="s">
        <v>108</v>
      </c>
      <c r="C73" s="56" t="s">
        <v>163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</row>
    <row r="74" spans="1:22" s="51" customFormat="1" ht="14.25" customHeight="1" x14ac:dyDescent="0.2">
      <c r="A74" s="47" t="s">
        <v>130</v>
      </c>
      <c r="B74" s="48" t="s">
        <v>106</v>
      </c>
      <c r="C74" s="49" t="s">
        <v>36</v>
      </c>
      <c r="D74" s="50">
        <v>3</v>
      </c>
      <c r="E74" s="50">
        <v>2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1</v>
      </c>
      <c r="Q74" s="50">
        <v>0</v>
      </c>
      <c r="R74" s="50">
        <v>0</v>
      </c>
      <c r="S74" s="50">
        <v>0</v>
      </c>
      <c r="T74" s="50">
        <v>0</v>
      </c>
      <c r="U74" s="50">
        <v>2</v>
      </c>
      <c r="V74" s="50">
        <v>0</v>
      </c>
    </row>
    <row r="75" spans="1:22" s="51" customFormat="1" ht="14.25" customHeight="1" x14ac:dyDescent="0.2">
      <c r="A75" s="113" t="s">
        <v>83</v>
      </c>
      <c r="B75" s="52" t="s">
        <v>107</v>
      </c>
      <c r="C75" s="53" t="s">
        <v>38</v>
      </c>
      <c r="D75" s="24">
        <v>3</v>
      </c>
      <c r="E75" s="24">
        <v>2</v>
      </c>
      <c r="F75" s="24">
        <v>1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1</v>
      </c>
      <c r="Q75" s="24">
        <v>0</v>
      </c>
      <c r="R75" s="24">
        <v>0</v>
      </c>
      <c r="S75" s="24">
        <v>0</v>
      </c>
      <c r="T75" s="24">
        <v>0</v>
      </c>
      <c r="U75" s="24">
        <v>2</v>
      </c>
      <c r="V75" s="24">
        <v>0</v>
      </c>
    </row>
    <row r="76" spans="1:22" s="51" customFormat="1" ht="14.25" customHeight="1" x14ac:dyDescent="0.2">
      <c r="A76" s="113"/>
      <c r="B76" s="55" t="s">
        <v>108</v>
      </c>
      <c r="C76" s="56" t="s">
        <v>163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</row>
    <row r="77" spans="1:22" ht="14.25" customHeight="1" x14ac:dyDescent="0.2">
      <c r="A77" s="3" t="s">
        <v>85</v>
      </c>
    </row>
    <row r="78" spans="1:22" ht="14.25" customHeight="1" x14ac:dyDescent="0.2">
      <c r="A78" s="3" t="s">
        <v>86</v>
      </c>
    </row>
    <row r="79" spans="1:22" ht="14.25" customHeight="1" x14ac:dyDescent="0.2">
      <c r="A79" s="40" t="s">
        <v>29</v>
      </c>
    </row>
    <row r="80" spans="1:22" ht="14.25" customHeight="1" x14ac:dyDescent="0.2">
      <c r="A80" s="3" t="s">
        <v>131</v>
      </c>
    </row>
  </sheetData>
  <mergeCells count="35">
    <mergeCell ref="A18:A19"/>
    <mergeCell ref="A4:C7"/>
    <mergeCell ref="D4:V4"/>
    <mergeCell ref="D5:F6"/>
    <mergeCell ref="G5:H6"/>
    <mergeCell ref="I5:P5"/>
    <mergeCell ref="Q5:R6"/>
    <mergeCell ref="S5:T6"/>
    <mergeCell ref="U5:V6"/>
    <mergeCell ref="I6:J6"/>
    <mergeCell ref="K6:L6"/>
    <mergeCell ref="M6:N6"/>
    <mergeCell ref="O6:P6"/>
    <mergeCell ref="A9:A10"/>
    <mergeCell ref="A12:A13"/>
    <mergeCell ref="A15:A16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5:A76"/>
    <mergeCell ref="A57:A58"/>
    <mergeCell ref="A60:A61"/>
    <mergeCell ref="A63:A64"/>
    <mergeCell ref="A66:A67"/>
    <mergeCell ref="A69:A70"/>
    <mergeCell ref="A72:A73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80"/>
  <sheetViews>
    <sheetView workbookViewId="0"/>
  </sheetViews>
  <sheetFormatPr defaultColWidth="5.5" defaultRowHeight="11.1" customHeight="1" x14ac:dyDescent="0.2"/>
  <cols>
    <col min="1" max="1" width="18.33203125" style="3" customWidth="1"/>
    <col min="2" max="2" width="8.33203125" style="3" customWidth="1"/>
    <col min="3" max="3" width="13.1640625" style="3" customWidth="1"/>
    <col min="4" max="17" width="9.6640625" style="3" customWidth="1"/>
    <col min="18" max="18" width="7.1640625" style="3" customWidth="1"/>
    <col min="19" max="19" width="5.5" style="3" customWidth="1"/>
    <col min="20" max="16384" width="5.5" style="3"/>
  </cols>
  <sheetData>
    <row r="1" spans="1:18" ht="20.25" customHeight="1" x14ac:dyDescent="0.2">
      <c r="A1" s="1" t="s">
        <v>0</v>
      </c>
      <c r="B1" s="58"/>
      <c r="C1" s="58"/>
      <c r="D1" s="5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B2"/>
      <c r="C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ht="12.75" customHeight="1" x14ac:dyDescent="0.25">
      <c r="A3" s="26" t="s">
        <v>15</v>
      </c>
      <c r="B3" s="41"/>
      <c r="C3" s="41"/>
    </row>
    <row r="4" spans="1:18" s="44" customFormat="1" ht="24.75" customHeight="1" x14ac:dyDescent="0.2">
      <c r="A4" s="114" t="s">
        <v>90</v>
      </c>
      <c r="B4" s="114"/>
      <c r="C4" s="114"/>
      <c r="D4" s="115" t="s">
        <v>91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spans="1:18" s="44" customFormat="1" ht="24.75" customHeight="1" x14ac:dyDescent="0.2">
      <c r="A5" s="114"/>
      <c r="B5" s="114"/>
      <c r="C5" s="114"/>
      <c r="D5" s="114" t="s">
        <v>92</v>
      </c>
      <c r="E5" s="114"/>
      <c r="F5" s="114"/>
      <c r="G5" s="114" t="s">
        <v>93</v>
      </c>
      <c r="H5" s="114"/>
      <c r="I5" s="116" t="s">
        <v>94</v>
      </c>
      <c r="J5" s="116"/>
      <c r="K5" s="116"/>
      <c r="L5" s="116"/>
      <c r="M5" s="116"/>
      <c r="N5" s="116"/>
      <c r="O5" s="116"/>
      <c r="P5" s="116"/>
      <c r="Q5" s="118" t="s">
        <v>97</v>
      </c>
      <c r="R5" s="118"/>
    </row>
    <row r="6" spans="1:18" s="44" customFormat="1" ht="33.75" customHeight="1" x14ac:dyDescent="0.2">
      <c r="A6" s="114"/>
      <c r="B6" s="114"/>
      <c r="C6" s="114"/>
      <c r="D6" s="114"/>
      <c r="E6" s="114"/>
      <c r="F6" s="114"/>
      <c r="G6" s="114"/>
      <c r="H6" s="114"/>
      <c r="I6" s="114" t="s">
        <v>98</v>
      </c>
      <c r="J6" s="114"/>
      <c r="K6" s="114" t="s">
        <v>99</v>
      </c>
      <c r="L6" s="114"/>
      <c r="M6" s="114" t="s">
        <v>100</v>
      </c>
      <c r="N6" s="114"/>
      <c r="O6" s="114" t="s">
        <v>101</v>
      </c>
      <c r="P6" s="114"/>
      <c r="Q6" s="118"/>
      <c r="R6" s="118"/>
    </row>
    <row r="7" spans="1:18" s="46" customFormat="1" ht="30.75" customHeight="1" x14ac:dyDescent="0.2">
      <c r="A7" s="114"/>
      <c r="B7" s="114"/>
      <c r="C7" s="114"/>
      <c r="D7" s="43" t="s">
        <v>102</v>
      </c>
      <c r="E7" s="43" t="s">
        <v>103</v>
      </c>
      <c r="F7" s="43" t="s">
        <v>104</v>
      </c>
      <c r="G7" s="43" t="s">
        <v>103</v>
      </c>
      <c r="H7" s="43" t="s">
        <v>104</v>
      </c>
      <c r="I7" s="43" t="s">
        <v>103</v>
      </c>
      <c r="J7" s="43" t="s">
        <v>104</v>
      </c>
      <c r="K7" s="43" t="s">
        <v>103</v>
      </c>
      <c r="L7" s="43" t="s">
        <v>104</v>
      </c>
      <c r="M7" s="43" t="s">
        <v>103</v>
      </c>
      <c r="N7" s="43" t="s">
        <v>104</v>
      </c>
      <c r="O7" s="43" t="s">
        <v>103</v>
      </c>
      <c r="P7" s="43" t="s">
        <v>104</v>
      </c>
      <c r="Q7" s="43" t="s">
        <v>103</v>
      </c>
      <c r="R7" s="45" t="s">
        <v>104</v>
      </c>
    </row>
    <row r="8" spans="1:18" s="51" customFormat="1" ht="18" customHeight="1" x14ac:dyDescent="0.2">
      <c r="A8" s="47" t="s">
        <v>105</v>
      </c>
      <c r="B8" s="48" t="s">
        <v>106</v>
      </c>
      <c r="C8" s="49" t="s">
        <v>36</v>
      </c>
      <c r="D8" s="50">
        <v>10165</v>
      </c>
      <c r="E8" s="50">
        <v>4948</v>
      </c>
      <c r="F8" s="50">
        <v>5217</v>
      </c>
      <c r="G8" s="50">
        <v>43</v>
      </c>
      <c r="H8" s="50">
        <v>39</v>
      </c>
      <c r="I8" s="50">
        <v>1845</v>
      </c>
      <c r="J8" s="50">
        <v>1571</v>
      </c>
      <c r="K8" s="50">
        <v>546</v>
      </c>
      <c r="L8" s="50">
        <v>562</v>
      </c>
      <c r="M8" s="50">
        <v>254</v>
      </c>
      <c r="N8" s="50">
        <v>1168</v>
      </c>
      <c r="O8" s="50">
        <v>683</v>
      </c>
      <c r="P8" s="50">
        <v>569</v>
      </c>
      <c r="Q8" s="50">
        <v>1577</v>
      </c>
      <c r="R8" s="50">
        <v>1308</v>
      </c>
    </row>
    <row r="9" spans="1:18" s="51" customFormat="1" ht="14.25" customHeight="1" x14ac:dyDescent="0.2">
      <c r="A9" s="119" t="s">
        <v>36</v>
      </c>
      <c r="B9" s="52" t="s">
        <v>107</v>
      </c>
      <c r="C9" s="53" t="s">
        <v>38</v>
      </c>
      <c r="D9" s="24">
        <v>9363</v>
      </c>
      <c r="E9" s="24">
        <v>4586</v>
      </c>
      <c r="F9" s="24">
        <v>4777</v>
      </c>
      <c r="G9" s="24">
        <v>36</v>
      </c>
      <c r="H9" s="24">
        <v>36</v>
      </c>
      <c r="I9" s="24">
        <v>1719</v>
      </c>
      <c r="J9" s="24">
        <v>1459</v>
      </c>
      <c r="K9" s="24">
        <v>527</v>
      </c>
      <c r="L9" s="24">
        <v>544</v>
      </c>
      <c r="M9" s="24">
        <v>222</v>
      </c>
      <c r="N9" s="24">
        <v>1016</v>
      </c>
      <c r="O9" s="24">
        <v>627</v>
      </c>
      <c r="P9" s="24">
        <v>517</v>
      </c>
      <c r="Q9" s="24">
        <v>1455</v>
      </c>
      <c r="R9" s="24">
        <v>1205</v>
      </c>
    </row>
    <row r="10" spans="1:18" s="51" customFormat="1" ht="14.25" customHeight="1" x14ac:dyDescent="0.2">
      <c r="A10" s="119"/>
      <c r="B10" s="52" t="s">
        <v>108</v>
      </c>
      <c r="C10" s="53" t="s">
        <v>163</v>
      </c>
      <c r="D10" s="24">
        <v>802</v>
      </c>
      <c r="E10" s="24">
        <v>362</v>
      </c>
      <c r="F10" s="24">
        <v>440</v>
      </c>
      <c r="G10" s="24">
        <v>7</v>
      </c>
      <c r="H10" s="24">
        <v>3</v>
      </c>
      <c r="I10" s="24">
        <v>126</v>
      </c>
      <c r="J10" s="24">
        <v>112</v>
      </c>
      <c r="K10" s="24">
        <v>19</v>
      </c>
      <c r="L10" s="24">
        <v>18</v>
      </c>
      <c r="M10" s="24">
        <v>32</v>
      </c>
      <c r="N10" s="24">
        <v>152</v>
      </c>
      <c r="O10" s="24">
        <v>56</v>
      </c>
      <c r="P10" s="24">
        <v>52</v>
      </c>
      <c r="Q10" s="24">
        <v>122</v>
      </c>
      <c r="R10" s="24">
        <v>103</v>
      </c>
    </row>
    <row r="11" spans="1:18" s="51" customFormat="1" ht="14.25" customHeight="1" x14ac:dyDescent="0.2">
      <c r="A11" s="54" t="s">
        <v>109</v>
      </c>
      <c r="B11" s="48" t="s">
        <v>106</v>
      </c>
      <c r="C11" s="49" t="s">
        <v>36</v>
      </c>
      <c r="D11" s="50">
        <v>1515</v>
      </c>
      <c r="E11" s="50">
        <v>708</v>
      </c>
      <c r="F11" s="50">
        <v>807</v>
      </c>
      <c r="G11" s="50">
        <v>8</v>
      </c>
      <c r="H11" s="50">
        <v>4</v>
      </c>
      <c r="I11" s="50">
        <v>126</v>
      </c>
      <c r="J11" s="50">
        <v>130</v>
      </c>
      <c r="K11" s="50">
        <v>45</v>
      </c>
      <c r="L11" s="50">
        <v>65</v>
      </c>
      <c r="M11" s="50">
        <v>37</v>
      </c>
      <c r="N11" s="50">
        <v>156</v>
      </c>
      <c r="O11" s="50">
        <v>42</v>
      </c>
      <c r="P11" s="50">
        <v>27</v>
      </c>
      <c r="Q11" s="50">
        <v>450</v>
      </c>
      <c r="R11" s="50">
        <v>425</v>
      </c>
    </row>
    <row r="12" spans="1:18" s="51" customFormat="1" ht="14.25" customHeight="1" x14ac:dyDescent="0.2">
      <c r="A12" s="113" t="s">
        <v>41</v>
      </c>
      <c r="B12" s="52" t="s">
        <v>107</v>
      </c>
      <c r="C12" s="53" t="s">
        <v>38</v>
      </c>
      <c r="D12" s="24">
        <v>1460</v>
      </c>
      <c r="E12" s="24">
        <v>678</v>
      </c>
      <c r="F12" s="24">
        <v>782</v>
      </c>
      <c r="G12" s="24">
        <v>4</v>
      </c>
      <c r="H12" s="24">
        <v>2</v>
      </c>
      <c r="I12" s="24">
        <v>121</v>
      </c>
      <c r="J12" s="24">
        <v>126</v>
      </c>
      <c r="K12" s="24">
        <v>43</v>
      </c>
      <c r="L12" s="24">
        <v>65</v>
      </c>
      <c r="M12" s="24">
        <v>37</v>
      </c>
      <c r="N12" s="24">
        <v>152</v>
      </c>
      <c r="O12" s="24">
        <v>41</v>
      </c>
      <c r="P12" s="24">
        <v>25</v>
      </c>
      <c r="Q12" s="24">
        <v>432</v>
      </c>
      <c r="R12" s="24">
        <v>412</v>
      </c>
    </row>
    <row r="13" spans="1:18" s="51" customFormat="1" ht="14.25" customHeight="1" x14ac:dyDescent="0.2">
      <c r="A13" s="113"/>
      <c r="B13" s="52" t="s">
        <v>108</v>
      </c>
      <c r="C13" s="53" t="s">
        <v>163</v>
      </c>
      <c r="D13" s="24">
        <v>55</v>
      </c>
      <c r="E13" s="24">
        <v>30</v>
      </c>
      <c r="F13" s="24">
        <v>25</v>
      </c>
      <c r="G13" s="24">
        <v>4</v>
      </c>
      <c r="H13" s="24">
        <v>2</v>
      </c>
      <c r="I13" s="24">
        <v>5</v>
      </c>
      <c r="J13" s="24">
        <v>4</v>
      </c>
      <c r="K13" s="24">
        <v>2</v>
      </c>
      <c r="L13" s="24">
        <v>0</v>
      </c>
      <c r="M13" s="24">
        <v>0</v>
      </c>
      <c r="N13" s="24">
        <v>4</v>
      </c>
      <c r="O13" s="24">
        <v>1</v>
      </c>
      <c r="P13" s="24">
        <v>2</v>
      </c>
      <c r="Q13" s="24">
        <v>18</v>
      </c>
      <c r="R13" s="24">
        <v>13</v>
      </c>
    </row>
    <row r="14" spans="1:18" s="51" customFormat="1" ht="14.25" customHeight="1" x14ac:dyDescent="0.2">
      <c r="A14" s="54" t="s">
        <v>110</v>
      </c>
      <c r="B14" s="48" t="s">
        <v>106</v>
      </c>
      <c r="C14" s="49" t="s">
        <v>36</v>
      </c>
      <c r="D14" s="50">
        <v>2258</v>
      </c>
      <c r="E14" s="50">
        <v>1194</v>
      </c>
      <c r="F14" s="50">
        <v>1064</v>
      </c>
      <c r="G14" s="50">
        <v>4</v>
      </c>
      <c r="H14" s="50">
        <v>6</v>
      </c>
      <c r="I14" s="50">
        <v>732</v>
      </c>
      <c r="J14" s="50">
        <v>541</v>
      </c>
      <c r="K14" s="50">
        <v>198</v>
      </c>
      <c r="L14" s="50">
        <v>169</v>
      </c>
      <c r="M14" s="50">
        <v>55</v>
      </c>
      <c r="N14" s="50">
        <v>183</v>
      </c>
      <c r="O14" s="50">
        <v>165</v>
      </c>
      <c r="P14" s="50">
        <v>100</v>
      </c>
      <c r="Q14" s="50">
        <v>40</v>
      </c>
      <c r="R14" s="50">
        <v>65</v>
      </c>
    </row>
    <row r="15" spans="1:18" s="51" customFormat="1" ht="14.25" customHeight="1" x14ac:dyDescent="0.2">
      <c r="A15" s="113" t="s">
        <v>43</v>
      </c>
      <c r="B15" s="52" t="s">
        <v>107</v>
      </c>
      <c r="C15" s="53" t="s">
        <v>38</v>
      </c>
      <c r="D15" s="24">
        <v>2250</v>
      </c>
      <c r="E15" s="24">
        <v>1192</v>
      </c>
      <c r="F15" s="24">
        <v>1058</v>
      </c>
      <c r="G15" s="24">
        <v>4</v>
      </c>
      <c r="H15" s="24">
        <v>6</v>
      </c>
      <c r="I15" s="24">
        <v>732</v>
      </c>
      <c r="J15" s="24">
        <v>541</v>
      </c>
      <c r="K15" s="24">
        <v>198</v>
      </c>
      <c r="L15" s="24">
        <v>169</v>
      </c>
      <c r="M15" s="24">
        <v>53</v>
      </c>
      <c r="N15" s="24">
        <v>178</v>
      </c>
      <c r="O15" s="24">
        <v>165</v>
      </c>
      <c r="P15" s="24">
        <v>100</v>
      </c>
      <c r="Q15" s="24">
        <v>40</v>
      </c>
      <c r="R15" s="24">
        <v>64</v>
      </c>
    </row>
    <row r="16" spans="1:18" s="51" customFormat="1" ht="14.25" customHeight="1" x14ac:dyDescent="0.2">
      <c r="A16" s="113"/>
      <c r="B16" s="55" t="s">
        <v>108</v>
      </c>
      <c r="C16" s="56" t="s">
        <v>163</v>
      </c>
      <c r="D16" s="24">
        <v>8</v>
      </c>
      <c r="E16" s="24">
        <v>2</v>
      </c>
      <c r="F16" s="24">
        <v>6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2</v>
      </c>
      <c r="N16" s="24">
        <v>5</v>
      </c>
      <c r="O16" s="24">
        <v>0</v>
      </c>
      <c r="P16" s="24">
        <v>0</v>
      </c>
      <c r="Q16" s="24">
        <v>0</v>
      </c>
      <c r="R16" s="24">
        <v>1</v>
      </c>
    </row>
    <row r="17" spans="1:18" s="51" customFormat="1" ht="14.25" customHeight="1" x14ac:dyDescent="0.2">
      <c r="A17" s="54" t="s">
        <v>111</v>
      </c>
      <c r="B17" s="48" t="s">
        <v>106</v>
      </c>
      <c r="C17" s="49" t="s">
        <v>36</v>
      </c>
      <c r="D17" s="50">
        <v>1303</v>
      </c>
      <c r="E17" s="50">
        <v>559</v>
      </c>
      <c r="F17" s="50">
        <v>744</v>
      </c>
      <c r="G17" s="50">
        <v>8</v>
      </c>
      <c r="H17" s="50">
        <v>5</v>
      </c>
      <c r="I17" s="50">
        <v>219</v>
      </c>
      <c r="J17" s="50">
        <v>139</v>
      </c>
      <c r="K17" s="50">
        <v>15</v>
      </c>
      <c r="L17" s="50">
        <v>12</v>
      </c>
      <c r="M17" s="50">
        <v>84</v>
      </c>
      <c r="N17" s="50">
        <v>408</v>
      </c>
      <c r="O17" s="50">
        <v>36</v>
      </c>
      <c r="P17" s="50">
        <v>50</v>
      </c>
      <c r="Q17" s="50">
        <v>197</v>
      </c>
      <c r="R17" s="50">
        <v>130</v>
      </c>
    </row>
    <row r="18" spans="1:18" s="51" customFormat="1" ht="14.25" customHeight="1" x14ac:dyDescent="0.2">
      <c r="A18" s="113" t="s">
        <v>45</v>
      </c>
      <c r="B18" s="52" t="s">
        <v>107</v>
      </c>
      <c r="C18" s="53" t="s">
        <v>38</v>
      </c>
      <c r="D18" s="24">
        <v>1124</v>
      </c>
      <c r="E18" s="24">
        <v>482</v>
      </c>
      <c r="F18" s="24">
        <v>642</v>
      </c>
      <c r="G18" s="24">
        <v>8</v>
      </c>
      <c r="H18" s="24">
        <v>5</v>
      </c>
      <c r="I18" s="24">
        <v>185</v>
      </c>
      <c r="J18" s="24">
        <v>118</v>
      </c>
      <c r="K18" s="24">
        <v>8</v>
      </c>
      <c r="L18" s="24">
        <v>7</v>
      </c>
      <c r="M18" s="24">
        <v>77</v>
      </c>
      <c r="N18" s="24">
        <v>365</v>
      </c>
      <c r="O18" s="24">
        <v>30</v>
      </c>
      <c r="P18" s="24">
        <v>37</v>
      </c>
      <c r="Q18" s="24">
        <v>174</v>
      </c>
      <c r="R18" s="24">
        <v>110</v>
      </c>
    </row>
    <row r="19" spans="1:18" s="51" customFormat="1" ht="14.25" customHeight="1" x14ac:dyDescent="0.2">
      <c r="A19" s="113"/>
      <c r="B19" s="55" t="s">
        <v>108</v>
      </c>
      <c r="C19" s="56" t="s">
        <v>163</v>
      </c>
      <c r="D19" s="24">
        <v>179</v>
      </c>
      <c r="E19" s="24">
        <v>77</v>
      </c>
      <c r="F19" s="24">
        <v>102</v>
      </c>
      <c r="G19" s="24">
        <v>0</v>
      </c>
      <c r="H19" s="24">
        <v>0</v>
      </c>
      <c r="I19" s="24">
        <v>34</v>
      </c>
      <c r="J19" s="24">
        <v>21</v>
      </c>
      <c r="K19" s="24">
        <v>7</v>
      </c>
      <c r="L19" s="24">
        <v>5</v>
      </c>
      <c r="M19" s="24">
        <v>7</v>
      </c>
      <c r="N19" s="24">
        <v>43</v>
      </c>
      <c r="O19" s="24">
        <v>6</v>
      </c>
      <c r="P19" s="24">
        <v>13</v>
      </c>
      <c r="Q19" s="24">
        <v>23</v>
      </c>
      <c r="R19" s="24">
        <v>20</v>
      </c>
    </row>
    <row r="20" spans="1:18" s="51" customFormat="1" ht="14.25" customHeight="1" x14ac:dyDescent="0.2">
      <c r="A20" s="54" t="s">
        <v>112</v>
      </c>
      <c r="B20" s="48" t="s">
        <v>106</v>
      </c>
      <c r="C20" s="49" t="s">
        <v>36</v>
      </c>
      <c r="D20" s="50">
        <v>689</v>
      </c>
      <c r="E20" s="50">
        <v>368</v>
      </c>
      <c r="F20" s="50">
        <v>321</v>
      </c>
      <c r="G20" s="50">
        <v>7</v>
      </c>
      <c r="H20" s="50">
        <v>7</v>
      </c>
      <c r="I20" s="50">
        <v>87</v>
      </c>
      <c r="J20" s="50">
        <v>115</v>
      </c>
      <c r="K20" s="50">
        <v>48</v>
      </c>
      <c r="L20" s="50">
        <v>54</v>
      </c>
      <c r="M20" s="50">
        <v>1</v>
      </c>
      <c r="N20" s="50">
        <v>9</v>
      </c>
      <c r="O20" s="50">
        <v>26</v>
      </c>
      <c r="P20" s="50">
        <v>22</v>
      </c>
      <c r="Q20" s="50">
        <v>199</v>
      </c>
      <c r="R20" s="50">
        <v>114</v>
      </c>
    </row>
    <row r="21" spans="1:18" s="51" customFormat="1" ht="14.25" customHeight="1" x14ac:dyDescent="0.2">
      <c r="A21" s="113" t="s">
        <v>47</v>
      </c>
      <c r="B21" s="52" t="s">
        <v>107</v>
      </c>
      <c r="C21" s="53" t="s">
        <v>38</v>
      </c>
      <c r="D21" s="24">
        <v>626</v>
      </c>
      <c r="E21" s="24">
        <v>337</v>
      </c>
      <c r="F21" s="24">
        <v>289</v>
      </c>
      <c r="G21" s="24">
        <v>7</v>
      </c>
      <c r="H21" s="24">
        <v>6</v>
      </c>
      <c r="I21" s="24">
        <v>77</v>
      </c>
      <c r="J21" s="24">
        <v>98</v>
      </c>
      <c r="K21" s="24">
        <v>47</v>
      </c>
      <c r="L21" s="24">
        <v>53</v>
      </c>
      <c r="M21" s="24">
        <v>1</v>
      </c>
      <c r="N21" s="24">
        <v>8</v>
      </c>
      <c r="O21" s="24">
        <v>23</v>
      </c>
      <c r="P21" s="24">
        <v>19</v>
      </c>
      <c r="Q21" s="24">
        <v>182</v>
      </c>
      <c r="R21" s="24">
        <v>105</v>
      </c>
    </row>
    <row r="22" spans="1:18" s="51" customFormat="1" ht="14.25" customHeight="1" x14ac:dyDescent="0.2">
      <c r="A22" s="113"/>
      <c r="B22" s="55" t="s">
        <v>108</v>
      </c>
      <c r="C22" s="56" t="s">
        <v>163</v>
      </c>
      <c r="D22" s="24">
        <v>63</v>
      </c>
      <c r="E22" s="24">
        <v>31</v>
      </c>
      <c r="F22" s="24">
        <v>32</v>
      </c>
      <c r="G22" s="24">
        <v>0</v>
      </c>
      <c r="H22" s="24">
        <v>1</v>
      </c>
      <c r="I22" s="24">
        <v>10</v>
      </c>
      <c r="J22" s="24">
        <v>17</v>
      </c>
      <c r="K22" s="24">
        <v>1</v>
      </c>
      <c r="L22" s="24">
        <v>1</v>
      </c>
      <c r="M22" s="24">
        <v>0</v>
      </c>
      <c r="N22" s="24">
        <v>1</v>
      </c>
      <c r="O22" s="24">
        <v>3</v>
      </c>
      <c r="P22" s="24">
        <v>3</v>
      </c>
      <c r="Q22" s="24">
        <v>17</v>
      </c>
      <c r="R22" s="24">
        <v>9</v>
      </c>
    </row>
    <row r="23" spans="1:18" s="51" customFormat="1" ht="14.25" customHeight="1" x14ac:dyDescent="0.2">
      <c r="A23" s="54" t="s">
        <v>113</v>
      </c>
      <c r="B23" s="48" t="s">
        <v>106</v>
      </c>
      <c r="C23" s="49" t="s">
        <v>36</v>
      </c>
      <c r="D23" s="50">
        <v>393</v>
      </c>
      <c r="E23" s="50">
        <v>182</v>
      </c>
      <c r="F23" s="50">
        <v>211</v>
      </c>
      <c r="G23" s="50">
        <v>4</v>
      </c>
      <c r="H23" s="50">
        <v>6</v>
      </c>
      <c r="I23" s="50">
        <v>55</v>
      </c>
      <c r="J23" s="50">
        <v>47</v>
      </c>
      <c r="K23" s="50">
        <v>14</v>
      </c>
      <c r="L23" s="50">
        <v>23</v>
      </c>
      <c r="M23" s="50">
        <v>4</v>
      </c>
      <c r="N23" s="50">
        <v>23</v>
      </c>
      <c r="O23" s="50">
        <v>39</v>
      </c>
      <c r="P23" s="50">
        <v>29</v>
      </c>
      <c r="Q23" s="50">
        <v>66</v>
      </c>
      <c r="R23" s="50">
        <v>83</v>
      </c>
    </row>
    <row r="24" spans="1:18" s="51" customFormat="1" ht="14.25" customHeight="1" x14ac:dyDescent="0.2">
      <c r="A24" s="113" t="s">
        <v>49</v>
      </c>
      <c r="B24" s="52" t="s">
        <v>107</v>
      </c>
      <c r="C24" s="53" t="s">
        <v>38</v>
      </c>
      <c r="D24" s="24">
        <v>381</v>
      </c>
      <c r="E24" s="24">
        <v>175</v>
      </c>
      <c r="F24" s="24">
        <v>206</v>
      </c>
      <c r="G24" s="24">
        <v>3</v>
      </c>
      <c r="H24" s="24">
        <v>6</v>
      </c>
      <c r="I24" s="24">
        <v>53</v>
      </c>
      <c r="J24" s="24">
        <v>45</v>
      </c>
      <c r="K24" s="24">
        <v>14</v>
      </c>
      <c r="L24" s="24">
        <v>23</v>
      </c>
      <c r="M24" s="24">
        <v>4</v>
      </c>
      <c r="N24" s="24">
        <v>23</v>
      </c>
      <c r="O24" s="24">
        <v>35</v>
      </c>
      <c r="P24" s="24">
        <v>29</v>
      </c>
      <c r="Q24" s="24">
        <v>66</v>
      </c>
      <c r="R24" s="24">
        <v>80</v>
      </c>
    </row>
    <row r="25" spans="1:18" s="51" customFormat="1" ht="14.25" customHeight="1" x14ac:dyDescent="0.2">
      <c r="A25" s="113"/>
      <c r="B25" s="55" t="s">
        <v>108</v>
      </c>
      <c r="C25" s="56" t="s">
        <v>163</v>
      </c>
      <c r="D25" s="24">
        <v>12</v>
      </c>
      <c r="E25" s="24">
        <v>7</v>
      </c>
      <c r="F25" s="24">
        <v>5</v>
      </c>
      <c r="G25" s="24">
        <v>1</v>
      </c>
      <c r="H25" s="24">
        <v>0</v>
      </c>
      <c r="I25" s="24">
        <v>2</v>
      </c>
      <c r="J25" s="24">
        <v>2</v>
      </c>
      <c r="K25" s="24">
        <v>0</v>
      </c>
      <c r="L25" s="24">
        <v>0</v>
      </c>
      <c r="M25" s="24">
        <v>0</v>
      </c>
      <c r="N25" s="24">
        <v>0</v>
      </c>
      <c r="O25" s="24">
        <v>4</v>
      </c>
      <c r="P25" s="24">
        <v>0</v>
      </c>
      <c r="Q25" s="24">
        <v>0</v>
      </c>
      <c r="R25" s="24">
        <v>3</v>
      </c>
    </row>
    <row r="26" spans="1:18" s="51" customFormat="1" ht="14.25" customHeight="1" x14ac:dyDescent="0.2">
      <c r="A26" s="54" t="s">
        <v>114</v>
      </c>
      <c r="B26" s="48" t="s">
        <v>106</v>
      </c>
      <c r="C26" s="49" t="s">
        <v>36</v>
      </c>
      <c r="D26" s="50">
        <v>917</v>
      </c>
      <c r="E26" s="50">
        <v>448</v>
      </c>
      <c r="F26" s="50">
        <v>469</v>
      </c>
      <c r="G26" s="50">
        <v>1</v>
      </c>
      <c r="H26" s="50">
        <v>1</v>
      </c>
      <c r="I26" s="50">
        <v>71</v>
      </c>
      <c r="J26" s="50">
        <v>70</v>
      </c>
      <c r="K26" s="50">
        <v>42</v>
      </c>
      <c r="L26" s="50">
        <v>42</v>
      </c>
      <c r="M26" s="50">
        <v>12</v>
      </c>
      <c r="N26" s="50">
        <v>99</v>
      </c>
      <c r="O26" s="50">
        <v>90</v>
      </c>
      <c r="P26" s="50">
        <v>86</v>
      </c>
      <c r="Q26" s="50">
        <v>232</v>
      </c>
      <c r="R26" s="50">
        <v>171</v>
      </c>
    </row>
    <row r="27" spans="1:18" s="51" customFormat="1" ht="14.25" customHeight="1" x14ac:dyDescent="0.2">
      <c r="A27" s="113" t="s">
        <v>51</v>
      </c>
      <c r="B27" s="52" t="s">
        <v>107</v>
      </c>
      <c r="C27" s="53" t="s">
        <v>38</v>
      </c>
      <c r="D27" s="24">
        <v>860</v>
      </c>
      <c r="E27" s="24">
        <v>419</v>
      </c>
      <c r="F27" s="24">
        <v>441</v>
      </c>
      <c r="G27" s="24">
        <v>1</v>
      </c>
      <c r="H27" s="24">
        <v>1</v>
      </c>
      <c r="I27" s="24">
        <v>68</v>
      </c>
      <c r="J27" s="24">
        <v>65</v>
      </c>
      <c r="K27" s="24">
        <v>39</v>
      </c>
      <c r="L27" s="24">
        <v>41</v>
      </c>
      <c r="M27" s="24">
        <v>12</v>
      </c>
      <c r="N27" s="24">
        <v>94</v>
      </c>
      <c r="O27" s="24">
        <v>86</v>
      </c>
      <c r="P27" s="24">
        <v>83</v>
      </c>
      <c r="Q27" s="24">
        <v>213</v>
      </c>
      <c r="R27" s="24">
        <v>157</v>
      </c>
    </row>
    <row r="28" spans="1:18" s="51" customFormat="1" ht="14.25" customHeight="1" x14ac:dyDescent="0.2">
      <c r="A28" s="113"/>
      <c r="B28" s="55" t="s">
        <v>108</v>
      </c>
      <c r="C28" s="56" t="s">
        <v>163</v>
      </c>
      <c r="D28" s="24">
        <v>57</v>
      </c>
      <c r="E28" s="24">
        <v>29</v>
      </c>
      <c r="F28" s="24">
        <v>28</v>
      </c>
      <c r="G28" s="24">
        <v>0</v>
      </c>
      <c r="H28" s="24">
        <v>0</v>
      </c>
      <c r="I28" s="24">
        <v>3</v>
      </c>
      <c r="J28" s="24">
        <v>5</v>
      </c>
      <c r="K28" s="24">
        <v>3</v>
      </c>
      <c r="L28" s="24">
        <v>1</v>
      </c>
      <c r="M28" s="24">
        <v>0</v>
      </c>
      <c r="N28" s="24">
        <v>5</v>
      </c>
      <c r="O28" s="24">
        <v>4</v>
      </c>
      <c r="P28" s="24">
        <v>3</v>
      </c>
      <c r="Q28" s="24">
        <v>19</v>
      </c>
      <c r="R28" s="24">
        <v>14</v>
      </c>
    </row>
    <row r="29" spans="1:18" s="51" customFormat="1" ht="14.25" customHeight="1" x14ac:dyDescent="0.2">
      <c r="A29" s="47" t="s">
        <v>132</v>
      </c>
      <c r="B29" s="48" t="s">
        <v>106</v>
      </c>
      <c r="C29" s="49" t="s">
        <v>36</v>
      </c>
      <c r="D29" s="50">
        <v>193</v>
      </c>
      <c r="E29" s="50">
        <v>92</v>
      </c>
      <c r="F29" s="50">
        <v>101</v>
      </c>
      <c r="G29" s="50">
        <v>1</v>
      </c>
      <c r="H29" s="50">
        <v>1</v>
      </c>
      <c r="I29" s="50">
        <v>26</v>
      </c>
      <c r="J29" s="50">
        <v>37</v>
      </c>
      <c r="K29" s="50">
        <v>14</v>
      </c>
      <c r="L29" s="50">
        <v>16</v>
      </c>
      <c r="M29" s="50">
        <v>0</v>
      </c>
      <c r="N29" s="50">
        <v>12</v>
      </c>
      <c r="O29" s="50">
        <v>18</v>
      </c>
      <c r="P29" s="50">
        <v>10</v>
      </c>
      <c r="Q29" s="50">
        <v>33</v>
      </c>
      <c r="R29" s="50">
        <v>25</v>
      </c>
    </row>
    <row r="30" spans="1:18" s="51" customFormat="1" ht="14.25" customHeight="1" x14ac:dyDescent="0.2">
      <c r="A30" s="113" t="s">
        <v>53</v>
      </c>
      <c r="B30" s="52" t="s">
        <v>107</v>
      </c>
      <c r="C30" s="53" t="s">
        <v>38</v>
      </c>
      <c r="D30" s="24">
        <v>167</v>
      </c>
      <c r="E30" s="24">
        <v>77</v>
      </c>
      <c r="F30" s="24">
        <v>90</v>
      </c>
      <c r="G30" s="24">
        <v>1</v>
      </c>
      <c r="H30" s="24">
        <v>1</v>
      </c>
      <c r="I30" s="24">
        <v>22</v>
      </c>
      <c r="J30" s="24">
        <v>34</v>
      </c>
      <c r="K30" s="24">
        <v>12</v>
      </c>
      <c r="L30" s="24">
        <v>15</v>
      </c>
      <c r="M30" s="24">
        <v>0</v>
      </c>
      <c r="N30" s="24">
        <v>11</v>
      </c>
      <c r="O30" s="24">
        <v>14</v>
      </c>
      <c r="P30" s="24">
        <v>8</v>
      </c>
      <c r="Q30" s="24">
        <v>28</v>
      </c>
      <c r="R30" s="24">
        <v>21</v>
      </c>
    </row>
    <row r="31" spans="1:18" s="51" customFormat="1" ht="14.25" customHeight="1" x14ac:dyDescent="0.2">
      <c r="A31" s="113"/>
      <c r="B31" s="55" t="s">
        <v>108</v>
      </c>
      <c r="C31" s="56" t="s">
        <v>163</v>
      </c>
      <c r="D31" s="24">
        <v>26</v>
      </c>
      <c r="E31" s="24">
        <v>15</v>
      </c>
      <c r="F31" s="24">
        <v>11</v>
      </c>
      <c r="G31" s="24">
        <v>0</v>
      </c>
      <c r="H31" s="24">
        <v>0</v>
      </c>
      <c r="I31" s="24">
        <v>4</v>
      </c>
      <c r="J31" s="24">
        <v>3</v>
      </c>
      <c r="K31" s="24">
        <v>2</v>
      </c>
      <c r="L31" s="24">
        <v>1</v>
      </c>
      <c r="M31" s="24">
        <v>0</v>
      </c>
      <c r="N31" s="24">
        <v>1</v>
      </c>
      <c r="O31" s="24">
        <v>4</v>
      </c>
      <c r="P31" s="24">
        <v>2</v>
      </c>
      <c r="Q31" s="24">
        <v>5</v>
      </c>
      <c r="R31" s="24">
        <v>4</v>
      </c>
    </row>
    <row r="32" spans="1:18" s="51" customFormat="1" ht="14.25" customHeight="1" x14ac:dyDescent="0.2">
      <c r="A32" s="47" t="s">
        <v>116</v>
      </c>
      <c r="B32" s="48" t="s">
        <v>106</v>
      </c>
      <c r="C32" s="49" t="s">
        <v>36</v>
      </c>
      <c r="D32" s="50">
        <v>116</v>
      </c>
      <c r="E32" s="50">
        <v>62</v>
      </c>
      <c r="F32" s="50">
        <v>54</v>
      </c>
      <c r="G32" s="50">
        <v>2</v>
      </c>
      <c r="H32" s="50">
        <v>3</v>
      </c>
      <c r="I32" s="50">
        <v>26</v>
      </c>
      <c r="J32" s="50">
        <v>21</v>
      </c>
      <c r="K32" s="50">
        <v>4</v>
      </c>
      <c r="L32" s="50">
        <v>2</v>
      </c>
      <c r="M32" s="50">
        <v>1</v>
      </c>
      <c r="N32" s="50">
        <v>4</v>
      </c>
      <c r="O32" s="50">
        <v>16</v>
      </c>
      <c r="P32" s="50">
        <v>14</v>
      </c>
      <c r="Q32" s="50">
        <v>13</v>
      </c>
      <c r="R32" s="50">
        <v>10</v>
      </c>
    </row>
    <row r="33" spans="1:18" s="51" customFormat="1" ht="14.25" customHeight="1" x14ac:dyDescent="0.2">
      <c r="A33" s="113" t="s">
        <v>55</v>
      </c>
      <c r="B33" s="52" t="s">
        <v>107</v>
      </c>
      <c r="C33" s="53" t="s">
        <v>38</v>
      </c>
      <c r="D33" s="24">
        <v>84</v>
      </c>
      <c r="E33" s="24">
        <v>44</v>
      </c>
      <c r="F33" s="24">
        <v>40</v>
      </c>
      <c r="G33" s="24">
        <v>1</v>
      </c>
      <c r="H33" s="24">
        <v>3</v>
      </c>
      <c r="I33" s="24">
        <v>17</v>
      </c>
      <c r="J33" s="24">
        <v>16</v>
      </c>
      <c r="K33" s="24">
        <v>2</v>
      </c>
      <c r="L33" s="24">
        <v>0</v>
      </c>
      <c r="M33" s="24">
        <v>1</v>
      </c>
      <c r="N33" s="24">
        <v>2</v>
      </c>
      <c r="O33" s="24">
        <v>13</v>
      </c>
      <c r="P33" s="24">
        <v>11</v>
      </c>
      <c r="Q33" s="24">
        <v>10</v>
      </c>
      <c r="R33" s="24">
        <v>8</v>
      </c>
    </row>
    <row r="34" spans="1:18" s="51" customFormat="1" ht="14.25" customHeight="1" x14ac:dyDescent="0.2">
      <c r="A34" s="113"/>
      <c r="B34" s="55" t="s">
        <v>108</v>
      </c>
      <c r="C34" s="56" t="s">
        <v>163</v>
      </c>
      <c r="D34" s="24">
        <v>32</v>
      </c>
      <c r="E34" s="24">
        <v>18</v>
      </c>
      <c r="F34" s="24">
        <v>14</v>
      </c>
      <c r="G34" s="24">
        <v>1</v>
      </c>
      <c r="H34" s="24">
        <v>0</v>
      </c>
      <c r="I34" s="24">
        <v>9</v>
      </c>
      <c r="J34" s="24">
        <v>5</v>
      </c>
      <c r="K34" s="24">
        <v>2</v>
      </c>
      <c r="L34" s="24">
        <v>2</v>
      </c>
      <c r="M34" s="24">
        <v>0</v>
      </c>
      <c r="N34" s="24">
        <v>2</v>
      </c>
      <c r="O34" s="24">
        <v>3</v>
      </c>
      <c r="P34" s="24">
        <v>3</v>
      </c>
      <c r="Q34" s="24">
        <v>3</v>
      </c>
      <c r="R34" s="24">
        <v>2</v>
      </c>
    </row>
    <row r="35" spans="1:18" s="51" customFormat="1" ht="14.25" customHeight="1" x14ac:dyDescent="0.2">
      <c r="A35" s="47" t="s">
        <v>117</v>
      </c>
      <c r="B35" s="48" t="s">
        <v>106</v>
      </c>
      <c r="C35" s="49" t="s">
        <v>36</v>
      </c>
      <c r="D35" s="50">
        <v>269</v>
      </c>
      <c r="E35" s="50">
        <v>154</v>
      </c>
      <c r="F35" s="50">
        <v>115</v>
      </c>
      <c r="G35" s="50">
        <v>0</v>
      </c>
      <c r="H35" s="50">
        <v>0</v>
      </c>
      <c r="I35" s="50">
        <v>19</v>
      </c>
      <c r="J35" s="50">
        <v>16</v>
      </c>
      <c r="K35" s="50">
        <v>6</v>
      </c>
      <c r="L35" s="50">
        <v>5</v>
      </c>
      <c r="M35" s="50">
        <v>1</v>
      </c>
      <c r="N35" s="50">
        <v>1</v>
      </c>
      <c r="O35" s="50">
        <v>55</v>
      </c>
      <c r="P35" s="50">
        <v>35</v>
      </c>
      <c r="Q35" s="50">
        <v>73</v>
      </c>
      <c r="R35" s="50">
        <v>58</v>
      </c>
    </row>
    <row r="36" spans="1:18" s="51" customFormat="1" ht="14.25" customHeight="1" x14ac:dyDescent="0.2">
      <c r="A36" s="113" t="s">
        <v>57</v>
      </c>
      <c r="B36" s="52" t="s">
        <v>107</v>
      </c>
      <c r="C36" s="53" t="s">
        <v>38</v>
      </c>
      <c r="D36" s="24">
        <v>244</v>
      </c>
      <c r="E36" s="24">
        <v>143</v>
      </c>
      <c r="F36" s="24">
        <v>101</v>
      </c>
      <c r="G36" s="24">
        <v>0</v>
      </c>
      <c r="H36" s="24">
        <v>0</v>
      </c>
      <c r="I36" s="24">
        <v>19</v>
      </c>
      <c r="J36" s="24">
        <v>16</v>
      </c>
      <c r="K36" s="24">
        <v>6</v>
      </c>
      <c r="L36" s="24">
        <v>5</v>
      </c>
      <c r="M36" s="24">
        <v>1</v>
      </c>
      <c r="N36" s="24">
        <v>0</v>
      </c>
      <c r="O36" s="24">
        <v>49</v>
      </c>
      <c r="P36" s="24">
        <v>28</v>
      </c>
      <c r="Q36" s="24">
        <v>68</v>
      </c>
      <c r="R36" s="24">
        <v>52</v>
      </c>
    </row>
    <row r="37" spans="1:18" s="51" customFormat="1" ht="14.25" customHeight="1" x14ac:dyDescent="0.2">
      <c r="A37" s="113"/>
      <c r="B37" s="55" t="s">
        <v>108</v>
      </c>
      <c r="C37" s="56" t="s">
        <v>163</v>
      </c>
      <c r="D37" s="24">
        <v>25</v>
      </c>
      <c r="E37" s="24">
        <v>11</v>
      </c>
      <c r="F37" s="24">
        <v>14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1</v>
      </c>
      <c r="O37" s="24">
        <v>6</v>
      </c>
      <c r="P37" s="24">
        <v>7</v>
      </c>
      <c r="Q37" s="24">
        <v>5</v>
      </c>
      <c r="R37" s="24">
        <v>6</v>
      </c>
    </row>
    <row r="38" spans="1:18" s="51" customFormat="1" ht="14.25" customHeight="1" x14ac:dyDescent="0.2">
      <c r="A38" s="47" t="s">
        <v>118</v>
      </c>
      <c r="B38" s="48" t="s">
        <v>106</v>
      </c>
      <c r="C38" s="49" t="s">
        <v>36</v>
      </c>
      <c r="D38" s="50">
        <v>197</v>
      </c>
      <c r="E38" s="50">
        <v>113</v>
      </c>
      <c r="F38" s="50">
        <v>84</v>
      </c>
      <c r="G38" s="50">
        <v>2</v>
      </c>
      <c r="H38" s="50">
        <v>0</v>
      </c>
      <c r="I38" s="50">
        <v>20</v>
      </c>
      <c r="J38" s="50">
        <v>21</v>
      </c>
      <c r="K38" s="50">
        <v>2</v>
      </c>
      <c r="L38" s="50">
        <v>5</v>
      </c>
      <c r="M38" s="50">
        <v>1</v>
      </c>
      <c r="N38" s="50">
        <v>6</v>
      </c>
      <c r="O38" s="50">
        <v>10</v>
      </c>
      <c r="P38" s="50">
        <v>7</v>
      </c>
      <c r="Q38" s="50">
        <v>78</v>
      </c>
      <c r="R38" s="50">
        <v>45</v>
      </c>
    </row>
    <row r="39" spans="1:18" s="51" customFormat="1" ht="14.25" customHeight="1" x14ac:dyDescent="0.2">
      <c r="A39" s="113" t="s">
        <v>59</v>
      </c>
      <c r="B39" s="52" t="s">
        <v>107</v>
      </c>
      <c r="C39" s="53" t="s">
        <v>38</v>
      </c>
      <c r="D39" s="24">
        <v>189</v>
      </c>
      <c r="E39" s="24">
        <v>108</v>
      </c>
      <c r="F39" s="24">
        <v>81</v>
      </c>
      <c r="G39" s="24">
        <v>2</v>
      </c>
      <c r="H39" s="24">
        <v>0</v>
      </c>
      <c r="I39" s="24">
        <v>20</v>
      </c>
      <c r="J39" s="24">
        <v>21</v>
      </c>
      <c r="K39" s="24">
        <v>2</v>
      </c>
      <c r="L39" s="24">
        <v>5</v>
      </c>
      <c r="M39" s="24">
        <v>1</v>
      </c>
      <c r="N39" s="24">
        <v>5</v>
      </c>
      <c r="O39" s="24">
        <v>9</v>
      </c>
      <c r="P39" s="24">
        <v>7</v>
      </c>
      <c r="Q39" s="24">
        <v>74</v>
      </c>
      <c r="R39" s="24">
        <v>43</v>
      </c>
    </row>
    <row r="40" spans="1:18" s="51" customFormat="1" ht="14.25" customHeight="1" x14ac:dyDescent="0.2">
      <c r="A40" s="113"/>
      <c r="B40" s="55" t="s">
        <v>108</v>
      </c>
      <c r="C40" s="56" t="s">
        <v>163</v>
      </c>
      <c r="D40" s="24">
        <v>8</v>
      </c>
      <c r="E40" s="24">
        <v>5</v>
      </c>
      <c r="F40" s="24">
        <v>3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1</v>
      </c>
      <c r="O40" s="24">
        <v>1</v>
      </c>
      <c r="P40" s="24">
        <v>0</v>
      </c>
      <c r="Q40" s="24">
        <v>4</v>
      </c>
      <c r="R40" s="24">
        <v>2</v>
      </c>
    </row>
    <row r="41" spans="1:18" s="51" customFormat="1" ht="14.25" customHeight="1" x14ac:dyDescent="0.2">
      <c r="A41" s="47" t="s">
        <v>119</v>
      </c>
      <c r="B41" s="48" t="s">
        <v>106</v>
      </c>
      <c r="C41" s="49" t="s">
        <v>36</v>
      </c>
      <c r="D41" s="50">
        <v>91</v>
      </c>
      <c r="E41" s="50">
        <v>52</v>
      </c>
      <c r="F41" s="50">
        <v>39</v>
      </c>
      <c r="G41" s="50">
        <v>0</v>
      </c>
      <c r="H41" s="50">
        <v>0</v>
      </c>
      <c r="I41" s="50">
        <v>18</v>
      </c>
      <c r="J41" s="50">
        <v>15</v>
      </c>
      <c r="K41" s="50">
        <v>0</v>
      </c>
      <c r="L41" s="50">
        <v>0</v>
      </c>
      <c r="M41" s="50">
        <v>0</v>
      </c>
      <c r="N41" s="50">
        <v>0</v>
      </c>
      <c r="O41" s="50">
        <v>22</v>
      </c>
      <c r="P41" s="50">
        <v>15</v>
      </c>
      <c r="Q41" s="50">
        <v>12</v>
      </c>
      <c r="R41" s="50">
        <v>9</v>
      </c>
    </row>
    <row r="42" spans="1:18" s="51" customFormat="1" ht="14.25" customHeight="1" x14ac:dyDescent="0.2">
      <c r="A42" s="113" t="s">
        <v>61</v>
      </c>
      <c r="B42" s="52" t="s">
        <v>107</v>
      </c>
      <c r="C42" s="53" t="s">
        <v>38</v>
      </c>
      <c r="D42" s="24">
        <v>87</v>
      </c>
      <c r="E42" s="24">
        <v>51</v>
      </c>
      <c r="F42" s="24">
        <v>36</v>
      </c>
      <c r="G42" s="24">
        <v>0</v>
      </c>
      <c r="H42" s="24">
        <v>0</v>
      </c>
      <c r="I42" s="24">
        <v>17</v>
      </c>
      <c r="J42" s="24">
        <v>15</v>
      </c>
      <c r="K42" s="24">
        <v>0</v>
      </c>
      <c r="L42" s="24">
        <v>0</v>
      </c>
      <c r="M42" s="24">
        <v>0</v>
      </c>
      <c r="N42" s="24">
        <v>0</v>
      </c>
      <c r="O42" s="24">
        <v>22</v>
      </c>
      <c r="P42" s="24">
        <v>12</v>
      </c>
      <c r="Q42" s="24">
        <v>12</v>
      </c>
      <c r="R42" s="24">
        <v>9</v>
      </c>
    </row>
    <row r="43" spans="1:18" s="51" customFormat="1" ht="14.25" customHeight="1" x14ac:dyDescent="0.2">
      <c r="A43" s="113"/>
      <c r="B43" s="55" t="s">
        <v>108</v>
      </c>
      <c r="C43" s="56" t="s">
        <v>163</v>
      </c>
      <c r="D43" s="24">
        <v>4</v>
      </c>
      <c r="E43" s="24">
        <v>1</v>
      </c>
      <c r="F43" s="24">
        <v>3</v>
      </c>
      <c r="G43" s="24">
        <v>0</v>
      </c>
      <c r="H43" s="24">
        <v>0</v>
      </c>
      <c r="I43" s="24">
        <v>1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3</v>
      </c>
      <c r="Q43" s="24">
        <v>0</v>
      </c>
      <c r="R43" s="24">
        <v>0</v>
      </c>
    </row>
    <row r="44" spans="1:18" s="51" customFormat="1" ht="14.25" customHeight="1" x14ac:dyDescent="0.2">
      <c r="A44" s="47" t="s">
        <v>120</v>
      </c>
      <c r="B44" s="48" t="s">
        <v>106</v>
      </c>
      <c r="C44" s="49" t="s">
        <v>36</v>
      </c>
      <c r="D44" s="50">
        <v>787</v>
      </c>
      <c r="E44" s="50">
        <v>379</v>
      </c>
      <c r="F44" s="50">
        <v>408</v>
      </c>
      <c r="G44" s="50">
        <v>1</v>
      </c>
      <c r="H44" s="50">
        <v>2</v>
      </c>
      <c r="I44" s="50">
        <v>210</v>
      </c>
      <c r="J44" s="50">
        <v>185</v>
      </c>
      <c r="K44" s="50">
        <v>89</v>
      </c>
      <c r="L44" s="50">
        <v>106</v>
      </c>
      <c r="M44" s="50">
        <v>4</v>
      </c>
      <c r="N44" s="50">
        <v>29</v>
      </c>
      <c r="O44" s="50">
        <v>71</v>
      </c>
      <c r="P44" s="50">
        <v>79</v>
      </c>
      <c r="Q44" s="50">
        <v>4</v>
      </c>
      <c r="R44" s="50">
        <v>7</v>
      </c>
    </row>
    <row r="45" spans="1:18" s="51" customFormat="1" ht="14.25" customHeight="1" x14ac:dyDescent="0.2">
      <c r="A45" s="113" t="s">
        <v>63</v>
      </c>
      <c r="B45" s="52" t="s">
        <v>107</v>
      </c>
      <c r="C45" s="53" t="s">
        <v>38</v>
      </c>
      <c r="D45" s="24">
        <v>783</v>
      </c>
      <c r="E45" s="24">
        <v>379</v>
      </c>
      <c r="F45" s="24">
        <v>404</v>
      </c>
      <c r="G45" s="24">
        <v>1</v>
      </c>
      <c r="H45" s="24">
        <v>2</v>
      </c>
      <c r="I45" s="24">
        <v>210</v>
      </c>
      <c r="J45" s="24">
        <v>183</v>
      </c>
      <c r="K45" s="24">
        <v>89</v>
      </c>
      <c r="L45" s="24">
        <v>104</v>
      </c>
      <c r="M45" s="24">
        <v>4</v>
      </c>
      <c r="N45" s="24">
        <v>29</v>
      </c>
      <c r="O45" s="24">
        <v>71</v>
      </c>
      <c r="P45" s="24">
        <v>79</v>
      </c>
      <c r="Q45" s="24">
        <v>4</v>
      </c>
      <c r="R45" s="24">
        <v>7</v>
      </c>
    </row>
    <row r="46" spans="1:18" s="51" customFormat="1" ht="14.25" customHeight="1" x14ac:dyDescent="0.2">
      <c r="A46" s="113"/>
      <c r="B46" s="55" t="s">
        <v>108</v>
      </c>
      <c r="C46" s="56" t="s">
        <v>163</v>
      </c>
      <c r="D46" s="24">
        <v>4</v>
      </c>
      <c r="E46" s="24">
        <v>0</v>
      </c>
      <c r="F46" s="24">
        <v>4</v>
      </c>
      <c r="G46" s="24">
        <v>0</v>
      </c>
      <c r="H46" s="24">
        <v>0</v>
      </c>
      <c r="I46" s="24">
        <v>0</v>
      </c>
      <c r="J46" s="24">
        <v>2</v>
      </c>
      <c r="K46" s="24">
        <v>0</v>
      </c>
      <c r="L46" s="24">
        <v>2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</row>
    <row r="47" spans="1:18" s="51" customFormat="1" ht="14.25" customHeight="1" x14ac:dyDescent="0.2">
      <c r="A47" s="47" t="s">
        <v>121</v>
      </c>
      <c r="B47" s="48" t="s">
        <v>106</v>
      </c>
      <c r="C47" s="49" t="s">
        <v>36</v>
      </c>
      <c r="D47" s="50">
        <v>201</v>
      </c>
      <c r="E47" s="50">
        <v>97</v>
      </c>
      <c r="F47" s="50">
        <v>104</v>
      </c>
      <c r="G47" s="50">
        <v>2</v>
      </c>
      <c r="H47" s="50">
        <v>0</v>
      </c>
      <c r="I47" s="50">
        <v>41</v>
      </c>
      <c r="J47" s="50">
        <v>41</v>
      </c>
      <c r="K47" s="50">
        <v>21</v>
      </c>
      <c r="L47" s="50">
        <v>18</v>
      </c>
      <c r="M47" s="50">
        <v>1</v>
      </c>
      <c r="N47" s="50">
        <v>13</v>
      </c>
      <c r="O47" s="50">
        <v>11</v>
      </c>
      <c r="P47" s="50">
        <v>13</v>
      </c>
      <c r="Q47" s="50">
        <v>21</v>
      </c>
      <c r="R47" s="50">
        <v>19</v>
      </c>
    </row>
    <row r="48" spans="1:18" s="51" customFormat="1" ht="14.25" customHeight="1" x14ac:dyDescent="0.2">
      <c r="A48" s="113" t="s">
        <v>65</v>
      </c>
      <c r="B48" s="52" t="s">
        <v>107</v>
      </c>
      <c r="C48" s="53" t="s">
        <v>38</v>
      </c>
      <c r="D48" s="24">
        <v>197</v>
      </c>
      <c r="E48" s="24">
        <v>95</v>
      </c>
      <c r="F48" s="24">
        <v>102</v>
      </c>
      <c r="G48" s="24">
        <v>2</v>
      </c>
      <c r="H48" s="24">
        <v>0</v>
      </c>
      <c r="I48" s="24">
        <v>40</v>
      </c>
      <c r="J48" s="24">
        <v>40</v>
      </c>
      <c r="K48" s="24">
        <v>21</v>
      </c>
      <c r="L48" s="24">
        <v>18</v>
      </c>
      <c r="M48" s="24">
        <v>0</v>
      </c>
      <c r="N48" s="24">
        <v>13</v>
      </c>
      <c r="O48" s="24">
        <v>11</v>
      </c>
      <c r="P48" s="24">
        <v>13</v>
      </c>
      <c r="Q48" s="24">
        <v>21</v>
      </c>
      <c r="R48" s="24">
        <v>18</v>
      </c>
    </row>
    <row r="49" spans="1:18" s="51" customFormat="1" ht="14.25" customHeight="1" x14ac:dyDescent="0.2">
      <c r="A49" s="113"/>
      <c r="B49" s="55" t="s">
        <v>108</v>
      </c>
      <c r="C49" s="56" t="s">
        <v>163</v>
      </c>
      <c r="D49" s="24">
        <v>4</v>
      </c>
      <c r="E49" s="24">
        <v>2</v>
      </c>
      <c r="F49" s="24">
        <v>2</v>
      </c>
      <c r="G49" s="24">
        <v>0</v>
      </c>
      <c r="H49" s="24">
        <v>0</v>
      </c>
      <c r="I49" s="24">
        <v>1</v>
      </c>
      <c r="J49" s="24">
        <v>1</v>
      </c>
      <c r="K49" s="24">
        <v>0</v>
      </c>
      <c r="L49" s="24">
        <v>0</v>
      </c>
      <c r="M49" s="24">
        <v>1</v>
      </c>
      <c r="N49" s="24">
        <v>0</v>
      </c>
      <c r="O49" s="24">
        <v>0</v>
      </c>
      <c r="P49" s="24">
        <v>0</v>
      </c>
      <c r="Q49" s="24">
        <v>0</v>
      </c>
      <c r="R49" s="24">
        <v>1</v>
      </c>
    </row>
    <row r="50" spans="1:18" s="51" customFormat="1" ht="14.25" customHeight="1" x14ac:dyDescent="0.2">
      <c r="A50" s="47" t="s">
        <v>122</v>
      </c>
      <c r="B50" s="48" t="s">
        <v>106</v>
      </c>
      <c r="C50" s="49" t="s">
        <v>36</v>
      </c>
      <c r="D50" s="50">
        <v>357</v>
      </c>
      <c r="E50" s="50">
        <v>162</v>
      </c>
      <c r="F50" s="50">
        <v>195</v>
      </c>
      <c r="G50" s="50">
        <v>1</v>
      </c>
      <c r="H50" s="50">
        <v>2</v>
      </c>
      <c r="I50" s="50">
        <v>29</v>
      </c>
      <c r="J50" s="50">
        <v>58</v>
      </c>
      <c r="K50" s="50">
        <v>18</v>
      </c>
      <c r="L50" s="50">
        <v>17</v>
      </c>
      <c r="M50" s="50">
        <v>3</v>
      </c>
      <c r="N50" s="50">
        <v>12</v>
      </c>
      <c r="O50" s="50">
        <v>15</v>
      </c>
      <c r="P50" s="50">
        <v>22</v>
      </c>
      <c r="Q50" s="50">
        <v>96</v>
      </c>
      <c r="R50" s="50">
        <v>84</v>
      </c>
    </row>
    <row r="51" spans="1:18" s="51" customFormat="1" ht="14.25" customHeight="1" x14ac:dyDescent="0.2">
      <c r="A51" s="113" t="s">
        <v>67</v>
      </c>
      <c r="B51" s="52" t="s">
        <v>107</v>
      </c>
      <c r="C51" s="53" t="s">
        <v>38</v>
      </c>
      <c r="D51" s="24">
        <v>300</v>
      </c>
      <c r="E51" s="24">
        <v>131</v>
      </c>
      <c r="F51" s="24">
        <v>169</v>
      </c>
      <c r="G51" s="24">
        <v>1</v>
      </c>
      <c r="H51" s="24">
        <v>2</v>
      </c>
      <c r="I51" s="24">
        <v>22</v>
      </c>
      <c r="J51" s="24">
        <v>45</v>
      </c>
      <c r="K51" s="24">
        <v>17</v>
      </c>
      <c r="L51" s="24">
        <v>15</v>
      </c>
      <c r="M51" s="24">
        <v>2</v>
      </c>
      <c r="N51" s="24">
        <v>10</v>
      </c>
      <c r="O51" s="24">
        <v>12</v>
      </c>
      <c r="P51" s="24">
        <v>22</v>
      </c>
      <c r="Q51" s="24">
        <v>77</v>
      </c>
      <c r="R51" s="24">
        <v>75</v>
      </c>
    </row>
    <row r="52" spans="1:18" s="51" customFormat="1" ht="14.25" customHeight="1" x14ac:dyDescent="0.2">
      <c r="A52" s="113"/>
      <c r="B52" s="55" t="s">
        <v>108</v>
      </c>
      <c r="C52" s="56" t="s">
        <v>163</v>
      </c>
      <c r="D52" s="24">
        <v>57</v>
      </c>
      <c r="E52" s="24">
        <v>31</v>
      </c>
      <c r="F52" s="24">
        <v>26</v>
      </c>
      <c r="G52" s="24">
        <v>0</v>
      </c>
      <c r="H52" s="24">
        <v>0</v>
      </c>
      <c r="I52" s="24">
        <v>7</v>
      </c>
      <c r="J52" s="24">
        <v>13</v>
      </c>
      <c r="K52" s="24">
        <v>1</v>
      </c>
      <c r="L52" s="24">
        <v>2</v>
      </c>
      <c r="M52" s="24">
        <v>1</v>
      </c>
      <c r="N52" s="24">
        <v>2</v>
      </c>
      <c r="O52" s="24">
        <v>3</v>
      </c>
      <c r="P52" s="24">
        <v>0</v>
      </c>
      <c r="Q52" s="24">
        <v>19</v>
      </c>
      <c r="R52" s="24">
        <v>9</v>
      </c>
    </row>
    <row r="53" spans="1:18" s="51" customFormat="1" ht="14.25" customHeight="1" x14ac:dyDescent="0.2">
      <c r="A53" s="47" t="s">
        <v>123</v>
      </c>
      <c r="B53" s="48" t="s">
        <v>106</v>
      </c>
      <c r="C53" s="49" t="s">
        <v>36</v>
      </c>
      <c r="D53" s="50">
        <v>106</v>
      </c>
      <c r="E53" s="50">
        <v>33</v>
      </c>
      <c r="F53" s="50">
        <v>73</v>
      </c>
      <c r="G53" s="50">
        <v>0</v>
      </c>
      <c r="H53" s="50">
        <v>0</v>
      </c>
      <c r="I53" s="50">
        <v>11</v>
      </c>
      <c r="J53" s="50">
        <v>7</v>
      </c>
      <c r="K53" s="50">
        <v>2</v>
      </c>
      <c r="L53" s="50">
        <v>0</v>
      </c>
      <c r="M53" s="50">
        <v>7</v>
      </c>
      <c r="N53" s="50">
        <v>54</v>
      </c>
      <c r="O53" s="50">
        <v>6</v>
      </c>
      <c r="P53" s="50">
        <v>7</v>
      </c>
      <c r="Q53" s="50">
        <v>7</v>
      </c>
      <c r="R53" s="50">
        <v>5</v>
      </c>
    </row>
    <row r="54" spans="1:18" s="51" customFormat="1" ht="14.25" customHeight="1" x14ac:dyDescent="0.2">
      <c r="A54" s="113" t="s">
        <v>69</v>
      </c>
      <c r="B54" s="52" t="s">
        <v>107</v>
      </c>
      <c r="C54" s="53" t="s">
        <v>38</v>
      </c>
      <c r="D54" s="24">
        <v>48</v>
      </c>
      <c r="E54" s="24">
        <v>13</v>
      </c>
      <c r="F54" s="24">
        <v>35</v>
      </c>
      <c r="G54" s="24">
        <v>0</v>
      </c>
      <c r="H54" s="24">
        <v>0</v>
      </c>
      <c r="I54" s="24">
        <v>5</v>
      </c>
      <c r="J54" s="24">
        <v>3</v>
      </c>
      <c r="K54" s="24">
        <v>2</v>
      </c>
      <c r="L54" s="24">
        <v>0</v>
      </c>
      <c r="M54" s="24">
        <v>1</v>
      </c>
      <c r="N54" s="24">
        <v>28</v>
      </c>
      <c r="O54" s="24">
        <v>2</v>
      </c>
      <c r="P54" s="24">
        <v>2</v>
      </c>
      <c r="Q54" s="24">
        <v>3</v>
      </c>
      <c r="R54" s="24">
        <v>2</v>
      </c>
    </row>
    <row r="55" spans="1:18" s="51" customFormat="1" ht="14.25" customHeight="1" x14ac:dyDescent="0.2">
      <c r="A55" s="113"/>
      <c r="B55" s="55" t="s">
        <v>108</v>
      </c>
      <c r="C55" s="56" t="s">
        <v>163</v>
      </c>
      <c r="D55" s="24">
        <v>58</v>
      </c>
      <c r="E55" s="24">
        <v>20</v>
      </c>
      <c r="F55" s="24">
        <v>38</v>
      </c>
      <c r="G55" s="24">
        <v>0</v>
      </c>
      <c r="H55" s="24">
        <v>0</v>
      </c>
      <c r="I55" s="24">
        <v>6</v>
      </c>
      <c r="J55" s="24">
        <v>4</v>
      </c>
      <c r="K55" s="24">
        <v>0</v>
      </c>
      <c r="L55" s="24">
        <v>0</v>
      </c>
      <c r="M55" s="24">
        <v>6</v>
      </c>
      <c r="N55" s="24">
        <v>26</v>
      </c>
      <c r="O55" s="24">
        <v>4</v>
      </c>
      <c r="P55" s="24">
        <v>5</v>
      </c>
      <c r="Q55" s="24">
        <v>4</v>
      </c>
      <c r="R55" s="24">
        <v>3</v>
      </c>
    </row>
    <row r="56" spans="1:18" s="51" customFormat="1" ht="14.25" customHeight="1" x14ac:dyDescent="0.2">
      <c r="A56" s="47" t="s">
        <v>124</v>
      </c>
      <c r="B56" s="48" t="s">
        <v>106</v>
      </c>
      <c r="C56" s="49" t="s">
        <v>36</v>
      </c>
      <c r="D56" s="50">
        <v>306</v>
      </c>
      <c r="E56" s="50">
        <v>132</v>
      </c>
      <c r="F56" s="50">
        <v>174</v>
      </c>
      <c r="G56" s="50">
        <v>2</v>
      </c>
      <c r="H56" s="50">
        <v>0</v>
      </c>
      <c r="I56" s="50">
        <v>72</v>
      </c>
      <c r="J56" s="50">
        <v>53</v>
      </c>
      <c r="K56" s="50">
        <v>7</v>
      </c>
      <c r="L56" s="50">
        <v>9</v>
      </c>
      <c r="M56" s="50">
        <v>25</v>
      </c>
      <c r="N56" s="50">
        <v>84</v>
      </c>
      <c r="O56" s="50">
        <v>18</v>
      </c>
      <c r="P56" s="50">
        <v>13</v>
      </c>
      <c r="Q56" s="50">
        <v>8</v>
      </c>
      <c r="R56" s="50">
        <v>15</v>
      </c>
    </row>
    <row r="57" spans="1:18" s="51" customFormat="1" ht="14.25" customHeight="1" x14ac:dyDescent="0.2">
      <c r="A57" s="113" t="s">
        <v>71</v>
      </c>
      <c r="B57" s="52" t="s">
        <v>107</v>
      </c>
      <c r="C57" s="53" t="s">
        <v>38</v>
      </c>
      <c r="D57" s="24">
        <v>120</v>
      </c>
      <c r="E57" s="24">
        <v>58</v>
      </c>
      <c r="F57" s="24">
        <v>62</v>
      </c>
      <c r="G57" s="24">
        <v>1</v>
      </c>
      <c r="H57" s="24">
        <v>0</v>
      </c>
      <c r="I57" s="24">
        <v>30</v>
      </c>
      <c r="J57" s="24">
        <v>19</v>
      </c>
      <c r="K57" s="24">
        <v>6</v>
      </c>
      <c r="L57" s="24">
        <v>5</v>
      </c>
      <c r="M57" s="24">
        <v>11</v>
      </c>
      <c r="N57" s="24">
        <v>30</v>
      </c>
      <c r="O57" s="24">
        <v>5</v>
      </c>
      <c r="P57" s="24">
        <v>4</v>
      </c>
      <c r="Q57" s="24">
        <v>5</v>
      </c>
      <c r="R57" s="24">
        <v>4</v>
      </c>
    </row>
    <row r="58" spans="1:18" s="51" customFormat="1" ht="14.25" customHeight="1" x14ac:dyDescent="0.2">
      <c r="A58" s="113"/>
      <c r="B58" s="55" t="s">
        <v>108</v>
      </c>
      <c r="C58" s="56" t="s">
        <v>163</v>
      </c>
      <c r="D58" s="24">
        <v>186</v>
      </c>
      <c r="E58" s="24">
        <v>74</v>
      </c>
      <c r="F58" s="24">
        <v>112</v>
      </c>
      <c r="G58" s="24">
        <v>1</v>
      </c>
      <c r="H58" s="24">
        <v>0</v>
      </c>
      <c r="I58" s="24">
        <v>42</v>
      </c>
      <c r="J58" s="24">
        <v>34</v>
      </c>
      <c r="K58" s="24">
        <v>1</v>
      </c>
      <c r="L58" s="24">
        <v>4</v>
      </c>
      <c r="M58" s="24">
        <v>14</v>
      </c>
      <c r="N58" s="24">
        <v>54</v>
      </c>
      <c r="O58" s="24">
        <v>13</v>
      </c>
      <c r="P58" s="24">
        <v>9</v>
      </c>
      <c r="Q58" s="24">
        <v>3</v>
      </c>
      <c r="R58" s="24">
        <v>11</v>
      </c>
    </row>
    <row r="59" spans="1:18" s="51" customFormat="1" ht="14.25" customHeight="1" x14ac:dyDescent="0.2">
      <c r="A59" s="47" t="s">
        <v>125</v>
      </c>
      <c r="B59" s="48" t="s">
        <v>106</v>
      </c>
      <c r="C59" s="49" t="s">
        <v>36</v>
      </c>
      <c r="D59" s="50">
        <v>18</v>
      </c>
      <c r="E59" s="50">
        <v>13</v>
      </c>
      <c r="F59" s="50">
        <v>5</v>
      </c>
      <c r="G59" s="50">
        <v>0</v>
      </c>
      <c r="H59" s="50">
        <v>0</v>
      </c>
      <c r="I59" s="50">
        <v>7</v>
      </c>
      <c r="J59" s="50">
        <v>3</v>
      </c>
      <c r="K59" s="50">
        <v>1</v>
      </c>
      <c r="L59" s="50">
        <v>0</v>
      </c>
      <c r="M59" s="50">
        <v>0</v>
      </c>
      <c r="N59" s="50">
        <v>0</v>
      </c>
      <c r="O59" s="50">
        <v>0</v>
      </c>
      <c r="P59" s="50">
        <v>1</v>
      </c>
      <c r="Q59" s="50">
        <v>5</v>
      </c>
      <c r="R59" s="50">
        <v>1</v>
      </c>
    </row>
    <row r="60" spans="1:18" s="51" customFormat="1" ht="14.25" customHeight="1" x14ac:dyDescent="0.2">
      <c r="A60" s="113" t="s">
        <v>73</v>
      </c>
      <c r="B60" s="52" t="s">
        <v>107</v>
      </c>
      <c r="C60" s="53" t="s">
        <v>38</v>
      </c>
      <c r="D60" s="24">
        <v>18</v>
      </c>
      <c r="E60" s="24">
        <v>13</v>
      </c>
      <c r="F60" s="24">
        <v>5</v>
      </c>
      <c r="G60" s="24">
        <v>0</v>
      </c>
      <c r="H60" s="24">
        <v>0</v>
      </c>
      <c r="I60" s="24">
        <v>7</v>
      </c>
      <c r="J60" s="24">
        <v>3</v>
      </c>
      <c r="K60" s="24">
        <v>1</v>
      </c>
      <c r="L60" s="24">
        <v>0</v>
      </c>
      <c r="M60" s="24">
        <v>0</v>
      </c>
      <c r="N60" s="24">
        <v>0</v>
      </c>
      <c r="O60" s="24">
        <v>0</v>
      </c>
      <c r="P60" s="24">
        <v>1</v>
      </c>
      <c r="Q60" s="24">
        <v>5</v>
      </c>
      <c r="R60" s="24">
        <v>1</v>
      </c>
    </row>
    <row r="61" spans="1:18" s="51" customFormat="1" ht="14.25" customHeight="1" x14ac:dyDescent="0.2">
      <c r="A61" s="113"/>
      <c r="B61" s="55" t="s">
        <v>108</v>
      </c>
      <c r="C61" s="56" t="s">
        <v>163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</row>
    <row r="62" spans="1:18" s="51" customFormat="1" ht="14.25" customHeight="1" x14ac:dyDescent="0.2">
      <c r="A62" s="47" t="s">
        <v>126</v>
      </c>
      <c r="B62" s="48" t="s">
        <v>106</v>
      </c>
      <c r="C62" s="49" t="s">
        <v>36</v>
      </c>
      <c r="D62" s="50">
        <v>282</v>
      </c>
      <c r="E62" s="50">
        <v>119</v>
      </c>
      <c r="F62" s="50">
        <v>163</v>
      </c>
      <c r="G62" s="50">
        <v>0</v>
      </c>
      <c r="H62" s="50">
        <v>1</v>
      </c>
      <c r="I62" s="50">
        <v>59</v>
      </c>
      <c r="J62" s="50">
        <v>51</v>
      </c>
      <c r="K62" s="50">
        <v>16</v>
      </c>
      <c r="L62" s="50">
        <v>10</v>
      </c>
      <c r="M62" s="50">
        <v>18</v>
      </c>
      <c r="N62" s="50">
        <v>66</v>
      </c>
      <c r="O62" s="50">
        <v>16</v>
      </c>
      <c r="P62" s="50">
        <v>14</v>
      </c>
      <c r="Q62" s="50">
        <v>10</v>
      </c>
      <c r="R62" s="50">
        <v>21</v>
      </c>
    </row>
    <row r="63" spans="1:18" s="51" customFormat="1" ht="14.25" customHeight="1" x14ac:dyDescent="0.2">
      <c r="A63" s="113" t="s">
        <v>75</v>
      </c>
      <c r="B63" s="52" t="s">
        <v>107</v>
      </c>
      <c r="C63" s="53" t="s">
        <v>38</v>
      </c>
      <c r="D63" s="24">
        <v>259</v>
      </c>
      <c r="E63" s="24">
        <v>111</v>
      </c>
      <c r="F63" s="24">
        <v>148</v>
      </c>
      <c r="G63" s="24">
        <v>0</v>
      </c>
      <c r="H63" s="24">
        <v>1</v>
      </c>
      <c r="I63" s="24">
        <v>57</v>
      </c>
      <c r="J63" s="24">
        <v>50</v>
      </c>
      <c r="K63" s="24">
        <v>16</v>
      </c>
      <c r="L63" s="24">
        <v>10</v>
      </c>
      <c r="M63" s="24">
        <v>17</v>
      </c>
      <c r="N63" s="24">
        <v>59</v>
      </c>
      <c r="O63" s="24">
        <v>13</v>
      </c>
      <c r="P63" s="24">
        <v>12</v>
      </c>
      <c r="Q63" s="24">
        <v>8</v>
      </c>
      <c r="R63" s="24">
        <v>16</v>
      </c>
    </row>
    <row r="64" spans="1:18" s="51" customFormat="1" ht="14.25" customHeight="1" x14ac:dyDescent="0.2">
      <c r="A64" s="113"/>
      <c r="B64" s="55" t="s">
        <v>108</v>
      </c>
      <c r="C64" s="56" t="s">
        <v>163</v>
      </c>
      <c r="D64" s="24">
        <v>23</v>
      </c>
      <c r="E64" s="24">
        <v>8</v>
      </c>
      <c r="F64" s="24">
        <v>15</v>
      </c>
      <c r="G64" s="24">
        <v>0</v>
      </c>
      <c r="H64" s="24">
        <v>0</v>
      </c>
      <c r="I64" s="24">
        <v>2</v>
      </c>
      <c r="J64" s="24">
        <v>1</v>
      </c>
      <c r="K64" s="24">
        <v>0</v>
      </c>
      <c r="L64" s="24">
        <v>0</v>
      </c>
      <c r="M64" s="24">
        <v>1</v>
      </c>
      <c r="N64" s="24">
        <v>7</v>
      </c>
      <c r="O64" s="24">
        <v>3</v>
      </c>
      <c r="P64" s="24">
        <v>2</v>
      </c>
      <c r="Q64" s="24">
        <v>2</v>
      </c>
      <c r="R64" s="24">
        <v>5</v>
      </c>
    </row>
    <row r="65" spans="1:18" s="51" customFormat="1" ht="14.25" customHeight="1" x14ac:dyDescent="0.2">
      <c r="A65" s="47" t="s">
        <v>127</v>
      </c>
      <c r="B65" s="48" t="s">
        <v>106</v>
      </c>
      <c r="C65" s="49" t="s">
        <v>36</v>
      </c>
      <c r="D65" s="50">
        <v>52</v>
      </c>
      <c r="E65" s="50">
        <v>22</v>
      </c>
      <c r="F65" s="50">
        <v>30</v>
      </c>
      <c r="G65" s="50">
        <v>0</v>
      </c>
      <c r="H65" s="50">
        <v>0</v>
      </c>
      <c r="I65" s="50">
        <v>2</v>
      </c>
      <c r="J65" s="50">
        <v>2</v>
      </c>
      <c r="K65" s="50">
        <v>2</v>
      </c>
      <c r="L65" s="50">
        <v>3</v>
      </c>
      <c r="M65" s="50">
        <v>0</v>
      </c>
      <c r="N65" s="50">
        <v>4</v>
      </c>
      <c r="O65" s="50">
        <v>17</v>
      </c>
      <c r="P65" s="50">
        <v>20</v>
      </c>
      <c r="Q65" s="50">
        <v>1</v>
      </c>
      <c r="R65" s="50">
        <v>1</v>
      </c>
    </row>
    <row r="66" spans="1:18" s="51" customFormat="1" ht="14.25" customHeight="1" x14ac:dyDescent="0.2">
      <c r="A66" s="113" t="s">
        <v>77</v>
      </c>
      <c r="B66" s="52" t="s">
        <v>107</v>
      </c>
      <c r="C66" s="53" t="s">
        <v>38</v>
      </c>
      <c r="D66" s="24">
        <v>51</v>
      </c>
      <c r="E66" s="24">
        <v>21</v>
      </c>
      <c r="F66" s="24">
        <v>30</v>
      </c>
      <c r="G66" s="24">
        <v>0</v>
      </c>
      <c r="H66" s="24">
        <v>0</v>
      </c>
      <c r="I66" s="24">
        <v>2</v>
      </c>
      <c r="J66" s="24">
        <v>2</v>
      </c>
      <c r="K66" s="24">
        <v>2</v>
      </c>
      <c r="L66" s="24">
        <v>3</v>
      </c>
      <c r="M66" s="24">
        <v>0</v>
      </c>
      <c r="N66" s="24">
        <v>4</v>
      </c>
      <c r="O66" s="24">
        <v>16</v>
      </c>
      <c r="P66" s="24">
        <v>20</v>
      </c>
      <c r="Q66" s="24">
        <v>1</v>
      </c>
      <c r="R66" s="24">
        <v>1</v>
      </c>
    </row>
    <row r="67" spans="1:18" s="51" customFormat="1" ht="14.25" customHeight="1" x14ac:dyDescent="0.2">
      <c r="A67" s="113"/>
      <c r="B67" s="55" t="s">
        <v>108</v>
      </c>
      <c r="C67" s="56" t="s">
        <v>163</v>
      </c>
      <c r="D67" s="24">
        <v>1</v>
      </c>
      <c r="E67" s="24">
        <v>1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1</v>
      </c>
      <c r="P67" s="24">
        <v>0</v>
      </c>
      <c r="Q67" s="24">
        <v>0</v>
      </c>
      <c r="R67" s="24">
        <v>0</v>
      </c>
    </row>
    <row r="68" spans="1:18" s="51" customFormat="1" ht="14.25" customHeight="1" x14ac:dyDescent="0.2">
      <c r="A68" s="47" t="s">
        <v>128</v>
      </c>
      <c r="B68" s="48" t="s">
        <v>106</v>
      </c>
      <c r="C68" s="49" t="s">
        <v>36</v>
      </c>
      <c r="D68" s="50">
        <v>84</v>
      </c>
      <c r="E68" s="50">
        <v>45</v>
      </c>
      <c r="F68" s="50">
        <v>39</v>
      </c>
      <c r="G68" s="50">
        <v>0</v>
      </c>
      <c r="H68" s="50">
        <v>1</v>
      </c>
      <c r="I68" s="50">
        <v>5</v>
      </c>
      <c r="J68" s="50">
        <v>9</v>
      </c>
      <c r="K68" s="50">
        <v>2</v>
      </c>
      <c r="L68" s="50">
        <v>6</v>
      </c>
      <c r="M68" s="50">
        <v>0</v>
      </c>
      <c r="N68" s="50">
        <v>1</v>
      </c>
      <c r="O68" s="50">
        <v>6</v>
      </c>
      <c r="P68" s="50">
        <v>2</v>
      </c>
      <c r="Q68" s="50">
        <v>32</v>
      </c>
      <c r="R68" s="50">
        <v>20</v>
      </c>
    </row>
    <row r="69" spans="1:18" s="51" customFormat="1" ht="14.25" customHeight="1" x14ac:dyDescent="0.2">
      <c r="A69" s="113" t="s">
        <v>79</v>
      </c>
      <c r="B69" s="52" t="s">
        <v>107</v>
      </c>
      <c r="C69" s="53" t="s">
        <v>38</v>
      </c>
      <c r="D69" s="24">
        <v>84</v>
      </c>
      <c r="E69" s="24">
        <v>45</v>
      </c>
      <c r="F69" s="24">
        <v>39</v>
      </c>
      <c r="G69" s="24">
        <v>0</v>
      </c>
      <c r="H69" s="24">
        <v>1</v>
      </c>
      <c r="I69" s="24">
        <v>5</v>
      </c>
      <c r="J69" s="24">
        <v>9</v>
      </c>
      <c r="K69" s="24">
        <v>2</v>
      </c>
      <c r="L69" s="24">
        <v>6</v>
      </c>
      <c r="M69" s="24">
        <v>0</v>
      </c>
      <c r="N69" s="24">
        <v>1</v>
      </c>
      <c r="O69" s="24">
        <v>6</v>
      </c>
      <c r="P69" s="24">
        <v>2</v>
      </c>
      <c r="Q69" s="24">
        <v>32</v>
      </c>
      <c r="R69" s="24">
        <v>20</v>
      </c>
    </row>
    <row r="70" spans="1:18" s="51" customFormat="1" ht="14.25" customHeight="1" x14ac:dyDescent="0.2">
      <c r="A70" s="113"/>
      <c r="B70" s="55" t="s">
        <v>108</v>
      </c>
      <c r="C70" s="56" t="s">
        <v>163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</row>
    <row r="71" spans="1:18" s="51" customFormat="1" ht="14.25" customHeight="1" x14ac:dyDescent="0.2">
      <c r="A71" s="47" t="s">
        <v>129</v>
      </c>
      <c r="B71" s="48" t="s">
        <v>106</v>
      </c>
      <c r="C71" s="49" t="s">
        <v>36</v>
      </c>
      <c r="D71" s="50">
        <v>28</v>
      </c>
      <c r="E71" s="50">
        <v>14</v>
      </c>
      <c r="F71" s="50">
        <v>14</v>
      </c>
      <c r="G71" s="50">
        <v>0</v>
      </c>
      <c r="H71" s="50">
        <v>0</v>
      </c>
      <c r="I71" s="50">
        <v>10</v>
      </c>
      <c r="J71" s="50">
        <v>10</v>
      </c>
      <c r="K71" s="50">
        <v>0</v>
      </c>
      <c r="L71" s="50">
        <v>0</v>
      </c>
      <c r="M71" s="50">
        <v>0</v>
      </c>
      <c r="N71" s="50">
        <v>1</v>
      </c>
      <c r="O71" s="50">
        <v>4</v>
      </c>
      <c r="P71" s="50">
        <v>3</v>
      </c>
      <c r="Q71" s="50">
        <v>0</v>
      </c>
      <c r="R71" s="50">
        <v>0</v>
      </c>
    </row>
    <row r="72" spans="1:18" s="51" customFormat="1" ht="14.25" customHeight="1" x14ac:dyDescent="0.2">
      <c r="A72" s="113" t="s">
        <v>81</v>
      </c>
      <c r="B72" s="52" t="s">
        <v>107</v>
      </c>
      <c r="C72" s="53" t="s">
        <v>38</v>
      </c>
      <c r="D72" s="24">
        <v>28</v>
      </c>
      <c r="E72" s="24">
        <v>14</v>
      </c>
      <c r="F72" s="24">
        <v>14</v>
      </c>
      <c r="G72" s="24">
        <v>0</v>
      </c>
      <c r="H72" s="24">
        <v>0</v>
      </c>
      <c r="I72" s="24">
        <v>10</v>
      </c>
      <c r="J72" s="24">
        <v>10</v>
      </c>
      <c r="K72" s="24">
        <v>0</v>
      </c>
      <c r="L72" s="24">
        <v>0</v>
      </c>
      <c r="M72" s="24">
        <v>0</v>
      </c>
      <c r="N72" s="24">
        <v>1</v>
      </c>
      <c r="O72" s="24">
        <v>4</v>
      </c>
      <c r="P72" s="24">
        <v>3</v>
      </c>
      <c r="Q72" s="24">
        <v>0</v>
      </c>
      <c r="R72" s="24">
        <v>0</v>
      </c>
    </row>
    <row r="73" spans="1:18" s="51" customFormat="1" ht="14.25" customHeight="1" x14ac:dyDescent="0.2">
      <c r="A73" s="113"/>
      <c r="B73" s="55" t="s">
        <v>108</v>
      </c>
      <c r="C73" s="56" t="s">
        <v>163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</row>
    <row r="74" spans="1:18" s="51" customFormat="1" ht="14.25" customHeight="1" x14ac:dyDescent="0.2">
      <c r="A74" s="47" t="s">
        <v>130</v>
      </c>
      <c r="B74" s="48" t="s">
        <v>106</v>
      </c>
      <c r="C74" s="49" t="s">
        <v>36</v>
      </c>
      <c r="D74" s="50">
        <v>3</v>
      </c>
      <c r="E74" s="50">
        <v>0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3</v>
      </c>
      <c r="O74" s="50">
        <v>0</v>
      </c>
      <c r="P74" s="50">
        <v>0</v>
      </c>
      <c r="Q74" s="50">
        <v>0</v>
      </c>
      <c r="R74" s="50">
        <v>0</v>
      </c>
    </row>
    <row r="75" spans="1:18" s="51" customFormat="1" ht="14.25" customHeight="1" x14ac:dyDescent="0.2">
      <c r="A75" s="113" t="s">
        <v>83</v>
      </c>
      <c r="B75" s="52" t="s">
        <v>107</v>
      </c>
      <c r="C75" s="53" t="s">
        <v>38</v>
      </c>
      <c r="D75" s="24">
        <v>3</v>
      </c>
      <c r="E75" s="24">
        <v>0</v>
      </c>
      <c r="F75" s="24">
        <v>3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3</v>
      </c>
      <c r="O75" s="24">
        <v>0</v>
      </c>
      <c r="P75" s="24">
        <v>0</v>
      </c>
      <c r="Q75" s="24">
        <v>0</v>
      </c>
      <c r="R75" s="24">
        <v>0</v>
      </c>
    </row>
    <row r="76" spans="1:18" s="51" customFormat="1" ht="14.25" customHeight="1" x14ac:dyDescent="0.2">
      <c r="A76" s="113"/>
      <c r="B76" s="55" t="s">
        <v>108</v>
      </c>
      <c r="C76" s="56" t="s">
        <v>163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</row>
    <row r="77" spans="1:18" ht="14.25" customHeight="1" x14ac:dyDescent="0.2">
      <c r="A77" s="3" t="s">
        <v>85</v>
      </c>
    </row>
    <row r="78" spans="1:18" ht="14.25" customHeight="1" x14ac:dyDescent="0.2">
      <c r="A78" s="3" t="s">
        <v>86</v>
      </c>
    </row>
    <row r="79" spans="1:18" ht="14.25" customHeight="1" x14ac:dyDescent="0.2">
      <c r="A79" s="40" t="s">
        <v>29</v>
      </c>
    </row>
    <row r="80" spans="1:18" ht="14.25" customHeight="1" x14ac:dyDescent="0.2">
      <c r="A80" s="3" t="s">
        <v>133</v>
      </c>
    </row>
  </sheetData>
  <mergeCells count="33">
    <mergeCell ref="A24:A25"/>
    <mergeCell ref="A4:C7"/>
    <mergeCell ref="D4:R4"/>
    <mergeCell ref="D5:F6"/>
    <mergeCell ref="G5:H6"/>
    <mergeCell ref="I5:P5"/>
    <mergeCell ref="Q5:R6"/>
    <mergeCell ref="I6:J6"/>
    <mergeCell ref="K6:L6"/>
    <mergeCell ref="M6:N6"/>
    <mergeCell ref="O6:P6"/>
    <mergeCell ref="A9:A10"/>
    <mergeCell ref="A12:A13"/>
    <mergeCell ref="A15:A16"/>
    <mergeCell ref="A18:A19"/>
    <mergeCell ref="A21:A22"/>
    <mergeCell ref="A60:A61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54:A55"/>
    <mergeCell ref="A57:A58"/>
    <mergeCell ref="A63:A64"/>
    <mergeCell ref="A66:A67"/>
    <mergeCell ref="A69:A70"/>
    <mergeCell ref="A72:A73"/>
    <mergeCell ref="A75:A76"/>
  </mergeCells>
  <phoneticPr fontId="16" type="noConversion"/>
  <printOptions horizontalCentered="1"/>
  <pageMargins left="0.23622047244094502" right="0.23622047244094502" top="0.74803149606299213" bottom="0.74803149606299213" header="0.31496062992126012" footer="0.31496062992126012"/>
  <pageSetup paperSize="0" fitToWidth="0" fitToHeight="0" orientation="portrait" horizontalDpi="0" verticalDpi="0" copies="0"/>
  <headerFooter alignWithMargins="0">
    <oddHeader>&amp;L&amp;"微軟正黑體,Regular"&amp;16兒童及少年保護執行概況&amp;C
&amp;R&amp;"微軟正黑體,Regular"本表共&amp;N頁，第&amp;P頁</oddHeader>
  </headerFooter>
  <rowBreaks count="1" manualBreakCount="1">
    <brk id="4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歷年</vt:lpstr>
      <vt:lpstr>2025</vt:lpstr>
      <vt:lpstr>July-Dec., 2025</vt:lpstr>
      <vt:lpstr>Jan.-June,  2025</vt:lpstr>
      <vt:lpstr>2024</vt:lpstr>
      <vt:lpstr>July-Dec., 2024</vt:lpstr>
      <vt:lpstr> Jan.-June, 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'2015'!Print_Area</vt:lpstr>
      <vt:lpstr>'2016'!Print_Area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統計處黃素滿</dc:creator>
  <cp:lastModifiedBy>統計處李美鈴</cp:lastModifiedBy>
  <cp:lastPrinted>2017-06-06T07:27:22Z</cp:lastPrinted>
  <dcterms:created xsi:type="dcterms:W3CDTF">2001-10-30T06:38:08Z</dcterms:created>
  <dcterms:modified xsi:type="dcterms:W3CDTF">2026-03-17T03:05:29Z</dcterms:modified>
</cp:coreProperties>
</file>
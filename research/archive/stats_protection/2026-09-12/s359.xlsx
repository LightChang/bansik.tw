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4社會福利統計報表網頁(新版)\1150331\"/>
    </mc:Choice>
  </mc:AlternateContent>
  <xr:revisionPtr revIDLastSave="0" documentId="13_ncr:1_{B4791837-54AC-4571-A030-61EA60AE81E0}" xr6:coauthVersionLast="47" xr6:coauthVersionMax="47" xr10:uidLastSave="{00000000-0000-0000-0000-000000000000}"/>
  <bookViews>
    <workbookView xWindow="-120" yWindow="-120" windowWidth="29040" windowHeight="15720" tabRatio="589" xr2:uid="{00000000-000D-0000-FFFF-FFFF00000000}"/>
  </bookViews>
  <sheets>
    <sheet name="歷年" sheetId="51" r:id="rId1"/>
    <sheet name="2025" sheetId="74" r:id="rId2"/>
    <sheet name="July-Dec., 2025" sheetId="61" r:id="rId3"/>
    <sheet name="Jan.-June, 2025" sheetId="60" r:id="rId4"/>
    <sheet name="2024" sheetId="71" r:id="rId5"/>
    <sheet name="July-Dec., 2024" sheetId="72" state="hidden" r:id="rId6"/>
    <sheet name="Jan.-June, 2024" sheetId="73" state="hidden" r:id="rId7"/>
    <sheet name="2023" sheetId="70" r:id="rId8"/>
    <sheet name="2022" sheetId="69" r:id="rId9"/>
    <sheet name="2021" sheetId="68" r:id="rId10"/>
    <sheet name="2020" sheetId="67" r:id="rId11"/>
    <sheet name="2019" sheetId="66" r:id="rId12"/>
    <sheet name="2018" sheetId="65" state="hidden" r:id="rId13"/>
    <sheet name="2017" sheetId="64" state="hidden" r:id="rId14"/>
    <sheet name="2016" sheetId="59" state="hidden" r:id="rId15"/>
    <sheet name="2015" sheetId="57" state="hidden" r:id="rId16"/>
  </sheets>
  <definedNames>
    <definedName name="_xlnm.Print_Area" localSheetId="15">'2015'!$A$3:$R$77</definedName>
    <definedName name="_xlnm.Print_Area" localSheetId="14">'2016'!$A$3:$X$77</definedName>
    <definedName name="_xlnm.Print_Area" localSheetId="13">'2017'!$A$3:$R$77</definedName>
    <definedName name="_xlnm.Print_Area" localSheetId="12">'2018'!$A$3:$R$77</definedName>
    <definedName name="_xlnm.Print_Area" localSheetId="11">'2019'!$A$3:$Q$76</definedName>
    <definedName name="_xlnm.Print_Area" localSheetId="10">'2020'!$A$3:$Q$76</definedName>
    <definedName name="_xlnm.Print_Area" localSheetId="9">'2021'!$A$3:$Q$76</definedName>
    <definedName name="_xlnm.Print_Area" localSheetId="8">'2022'!$A$3:$Q$76</definedName>
    <definedName name="_xlnm.Print_Area" localSheetId="7">'2023'!$A$3:$Q$76</definedName>
    <definedName name="_xlnm.Print_Area" localSheetId="4">'2024'!$A$3:$Q$76</definedName>
    <definedName name="_xlnm.Print_Area" localSheetId="1">'2025'!$A$3:$Q$76</definedName>
    <definedName name="_xlnm.Print_Area" localSheetId="6">'Jan.-June, 2024'!$A$3:$Q$76</definedName>
    <definedName name="_xlnm.Print_Area" localSheetId="3">'Jan.-June, 2025'!$A$3:$Q$76</definedName>
    <definedName name="_xlnm.Print_Area" localSheetId="5">'July-Dec., 2024'!$A$3:$Q$76</definedName>
    <definedName name="_xlnm.Print_Area" localSheetId="2">'July-Dec., 2025'!$A$3:$Q$76</definedName>
    <definedName name="_xlnm.Print_Area" localSheetId="0">歷年!#REF!</definedName>
    <definedName name="_xlnm.Print_Titles" localSheetId="15">'2015'!$A:$A,'2015'!$3:$7</definedName>
    <definedName name="_xlnm.Print_Titles" localSheetId="14">'2016'!$A:$A,'2016'!$3:$7</definedName>
    <definedName name="_xlnm.Print_Titles" localSheetId="13">'2017'!$A:$A,'2017'!$3:$7</definedName>
    <definedName name="_xlnm.Print_Titles" localSheetId="12">'2018'!$A:$A,'2018'!$3:$7</definedName>
    <definedName name="_xlnm.Print_Titles" localSheetId="11">'2019'!$A:$A,'2019'!$3:$6</definedName>
    <definedName name="_xlnm.Print_Titles" localSheetId="10">'2020'!$A:$A,'2020'!$3:$6</definedName>
    <definedName name="_xlnm.Print_Titles" localSheetId="9">'2021'!$A:$A,'2021'!$3:$6</definedName>
    <definedName name="_xlnm.Print_Titles" localSheetId="8">'2022'!$A:$A,'2022'!$3:$6</definedName>
    <definedName name="_xlnm.Print_Titles" localSheetId="7">'2023'!$A:$A,'2023'!$3:$6</definedName>
    <definedName name="_xlnm.Print_Titles" localSheetId="4">'2024'!$A:$A,'2024'!$3:$6</definedName>
    <definedName name="_xlnm.Print_Titles" localSheetId="1">'2025'!$A:$A,'2025'!$3:$6</definedName>
    <definedName name="_xlnm.Print_Titles" localSheetId="6">'Jan.-June, 2024'!$A:$A,'Jan.-June, 2024'!$3:$6</definedName>
    <definedName name="_xlnm.Print_Titles" localSheetId="3">'Jan.-June, 2025'!$A:$A,'Jan.-June, 2025'!$3:$6</definedName>
    <definedName name="_xlnm.Print_Titles" localSheetId="5">'July-Dec., 2024'!$A:$A,'July-Dec., 2024'!$3:$6</definedName>
    <definedName name="_xlnm.Print_Titles" localSheetId="2">'July-Dec., 2025'!$A:$A,'July-Dec., 2025'!$3:$6</definedName>
    <definedName name="_xlnm.Print_Titles" localSheetId="0">歷年!$A:$A,歷年!#REF!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1" l="1"/>
  <c r="D24" i="51"/>
  <c r="E24" i="51"/>
  <c r="F24" i="51"/>
  <c r="G24" i="51"/>
  <c r="H24" i="51"/>
  <c r="I24" i="51"/>
  <c r="J24" i="51"/>
  <c r="K24" i="51"/>
  <c r="L24" i="51"/>
  <c r="M24" i="51"/>
  <c r="N24" i="51"/>
  <c r="O24" i="51"/>
  <c r="P24" i="51"/>
  <c r="Q24" i="51"/>
  <c r="R24" i="51"/>
  <c r="S24" i="51"/>
  <c r="T24" i="51"/>
  <c r="U24" i="51"/>
  <c r="V24" i="51"/>
  <c r="W24" i="51"/>
  <c r="X24" i="51"/>
  <c r="Y24" i="51"/>
  <c r="Z24" i="51"/>
  <c r="AA24" i="51"/>
  <c r="AB24" i="51"/>
  <c r="AC24" i="51"/>
  <c r="AD24" i="51"/>
  <c r="AE24" i="51"/>
  <c r="AF24" i="51"/>
  <c r="AG24" i="51"/>
  <c r="AH24" i="51"/>
  <c r="AI24" i="51"/>
  <c r="AJ24" i="51"/>
  <c r="AK24" i="51"/>
  <c r="AL24" i="51"/>
  <c r="AM24" i="51"/>
  <c r="AN24" i="51"/>
  <c r="AO24" i="51"/>
  <c r="AP24" i="51"/>
  <c r="AQ24" i="51"/>
  <c r="AR24" i="51"/>
  <c r="AS24" i="51"/>
  <c r="AT24" i="51"/>
  <c r="AU24" i="51"/>
  <c r="AV24" i="51"/>
  <c r="AW24" i="51"/>
  <c r="AX24" i="51"/>
  <c r="AY24" i="51"/>
  <c r="AZ24" i="51"/>
  <c r="BA24" i="51"/>
  <c r="BB24" i="51"/>
  <c r="BC24" i="51"/>
  <c r="B24" i="51"/>
  <c r="C18" i="51"/>
  <c r="D18" i="51"/>
  <c r="E18" i="51"/>
  <c r="F18" i="51"/>
  <c r="G18" i="51"/>
  <c r="H18" i="51"/>
  <c r="I18" i="51"/>
  <c r="J18" i="51"/>
  <c r="K18" i="51"/>
  <c r="L18" i="51"/>
  <c r="M18" i="51"/>
  <c r="N18" i="51"/>
  <c r="O18" i="51"/>
  <c r="P18" i="51"/>
  <c r="Q18" i="51"/>
  <c r="R18" i="51"/>
  <c r="S18" i="51"/>
  <c r="T18" i="51"/>
  <c r="U18" i="51"/>
  <c r="V18" i="51"/>
  <c r="W18" i="51"/>
  <c r="X18" i="51"/>
  <c r="Y18" i="51"/>
  <c r="Z18" i="51"/>
  <c r="AA18" i="51"/>
  <c r="AB18" i="51"/>
  <c r="AC18" i="51"/>
  <c r="AD18" i="51"/>
  <c r="AE18" i="51"/>
  <c r="AF18" i="51"/>
  <c r="AG18" i="51"/>
  <c r="AH18" i="51"/>
  <c r="AI18" i="51"/>
  <c r="AJ18" i="51"/>
  <c r="AK18" i="51"/>
  <c r="AL18" i="51"/>
  <c r="AM18" i="51"/>
  <c r="AN18" i="51"/>
  <c r="AO18" i="51"/>
  <c r="AP18" i="51"/>
  <c r="AQ18" i="51"/>
  <c r="AR18" i="51"/>
  <c r="AS18" i="51"/>
  <c r="AT18" i="51"/>
  <c r="AU18" i="51"/>
  <c r="AV18" i="51"/>
  <c r="AW18" i="51"/>
  <c r="AX18" i="51"/>
  <c r="AY18" i="51"/>
  <c r="AZ18" i="51"/>
  <c r="BA18" i="51"/>
  <c r="BB18" i="51"/>
  <c r="BC18" i="51"/>
  <c r="B18" i="51"/>
  <c r="V151" i="60"/>
  <c r="W151" i="60"/>
  <c r="X151" i="60"/>
  <c r="Y151" i="60"/>
  <c r="Z151" i="60"/>
  <c r="AA151" i="60"/>
  <c r="AB151" i="60"/>
  <c r="AC151" i="60"/>
  <c r="AD151" i="60"/>
  <c r="AE151" i="60"/>
  <c r="AF151" i="60"/>
  <c r="AG151" i="60"/>
  <c r="AH151" i="60"/>
  <c r="AI151" i="60"/>
  <c r="AJ151" i="60"/>
  <c r="AK151" i="60"/>
  <c r="AL151" i="60"/>
  <c r="AM151" i="60"/>
  <c r="AN151" i="60"/>
  <c r="AO151" i="60"/>
  <c r="AP151" i="60"/>
  <c r="AQ151" i="60"/>
  <c r="AR151" i="60"/>
  <c r="AS151" i="60"/>
  <c r="AT151" i="60"/>
  <c r="AU151" i="60"/>
  <c r="AV151" i="60"/>
  <c r="AW151" i="60"/>
  <c r="AX151" i="60"/>
  <c r="AY151" i="60"/>
  <c r="AZ151" i="60"/>
  <c r="BA151" i="60"/>
  <c r="BB151" i="60"/>
  <c r="BC151" i="60"/>
  <c r="BD151" i="60"/>
  <c r="BE151" i="60"/>
  <c r="BF151" i="60"/>
  <c r="BG151" i="60"/>
  <c r="V152" i="60"/>
  <c r="W152" i="60"/>
  <c r="X152" i="60"/>
  <c r="Y152" i="60"/>
  <c r="Z152" i="60"/>
  <c r="AA152" i="60"/>
  <c r="AB152" i="60"/>
  <c r="AC152" i="60"/>
  <c r="AD152" i="60"/>
  <c r="AE152" i="60"/>
  <c r="AF152" i="60"/>
  <c r="AG152" i="60"/>
  <c r="AH152" i="60"/>
  <c r="AI152" i="60"/>
  <c r="AJ152" i="60"/>
  <c r="AK152" i="60"/>
  <c r="AL152" i="60"/>
  <c r="AM152" i="60"/>
  <c r="AN152" i="60"/>
  <c r="AO152" i="60"/>
  <c r="AP152" i="60"/>
  <c r="AQ152" i="60"/>
  <c r="AR152" i="60"/>
  <c r="AS152" i="60"/>
  <c r="AT152" i="60"/>
  <c r="AU152" i="60"/>
  <c r="AV152" i="60"/>
  <c r="AW152" i="60"/>
  <c r="AX152" i="60"/>
  <c r="AY152" i="60"/>
  <c r="AZ152" i="60"/>
  <c r="BA152" i="60"/>
  <c r="BB152" i="60"/>
  <c r="BC152" i="60"/>
  <c r="BD152" i="60"/>
  <c r="BE152" i="60"/>
  <c r="BF152" i="60"/>
  <c r="BG152" i="60"/>
  <c r="V153" i="60"/>
  <c r="W153" i="60"/>
  <c r="X153" i="60"/>
  <c r="Y153" i="60"/>
  <c r="Z153" i="60"/>
  <c r="AA153" i="60"/>
  <c r="AB153" i="60"/>
  <c r="AC153" i="60"/>
  <c r="AD153" i="60"/>
  <c r="AE153" i="60"/>
  <c r="AF153" i="60"/>
  <c r="AG153" i="60"/>
  <c r="AH153" i="60"/>
  <c r="AI153" i="60"/>
  <c r="AJ153" i="60"/>
  <c r="AK153" i="60"/>
  <c r="AL153" i="60"/>
  <c r="AM153" i="60"/>
  <c r="AN153" i="60"/>
  <c r="AO153" i="60"/>
  <c r="AP153" i="60"/>
  <c r="AQ153" i="60"/>
  <c r="AR153" i="60"/>
  <c r="AS153" i="60"/>
  <c r="AT153" i="60"/>
  <c r="AU153" i="60"/>
  <c r="AV153" i="60"/>
  <c r="AW153" i="60"/>
  <c r="AX153" i="60"/>
  <c r="AY153" i="60"/>
  <c r="AZ153" i="60"/>
  <c r="BA153" i="60"/>
  <c r="BB153" i="60"/>
  <c r="BC153" i="60"/>
  <c r="BD153" i="60"/>
  <c r="BE153" i="60"/>
  <c r="BF153" i="60"/>
  <c r="BG153" i="60"/>
  <c r="V154" i="60"/>
  <c r="W154" i="60"/>
  <c r="X154" i="60"/>
  <c r="Y154" i="60"/>
  <c r="Z154" i="60"/>
  <c r="AA154" i="60"/>
  <c r="AB154" i="60"/>
  <c r="AC154" i="60"/>
  <c r="AD154" i="60"/>
  <c r="AE154" i="60"/>
  <c r="AF154" i="60"/>
  <c r="AG154" i="60"/>
  <c r="AH154" i="60"/>
  <c r="AI154" i="60"/>
  <c r="AJ154" i="60"/>
  <c r="AK154" i="60"/>
  <c r="AL154" i="60"/>
  <c r="AM154" i="60"/>
  <c r="AN154" i="60"/>
  <c r="AO154" i="60"/>
  <c r="AP154" i="60"/>
  <c r="AQ154" i="60"/>
  <c r="AR154" i="60"/>
  <c r="AS154" i="60"/>
  <c r="AT154" i="60"/>
  <c r="AU154" i="60"/>
  <c r="AV154" i="60"/>
  <c r="AW154" i="60"/>
  <c r="AX154" i="60"/>
  <c r="AY154" i="60"/>
  <c r="AZ154" i="60"/>
  <c r="BA154" i="60"/>
  <c r="BB154" i="60"/>
  <c r="BC154" i="60"/>
  <c r="BD154" i="60"/>
  <c r="BE154" i="60"/>
  <c r="BF154" i="60"/>
  <c r="BG154" i="60"/>
  <c r="V155" i="60"/>
  <c r="W155" i="60"/>
  <c r="X155" i="60"/>
  <c r="Y155" i="60"/>
  <c r="Z155" i="60"/>
  <c r="AA155" i="60"/>
  <c r="AB155" i="60"/>
  <c r="AC155" i="60"/>
  <c r="AD155" i="60"/>
  <c r="AE155" i="60"/>
  <c r="AF155" i="60"/>
  <c r="AG155" i="60"/>
  <c r="AH155" i="60"/>
  <c r="AI155" i="60"/>
  <c r="AJ155" i="60"/>
  <c r="AK155" i="60"/>
  <c r="AL155" i="60"/>
  <c r="AM155" i="60"/>
  <c r="AN155" i="60"/>
  <c r="AO155" i="60"/>
  <c r="AP155" i="60"/>
  <c r="AQ155" i="60"/>
  <c r="AR155" i="60"/>
  <c r="AS155" i="60"/>
  <c r="AT155" i="60"/>
  <c r="AU155" i="60"/>
  <c r="AV155" i="60"/>
  <c r="AW155" i="60"/>
  <c r="AX155" i="60"/>
  <c r="AY155" i="60"/>
  <c r="AZ155" i="60"/>
  <c r="BA155" i="60"/>
  <c r="BB155" i="60"/>
  <c r="BC155" i="60"/>
  <c r="BD155" i="60"/>
  <c r="BE155" i="60"/>
  <c r="BF155" i="60"/>
  <c r="BG155" i="60"/>
  <c r="V156" i="60"/>
  <c r="W156" i="60"/>
  <c r="X156" i="60"/>
  <c r="Y156" i="60"/>
  <c r="Z156" i="60"/>
  <c r="AA156" i="60"/>
  <c r="AB156" i="60"/>
  <c r="AC156" i="60"/>
  <c r="AD156" i="60"/>
  <c r="AE156" i="60"/>
  <c r="AF156" i="60"/>
  <c r="AG156" i="60"/>
  <c r="AH156" i="60"/>
  <c r="AI156" i="60"/>
  <c r="AJ156" i="60"/>
  <c r="AK156" i="60"/>
  <c r="AL156" i="60"/>
  <c r="AM156" i="60"/>
  <c r="AN156" i="60"/>
  <c r="AO156" i="60"/>
  <c r="AP156" i="60"/>
  <c r="AQ156" i="60"/>
  <c r="AR156" i="60"/>
  <c r="AS156" i="60"/>
  <c r="AT156" i="60"/>
  <c r="AU156" i="60"/>
  <c r="AV156" i="60"/>
  <c r="AW156" i="60"/>
  <c r="AX156" i="60"/>
  <c r="AY156" i="60"/>
  <c r="AZ156" i="60"/>
  <c r="BA156" i="60"/>
  <c r="BB156" i="60"/>
  <c r="BC156" i="60"/>
  <c r="BD156" i="60"/>
  <c r="BE156" i="60"/>
  <c r="BF156" i="60"/>
  <c r="BG156" i="60"/>
  <c r="V157" i="60"/>
  <c r="W157" i="60"/>
  <c r="X157" i="60"/>
  <c r="Y157" i="60"/>
  <c r="Z157" i="60"/>
  <c r="AA157" i="60"/>
  <c r="AB157" i="60"/>
  <c r="AC157" i="60"/>
  <c r="AD157" i="60"/>
  <c r="AE157" i="60"/>
  <c r="AF157" i="60"/>
  <c r="AG157" i="60"/>
  <c r="AH157" i="60"/>
  <c r="AI157" i="60"/>
  <c r="AJ157" i="60"/>
  <c r="AK157" i="60"/>
  <c r="AL157" i="60"/>
  <c r="AM157" i="60"/>
  <c r="AN157" i="60"/>
  <c r="AO157" i="60"/>
  <c r="AP157" i="60"/>
  <c r="AQ157" i="60"/>
  <c r="AR157" i="60"/>
  <c r="AS157" i="60"/>
  <c r="AT157" i="60"/>
  <c r="AU157" i="60"/>
  <c r="AV157" i="60"/>
  <c r="AW157" i="60"/>
  <c r="AX157" i="60"/>
  <c r="AY157" i="60"/>
  <c r="AZ157" i="60"/>
  <c r="BA157" i="60"/>
  <c r="BB157" i="60"/>
  <c r="BC157" i="60"/>
  <c r="BD157" i="60"/>
  <c r="BE157" i="60"/>
  <c r="BF157" i="60"/>
  <c r="BG157" i="60"/>
  <c r="V158" i="60"/>
  <c r="W158" i="60"/>
  <c r="X158" i="60"/>
  <c r="Y158" i="60"/>
  <c r="Z158" i="60"/>
  <c r="AA158" i="60"/>
  <c r="AB158" i="60"/>
  <c r="AC158" i="60"/>
  <c r="AD158" i="60"/>
  <c r="AE158" i="60"/>
  <c r="AF158" i="60"/>
  <c r="AG158" i="60"/>
  <c r="AH158" i="60"/>
  <c r="AI158" i="60"/>
  <c r="AJ158" i="60"/>
  <c r="AK158" i="60"/>
  <c r="AL158" i="60"/>
  <c r="AM158" i="60"/>
  <c r="AN158" i="60"/>
  <c r="AO158" i="60"/>
  <c r="AP158" i="60"/>
  <c r="AQ158" i="60"/>
  <c r="AR158" i="60"/>
  <c r="AS158" i="60"/>
  <c r="AT158" i="60"/>
  <c r="AU158" i="60"/>
  <c r="AV158" i="60"/>
  <c r="AW158" i="60"/>
  <c r="AX158" i="60"/>
  <c r="AY158" i="60"/>
  <c r="AZ158" i="60"/>
  <c r="BA158" i="60"/>
  <c r="BB158" i="60"/>
  <c r="BC158" i="60"/>
  <c r="BD158" i="60"/>
  <c r="BE158" i="60"/>
  <c r="BF158" i="60"/>
  <c r="BG158" i="60"/>
  <c r="V159" i="60"/>
  <c r="W159" i="60"/>
  <c r="X159" i="60"/>
  <c r="Y159" i="60"/>
  <c r="Z159" i="60"/>
  <c r="AA159" i="60"/>
  <c r="AB159" i="60"/>
  <c r="AC159" i="60"/>
  <c r="AD159" i="60"/>
  <c r="AE159" i="60"/>
  <c r="AF159" i="60"/>
  <c r="AG159" i="60"/>
  <c r="AH159" i="60"/>
  <c r="AI159" i="60"/>
  <c r="AJ159" i="60"/>
  <c r="AK159" i="60"/>
  <c r="AL159" i="60"/>
  <c r="AM159" i="60"/>
  <c r="AN159" i="60"/>
  <c r="AO159" i="60"/>
  <c r="AP159" i="60"/>
  <c r="AQ159" i="60"/>
  <c r="AR159" i="60"/>
  <c r="AS159" i="60"/>
  <c r="AT159" i="60"/>
  <c r="AU159" i="60"/>
  <c r="AV159" i="60"/>
  <c r="AW159" i="60"/>
  <c r="AX159" i="60"/>
  <c r="AY159" i="60"/>
  <c r="AZ159" i="60"/>
  <c r="BA159" i="60"/>
  <c r="BB159" i="60"/>
  <c r="BC159" i="60"/>
  <c r="BD159" i="60"/>
  <c r="BE159" i="60"/>
  <c r="BF159" i="60"/>
  <c r="BG159" i="60"/>
  <c r="V160" i="60"/>
  <c r="W160" i="60"/>
  <c r="X160" i="60"/>
  <c r="Y160" i="60"/>
  <c r="Z160" i="60"/>
  <c r="AA160" i="60"/>
  <c r="AB160" i="60"/>
  <c r="AC160" i="60"/>
  <c r="AD160" i="60"/>
  <c r="AE160" i="60"/>
  <c r="AF160" i="60"/>
  <c r="AG160" i="60"/>
  <c r="AH160" i="60"/>
  <c r="AI160" i="60"/>
  <c r="AJ160" i="60"/>
  <c r="AK160" i="60"/>
  <c r="AL160" i="60"/>
  <c r="AM160" i="60"/>
  <c r="AN160" i="60"/>
  <c r="AO160" i="60"/>
  <c r="AP160" i="60"/>
  <c r="AQ160" i="60"/>
  <c r="AR160" i="60"/>
  <c r="AS160" i="60"/>
  <c r="AT160" i="60"/>
  <c r="AU160" i="60"/>
  <c r="AV160" i="60"/>
  <c r="AW160" i="60"/>
  <c r="AX160" i="60"/>
  <c r="AY160" i="60"/>
  <c r="AZ160" i="60"/>
  <c r="BA160" i="60"/>
  <c r="BB160" i="60"/>
  <c r="BC160" i="60"/>
  <c r="BD160" i="60"/>
  <c r="BE160" i="60"/>
  <c r="BF160" i="60"/>
  <c r="BG160" i="60"/>
  <c r="V161" i="60"/>
  <c r="W161" i="60"/>
  <c r="X161" i="60"/>
  <c r="Y161" i="60"/>
  <c r="Z161" i="60"/>
  <c r="AA161" i="60"/>
  <c r="AB161" i="60"/>
  <c r="AC161" i="60"/>
  <c r="AD161" i="60"/>
  <c r="AE161" i="60"/>
  <c r="AF161" i="60"/>
  <c r="AG161" i="60"/>
  <c r="AH161" i="60"/>
  <c r="AI161" i="60"/>
  <c r="AJ161" i="60"/>
  <c r="AK161" i="60"/>
  <c r="AL161" i="60"/>
  <c r="AM161" i="60"/>
  <c r="AN161" i="60"/>
  <c r="AO161" i="60"/>
  <c r="AP161" i="60"/>
  <c r="AQ161" i="60"/>
  <c r="AR161" i="60"/>
  <c r="AS161" i="60"/>
  <c r="AT161" i="60"/>
  <c r="AU161" i="60"/>
  <c r="AV161" i="60"/>
  <c r="AW161" i="60"/>
  <c r="AX161" i="60"/>
  <c r="AY161" i="60"/>
  <c r="AZ161" i="60"/>
  <c r="BA161" i="60"/>
  <c r="BB161" i="60"/>
  <c r="BC161" i="60"/>
  <c r="BD161" i="60"/>
  <c r="BE161" i="60"/>
  <c r="BF161" i="60"/>
  <c r="BG161" i="60"/>
  <c r="V162" i="60"/>
  <c r="W162" i="60"/>
  <c r="X162" i="60"/>
  <c r="Y162" i="60"/>
  <c r="Z162" i="60"/>
  <c r="AA162" i="60"/>
  <c r="AB162" i="60"/>
  <c r="AC162" i="60"/>
  <c r="AD162" i="60"/>
  <c r="AE162" i="60"/>
  <c r="AF162" i="60"/>
  <c r="AG162" i="60"/>
  <c r="AH162" i="60"/>
  <c r="AI162" i="60"/>
  <c r="AJ162" i="60"/>
  <c r="AK162" i="60"/>
  <c r="AL162" i="60"/>
  <c r="AM162" i="60"/>
  <c r="AN162" i="60"/>
  <c r="AO162" i="60"/>
  <c r="AP162" i="60"/>
  <c r="AQ162" i="60"/>
  <c r="AR162" i="60"/>
  <c r="AS162" i="60"/>
  <c r="AT162" i="60"/>
  <c r="AU162" i="60"/>
  <c r="AV162" i="60"/>
  <c r="AW162" i="60"/>
  <c r="AX162" i="60"/>
  <c r="AY162" i="60"/>
  <c r="AZ162" i="60"/>
  <c r="BA162" i="60"/>
  <c r="BB162" i="60"/>
  <c r="BC162" i="60"/>
  <c r="BD162" i="60"/>
  <c r="BE162" i="60"/>
  <c r="BF162" i="60"/>
  <c r="BG162" i="60"/>
  <c r="V163" i="60"/>
  <c r="W163" i="60"/>
  <c r="X163" i="60"/>
  <c r="Y163" i="60"/>
  <c r="Z163" i="60"/>
  <c r="AA163" i="60"/>
  <c r="AB163" i="60"/>
  <c r="AC163" i="60"/>
  <c r="AD163" i="60"/>
  <c r="AE163" i="60"/>
  <c r="AF163" i="60"/>
  <c r="AG163" i="60"/>
  <c r="AH163" i="60"/>
  <c r="AI163" i="60"/>
  <c r="AJ163" i="60"/>
  <c r="AK163" i="60"/>
  <c r="AL163" i="60"/>
  <c r="AM163" i="60"/>
  <c r="AN163" i="60"/>
  <c r="AO163" i="60"/>
  <c r="AP163" i="60"/>
  <c r="AQ163" i="60"/>
  <c r="AR163" i="60"/>
  <c r="AS163" i="60"/>
  <c r="AT163" i="60"/>
  <c r="AU163" i="60"/>
  <c r="AV163" i="60"/>
  <c r="AW163" i="60"/>
  <c r="AX163" i="60"/>
  <c r="AY163" i="60"/>
  <c r="AZ163" i="60"/>
  <c r="BA163" i="60"/>
  <c r="BB163" i="60"/>
  <c r="BC163" i="60"/>
  <c r="BD163" i="60"/>
  <c r="BE163" i="60"/>
  <c r="BF163" i="60"/>
  <c r="BG163" i="60"/>
  <c r="V164" i="60"/>
  <c r="W164" i="60"/>
  <c r="X164" i="60"/>
  <c r="Y164" i="60"/>
  <c r="Z164" i="60"/>
  <c r="AA164" i="60"/>
  <c r="AB164" i="60"/>
  <c r="AC164" i="60"/>
  <c r="AD164" i="60"/>
  <c r="AE164" i="60"/>
  <c r="AF164" i="60"/>
  <c r="AG164" i="60"/>
  <c r="AH164" i="60"/>
  <c r="AI164" i="60"/>
  <c r="AJ164" i="60"/>
  <c r="AK164" i="60"/>
  <c r="AL164" i="60"/>
  <c r="AM164" i="60"/>
  <c r="AN164" i="60"/>
  <c r="AO164" i="60"/>
  <c r="AP164" i="60"/>
  <c r="AQ164" i="60"/>
  <c r="AR164" i="60"/>
  <c r="AS164" i="60"/>
  <c r="AT164" i="60"/>
  <c r="AU164" i="60"/>
  <c r="AV164" i="60"/>
  <c r="AW164" i="60"/>
  <c r="AX164" i="60"/>
  <c r="AY164" i="60"/>
  <c r="AZ164" i="60"/>
  <c r="BA164" i="60"/>
  <c r="BB164" i="60"/>
  <c r="BC164" i="60"/>
  <c r="BD164" i="60"/>
  <c r="BE164" i="60"/>
  <c r="BF164" i="60"/>
  <c r="BG164" i="60"/>
  <c r="V165" i="60"/>
  <c r="W165" i="60"/>
  <c r="X165" i="60"/>
  <c r="Y165" i="60"/>
  <c r="Z165" i="60"/>
  <c r="AA165" i="60"/>
  <c r="AB165" i="60"/>
  <c r="AC165" i="60"/>
  <c r="AD165" i="60"/>
  <c r="AE165" i="60"/>
  <c r="AF165" i="60"/>
  <c r="AG165" i="60"/>
  <c r="AH165" i="60"/>
  <c r="AI165" i="60"/>
  <c r="AJ165" i="60"/>
  <c r="AK165" i="60"/>
  <c r="AL165" i="60"/>
  <c r="AM165" i="60"/>
  <c r="AN165" i="60"/>
  <c r="AO165" i="60"/>
  <c r="AP165" i="60"/>
  <c r="AQ165" i="60"/>
  <c r="AR165" i="60"/>
  <c r="AS165" i="60"/>
  <c r="AT165" i="60"/>
  <c r="AU165" i="60"/>
  <c r="AV165" i="60"/>
  <c r="AW165" i="60"/>
  <c r="AX165" i="60"/>
  <c r="AY165" i="60"/>
  <c r="AZ165" i="60"/>
  <c r="BA165" i="60"/>
  <c r="BB165" i="60"/>
  <c r="BC165" i="60"/>
  <c r="BD165" i="60"/>
  <c r="BE165" i="60"/>
  <c r="BF165" i="60"/>
  <c r="BG165" i="60"/>
  <c r="V166" i="60"/>
  <c r="W166" i="60"/>
  <c r="X166" i="60"/>
  <c r="Y166" i="60"/>
  <c r="Z166" i="60"/>
  <c r="AA166" i="60"/>
  <c r="AB166" i="60"/>
  <c r="AC166" i="60"/>
  <c r="AD166" i="60"/>
  <c r="AE166" i="60"/>
  <c r="AF166" i="60"/>
  <c r="AG166" i="60"/>
  <c r="AH166" i="60"/>
  <c r="AI166" i="60"/>
  <c r="AJ166" i="60"/>
  <c r="AK166" i="60"/>
  <c r="AL166" i="60"/>
  <c r="AM166" i="60"/>
  <c r="AN166" i="60"/>
  <c r="AO166" i="60"/>
  <c r="AP166" i="60"/>
  <c r="AQ166" i="60"/>
  <c r="AR166" i="60"/>
  <c r="AS166" i="60"/>
  <c r="AT166" i="60"/>
  <c r="AU166" i="60"/>
  <c r="AV166" i="60"/>
  <c r="AW166" i="60"/>
  <c r="AX166" i="60"/>
  <c r="AY166" i="60"/>
  <c r="AZ166" i="60"/>
  <c r="BA166" i="60"/>
  <c r="BB166" i="60"/>
  <c r="BC166" i="60"/>
  <c r="BD166" i="60"/>
  <c r="BE166" i="60"/>
  <c r="BF166" i="60"/>
  <c r="BG166" i="60"/>
  <c r="V167" i="60"/>
  <c r="W167" i="60"/>
  <c r="X167" i="60"/>
  <c r="Y167" i="60"/>
  <c r="Z167" i="60"/>
  <c r="AA167" i="60"/>
  <c r="AB167" i="60"/>
  <c r="AC167" i="60"/>
  <c r="AD167" i="60"/>
  <c r="AE167" i="60"/>
  <c r="AF167" i="60"/>
  <c r="AG167" i="60"/>
  <c r="AH167" i="60"/>
  <c r="AI167" i="60"/>
  <c r="AJ167" i="60"/>
  <c r="AK167" i="60"/>
  <c r="AL167" i="60"/>
  <c r="AM167" i="60"/>
  <c r="AN167" i="60"/>
  <c r="AO167" i="60"/>
  <c r="AP167" i="60"/>
  <c r="AQ167" i="60"/>
  <c r="AR167" i="60"/>
  <c r="AS167" i="60"/>
  <c r="AT167" i="60"/>
  <c r="AU167" i="60"/>
  <c r="AV167" i="60"/>
  <c r="AW167" i="60"/>
  <c r="AX167" i="60"/>
  <c r="AY167" i="60"/>
  <c r="AZ167" i="60"/>
  <c r="BA167" i="60"/>
  <c r="BB167" i="60"/>
  <c r="BC167" i="60"/>
  <c r="BD167" i="60"/>
  <c r="BE167" i="60"/>
  <c r="BF167" i="60"/>
  <c r="BG167" i="60"/>
  <c r="V168" i="60"/>
  <c r="W168" i="60"/>
  <c r="X168" i="60"/>
  <c r="Y168" i="60"/>
  <c r="Z168" i="60"/>
  <c r="AA168" i="60"/>
  <c r="AB168" i="60"/>
  <c r="AC168" i="60"/>
  <c r="AD168" i="60"/>
  <c r="AE168" i="60"/>
  <c r="AF168" i="60"/>
  <c r="AG168" i="60"/>
  <c r="AH168" i="60"/>
  <c r="AI168" i="60"/>
  <c r="AJ168" i="60"/>
  <c r="AK168" i="60"/>
  <c r="AL168" i="60"/>
  <c r="AM168" i="60"/>
  <c r="AN168" i="60"/>
  <c r="AO168" i="60"/>
  <c r="AP168" i="60"/>
  <c r="AQ168" i="60"/>
  <c r="AR168" i="60"/>
  <c r="AS168" i="60"/>
  <c r="AT168" i="60"/>
  <c r="AU168" i="60"/>
  <c r="AV168" i="60"/>
  <c r="AW168" i="60"/>
  <c r="AX168" i="60"/>
  <c r="AY168" i="60"/>
  <c r="AZ168" i="60"/>
  <c r="BA168" i="60"/>
  <c r="BB168" i="60"/>
  <c r="BC168" i="60"/>
  <c r="BD168" i="60"/>
  <c r="BE168" i="60"/>
  <c r="BF168" i="60"/>
  <c r="BG168" i="60"/>
  <c r="V169" i="60"/>
  <c r="W169" i="60"/>
  <c r="X169" i="60"/>
  <c r="Y169" i="60"/>
  <c r="Z169" i="60"/>
  <c r="AA169" i="60"/>
  <c r="AB169" i="60"/>
  <c r="AC169" i="60"/>
  <c r="AD169" i="60"/>
  <c r="AE169" i="60"/>
  <c r="AF169" i="60"/>
  <c r="AG169" i="60"/>
  <c r="AH169" i="60"/>
  <c r="AI169" i="60"/>
  <c r="AJ169" i="60"/>
  <c r="AK169" i="60"/>
  <c r="AL169" i="60"/>
  <c r="AM169" i="60"/>
  <c r="AN169" i="60"/>
  <c r="AO169" i="60"/>
  <c r="AP169" i="60"/>
  <c r="AQ169" i="60"/>
  <c r="AR169" i="60"/>
  <c r="AS169" i="60"/>
  <c r="AT169" i="60"/>
  <c r="AU169" i="60"/>
  <c r="AV169" i="60"/>
  <c r="AW169" i="60"/>
  <c r="AX169" i="60"/>
  <c r="AY169" i="60"/>
  <c r="AZ169" i="60"/>
  <c r="BA169" i="60"/>
  <c r="BB169" i="60"/>
  <c r="BC169" i="60"/>
  <c r="BD169" i="60"/>
  <c r="BE169" i="60"/>
  <c r="BF169" i="60"/>
  <c r="BG169" i="60"/>
  <c r="V170" i="60"/>
  <c r="W170" i="60"/>
  <c r="X170" i="60"/>
  <c r="Y170" i="60"/>
  <c r="Z170" i="60"/>
  <c r="AA170" i="60"/>
  <c r="AB170" i="60"/>
  <c r="AC170" i="60"/>
  <c r="AD170" i="60"/>
  <c r="AE170" i="60"/>
  <c r="AF170" i="60"/>
  <c r="AG170" i="60"/>
  <c r="AH170" i="60"/>
  <c r="AI170" i="60"/>
  <c r="AJ170" i="60"/>
  <c r="AK170" i="60"/>
  <c r="AL170" i="60"/>
  <c r="AM170" i="60"/>
  <c r="AN170" i="60"/>
  <c r="AO170" i="60"/>
  <c r="AP170" i="60"/>
  <c r="AQ170" i="60"/>
  <c r="AR170" i="60"/>
  <c r="AS170" i="60"/>
  <c r="AT170" i="60"/>
  <c r="AU170" i="60"/>
  <c r="AV170" i="60"/>
  <c r="AW170" i="60"/>
  <c r="AX170" i="60"/>
  <c r="AY170" i="60"/>
  <c r="AZ170" i="60"/>
  <c r="BA170" i="60"/>
  <c r="BB170" i="60"/>
  <c r="BC170" i="60"/>
  <c r="BD170" i="60"/>
  <c r="BE170" i="60"/>
  <c r="BF170" i="60"/>
  <c r="BG170" i="60"/>
  <c r="V171" i="60"/>
  <c r="W171" i="60"/>
  <c r="X171" i="60"/>
  <c r="Y171" i="60"/>
  <c r="Z171" i="60"/>
  <c r="AA171" i="60"/>
  <c r="AB171" i="60"/>
  <c r="AC171" i="60"/>
  <c r="AD171" i="60"/>
  <c r="AE171" i="60"/>
  <c r="AF171" i="60"/>
  <c r="AG171" i="60"/>
  <c r="AH171" i="60"/>
  <c r="AI171" i="60"/>
  <c r="AJ171" i="60"/>
  <c r="AK171" i="60"/>
  <c r="AL171" i="60"/>
  <c r="AM171" i="60"/>
  <c r="AN171" i="60"/>
  <c r="AO171" i="60"/>
  <c r="AP171" i="60"/>
  <c r="AQ171" i="60"/>
  <c r="AR171" i="60"/>
  <c r="AS171" i="60"/>
  <c r="AT171" i="60"/>
  <c r="AU171" i="60"/>
  <c r="AV171" i="60"/>
  <c r="AW171" i="60"/>
  <c r="AX171" i="60"/>
  <c r="AY171" i="60"/>
  <c r="AZ171" i="60"/>
  <c r="BA171" i="60"/>
  <c r="BB171" i="60"/>
  <c r="BC171" i="60"/>
  <c r="BD171" i="60"/>
  <c r="BE171" i="60"/>
  <c r="BF171" i="60"/>
  <c r="BG171" i="60"/>
  <c r="V172" i="60"/>
  <c r="W172" i="60"/>
  <c r="X172" i="60"/>
  <c r="Y172" i="60"/>
  <c r="Z172" i="60"/>
  <c r="AA172" i="60"/>
  <c r="AB172" i="60"/>
  <c r="AC172" i="60"/>
  <c r="AD172" i="60"/>
  <c r="AE172" i="60"/>
  <c r="AF172" i="60"/>
  <c r="AG172" i="60"/>
  <c r="AH172" i="60"/>
  <c r="AI172" i="60"/>
  <c r="AJ172" i="60"/>
  <c r="AK172" i="60"/>
  <c r="AL172" i="60"/>
  <c r="AM172" i="60"/>
  <c r="AN172" i="60"/>
  <c r="AO172" i="60"/>
  <c r="AP172" i="60"/>
  <c r="AQ172" i="60"/>
  <c r="AR172" i="60"/>
  <c r="AS172" i="60"/>
  <c r="AT172" i="60"/>
  <c r="AU172" i="60"/>
  <c r="AV172" i="60"/>
  <c r="AW172" i="60"/>
  <c r="AX172" i="60"/>
  <c r="AY172" i="60"/>
  <c r="AZ172" i="60"/>
  <c r="BA172" i="60"/>
  <c r="BB172" i="60"/>
  <c r="BC172" i="60"/>
  <c r="BD172" i="60"/>
  <c r="BE172" i="60"/>
  <c r="BF172" i="60"/>
  <c r="BG172" i="60"/>
  <c r="V173" i="60"/>
  <c r="W173" i="60"/>
  <c r="X173" i="60"/>
  <c r="Y173" i="60"/>
  <c r="Z173" i="60"/>
  <c r="AA173" i="60"/>
  <c r="AB173" i="60"/>
  <c r="AC173" i="60"/>
  <c r="AD173" i="60"/>
  <c r="AE173" i="60"/>
  <c r="AF173" i="60"/>
  <c r="AG173" i="60"/>
  <c r="AH173" i="60"/>
  <c r="AI173" i="60"/>
  <c r="AJ173" i="60"/>
  <c r="AK173" i="60"/>
  <c r="AL173" i="60"/>
  <c r="AM173" i="60"/>
  <c r="AN173" i="60"/>
  <c r="AO173" i="60"/>
  <c r="AP173" i="60"/>
  <c r="AQ173" i="60"/>
  <c r="AR173" i="60"/>
  <c r="AS173" i="60"/>
  <c r="AT173" i="60"/>
  <c r="AU173" i="60"/>
  <c r="AV173" i="60"/>
  <c r="AW173" i="60"/>
  <c r="AX173" i="60"/>
  <c r="AY173" i="60"/>
  <c r="AZ173" i="60"/>
  <c r="BA173" i="60"/>
  <c r="BB173" i="60"/>
  <c r="BC173" i="60"/>
  <c r="BD173" i="60"/>
  <c r="BE173" i="60"/>
  <c r="BF173" i="60"/>
  <c r="BG173" i="60"/>
  <c r="V174" i="60"/>
  <c r="W174" i="60"/>
  <c r="X174" i="60"/>
  <c r="Y174" i="60"/>
  <c r="Z174" i="60"/>
  <c r="AA174" i="60"/>
  <c r="AB174" i="60"/>
  <c r="AC174" i="60"/>
  <c r="AD174" i="60"/>
  <c r="AE174" i="60"/>
  <c r="AF174" i="60"/>
  <c r="AG174" i="60"/>
  <c r="AH174" i="60"/>
  <c r="AI174" i="60"/>
  <c r="AJ174" i="60"/>
  <c r="AK174" i="60"/>
  <c r="AL174" i="60"/>
  <c r="AM174" i="60"/>
  <c r="AN174" i="60"/>
  <c r="AO174" i="60"/>
  <c r="AP174" i="60"/>
  <c r="AQ174" i="60"/>
  <c r="AR174" i="60"/>
  <c r="AS174" i="60"/>
  <c r="AT174" i="60"/>
  <c r="AU174" i="60"/>
  <c r="AV174" i="60"/>
  <c r="AW174" i="60"/>
  <c r="AX174" i="60"/>
  <c r="AY174" i="60"/>
  <c r="AZ174" i="60"/>
  <c r="BA174" i="60"/>
  <c r="BB174" i="60"/>
  <c r="BC174" i="60"/>
  <c r="BD174" i="60"/>
  <c r="BE174" i="60"/>
  <c r="BF174" i="60"/>
  <c r="BG174" i="60"/>
  <c r="V175" i="60"/>
  <c r="W175" i="60"/>
  <c r="X175" i="60"/>
  <c r="Y175" i="60"/>
  <c r="Z175" i="60"/>
  <c r="AA175" i="60"/>
  <c r="AB175" i="60"/>
  <c r="AC175" i="60"/>
  <c r="AD175" i="60"/>
  <c r="AE175" i="60"/>
  <c r="AF175" i="60"/>
  <c r="AG175" i="60"/>
  <c r="AH175" i="60"/>
  <c r="AI175" i="60"/>
  <c r="AJ175" i="60"/>
  <c r="AK175" i="60"/>
  <c r="AL175" i="60"/>
  <c r="AM175" i="60"/>
  <c r="AN175" i="60"/>
  <c r="AO175" i="60"/>
  <c r="AP175" i="60"/>
  <c r="AQ175" i="60"/>
  <c r="AR175" i="60"/>
  <c r="AS175" i="60"/>
  <c r="AT175" i="60"/>
  <c r="AU175" i="60"/>
  <c r="AV175" i="60"/>
  <c r="AW175" i="60"/>
  <c r="AX175" i="60"/>
  <c r="AY175" i="60"/>
  <c r="AZ175" i="60"/>
  <c r="BA175" i="60"/>
  <c r="BB175" i="60"/>
  <c r="BC175" i="60"/>
  <c r="BD175" i="60"/>
  <c r="BE175" i="60"/>
  <c r="BF175" i="60"/>
  <c r="BG175" i="60"/>
  <c r="V176" i="60"/>
  <c r="W176" i="60"/>
  <c r="X176" i="60"/>
  <c r="Y176" i="60"/>
  <c r="Z176" i="60"/>
  <c r="AA176" i="60"/>
  <c r="AB176" i="60"/>
  <c r="AC176" i="60"/>
  <c r="AD176" i="60"/>
  <c r="AE176" i="60"/>
  <c r="AF176" i="60"/>
  <c r="AG176" i="60"/>
  <c r="AH176" i="60"/>
  <c r="AI176" i="60"/>
  <c r="AJ176" i="60"/>
  <c r="AK176" i="60"/>
  <c r="AL176" i="60"/>
  <c r="AM176" i="60"/>
  <c r="AN176" i="60"/>
  <c r="AO176" i="60"/>
  <c r="AP176" i="60"/>
  <c r="AQ176" i="60"/>
  <c r="AR176" i="60"/>
  <c r="AS176" i="60"/>
  <c r="AT176" i="60"/>
  <c r="AU176" i="60"/>
  <c r="AV176" i="60"/>
  <c r="AW176" i="60"/>
  <c r="AX176" i="60"/>
  <c r="AY176" i="60"/>
  <c r="AZ176" i="60"/>
  <c r="BA176" i="60"/>
  <c r="BB176" i="60"/>
  <c r="BC176" i="60"/>
  <c r="BD176" i="60"/>
  <c r="BE176" i="60"/>
  <c r="BF176" i="60"/>
  <c r="BG176" i="60"/>
  <c r="V177" i="60"/>
  <c r="W177" i="60"/>
  <c r="X177" i="60"/>
  <c r="Y177" i="60"/>
  <c r="Z177" i="60"/>
  <c r="AA177" i="60"/>
  <c r="AB177" i="60"/>
  <c r="AC177" i="60"/>
  <c r="AD177" i="60"/>
  <c r="AE177" i="60"/>
  <c r="AF177" i="60"/>
  <c r="AG177" i="60"/>
  <c r="AH177" i="60"/>
  <c r="AI177" i="60"/>
  <c r="AJ177" i="60"/>
  <c r="AK177" i="60"/>
  <c r="AL177" i="60"/>
  <c r="AM177" i="60"/>
  <c r="AN177" i="60"/>
  <c r="AO177" i="60"/>
  <c r="AP177" i="60"/>
  <c r="AQ177" i="60"/>
  <c r="AR177" i="60"/>
  <c r="AS177" i="60"/>
  <c r="AT177" i="60"/>
  <c r="AU177" i="60"/>
  <c r="AV177" i="60"/>
  <c r="AW177" i="60"/>
  <c r="AX177" i="60"/>
  <c r="AY177" i="60"/>
  <c r="AZ177" i="60"/>
  <c r="BA177" i="60"/>
  <c r="BB177" i="60"/>
  <c r="BC177" i="60"/>
  <c r="BD177" i="60"/>
  <c r="BE177" i="60"/>
  <c r="BF177" i="60"/>
  <c r="BG177" i="60"/>
  <c r="V178" i="60"/>
  <c r="W178" i="60"/>
  <c r="X178" i="60"/>
  <c r="Y178" i="60"/>
  <c r="Z178" i="60"/>
  <c r="AA178" i="60"/>
  <c r="AB178" i="60"/>
  <c r="AC178" i="60"/>
  <c r="AD178" i="60"/>
  <c r="AE178" i="60"/>
  <c r="AF178" i="60"/>
  <c r="AG178" i="60"/>
  <c r="AH178" i="60"/>
  <c r="AI178" i="60"/>
  <c r="AJ178" i="60"/>
  <c r="AK178" i="60"/>
  <c r="AL178" i="60"/>
  <c r="AM178" i="60"/>
  <c r="AN178" i="60"/>
  <c r="AO178" i="60"/>
  <c r="AP178" i="60"/>
  <c r="AQ178" i="60"/>
  <c r="AR178" i="60"/>
  <c r="AS178" i="60"/>
  <c r="AT178" i="60"/>
  <c r="AU178" i="60"/>
  <c r="AV178" i="60"/>
  <c r="AW178" i="60"/>
  <c r="AX178" i="60"/>
  <c r="AY178" i="60"/>
  <c r="AZ178" i="60"/>
  <c r="BA178" i="60"/>
  <c r="BB178" i="60"/>
  <c r="BC178" i="60"/>
  <c r="BD178" i="60"/>
  <c r="BE178" i="60"/>
  <c r="BF178" i="60"/>
  <c r="BG178" i="60"/>
  <c r="V179" i="60"/>
  <c r="W179" i="60"/>
  <c r="X179" i="60"/>
  <c r="Y179" i="60"/>
  <c r="Z179" i="60"/>
  <c r="AA179" i="60"/>
  <c r="AB179" i="60"/>
  <c r="AC179" i="60"/>
  <c r="AD179" i="60"/>
  <c r="AE179" i="60"/>
  <c r="AF179" i="60"/>
  <c r="AG179" i="60"/>
  <c r="AH179" i="60"/>
  <c r="AI179" i="60"/>
  <c r="AJ179" i="60"/>
  <c r="AK179" i="60"/>
  <c r="AL179" i="60"/>
  <c r="AM179" i="60"/>
  <c r="AN179" i="60"/>
  <c r="AO179" i="60"/>
  <c r="AP179" i="60"/>
  <c r="AQ179" i="60"/>
  <c r="AR179" i="60"/>
  <c r="AS179" i="60"/>
  <c r="AT179" i="60"/>
  <c r="AU179" i="60"/>
  <c r="AV179" i="60"/>
  <c r="AW179" i="60"/>
  <c r="AX179" i="60"/>
  <c r="AY179" i="60"/>
  <c r="AZ179" i="60"/>
  <c r="BA179" i="60"/>
  <c r="BB179" i="60"/>
  <c r="BC179" i="60"/>
  <c r="BD179" i="60"/>
  <c r="BE179" i="60"/>
  <c r="BF179" i="60"/>
  <c r="BG179" i="60"/>
  <c r="V180" i="60"/>
  <c r="W180" i="60"/>
  <c r="X180" i="60"/>
  <c r="Y180" i="60"/>
  <c r="Z180" i="60"/>
  <c r="AA180" i="60"/>
  <c r="AB180" i="60"/>
  <c r="AC180" i="60"/>
  <c r="AD180" i="60"/>
  <c r="AE180" i="60"/>
  <c r="AF180" i="60"/>
  <c r="AG180" i="60"/>
  <c r="AH180" i="60"/>
  <c r="AI180" i="60"/>
  <c r="AJ180" i="60"/>
  <c r="AK180" i="60"/>
  <c r="AL180" i="60"/>
  <c r="AM180" i="60"/>
  <c r="AN180" i="60"/>
  <c r="AO180" i="60"/>
  <c r="AP180" i="60"/>
  <c r="AQ180" i="60"/>
  <c r="AR180" i="60"/>
  <c r="AS180" i="60"/>
  <c r="AT180" i="60"/>
  <c r="AU180" i="60"/>
  <c r="AV180" i="60"/>
  <c r="AW180" i="60"/>
  <c r="AX180" i="60"/>
  <c r="AY180" i="60"/>
  <c r="AZ180" i="60"/>
  <c r="BA180" i="60"/>
  <c r="BB180" i="60"/>
  <c r="BC180" i="60"/>
  <c r="BD180" i="60"/>
  <c r="BE180" i="60"/>
  <c r="BF180" i="60"/>
  <c r="BG180" i="60"/>
  <c r="V181" i="60"/>
  <c r="W181" i="60"/>
  <c r="X181" i="60"/>
  <c r="Y181" i="60"/>
  <c r="Z181" i="60"/>
  <c r="AA181" i="60"/>
  <c r="AB181" i="60"/>
  <c r="AC181" i="60"/>
  <c r="AD181" i="60"/>
  <c r="AE181" i="60"/>
  <c r="AF181" i="60"/>
  <c r="AG181" i="60"/>
  <c r="AH181" i="60"/>
  <c r="AI181" i="60"/>
  <c r="AJ181" i="60"/>
  <c r="AK181" i="60"/>
  <c r="AL181" i="60"/>
  <c r="AM181" i="60"/>
  <c r="AN181" i="60"/>
  <c r="AO181" i="60"/>
  <c r="AP181" i="60"/>
  <c r="AQ181" i="60"/>
  <c r="AR181" i="60"/>
  <c r="AS181" i="60"/>
  <c r="AT181" i="60"/>
  <c r="AU181" i="60"/>
  <c r="AV181" i="60"/>
  <c r="AW181" i="60"/>
  <c r="AX181" i="60"/>
  <c r="AY181" i="60"/>
  <c r="AZ181" i="60"/>
  <c r="BA181" i="60"/>
  <c r="BB181" i="60"/>
  <c r="BC181" i="60"/>
  <c r="BD181" i="60"/>
  <c r="BE181" i="60"/>
  <c r="BF181" i="60"/>
  <c r="BG181" i="60"/>
  <c r="V182" i="60"/>
  <c r="W182" i="60"/>
  <c r="X182" i="60"/>
  <c r="Y182" i="60"/>
  <c r="Z182" i="60"/>
  <c r="AA182" i="60"/>
  <c r="AB182" i="60"/>
  <c r="AC182" i="60"/>
  <c r="AD182" i="60"/>
  <c r="AE182" i="60"/>
  <c r="AF182" i="60"/>
  <c r="AG182" i="60"/>
  <c r="AH182" i="60"/>
  <c r="AI182" i="60"/>
  <c r="AJ182" i="60"/>
  <c r="AK182" i="60"/>
  <c r="AL182" i="60"/>
  <c r="AM182" i="60"/>
  <c r="AN182" i="60"/>
  <c r="AO182" i="60"/>
  <c r="AP182" i="60"/>
  <c r="AQ182" i="60"/>
  <c r="AR182" i="60"/>
  <c r="AS182" i="60"/>
  <c r="AT182" i="60"/>
  <c r="AU182" i="60"/>
  <c r="AV182" i="60"/>
  <c r="AW182" i="60"/>
  <c r="AX182" i="60"/>
  <c r="AY182" i="60"/>
  <c r="AZ182" i="60"/>
  <c r="BA182" i="60"/>
  <c r="BB182" i="60"/>
  <c r="BC182" i="60"/>
  <c r="BD182" i="60"/>
  <c r="BE182" i="60"/>
  <c r="BF182" i="60"/>
  <c r="BG182" i="60"/>
  <c r="V183" i="60"/>
  <c r="W183" i="60"/>
  <c r="X183" i="60"/>
  <c r="Y183" i="60"/>
  <c r="Z183" i="60"/>
  <c r="AA183" i="60"/>
  <c r="AB183" i="60"/>
  <c r="AC183" i="60"/>
  <c r="AD183" i="60"/>
  <c r="AE183" i="60"/>
  <c r="AF183" i="60"/>
  <c r="AG183" i="60"/>
  <c r="AH183" i="60"/>
  <c r="AI183" i="60"/>
  <c r="AJ183" i="60"/>
  <c r="AK183" i="60"/>
  <c r="AL183" i="60"/>
  <c r="AM183" i="60"/>
  <c r="AN183" i="60"/>
  <c r="AO183" i="60"/>
  <c r="AP183" i="60"/>
  <c r="AQ183" i="60"/>
  <c r="AR183" i="60"/>
  <c r="AS183" i="60"/>
  <c r="AT183" i="60"/>
  <c r="AU183" i="60"/>
  <c r="AV183" i="60"/>
  <c r="AW183" i="60"/>
  <c r="AX183" i="60"/>
  <c r="AY183" i="60"/>
  <c r="AZ183" i="60"/>
  <c r="BA183" i="60"/>
  <c r="BB183" i="60"/>
  <c r="BC183" i="60"/>
  <c r="BD183" i="60"/>
  <c r="BE183" i="60"/>
  <c r="BF183" i="60"/>
  <c r="BG183" i="60"/>
  <c r="V184" i="60"/>
  <c r="W184" i="60"/>
  <c r="X184" i="60"/>
  <c r="Y184" i="60"/>
  <c r="Z184" i="60"/>
  <c r="AA184" i="60"/>
  <c r="AB184" i="60"/>
  <c r="AC184" i="60"/>
  <c r="AD184" i="60"/>
  <c r="AE184" i="60"/>
  <c r="AF184" i="60"/>
  <c r="AG184" i="60"/>
  <c r="AH184" i="60"/>
  <c r="AI184" i="60"/>
  <c r="AJ184" i="60"/>
  <c r="AK184" i="60"/>
  <c r="AL184" i="60"/>
  <c r="AM184" i="60"/>
  <c r="AN184" i="60"/>
  <c r="AO184" i="60"/>
  <c r="AP184" i="60"/>
  <c r="AQ184" i="60"/>
  <c r="AR184" i="60"/>
  <c r="AS184" i="60"/>
  <c r="AT184" i="60"/>
  <c r="AU184" i="60"/>
  <c r="AV184" i="60"/>
  <c r="AW184" i="60"/>
  <c r="AX184" i="60"/>
  <c r="AY184" i="60"/>
  <c r="AZ184" i="60"/>
  <c r="BA184" i="60"/>
  <c r="BB184" i="60"/>
  <c r="BC184" i="60"/>
  <c r="BD184" i="60"/>
  <c r="BE184" i="60"/>
  <c r="BF184" i="60"/>
  <c r="BG184" i="60"/>
  <c r="V185" i="60"/>
  <c r="W185" i="60"/>
  <c r="X185" i="60"/>
  <c r="Y185" i="60"/>
  <c r="Z185" i="60"/>
  <c r="AA185" i="60"/>
  <c r="AB185" i="60"/>
  <c r="AC185" i="60"/>
  <c r="AD185" i="60"/>
  <c r="AE185" i="60"/>
  <c r="AF185" i="60"/>
  <c r="AG185" i="60"/>
  <c r="AH185" i="60"/>
  <c r="AI185" i="60"/>
  <c r="AJ185" i="60"/>
  <c r="AK185" i="60"/>
  <c r="AL185" i="60"/>
  <c r="AM185" i="60"/>
  <c r="AN185" i="60"/>
  <c r="AO185" i="60"/>
  <c r="AP185" i="60"/>
  <c r="AQ185" i="60"/>
  <c r="AR185" i="60"/>
  <c r="AS185" i="60"/>
  <c r="AT185" i="60"/>
  <c r="AU185" i="60"/>
  <c r="AV185" i="60"/>
  <c r="AW185" i="60"/>
  <c r="AX185" i="60"/>
  <c r="AY185" i="60"/>
  <c r="AZ185" i="60"/>
  <c r="BA185" i="60"/>
  <c r="BB185" i="60"/>
  <c r="BC185" i="60"/>
  <c r="BD185" i="60"/>
  <c r="BE185" i="60"/>
  <c r="BF185" i="60"/>
  <c r="BG185" i="60"/>
  <c r="V186" i="60"/>
  <c r="W186" i="60"/>
  <c r="X186" i="60"/>
  <c r="Y186" i="60"/>
  <c r="Z186" i="60"/>
  <c r="AA186" i="60"/>
  <c r="AB186" i="60"/>
  <c r="AC186" i="60"/>
  <c r="AD186" i="60"/>
  <c r="AE186" i="60"/>
  <c r="AF186" i="60"/>
  <c r="AG186" i="60"/>
  <c r="AH186" i="60"/>
  <c r="AI186" i="60"/>
  <c r="AJ186" i="60"/>
  <c r="AK186" i="60"/>
  <c r="AL186" i="60"/>
  <c r="AM186" i="60"/>
  <c r="AN186" i="60"/>
  <c r="AO186" i="60"/>
  <c r="AP186" i="60"/>
  <c r="AQ186" i="60"/>
  <c r="AR186" i="60"/>
  <c r="AS186" i="60"/>
  <c r="AT186" i="60"/>
  <c r="AU186" i="60"/>
  <c r="AV186" i="60"/>
  <c r="AW186" i="60"/>
  <c r="AX186" i="60"/>
  <c r="AY186" i="60"/>
  <c r="AZ186" i="60"/>
  <c r="BA186" i="60"/>
  <c r="BB186" i="60"/>
  <c r="BC186" i="60"/>
  <c r="BD186" i="60"/>
  <c r="BE186" i="60"/>
  <c r="BF186" i="60"/>
  <c r="BG186" i="60"/>
  <c r="V187" i="60"/>
  <c r="W187" i="60"/>
  <c r="X187" i="60"/>
  <c r="Y187" i="60"/>
  <c r="Z187" i="60"/>
  <c r="AA187" i="60"/>
  <c r="AB187" i="60"/>
  <c r="AC187" i="60"/>
  <c r="AD187" i="60"/>
  <c r="AE187" i="60"/>
  <c r="AF187" i="60"/>
  <c r="AG187" i="60"/>
  <c r="AH187" i="60"/>
  <c r="AI187" i="60"/>
  <c r="AJ187" i="60"/>
  <c r="AK187" i="60"/>
  <c r="AL187" i="60"/>
  <c r="AM187" i="60"/>
  <c r="AN187" i="60"/>
  <c r="AO187" i="60"/>
  <c r="AP187" i="60"/>
  <c r="AQ187" i="60"/>
  <c r="AR187" i="60"/>
  <c r="AS187" i="60"/>
  <c r="AT187" i="60"/>
  <c r="AU187" i="60"/>
  <c r="AV187" i="60"/>
  <c r="AW187" i="60"/>
  <c r="AX187" i="60"/>
  <c r="AY187" i="60"/>
  <c r="AZ187" i="60"/>
  <c r="BA187" i="60"/>
  <c r="BB187" i="60"/>
  <c r="BC187" i="60"/>
  <c r="BD187" i="60"/>
  <c r="BE187" i="60"/>
  <c r="BF187" i="60"/>
  <c r="BG187" i="60"/>
  <c r="V188" i="60"/>
  <c r="W188" i="60"/>
  <c r="X188" i="60"/>
  <c r="Y188" i="60"/>
  <c r="Z188" i="60"/>
  <c r="AA188" i="60"/>
  <c r="AB188" i="60"/>
  <c r="AC188" i="60"/>
  <c r="AD188" i="60"/>
  <c r="AE188" i="60"/>
  <c r="AF188" i="60"/>
  <c r="AG188" i="60"/>
  <c r="AH188" i="60"/>
  <c r="AI188" i="60"/>
  <c r="AJ188" i="60"/>
  <c r="AK188" i="60"/>
  <c r="AL188" i="60"/>
  <c r="AM188" i="60"/>
  <c r="AN188" i="60"/>
  <c r="AO188" i="60"/>
  <c r="AP188" i="60"/>
  <c r="AQ188" i="60"/>
  <c r="AR188" i="60"/>
  <c r="AS188" i="60"/>
  <c r="AT188" i="60"/>
  <c r="AU188" i="60"/>
  <c r="AV188" i="60"/>
  <c r="AW188" i="60"/>
  <c r="AX188" i="60"/>
  <c r="AY188" i="60"/>
  <c r="AZ188" i="60"/>
  <c r="BA188" i="60"/>
  <c r="BB188" i="60"/>
  <c r="BC188" i="60"/>
  <c r="BD188" i="60"/>
  <c r="BE188" i="60"/>
  <c r="BF188" i="60"/>
  <c r="BG188" i="60"/>
  <c r="V189" i="60"/>
  <c r="W189" i="60"/>
  <c r="X189" i="60"/>
  <c r="Y189" i="60"/>
  <c r="Z189" i="60"/>
  <c r="AA189" i="60"/>
  <c r="AB189" i="60"/>
  <c r="AC189" i="60"/>
  <c r="AD189" i="60"/>
  <c r="AE189" i="60"/>
  <c r="AF189" i="60"/>
  <c r="AG189" i="60"/>
  <c r="AH189" i="60"/>
  <c r="AI189" i="60"/>
  <c r="AJ189" i="60"/>
  <c r="AK189" i="60"/>
  <c r="AL189" i="60"/>
  <c r="AM189" i="60"/>
  <c r="AN189" i="60"/>
  <c r="AO189" i="60"/>
  <c r="AP189" i="60"/>
  <c r="AQ189" i="60"/>
  <c r="AR189" i="60"/>
  <c r="AS189" i="60"/>
  <c r="AT189" i="60"/>
  <c r="AU189" i="60"/>
  <c r="AV189" i="60"/>
  <c r="AW189" i="60"/>
  <c r="AX189" i="60"/>
  <c r="AY189" i="60"/>
  <c r="AZ189" i="60"/>
  <c r="BA189" i="60"/>
  <c r="BB189" i="60"/>
  <c r="BC189" i="60"/>
  <c r="BD189" i="60"/>
  <c r="BE189" i="60"/>
  <c r="BF189" i="60"/>
  <c r="BG189" i="60"/>
  <c r="V190" i="60"/>
  <c r="W190" i="60"/>
  <c r="X190" i="60"/>
  <c r="Y190" i="60"/>
  <c r="Z190" i="60"/>
  <c r="AA190" i="60"/>
  <c r="AB190" i="60"/>
  <c r="AC190" i="60"/>
  <c r="AD190" i="60"/>
  <c r="AE190" i="60"/>
  <c r="AF190" i="60"/>
  <c r="AG190" i="60"/>
  <c r="AH190" i="60"/>
  <c r="AI190" i="60"/>
  <c r="AJ190" i="60"/>
  <c r="AK190" i="60"/>
  <c r="AL190" i="60"/>
  <c r="AM190" i="60"/>
  <c r="AN190" i="60"/>
  <c r="AO190" i="60"/>
  <c r="AP190" i="60"/>
  <c r="AQ190" i="60"/>
  <c r="AR190" i="60"/>
  <c r="AS190" i="60"/>
  <c r="AT190" i="60"/>
  <c r="AU190" i="60"/>
  <c r="AV190" i="60"/>
  <c r="AW190" i="60"/>
  <c r="AX190" i="60"/>
  <c r="AY190" i="60"/>
  <c r="AZ190" i="60"/>
  <c r="BA190" i="60"/>
  <c r="BB190" i="60"/>
  <c r="BC190" i="60"/>
  <c r="BD190" i="60"/>
  <c r="BE190" i="60"/>
  <c r="BF190" i="60"/>
  <c r="BG190" i="60"/>
  <c r="V191" i="60"/>
  <c r="W191" i="60"/>
  <c r="X191" i="60"/>
  <c r="Y191" i="60"/>
  <c r="Z191" i="60"/>
  <c r="AA191" i="60"/>
  <c r="AB191" i="60"/>
  <c r="AC191" i="60"/>
  <c r="AD191" i="60"/>
  <c r="AE191" i="60"/>
  <c r="AF191" i="60"/>
  <c r="AG191" i="60"/>
  <c r="AH191" i="60"/>
  <c r="AI191" i="60"/>
  <c r="AJ191" i="60"/>
  <c r="AK191" i="60"/>
  <c r="AL191" i="60"/>
  <c r="AM191" i="60"/>
  <c r="AN191" i="60"/>
  <c r="AO191" i="60"/>
  <c r="AP191" i="60"/>
  <c r="AQ191" i="60"/>
  <c r="AR191" i="60"/>
  <c r="AS191" i="60"/>
  <c r="AT191" i="60"/>
  <c r="AU191" i="60"/>
  <c r="AV191" i="60"/>
  <c r="AW191" i="60"/>
  <c r="AX191" i="60"/>
  <c r="AY191" i="60"/>
  <c r="AZ191" i="60"/>
  <c r="BA191" i="60"/>
  <c r="BB191" i="60"/>
  <c r="BC191" i="60"/>
  <c r="BD191" i="60"/>
  <c r="BE191" i="60"/>
  <c r="BF191" i="60"/>
  <c r="BG191" i="60"/>
  <c r="V192" i="60"/>
  <c r="W192" i="60"/>
  <c r="X192" i="60"/>
  <c r="Y192" i="60"/>
  <c r="Z192" i="60"/>
  <c r="AA192" i="60"/>
  <c r="AB192" i="60"/>
  <c r="AC192" i="60"/>
  <c r="AD192" i="60"/>
  <c r="AE192" i="60"/>
  <c r="AF192" i="60"/>
  <c r="AG192" i="60"/>
  <c r="AH192" i="60"/>
  <c r="AI192" i="60"/>
  <c r="AJ192" i="60"/>
  <c r="AK192" i="60"/>
  <c r="AL192" i="60"/>
  <c r="AM192" i="60"/>
  <c r="AN192" i="60"/>
  <c r="AO192" i="60"/>
  <c r="AP192" i="60"/>
  <c r="AQ192" i="60"/>
  <c r="AR192" i="60"/>
  <c r="AS192" i="60"/>
  <c r="AT192" i="60"/>
  <c r="AU192" i="60"/>
  <c r="AV192" i="60"/>
  <c r="AW192" i="60"/>
  <c r="AX192" i="60"/>
  <c r="AY192" i="60"/>
  <c r="AZ192" i="60"/>
  <c r="BA192" i="60"/>
  <c r="BB192" i="60"/>
  <c r="BC192" i="60"/>
  <c r="BD192" i="60"/>
  <c r="BE192" i="60"/>
  <c r="BF192" i="60"/>
  <c r="BG192" i="60"/>
  <c r="V193" i="60"/>
  <c r="W193" i="60"/>
  <c r="X193" i="60"/>
  <c r="Y193" i="60"/>
  <c r="Z193" i="60"/>
  <c r="AA193" i="60"/>
  <c r="AB193" i="60"/>
  <c r="AC193" i="60"/>
  <c r="AD193" i="60"/>
  <c r="AE193" i="60"/>
  <c r="AF193" i="60"/>
  <c r="AG193" i="60"/>
  <c r="AH193" i="60"/>
  <c r="AI193" i="60"/>
  <c r="AJ193" i="60"/>
  <c r="AK193" i="60"/>
  <c r="AL193" i="60"/>
  <c r="AM193" i="60"/>
  <c r="AN193" i="60"/>
  <c r="AO193" i="60"/>
  <c r="AP193" i="60"/>
  <c r="AQ193" i="60"/>
  <c r="AR193" i="60"/>
  <c r="AS193" i="60"/>
  <c r="AT193" i="60"/>
  <c r="AU193" i="60"/>
  <c r="AV193" i="60"/>
  <c r="AW193" i="60"/>
  <c r="AX193" i="60"/>
  <c r="AY193" i="60"/>
  <c r="AZ193" i="60"/>
  <c r="BA193" i="60"/>
  <c r="BB193" i="60"/>
  <c r="BC193" i="60"/>
  <c r="BD193" i="60"/>
  <c r="BE193" i="60"/>
  <c r="BF193" i="60"/>
  <c r="BG193" i="60"/>
  <c r="V194" i="60"/>
  <c r="W194" i="60"/>
  <c r="X194" i="60"/>
  <c r="Y194" i="60"/>
  <c r="Z194" i="60"/>
  <c r="AA194" i="60"/>
  <c r="AB194" i="60"/>
  <c r="AC194" i="60"/>
  <c r="AD194" i="60"/>
  <c r="AE194" i="60"/>
  <c r="AF194" i="60"/>
  <c r="AG194" i="60"/>
  <c r="AH194" i="60"/>
  <c r="AI194" i="60"/>
  <c r="AJ194" i="60"/>
  <c r="AK194" i="60"/>
  <c r="AL194" i="60"/>
  <c r="AM194" i="60"/>
  <c r="AN194" i="60"/>
  <c r="AO194" i="60"/>
  <c r="AP194" i="60"/>
  <c r="AQ194" i="60"/>
  <c r="AR194" i="60"/>
  <c r="AS194" i="60"/>
  <c r="AT194" i="60"/>
  <c r="AU194" i="60"/>
  <c r="AV194" i="60"/>
  <c r="AW194" i="60"/>
  <c r="AX194" i="60"/>
  <c r="AY194" i="60"/>
  <c r="AZ194" i="60"/>
  <c r="BA194" i="60"/>
  <c r="BB194" i="60"/>
  <c r="BC194" i="60"/>
  <c r="BD194" i="60"/>
  <c r="BE194" i="60"/>
  <c r="BF194" i="60"/>
  <c r="BG194" i="60"/>
  <c r="V195" i="60"/>
  <c r="W195" i="60"/>
  <c r="X195" i="60"/>
  <c r="Y195" i="60"/>
  <c r="Z195" i="60"/>
  <c r="AA195" i="60"/>
  <c r="AB195" i="60"/>
  <c r="AC195" i="60"/>
  <c r="AD195" i="60"/>
  <c r="AE195" i="60"/>
  <c r="AF195" i="60"/>
  <c r="AG195" i="60"/>
  <c r="AH195" i="60"/>
  <c r="AI195" i="60"/>
  <c r="AJ195" i="60"/>
  <c r="AK195" i="60"/>
  <c r="AL195" i="60"/>
  <c r="AM195" i="60"/>
  <c r="AN195" i="60"/>
  <c r="AO195" i="60"/>
  <c r="AP195" i="60"/>
  <c r="AQ195" i="60"/>
  <c r="AR195" i="60"/>
  <c r="AS195" i="60"/>
  <c r="AT195" i="60"/>
  <c r="AU195" i="60"/>
  <c r="AV195" i="60"/>
  <c r="AW195" i="60"/>
  <c r="AX195" i="60"/>
  <c r="AY195" i="60"/>
  <c r="AZ195" i="60"/>
  <c r="BA195" i="60"/>
  <c r="BB195" i="60"/>
  <c r="BC195" i="60"/>
  <c r="BD195" i="60"/>
  <c r="BE195" i="60"/>
  <c r="BF195" i="60"/>
  <c r="BG195" i="60"/>
  <c r="V196" i="60"/>
  <c r="W196" i="60"/>
  <c r="X196" i="60"/>
  <c r="Y196" i="60"/>
  <c r="Z196" i="60"/>
  <c r="AA196" i="60"/>
  <c r="AB196" i="60"/>
  <c r="AC196" i="60"/>
  <c r="AD196" i="60"/>
  <c r="AE196" i="60"/>
  <c r="AF196" i="60"/>
  <c r="AG196" i="60"/>
  <c r="AH196" i="60"/>
  <c r="AI196" i="60"/>
  <c r="AJ196" i="60"/>
  <c r="AK196" i="60"/>
  <c r="AL196" i="60"/>
  <c r="AM196" i="60"/>
  <c r="AN196" i="60"/>
  <c r="AO196" i="60"/>
  <c r="AP196" i="60"/>
  <c r="AQ196" i="60"/>
  <c r="AR196" i="60"/>
  <c r="AS196" i="60"/>
  <c r="AT196" i="60"/>
  <c r="AU196" i="60"/>
  <c r="AV196" i="60"/>
  <c r="AW196" i="60"/>
  <c r="AX196" i="60"/>
  <c r="AY196" i="60"/>
  <c r="AZ196" i="60"/>
  <c r="BA196" i="60"/>
  <c r="BB196" i="60"/>
  <c r="BC196" i="60"/>
  <c r="BD196" i="60"/>
  <c r="BE196" i="60"/>
  <c r="BF196" i="60"/>
  <c r="BG196" i="60"/>
  <c r="V197" i="60"/>
  <c r="W197" i="60"/>
  <c r="X197" i="60"/>
  <c r="Y197" i="60"/>
  <c r="Z197" i="60"/>
  <c r="AA197" i="60"/>
  <c r="AB197" i="60"/>
  <c r="AC197" i="60"/>
  <c r="AD197" i="60"/>
  <c r="AE197" i="60"/>
  <c r="AF197" i="60"/>
  <c r="AG197" i="60"/>
  <c r="AH197" i="60"/>
  <c r="AI197" i="60"/>
  <c r="AJ197" i="60"/>
  <c r="AK197" i="60"/>
  <c r="AL197" i="60"/>
  <c r="AM197" i="60"/>
  <c r="AN197" i="60"/>
  <c r="AO197" i="60"/>
  <c r="AP197" i="60"/>
  <c r="AQ197" i="60"/>
  <c r="AR197" i="60"/>
  <c r="AS197" i="60"/>
  <c r="AT197" i="60"/>
  <c r="AU197" i="60"/>
  <c r="AV197" i="60"/>
  <c r="AW197" i="60"/>
  <c r="AX197" i="60"/>
  <c r="AY197" i="60"/>
  <c r="AZ197" i="60"/>
  <c r="BA197" i="60"/>
  <c r="BB197" i="60"/>
  <c r="BC197" i="60"/>
  <c r="BD197" i="60"/>
  <c r="BE197" i="60"/>
  <c r="BF197" i="60"/>
  <c r="BG197" i="60"/>
  <c r="V198" i="60"/>
  <c r="W198" i="60"/>
  <c r="X198" i="60"/>
  <c r="Y198" i="60"/>
  <c r="Z198" i="60"/>
  <c r="AA198" i="60"/>
  <c r="AB198" i="60"/>
  <c r="AC198" i="60"/>
  <c r="AD198" i="60"/>
  <c r="AE198" i="60"/>
  <c r="AF198" i="60"/>
  <c r="AG198" i="60"/>
  <c r="AH198" i="60"/>
  <c r="AI198" i="60"/>
  <c r="AJ198" i="60"/>
  <c r="AK198" i="60"/>
  <c r="AL198" i="60"/>
  <c r="AM198" i="60"/>
  <c r="AN198" i="60"/>
  <c r="AO198" i="60"/>
  <c r="AP198" i="60"/>
  <c r="AQ198" i="60"/>
  <c r="AR198" i="60"/>
  <c r="AS198" i="60"/>
  <c r="AT198" i="60"/>
  <c r="AU198" i="60"/>
  <c r="AV198" i="60"/>
  <c r="AW198" i="60"/>
  <c r="AX198" i="60"/>
  <c r="AY198" i="60"/>
  <c r="AZ198" i="60"/>
  <c r="BA198" i="60"/>
  <c r="BB198" i="60"/>
  <c r="BC198" i="60"/>
  <c r="BD198" i="60"/>
  <c r="BE198" i="60"/>
  <c r="BF198" i="60"/>
  <c r="BG198" i="60"/>
  <c r="V199" i="60"/>
  <c r="W199" i="60"/>
  <c r="X199" i="60"/>
  <c r="Y199" i="60"/>
  <c r="Z199" i="60"/>
  <c r="AA199" i="60"/>
  <c r="AB199" i="60"/>
  <c r="AC199" i="60"/>
  <c r="AD199" i="60"/>
  <c r="AE199" i="60"/>
  <c r="AF199" i="60"/>
  <c r="AG199" i="60"/>
  <c r="AH199" i="60"/>
  <c r="AI199" i="60"/>
  <c r="AJ199" i="60"/>
  <c r="AK199" i="60"/>
  <c r="AL199" i="60"/>
  <c r="AM199" i="60"/>
  <c r="AN199" i="60"/>
  <c r="AO199" i="60"/>
  <c r="AP199" i="60"/>
  <c r="AQ199" i="60"/>
  <c r="AR199" i="60"/>
  <c r="AS199" i="60"/>
  <c r="AT199" i="60"/>
  <c r="AU199" i="60"/>
  <c r="AV199" i="60"/>
  <c r="AW199" i="60"/>
  <c r="AX199" i="60"/>
  <c r="AY199" i="60"/>
  <c r="AZ199" i="60"/>
  <c r="BA199" i="60"/>
  <c r="BB199" i="60"/>
  <c r="BC199" i="60"/>
  <c r="BD199" i="60"/>
  <c r="BE199" i="60"/>
  <c r="BF199" i="60"/>
  <c r="BG199" i="60"/>
  <c r="V200" i="60"/>
  <c r="W200" i="60"/>
  <c r="X200" i="60"/>
  <c r="Y200" i="60"/>
  <c r="Z200" i="60"/>
  <c r="AA200" i="60"/>
  <c r="AB200" i="60"/>
  <c r="AC200" i="60"/>
  <c r="AD200" i="60"/>
  <c r="AE200" i="60"/>
  <c r="AF200" i="60"/>
  <c r="AG200" i="60"/>
  <c r="AH200" i="60"/>
  <c r="AI200" i="60"/>
  <c r="AJ200" i="60"/>
  <c r="AK200" i="60"/>
  <c r="AL200" i="60"/>
  <c r="AM200" i="60"/>
  <c r="AN200" i="60"/>
  <c r="AO200" i="60"/>
  <c r="AP200" i="60"/>
  <c r="AQ200" i="60"/>
  <c r="AR200" i="60"/>
  <c r="AS200" i="60"/>
  <c r="AT200" i="60"/>
  <c r="AU200" i="60"/>
  <c r="AV200" i="60"/>
  <c r="AW200" i="60"/>
  <c r="AX200" i="60"/>
  <c r="AY200" i="60"/>
  <c r="AZ200" i="60"/>
  <c r="BA200" i="60"/>
  <c r="BB200" i="60"/>
  <c r="BC200" i="60"/>
  <c r="BD200" i="60"/>
  <c r="BE200" i="60"/>
  <c r="BF200" i="60"/>
  <c r="BG200" i="60"/>
  <c r="V201" i="60"/>
  <c r="W201" i="60"/>
  <c r="X201" i="60"/>
  <c r="Y201" i="60"/>
  <c r="Z201" i="60"/>
  <c r="AA201" i="60"/>
  <c r="AB201" i="60"/>
  <c r="AC201" i="60"/>
  <c r="AD201" i="60"/>
  <c r="AE201" i="60"/>
  <c r="AF201" i="60"/>
  <c r="AG201" i="60"/>
  <c r="AH201" i="60"/>
  <c r="AI201" i="60"/>
  <c r="AJ201" i="60"/>
  <c r="AK201" i="60"/>
  <c r="AL201" i="60"/>
  <c r="AM201" i="60"/>
  <c r="AN201" i="60"/>
  <c r="AO201" i="60"/>
  <c r="AP201" i="60"/>
  <c r="AQ201" i="60"/>
  <c r="AR201" i="60"/>
  <c r="AS201" i="60"/>
  <c r="AT201" i="60"/>
  <c r="AU201" i="60"/>
  <c r="AV201" i="60"/>
  <c r="AW201" i="60"/>
  <c r="AX201" i="60"/>
  <c r="AY201" i="60"/>
  <c r="AZ201" i="60"/>
  <c r="BA201" i="60"/>
  <c r="BB201" i="60"/>
  <c r="BC201" i="60"/>
  <c r="BD201" i="60"/>
  <c r="BE201" i="60"/>
  <c r="BF201" i="60"/>
  <c r="BG201" i="60"/>
  <c r="V202" i="60"/>
  <c r="W202" i="60"/>
  <c r="X202" i="60"/>
  <c r="Y202" i="60"/>
  <c r="Z202" i="60"/>
  <c r="AA202" i="60"/>
  <c r="AB202" i="60"/>
  <c r="AC202" i="60"/>
  <c r="AD202" i="60"/>
  <c r="AE202" i="60"/>
  <c r="AF202" i="60"/>
  <c r="AG202" i="60"/>
  <c r="AH202" i="60"/>
  <c r="AI202" i="60"/>
  <c r="AJ202" i="60"/>
  <c r="AK202" i="60"/>
  <c r="AL202" i="60"/>
  <c r="AM202" i="60"/>
  <c r="AN202" i="60"/>
  <c r="AO202" i="60"/>
  <c r="AP202" i="60"/>
  <c r="AQ202" i="60"/>
  <c r="AR202" i="60"/>
  <c r="AS202" i="60"/>
  <c r="AT202" i="60"/>
  <c r="AU202" i="60"/>
  <c r="AV202" i="60"/>
  <c r="AW202" i="60"/>
  <c r="AX202" i="60"/>
  <c r="AY202" i="60"/>
  <c r="AZ202" i="60"/>
  <c r="BA202" i="60"/>
  <c r="BB202" i="60"/>
  <c r="BC202" i="60"/>
  <c r="BD202" i="60"/>
  <c r="BE202" i="60"/>
  <c r="BF202" i="60"/>
  <c r="BG202" i="60"/>
  <c r="V203" i="60"/>
  <c r="W203" i="60"/>
  <c r="X203" i="60"/>
  <c r="Y203" i="60"/>
  <c r="Z203" i="60"/>
  <c r="AA203" i="60"/>
  <c r="AB203" i="60"/>
  <c r="AC203" i="60"/>
  <c r="AD203" i="60"/>
  <c r="AE203" i="60"/>
  <c r="AF203" i="60"/>
  <c r="AG203" i="60"/>
  <c r="AH203" i="60"/>
  <c r="AI203" i="60"/>
  <c r="AJ203" i="60"/>
  <c r="AK203" i="60"/>
  <c r="AL203" i="60"/>
  <c r="AM203" i="60"/>
  <c r="AN203" i="60"/>
  <c r="AO203" i="60"/>
  <c r="AP203" i="60"/>
  <c r="AQ203" i="60"/>
  <c r="AR203" i="60"/>
  <c r="AS203" i="60"/>
  <c r="AT203" i="60"/>
  <c r="AU203" i="60"/>
  <c r="AV203" i="60"/>
  <c r="AW203" i="60"/>
  <c r="AX203" i="60"/>
  <c r="AY203" i="60"/>
  <c r="AZ203" i="60"/>
  <c r="BA203" i="60"/>
  <c r="BB203" i="60"/>
  <c r="BC203" i="60"/>
  <c r="BD203" i="60"/>
  <c r="BE203" i="60"/>
  <c r="BF203" i="60"/>
  <c r="BG203" i="60"/>
  <c r="V204" i="60"/>
  <c r="W204" i="60"/>
  <c r="X204" i="60"/>
  <c r="Y204" i="60"/>
  <c r="Z204" i="60"/>
  <c r="AA204" i="60"/>
  <c r="AB204" i="60"/>
  <c r="AC204" i="60"/>
  <c r="AD204" i="60"/>
  <c r="AE204" i="60"/>
  <c r="AF204" i="60"/>
  <c r="AG204" i="60"/>
  <c r="AH204" i="60"/>
  <c r="AI204" i="60"/>
  <c r="AJ204" i="60"/>
  <c r="AK204" i="60"/>
  <c r="AL204" i="60"/>
  <c r="AM204" i="60"/>
  <c r="AN204" i="60"/>
  <c r="AO204" i="60"/>
  <c r="AP204" i="60"/>
  <c r="AQ204" i="60"/>
  <c r="AR204" i="60"/>
  <c r="AS204" i="60"/>
  <c r="AT204" i="60"/>
  <c r="AU204" i="60"/>
  <c r="AV204" i="60"/>
  <c r="AW204" i="60"/>
  <c r="AX204" i="60"/>
  <c r="AY204" i="60"/>
  <c r="AZ204" i="60"/>
  <c r="BA204" i="60"/>
  <c r="BB204" i="60"/>
  <c r="BC204" i="60"/>
  <c r="BD204" i="60"/>
  <c r="BE204" i="60"/>
  <c r="BF204" i="60"/>
  <c r="BG204" i="60"/>
  <c r="V205" i="60"/>
  <c r="W205" i="60"/>
  <c r="X205" i="60"/>
  <c r="Y205" i="60"/>
  <c r="Z205" i="60"/>
  <c r="AA205" i="60"/>
  <c r="AB205" i="60"/>
  <c r="AC205" i="60"/>
  <c r="AD205" i="60"/>
  <c r="AE205" i="60"/>
  <c r="AF205" i="60"/>
  <c r="AG205" i="60"/>
  <c r="AH205" i="60"/>
  <c r="AI205" i="60"/>
  <c r="AJ205" i="60"/>
  <c r="AK205" i="60"/>
  <c r="AL205" i="60"/>
  <c r="AM205" i="60"/>
  <c r="AN205" i="60"/>
  <c r="AO205" i="60"/>
  <c r="AP205" i="60"/>
  <c r="AQ205" i="60"/>
  <c r="AR205" i="60"/>
  <c r="AS205" i="60"/>
  <c r="AT205" i="60"/>
  <c r="AU205" i="60"/>
  <c r="AV205" i="60"/>
  <c r="AW205" i="60"/>
  <c r="AX205" i="60"/>
  <c r="AY205" i="60"/>
  <c r="AZ205" i="60"/>
  <c r="BA205" i="60"/>
  <c r="BB205" i="60"/>
  <c r="BC205" i="60"/>
  <c r="BD205" i="60"/>
  <c r="BE205" i="60"/>
  <c r="BF205" i="60"/>
  <c r="BG205" i="60"/>
  <c r="V206" i="60"/>
  <c r="W206" i="60"/>
  <c r="X206" i="60"/>
  <c r="Y206" i="60"/>
  <c r="Z206" i="60"/>
  <c r="AA206" i="60"/>
  <c r="AB206" i="60"/>
  <c r="AC206" i="60"/>
  <c r="AD206" i="60"/>
  <c r="AE206" i="60"/>
  <c r="AF206" i="60"/>
  <c r="AG206" i="60"/>
  <c r="AH206" i="60"/>
  <c r="AI206" i="60"/>
  <c r="AJ206" i="60"/>
  <c r="AK206" i="60"/>
  <c r="AL206" i="60"/>
  <c r="AM206" i="60"/>
  <c r="AN206" i="60"/>
  <c r="AO206" i="60"/>
  <c r="AP206" i="60"/>
  <c r="AQ206" i="60"/>
  <c r="AR206" i="60"/>
  <c r="AS206" i="60"/>
  <c r="AT206" i="60"/>
  <c r="AU206" i="60"/>
  <c r="AV206" i="60"/>
  <c r="AW206" i="60"/>
  <c r="AX206" i="60"/>
  <c r="AY206" i="60"/>
  <c r="AZ206" i="60"/>
  <c r="BA206" i="60"/>
  <c r="BB206" i="60"/>
  <c r="BC206" i="60"/>
  <c r="BD206" i="60"/>
  <c r="BE206" i="60"/>
  <c r="BF206" i="60"/>
  <c r="BG206" i="60"/>
  <c r="V207" i="60"/>
  <c r="W207" i="60"/>
  <c r="X207" i="60"/>
  <c r="Y207" i="60"/>
  <c r="Z207" i="60"/>
  <c r="AA207" i="60"/>
  <c r="AB207" i="60"/>
  <c r="AC207" i="60"/>
  <c r="AD207" i="60"/>
  <c r="AE207" i="60"/>
  <c r="AF207" i="60"/>
  <c r="AG207" i="60"/>
  <c r="AH207" i="60"/>
  <c r="AI207" i="60"/>
  <c r="AJ207" i="60"/>
  <c r="AK207" i="60"/>
  <c r="AL207" i="60"/>
  <c r="AM207" i="60"/>
  <c r="AN207" i="60"/>
  <c r="AO207" i="60"/>
  <c r="AP207" i="60"/>
  <c r="AQ207" i="60"/>
  <c r="AR207" i="60"/>
  <c r="AS207" i="60"/>
  <c r="AT207" i="60"/>
  <c r="AU207" i="60"/>
  <c r="AV207" i="60"/>
  <c r="AW207" i="60"/>
  <c r="AX207" i="60"/>
  <c r="AY207" i="60"/>
  <c r="AZ207" i="60"/>
  <c r="BA207" i="60"/>
  <c r="BB207" i="60"/>
  <c r="BC207" i="60"/>
  <c r="BD207" i="60"/>
  <c r="BE207" i="60"/>
  <c r="BF207" i="60"/>
  <c r="BG207" i="60"/>
  <c r="V208" i="60"/>
  <c r="W208" i="60"/>
  <c r="X208" i="60"/>
  <c r="Y208" i="60"/>
  <c r="Z208" i="60"/>
  <c r="AA208" i="60"/>
  <c r="AB208" i="60"/>
  <c r="AC208" i="60"/>
  <c r="AD208" i="60"/>
  <c r="AE208" i="60"/>
  <c r="AF208" i="60"/>
  <c r="AG208" i="60"/>
  <c r="AH208" i="60"/>
  <c r="AI208" i="60"/>
  <c r="AJ208" i="60"/>
  <c r="AK208" i="60"/>
  <c r="AL208" i="60"/>
  <c r="AM208" i="60"/>
  <c r="AN208" i="60"/>
  <c r="AO208" i="60"/>
  <c r="AP208" i="60"/>
  <c r="AQ208" i="60"/>
  <c r="AR208" i="60"/>
  <c r="AS208" i="60"/>
  <c r="AT208" i="60"/>
  <c r="AU208" i="60"/>
  <c r="AV208" i="60"/>
  <c r="AW208" i="60"/>
  <c r="AX208" i="60"/>
  <c r="AY208" i="60"/>
  <c r="AZ208" i="60"/>
  <c r="BA208" i="60"/>
  <c r="BB208" i="60"/>
  <c r="BC208" i="60"/>
  <c r="BD208" i="60"/>
  <c r="BE208" i="60"/>
  <c r="BF208" i="60"/>
  <c r="BG208" i="60"/>
  <c r="V209" i="60"/>
  <c r="W209" i="60"/>
  <c r="X209" i="60"/>
  <c r="Y209" i="60"/>
  <c r="Z209" i="60"/>
  <c r="AA209" i="60"/>
  <c r="AB209" i="60"/>
  <c r="AC209" i="60"/>
  <c r="AD209" i="60"/>
  <c r="AE209" i="60"/>
  <c r="AF209" i="60"/>
  <c r="AG209" i="60"/>
  <c r="AH209" i="60"/>
  <c r="AI209" i="60"/>
  <c r="AJ209" i="60"/>
  <c r="AK209" i="60"/>
  <c r="AL209" i="60"/>
  <c r="AM209" i="60"/>
  <c r="AN209" i="60"/>
  <c r="AO209" i="60"/>
  <c r="AP209" i="60"/>
  <c r="AQ209" i="60"/>
  <c r="AR209" i="60"/>
  <c r="AS209" i="60"/>
  <c r="AT209" i="60"/>
  <c r="AU209" i="60"/>
  <c r="AV209" i="60"/>
  <c r="AW209" i="60"/>
  <c r="AX209" i="60"/>
  <c r="AY209" i="60"/>
  <c r="AZ209" i="60"/>
  <c r="BA209" i="60"/>
  <c r="BB209" i="60"/>
  <c r="BC209" i="60"/>
  <c r="BD209" i="60"/>
  <c r="BE209" i="60"/>
  <c r="BF209" i="60"/>
  <c r="BG209" i="60"/>
  <c r="V210" i="60"/>
  <c r="W210" i="60"/>
  <c r="X210" i="60"/>
  <c r="Y210" i="60"/>
  <c r="Z210" i="60"/>
  <c r="AA210" i="60"/>
  <c r="AB210" i="60"/>
  <c r="AC210" i="60"/>
  <c r="AD210" i="60"/>
  <c r="AE210" i="60"/>
  <c r="AF210" i="60"/>
  <c r="AG210" i="60"/>
  <c r="AH210" i="60"/>
  <c r="AI210" i="60"/>
  <c r="AJ210" i="60"/>
  <c r="AK210" i="60"/>
  <c r="AL210" i="60"/>
  <c r="AM210" i="60"/>
  <c r="AN210" i="60"/>
  <c r="AO210" i="60"/>
  <c r="AP210" i="60"/>
  <c r="AQ210" i="60"/>
  <c r="AR210" i="60"/>
  <c r="AS210" i="60"/>
  <c r="AT210" i="60"/>
  <c r="AU210" i="60"/>
  <c r="AV210" i="60"/>
  <c r="AW210" i="60"/>
  <c r="AX210" i="60"/>
  <c r="AY210" i="60"/>
  <c r="AZ210" i="60"/>
  <c r="BA210" i="60"/>
  <c r="BB210" i="60"/>
  <c r="BC210" i="60"/>
  <c r="BD210" i="60"/>
  <c r="BE210" i="60"/>
  <c r="BF210" i="60"/>
  <c r="BG210" i="60"/>
  <c r="V211" i="60"/>
  <c r="W211" i="60"/>
  <c r="X211" i="60"/>
  <c r="Y211" i="60"/>
  <c r="Z211" i="60"/>
  <c r="AA211" i="60"/>
  <c r="AB211" i="60"/>
  <c r="AC211" i="60"/>
  <c r="AD211" i="60"/>
  <c r="AE211" i="60"/>
  <c r="AF211" i="60"/>
  <c r="AG211" i="60"/>
  <c r="AH211" i="60"/>
  <c r="AI211" i="60"/>
  <c r="AJ211" i="60"/>
  <c r="AK211" i="60"/>
  <c r="AL211" i="60"/>
  <c r="AM211" i="60"/>
  <c r="AN211" i="60"/>
  <c r="AO211" i="60"/>
  <c r="AP211" i="60"/>
  <c r="AQ211" i="60"/>
  <c r="AR211" i="60"/>
  <c r="AS211" i="60"/>
  <c r="AT211" i="60"/>
  <c r="AU211" i="60"/>
  <c r="AV211" i="60"/>
  <c r="AW211" i="60"/>
  <c r="AX211" i="60"/>
  <c r="AY211" i="60"/>
  <c r="AZ211" i="60"/>
  <c r="BA211" i="60"/>
  <c r="BB211" i="60"/>
  <c r="BC211" i="60"/>
  <c r="BD211" i="60"/>
  <c r="BE211" i="60"/>
  <c r="BF211" i="60"/>
  <c r="BG211" i="60"/>
  <c r="V212" i="60"/>
  <c r="W212" i="60"/>
  <c r="X212" i="60"/>
  <c r="Y212" i="60"/>
  <c r="Z212" i="60"/>
  <c r="AA212" i="60"/>
  <c r="AB212" i="60"/>
  <c r="AC212" i="60"/>
  <c r="AD212" i="60"/>
  <c r="AE212" i="60"/>
  <c r="AF212" i="60"/>
  <c r="AG212" i="60"/>
  <c r="AH212" i="60"/>
  <c r="AI212" i="60"/>
  <c r="AJ212" i="60"/>
  <c r="AK212" i="60"/>
  <c r="AL212" i="60"/>
  <c r="AM212" i="60"/>
  <c r="AN212" i="60"/>
  <c r="AO212" i="60"/>
  <c r="AP212" i="60"/>
  <c r="AQ212" i="60"/>
  <c r="AR212" i="60"/>
  <c r="AS212" i="60"/>
  <c r="AT212" i="60"/>
  <c r="AU212" i="60"/>
  <c r="AV212" i="60"/>
  <c r="AW212" i="60"/>
  <c r="AX212" i="60"/>
  <c r="AY212" i="60"/>
  <c r="AZ212" i="60"/>
  <c r="BA212" i="60"/>
  <c r="BB212" i="60"/>
  <c r="BC212" i="60"/>
  <c r="BD212" i="60"/>
  <c r="BE212" i="60"/>
  <c r="BF212" i="60"/>
  <c r="BG212" i="60"/>
  <c r="V213" i="60"/>
  <c r="W213" i="60"/>
  <c r="X213" i="60"/>
  <c r="Y213" i="60"/>
  <c r="Z213" i="60"/>
  <c r="AA213" i="60"/>
  <c r="AB213" i="60"/>
  <c r="AC213" i="60"/>
  <c r="AD213" i="60"/>
  <c r="AE213" i="60"/>
  <c r="AF213" i="60"/>
  <c r="AG213" i="60"/>
  <c r="AH213" i="60"/>
  <c r="AI213" i="60"/>
  <c r="AJ213" i="60"/>
  <c r="AK213" i="60"/>
  <c r="AL213" i="60"/>
  <c r="AM213" i="60"/>
  <c r="AN213" i="60"/>
  <c r="AO213" i="60"/>
  <c r="AP213" i="60"/>
  <c r="AQ213" i="60"/>
  <c r="AR213" i="60"/>
  <c r="AS213" i="60"/>
  <c r="AT213" i="60"/>
  <c r="AU213" i="60"/>
  <c r="AV213" i="60"/>
  <c r="AW213" i="60"/>
  <c r="AX213" i="60"/>
  <c r="AY213" i="60"/>
  <c r="AZ213" i="60"/>
  <c r="BA213" i="60"/>
  <c r="BB213" i="60"/>
  <c r="BC213" i="60"/>
  <c r="BD213" i="60"/>
  <c r="BE213" i="60"/>
  <c r="BF213" i="60"/>
  <c r="BG213" i="60"/>
  <c r="V214" i="60"/>
  <c r="W214" i="60"/>
  <c r="X214" i="60"/>
  <c r="Y214" i="60"/>
  <c r="Z214" i="60"/>
  <c r="AA214" i="60"/>
  <c r="AB214" i="60"/>
  <c r="AC214" i="60"/>
  <c r="AD214" i="60"/>
  <c r="AE214" i="60"/>
  <c r="AF214" i="60"/>
  <c r="AG214" i="60"/>
  <c r="AH214" i="60"/>
  <c r="AI214" i="60"/>
  <c r="AJ214" i="60"/>
  <c r="AK214" i="60"/>
  <c r="AL214" i="60"/>
  <c r="AM214" i="60"/>
  <c r="AN214" i="60"/>
  <c r="AO214" i="60"/>
  <c r="AP214" i="60"/>
  <c r="AQ214" i="60"/>
  <c r="AR214" i="60"/>
  <c r="AS214" i="60"/>
  <c r="AT214" i="60"/>
  <c r="AU214" i="60"/>
  <c r="AV214" i="60"/>
  <c r="AW214" i="60"/>
  <c r="AX214" i="60"/>
  <c r="AY214" i="60"/>
  <c r="AZ214" i="60"/>
  <c r="BA214" i="60"/>
  <c r="BB214" i="60"/>
  <c r="BC214" i="60"/>
  <c r="BD214" i="60"/>
  <c r="BE214" i="60"/>
  <c r="BF214" i="60"/>
  <c r="BG214" i="60"/>
  <c r="V215" i="60"/>
  <c r="W215" i="60"/>
  <c r="X215" i="60"/>
  <c r="Y215" i="60"/>
  <c r="Z215" i="60"/>
  <c r="AA215" i="60"/>
  <c r="AB215" i="60"/>
  <c r="AC215" i="60"/>
  <c r="AD215" i="60"/>
  <c r="AE215" i="60"/>
  <c r="AF215" i="60"/>
  <c r="AG215" i="60"/>
  <c r="AH215" i="60"/>
  <c r="AI215" i="60"/>
  <c r="AJ215" i="60"/>
  <c r="AK215" i="60"/>
  <c r="AL215" i="60"/>
  <c r="AM215" i="60"/>
  <c r="AN215" i="60"/>
  <c r="AO215" i="60"/>
  <c r="AP215" i="60"/>
  <c r="AQ215" i="60"/>
  <c r="AR215" i="60"/>
  <c r="AS215" i="60"/>
  <c r="AT215" i="60"/>
  <c r="AU215" i="60"/>
  <c r="AV215" i="60"/>
  <c r="AW215" i="60"/>
  <c r="AX215" i="60"/>
  <c r="AY215" i="60"/>
  <c r="AZ215" i="60"/>
  <c r="BA215" i="60"/>
  <c r="BB215" i="60"/>
  <c r="BC215" i="60"/>
  <c r="BD215" i="60"/>
  <c r="BE215" i="60"/>
  <c r="BF215" i="60"/>
  <c r="BG215" i="60"/>
  <c r="V216" i="60"/>
  <c r="W216" i="60"/>
  <c r="X216" i="60"/>
  <c r="Y216" i="60"/>
  <c r="Z216" i="60"/>
  <c r="AA216" i="60"/>
  <c r="AB216" i="60"/>
  <c r="AC216" i="60"/>
  <c r="AD216" i="60"/>
  <c r="AE216" i="60"/>
  <c r="AF216" i="60"/>
  <c r="AG216" i="60"/>
  <c r="AH216" i="60"/>
  <c r="AI216" i="60"/>
  <c r="AJ216" i="60"/>
  <c r="AK216" i="60"/>
  <c r="AL216" i="60"/>
  <c r="AM216" i="60"/>
  <c r="AN216" i="60"/>
  <c r="AO216" i="60"/>
  <c r="AP216" i="60"/>
  <c r="AQ216" i="60"/>
  <c r="AR216" i="60"/>
  <c r="AS216" i="60"/>
  <c r="AT216" i="60"/>
  <c r="AU216" i="60"/>
  <c r="AV216" i="60"/>
  <c r="AW216" i="60"/>
  <c r="AX216" i="60"/>
  <c r="AY216" i="60"/>
  <c r="AZ216" i="60"/>
  <c r="BA216" i="60"/>
  <c r="BB216" i="60"/>
  <c r="BC216" i="60"/>
  <c r="BD216" i="60"/>
  <c r="BE216" i="60"/>
  <c r="BF216" i="60"/>
  <c r="BG216" i="60"/>
  <c r="V217" i="60"/>
  <c r="W217" i="60"/>
  <c r="X217" i="60"/>
  <c r="Y217" i="60"/>
  <c r="Z217" i="60"/>
  <c r="AA217" i="60"/>
  <c r="AB217" i="60"/>
  <c r="AC217" i="60"/>
  <c r="AD217" i="60"/>
  <c r="AE217" i="60"/>
  <c r="AF217" i="60"/>
  <c r="AG217" i="60"/>
  <c r="AH217" i="60"/>
  <c r="AI217" i="60"/>
  <c r="AJ217" i="60"/>
  <c r="AK217" i="60"/>
  <c r="AL217" i="60"/>
  <c r="AM217" i="60"/>
  <c r="AN217" i="60"/>
  <c r="AO217" i="60"/>
  <c r="AP217" i="60"/>
  <c r="AQ217" i="60"/>
  <c r="AR217" i="60"/>
  <c r="AS217" i="60"/>
  <c r="AT217" i="60"/>
  <c r="AU217" i="60"/>
  <c r="AV217" i="60"/>
  <c r="AW217" i="60"/>
  <c r="AX217" i="60"/>
  <c r="AY217" i="60"/>
  <c r="AZ217" i="60"/>
  <c r="BA217" i="60"/>
  <c r="BB217" i="60"/>
  <c r="BC217" i="60"/>
  <c r="BD217" i="60"/>
  <c r="BE217" i="60"/>
  <c r="BF217" i="60"/>
  <c r="BG217" i="60"/>
  <c r="V218" i="60"/>
  <c r="W218" i="60"/>
  <c r="X218" i="60"/>
  <c r="Y218" i="60"/>
  <c r="Z218" i="60"/>
  <c r="AA218" i="60"/>
  <c r="AB218" i="60"/>
  <c r="AC218" i="60"/>
  <c r="AD218" i="60"/>
  <c r="AE218" i="60"/>
  <c r="AF218" i="60"/>
  <c r="AG218" i="60"/>
  <c r="AH218" i="60"/>
  <c r="AI218" i="60"/>
  <c r="AJ218" i="60"/>
  <c r="AK218" i="60"/>
  <c r="AL218" i="60"/>
  <c r="AM218" i="60"/>
  <c r="AN218" i="60"/>
  <c r="AO218" i="60"/>
  <c r="AP218" i="60"/>
  <c r="AQ218" i="60"/>
  <c r="AR218" i="60"/>
  <c r="AS218" i="60"/>
  <c r="AT218" i="60"/>
  <c r="AU218" i="60"/>
  <c r="AV218" i="60"/>
  <c r="AW218" i="60"/>
  <c r="AX218" i="60"/>
  <c r="AY218" i="60"/>
  <c r="AZ218" i="60"/>
  <c r="BA218" i="60"/>
  <c r="BB218" i="60"/>
  <c r="BC218" i="60"/>
  <c r="BD218" i="60"/>
  <c r="BE218" i="60"/>
  <c r="BF218" i="60"/>
  <c r="BG218" i="60"/>
  <c r="V219" i="60"/>
  <c r="W219" i="60"/>
  <c r="X219" i="60"/>
  <c r="Y219" i="60"/>
  <c r="Z219" i="60"/>
  <c r="AA219" i="60"/>
  <c r="AB219" i="60"/>
  <c r="AC219" i="60"/>
  <c r="AD219" i="60"/>
  <c r="AE219" i="60"/>
  <c r="AF219" i="60"/>
  <c r="AG219" i="60"/>
  <c r="AH219" i="60"/>
  <c r="AI219" i="60"/>
  <c r="AJ219" i="60"/>
  <c r="AK219" i="60"/>
  <c r="AL219" i="60"/>
  <c r="AM219" i="60"/>
  <c r="AN219" i="60"/>
  <c r="AO219" i="60"/>
  <c r="AP219" i="60"/>
  <c r="AQ219" i="60"/>
  <c r="AR219" i="60"/>
  <c r="AS219" i="60"/>
  <c r="AT219" i="60"/>
  <c r="AU219" i="60"/>
  <c r="AV219" i="60"/>
  <c r="AW219" i="60"/>
  <c r="AX219" i="60"/>
  <c r="AY219" i="60"/>
  <c r="AZ219" i="60"/>
  <c r="BA219" i="60"/>
  <c r="BB219" i="60"/>
  <c r="BC219" i="60"/>
  <c r="BD219" i="60"/>
  <c r="BE219" i="60"/>
  <c r="BF219" i="60"/>
  <c r="BG219" i="60"/>
  <c r="BE3" i="61"/>
  <c r="BD3" i="61"/>
  <c r="BC3" i="61"/>
  <c r="BB3" i="61"/>
  <c r="BA3" i="61"/>
  <c r="AZ3" i="61"/>
  <c r="AY3" i="61"/>
  <c r="AX3" i="61"/>
  <c r="AW3" i="61"/>
  <c r="AV3" i="61"/>
  <c r="AU3" i="61"/>
  <c r="AT3" i="61"/>
  <c r="AS3" i="61"/>
  <c r="AR3" i="61"/>
  <c r="AQ3" i="61"/>
  <c r="AP3" i="61"/>
  <c r="AO3" i="61"/>
  <c r="AN3" i="61"/>
  <c r="AM3" i="61"/>
  <c r="AL3" i="61"/>
  <c r="AK3" i="61"/>
  <c r="AJ3" i="61"/>
  <c r="AI3" i="61"/>
  <c r="AH3" i="61"/>
  <c r="AG3" i="61"/>
  <c r="AF3" i="61"/>
  <c r="AE3" i="61"/>
  <c r="AD3" i="61"/>
  <c r="AC3" i="61"/>
  <c r="AB3" i="61"/>
  <c r="AA3" i="61"/>
  <c r="Z3" i="61"/>
  <c r="Y3" i="61"/>
  <c r="X3" i="61"/>
  <c r="W3" i="61"/>
  <c r="V3" i="61"/>
  <c r="U3" i="61"/>
  <c r="T3" i="61"/>
  <c r="S3" i="61"/>
  <c r="R3" i="61"/>
  <c r="Q3" i="61"/>
  <c r="P3" i="61"/>
  <c r="O3" i="61"/>
  <c r="N3" i="61"/>
  <c r="M3" i="61"/>
  <c r="L3" i="61"/>
  <c r="K3" i="61"/>
  <c r="J3" i="61"/>
  <c r="I3" i="61"/>
  <c r="H3" i="61"/>
  <c r="G3" i="61"/>
  <c r="F3" i="61"/>
  <c r="E3" i="61"/>
  <c r="D3" i="61"/>
  <c r="E3" i="60"/>
  <c r="F3" i="60"/>
  <c r="G3" i="60"/>
  <c r="H3" i="60"/>
  <c r="I3" i="60"/>
  <c r="J3" i="60"/>
  <c r="K3" i="60"/>
  <c r="L3" i="60"/>
  <c r="M3" i="60"/>
  <c r="N3" i="60"/>
  <c r="O3" i="60"/>
  <c r="P3" i="60"/>
  <c r="Q3" i="60"/>
  <c r="R3" i="60"/>
  <c r="S3" i="60"/>
  <c r="T3" i="60"/>
  <c r="U3" i="60"/>
  <c r="V3" i="60"/>
  <c r="W3" i="60"/>
  <c r="X3" i="60"/>
  <c r="Y3" i="60"/>
  <c r="Z3" i="60"/>
  <c r="AA3" i="60"/>
  <c r="AB3" i="60"/>
  <c r="AC3" i="60"/>
  <c r="AD3" i="60"/>
  <c r="AE3" i="60"/>
  <c r="AF3" i="60"/>
  <c r="AG3" i="60"/>
  <c r="AH3" i="60"/>
  <c r="AI3" i="60"/>
  <c r="AJ3" i="60"/>
  <c r="AK3" i="60"/>
  <c r="AL3" i="60"/>
  <c r="AM3" i="60"/>
  <c r="AN3" i="60"/>
  <c r="AO3" i="60"/>
  <c r="AP3" i="60"/>
  <c r="AQ3" i="60"/>
  <c r="AR3" i="60"/>
  <c r="AS3" i="60"/>
  <c r="AT3" i="60"/>
  <c r="AU3" i="60"/>
  <c r="AV3" i="60"/>
  <c r="AW3" i="60"/>
  <c r="AX3" i="60"/>
  <c r="AY3" i="60"/>
  <c r="AZ3" i="60"/>
  <c r="BA3" i="60"/>
  <c r="BB3" i="60"/>
  <c r="BC3" i="60"/>
  <c r="BD3" i="60"/>
  <c r="BE3" i="60"/>
  <c r="C19" i="51"/>
  <c r="D19" i="51"/>
  <c r="E19" i="51"/>
  <c r="F19" i="51"/>
  <c r="G19" i="51"/>
  <c r="H19" i="51"/>
  <c r="I19" i="51"/>
  <c r="J19" i="51"/>
  <c r="K19" i="51"/>
  <c r="L19" i="51"/>
  <c r="M19" i="51"/>
  <c r="N19" i="51"/>
  <c r="O19" i="51"/>
  <c r="P19" i="51"/>
  <c r="Q19" i="51"/>
  <c r="R19" i="51"/>
  <c r="S19" i="51"/>
  <c r="T19" i="51"/>
  <c r="U19" i="51"/>
  <c r="V19" i="51"/>
  <c r="W19" i="51"/>
  <c r="X19" i="51"/>
  <c r="Y19" i="51"/>
  <c r="Z19" i="51"/>
  <c r="AA19" i="51"/>
  <c r="AB19" i="51"/>
  <c r="AC19" i="51"/>
  <c r="AD19" i="51"/>
  <c r="AE19" i="51"/>
  <c r="AF19" i="51"/>
  <c r="AG19" i="51"/>
  <c r="AH19" i="51"/>
  <c r="AI19" i="51"/>
  <c r="AJ19" i="51"/>
  <c r="AK19" i="51"/>
  <c r="AL19" i="51"/>
  <c r="AM19" i="51"/>
  <c r="AN19" i="51"/>
  <c r="AO19" i="51"/>
  <c r="AP19" i="51"/>
  <c r="AQ19" i="51"/>
  <c r="AR19" i="51"/>
  <c r="AS19" i="51"/>
  <c r="AT19" i="51"/>
  <c r="AU19" i="51"/>
  <c r="AV19" i="51"/>
  <c r="AW19" i="51"/>
  <c r="AX19" i="51"/>
  <c r="AY19" i="51"/>
  <c r="AZ19" i="51"/>
  <c r="BA19" i="51"/>
  <c r="BB19" i="51"/>
  <c r="BC19" i="51"/>
  <c r="C20" i="51"/>
  <c r="D20" i="51"/>
  <c r="E20" i="51"/>
  <c r="F20" i="51"/>
  <c r="G20" i="51"/>
  <c r="H20" i="51"/>
  <c r="I20" i="51"/>
  <c r="J20" i="51"/>
  <c r="K20" i="51"/>
  <c r="L20" i="51"/>
  <c r="M20" i="51"/>
  <c r="N20" i="51"/>
  <c r="O20" i="51"/>
  <c r="P20" i="51"/>
  <c r="Q20" i="51"/>
  <c r="R20" i="51"/>
  <c r="S20" i="51"/>
  <c r="T20" i="51"/>
  <c r="U20" i="51"/>
  <c r="V20" i="51"/>
  <c r="W20" i="51"/>
  <c r="X20" i="51"/>
  <c r="Y20" i="51"/>
  <c r="Z20" i="51"/>
  <c r="AA20" i="51"/>
  <c r="AB20" i="51"/>
  <c r="AC20" i="51"/>
  <c r="AD20" i="51"/>
  <c r="AE20" i="51"/>
  <c r="AF20" i="51"/>
  <c r="AG20" i="51"/>
  <c r="AH20" i="51"/>
  <c r="AI20" i="51"/>
  <c r="AJ20" i="51"/>
  <c r="AK20" i="51"/>
  <c r="AL20" i="51"/>
  <c r="AM20" i="51"/>
  <c r="AN20" i="51"/>
  <c r="AO20" i="51"/>
  <c r="AP20" i="51"/>
  <c r="AQ20" i="51"/>
  <c r="AR20" i="51"/>
  <c r="AS20" i="51"/>
  <c r="AT20" i="51"/>
  <c r="AU20" i="51"/>
  <c r="AV20" i="51"/>
  <c r="AW20" i="51"/>
  <c r="AX20" i="51"/>
  <c r="AY20" i="51"/>
  <c r="AZ20" i="51"/>
  <c r="BA20" i="51"/>
  <c r="BB20" i="51"/>
  <c r="BC20" i="51"/>
  <c r="B20" i="51"/>
  <c r="B19" i="51"/>
  <c r="AJ219" i="73"/>
  <c r="AI219" i="73"/>
  <c r="AH219" i="73"/>
  <c r="AG219" i="73"/>
  <c r="AF219" i="73"/>
  <c r="AE219" i="73"/>
  <c r="AD219" i="73"/>
  <c r="AC219" i="73"/>
  <c r="AB219" i="73"/>
  <c r="AA219" i="73"/>
  <c r="Z219" i="73"/>
  <c r="Y219" i="73"/>
  <c r="X219" i="73"/>
  <c r="W219" i="73"/>
  <c r="V219" i="73"/>
  <c r="U219" i="73"/>
  <c r="T219" i="73"/>
  <c r="S219" i="73"/>
  <c r="R219" i="73"/>
  <c r="Q219" i="73"/>
  <c r="P219" i="73"/>
  <c r="O219" i="73"/>
  <c r="N219" i="73"/>
  <c r="M219" i="73"/>
  <c r="L219" i="73"/>
  <c r="K219" i="73"/>
  <c r="J219" i="73"/>
  <c r="I219" i="73"/>
  <c r="H219" i="73"/>
  <c r="G219" i="73"/>
  <c r="F219" i="73"/>
  <c r="E219" i="73"/>
  <c r="D219" i="73"/>
  <c r="AJ218" i="73"/>
  <c r="AI218" i="73"/>
  <c r="AH218" i="73"/>
  <c r="AG218" i="73"/>
  <c r="AF218" i="73"/>
  <c r="AE218" i="73"/>
  <c r="AD218" i="73"/>
  <c r="AC218" i="73"/>
  <c r="AB218" i="73"/>
  <c r="AA218" i="73"/>
  <c r="Z218" i="73"/>
  <c r="Y218" i="73"/>
  <c r="X218" i="73"/>
  <c r="W218" i="73"/>
  <c r="V218" i="73"/>
  <c r="U218" i="73"/>
  <c r="T218" i="73"/>
  <c r="S218" i="73"/>
  <c r="R218" i="73"/>
  <c r="Q218" i="73"/>
  <c r="P218" i="73"/>
  <c r="O218" i="73"/>
  <c r="N218" i="73"/>
  <c r="M218" i="73"/>
  <c r="L218" i="73"/>
  <c r="K218" i="73"/>
  <c r="J218" i="73"/>
  <c r="I218" i="73"/>
  <c r="H218" i="73"/>
  <c r="G218" i="73"/>
  <c r="F218" i="73"/>
  <c r="E218" i="73"/>
  <c r="D218" i="73"/>
  <c r="AJ217" i="73"/>
  <c r="AI217" i="73"/>
  <c r="AH217" i="73"/>
  <c r="AG217" i="73"/>
  <c r="AF217" i="73"/>
  <c r="AE217" i="73"/>
  <c r="AD217" i="73"/>
  <c r="AC217" i="73"/>
  <c r="AB217" i="73"/>
  <c r="AA217" i="73"/>
  <c r="Z217" i="73"/>
  <c r="Y217" i="73"/>
  <c r="X217" i="73"/>
  <c r="W217" i="73"/>
  <c r="V217" i="73"/>
  <c r="U217" i="73"/>
  <c r="T217" i="73"/>
  <c r="S217" i="73"/>
  <c r="R217" i="73"/>
  <c r="Q217" i="73"/>
  <c r="P217" i="73"/>
  <c r="O217" i="73"/>
  <c r="N217" i="73"/>
  <c r="M217" i="73"/>
  <c r="L217" i="73"/>
  <c r="K217" i="73"/>
  <c r="J217" i="73"/>
  <c r="I217" i="73"/>
  <c r="H217" i="73"/>
  <c r="G217" i="73"/>
  <c r="F217" i="73"/>
  <c r="E217" i="73"/>
  <c r="D217" i="73"/>
  <c r="AJ216" i="73"/>
  <c r="AI216" i="73"/>
  <c r="AH216" i="73"/>
  <c r="AG216" i="73"/>
  <c r="AF216" i="73"/>
  <c r="AE216" i="73"/>
  <c r="AD216" i="73"/>
  <c r="AC216" i="73"/>
  <c r="AB216" i="73"/>
  <c r="AA216" i="73"/>
  <c r="Z216" i="73"/>
  <c r="Y216" i="73"/>
  <c r="X216" i="73"/>
  <c r="W216" i="73"/>
  <c r="V216" i="73"/>
  <c r="U216" i="73"/>
  <c r="T216" i="73"/>
  <c r="S216" i="73"/>
  <c r="R216" i="73"/>
  <c r="Q216" i="73"/>
  <c r="P216" i="73"/>
  <c r="O216" i="73"/>
  <c r="N216" i="73"/>
  <c r="M216" i="73"/>
  <c r="L216" i="73"/>
  <c r="K216" i="73"/>
  <c r="J216" i="73"/>
  <c r="I216" i="73"/>
  <c r="H216" i="73"/>
  <c r="G216" i="73"/>
  <c r="F216" i="73"/>
  <c r="E216" i="73"/>
  <c r="D216" i="73"/>
  <c r="AJ215" i="73"/>
  <c r="AI215" i="73"/>
  <c r="AH215" i="73"/>
  <c r="AG215" i="73"/>
  <c r="AF215" i="73"/>
  <c r="AE215" i="73"/>
  <c r="AD215" i="73"/>
  <c r="AC215" i="73"/>
  <c r="AB215" i="73"/>
  <c r="AA215" i="73"/>
  <c r="Z215" i="73"/>
  <c r="Y215" i="73"/>
  <c r="X215" i="73"/>
  <c r="W215" i="73"/>
  <c r="V215" i="73"/>
  <c r="U215" i="73"/>
  <c r="T215" i="73"/>
  <c r="S215" i="73"/>
  <c r="R215" i="73"/>
  <c r="Q215" i="73"/>
  <c r="P215" i="73"/>
  <c r="O215" i="73"/>
  <c r="N215" i="73"/>
  <c r="M215" i="73"/>
  <c r="L215" i="73"/>
  <c r="K215" i="73"/>
  <c r="J215" i="73"/>
  <c r="I215" i="73"/>
  <c r="H215" i="73"/>
  <c r="G215" i="73"/>
  <c r="F215" i="73"/>
  <c r="E215" i="73"/>
  <c r="D215" i="73"/>
  <c r="AJ214" i="73"/>
  <c r="AI214" i="73"/>
  <c r="AH214" i="73"/>
  <c r="AG214" i="73"/>
  <c r="AF214" i="73"/>
  <c r="AE214" i="73"/>
  <c r="AD214" i="73"/>
  <c r="AC214" i="73"/>
  <c r="AB214" i="73"/>
  <c r="AA214" i="73"/>
  <c r="Z214" i="73"/>
  <c r="Y214" i="73"/>
  <c r="X214" i="73"/>
  <c r="W214" i="73"/>
  <c r="V214" i="73"/>
  <c r="U214" i="73"/>
  <c r="T214" i="73"/>
  <c r="S214" i="73"/>
  <c r="R214" i="73"/>
  <c r="Q214" i="73"/>
  <c r="P214" i="73"/>
  <c r="O214" i="73"/>
  <c r="N214" i="73"/>
  <c r="M214" i="73"/>
  <c r="L214" i="73"/>
  <c r="K214" i="73"/>
  <c r="J214" i="73"/>
  <c r="I214" i="73"/>
  <c r="H214" i="73"/>
  <c r="G214" i="73"/>
  <c r="F214" i="73"/>
  <c r="E214" i="73"/>
  <c r="D214" i="73"/>
  <c r="AJ213" i="73"/>
  <c r="AI213" i="73"/>
  <c r="AH213" i="73"/>
  <c r="AG213" i="73"/>
  <c r="AF213" i="73"/>
  <c r="AE213" i="73"/>
  <c r="AD213" i="73"/>
  <c r="AC213" i="73"/>
  <c r="AB213" i="73"/>
  <c r="AA213" i="73"/>
  <c r="Z213" i="73"/>
  <c r="Y213" i="73"/>
  <c r="X213" i="73"/>
  <c r="W213" i="73"/>
  <c r="V213" i="73"/>
  <c r="U213" i="73"/>
  <c r="T213" i="73"/>
  <c r="S213" i="73"/>
  <c r="R213" i="73"/>
  <c r="Q213" i="73"/>
  <c r="P213" i="73"/>
  <c r="O213" i="73"/>
  <c r="N213" i="73"/>
  <c r="M213" i="73"/>
  <c r="L213" i="73"/>
  <c r="K213" i="73"/>
  <c r="J213" i="73"/>
  <c r="I213" i="73"/>
  <c r="H213" i="73"/>
  <c r="G213" i="73"/>
  <c r="F213" i="73"/>
  <c r="E213" i="73"/>
  <c r="D213" i="73"/>
  <c r="AJ212" i="73"/>
  <c r="AI212" i="73"/>
  <c r="AH212" i="73"/>
  <c r="AG212" i="73"/>
  <c r="AF212" i="73"/>
  <c r="AE212" i="73"/>
  <c r="AD212" i="73"/>
  <c r="AC212" i="73"/>
  <c r="AB212" i="73"/>
  <c r="AA212" i="73"/>
  <c r="Z212" i="73"/>
  <c r="Y212" i="73"/>
  <c r="X212" i="73"/>
  <c r="W212" i="73"/>
  <c r="V212" i="73"/>
  <c r="U212" i="73"/>
  <c r="T212" i="73"/>
  <c r="S212" i="73"/>
  <c r="R212" i="73"/>
  <c r="Q212" i="73"/>
  <c r="P212" i="73"/>
  <c r="O212" i="73"/>
  <c r="N212" i="73"/>
  <c r="M212" i="73"/>
  <c r="L212" i="73"/>
  <c r="K212" i="73"/>
  <c r="J212" i="73"/>
  <c r="I212" i="73"/>
  <c r="H212" i="73"/>
  <c r="G212" i="73"/>
  <c r="F212" i="73"/>
  <c r="E212" i="73"/>
  <c r="D212" i="73"/>
  <c r="AJ211" i="73"/>
  <c r="AI211" i="73"/>
  <c r="AH211" i="73"/>
  <c r="AG211" i="73"/>
  <c r="AF211" i="73"/>
  <c r="AE211" i="73"/>
  <c r="AD211" i="73"/>
  <c r="AC211" i="73"/>
  <c r="AB211" i="73"/>
  <c r="AA211" i="73"/>
  <c r="Z211" i="73"/>
  <c r="Y211" i="73"/>
  <c r="X211" i="73"/>
  <c r="W211" i="73"/>
  <c r="V211" i="73"/>
  <c r="U211" i="73"/>
  <c r="T211" i="73"/>
  <c r="S211" i="73"/>
  <c r="R211" i="73"/>
  <c r="Q211" i="73"/>
  <c r="P211" i="73"/>
  <c r="O211" i="73"/>
  <c r="N211" i="73"/>
  <c r="M211" i="73"/>
  <c r="L211" i="73"/>
  <c r="K211" i="73"/>
  <c r="J211" i="73"/>
  <c r="I211" i="73"/>
  <c r="H211" i="73"/>
  <c r="G211" i="73"/>
  <c r="F211" i="73"/>
  <c r="E211" i="73"/>
  <c r="D211" i="73"/>
  <c r="AJ210" i="73"/>
  <c r="AI210" i="73"/>
  <c r="AH210" i="73"/>
  <c r="AG210" i="73"/>
  <c r="AF210" i="73"/>
  <c r="AE210" i="73"/>
  <c r="AD210" i="73"/>
  <c r="AC210" i="73"/>
  <c r="AB210" i="73"/>
  <c r="AA210" i="73"/>
  <c r="Z210" i="73"/>
  <c r="Y210" i="73"/>
  <c r="X210" i="73"/>
  <c r="W210" i="73"/>
  <c r="V210" i="73"/>
  <c r="U210" i="73"/>
  <c r="T210" i="73"/>
  <c r="S210" i="73"/>
  <c r="R210" i="73"/>
  <c r="Q210" i="73"/>
  <c r="P210" i="73"/>
  <c r="O210" i="73"/>
  <c r="N210" i="73"/>
  <c r="M210" i="73"/>
  <c r="L210" i="73"/>
  <c r="K210" i="73"/>
  <c r="J210" i="73"/>
  <c r="I210" i="73"/>
  <c r="H210" i="73"/>
  <c r="G210" i="73"/>
  <c r="F210" i="73"/>
  <c r="E210" i="73"/>
  <c r="D210" i="73"/>
  <c r="AJ209" i="73"/>
  <c r="AI209" i="73"/>
  <c r="AH209" i="73"/>
  <c r="AG209" i="73"/>
  <c r="AF209" i="73"/>
  <c r="AE209" i="73"/>
  <c r="AD209" i="73"/>
  <c r="AC209" i="73"/>
  <c r="AB209" i="73"/>
  <c r="AA209" i="73"/>
  <c r="Z209" i="73"/>
  <c r="Y209" i="73"/>
  <c r="X209" i="73"/>
  <c r="W209" i="73"/>
  <c r="V209" i="73"/>
  <c r="U209" i="73"/>
  <c r="T209" i="73"/>
  <c r="S209" i="73"/>
  <c r="R209" i="73"/>
  <c r="Q209" i="73"/>
  <c r="P209" i="73"/>
  <c r="O209" i="73"/>
  <c r="N209" i="73"/>
  <c r="M209" i="73"/>
  <c r="L209" i="73"/>
  <c r="K209" i="73"/>
  <c r="J209" i="73"/>
  <c r="I209" i="73"/>
  <c r="H209" i="73"/>
  <c r="G209" i="73"/>
  <c r="F209" i="73"/>
  <c r="E209" i="73"/>
  <c r="D209" i="73"/>
  <c r="AJ208" i="73"/>
  <c r="AI208" i="73"/>
  <c r="AH208" i="73"/>
  <c r="AG208" i="73"/>
  <c r="AF208" i="73"/>
  <c r="AE208" i="73"/>
  <c r="AD208" i="73"/>
  <c r="AC208" i="73"/>
  <c r="AB208" i="73"/>
  <c r="AA208" i="73"/>
  <c r="Z208" i="73"/>
  <c r="Y208" i="73"/>
  <c r="X208" i="73"/>
  <c r="W208" i="73"/>
  <c r="V208" i="73"/>
  <c r="U208" i="73"/>
  <c r="T208" i="73"/>
  <c r="S208" i="73"/>
  <c r="R208" i="73"/>
  <c r="Q208" i="73"/>
  <c r="P208" i="73"/>
  <c r="O208" i="73"/>
  <c r="N208" i="73"/>
  <c r="M208" i="73"/>
  <c r="L208" i="73"/>
  <c r="K208" i="73"/>
  <c r="J208" i="73"/>
  <c r="I208" i="73"/>
  <c r="H208" i="73"/>
  <c r="G208" i="73"/>
  <c r="F208" i="73"/>
  <c r="E208" i="73"/>
  <c r="D208" i="73"/>
  <c r="AJ207" i="73"/>
  <c r="AI207" i="73"/>
  <c r="AH207" i="73"/>
  <c r="AG207" i="73"/>
  <c r="AF207" i="73"/>
  <c r="AE207" i="73"/>
  <c r="AD207" i="73"/>
  <c r="AC207" i="73"/>
  <c r="AB207" i="73"/>
  <c r="AA207" i="73"/>
  <c r="Z207" i="73"/>
  <c r="Y207" i="73"/>
  <c r="X207" i="73"/>
  <c r="W207" i="73"/>
  <c r="V207" i="73"/>
  <c r="U207" i="73"/>
  <c r="T207" i="73"/>
  <c r="S207" i="73"/>
  <c r="R207" i="73"/>
  <c r="Q207" i="73"/>
  <c r="P207" i="73"/>
  <c r="O207" i="73"/>
  <c r="N207" i="73"/>
  <c r="M207" i="73"/>
  <c r="L207" i="73"/>
  <c r="K207" i="73"/>
  <c r="J207" i="73"/>
  <c r="I207" i="73"/>
  <c r="H207" i="73"/>
  <c r="G207" i="73"/>
  <c r="F207" i="73"/>
  <c r="E207" i="73"/>
  <c r="D207" i="73"/>
  <c r="AJ206" i="73"/>
  <c r="AI206" i="73"/>
  <c r="AH206" i="73"/>
  <c r="AG206" i="73"/>
  <c r="AF206" i="73"/>
  <c r="AE206" i="73"/>
  <c r="AD206" i="73"/>
  <c r="AC206" i="73"/>
  <c r="AB206" i="73"/>
  <c r="AA206" i="73"/>
  <c r="Z206" i="73"/>
  <c r="Y206" i="73"/>
  <c r="X206" i="73"/>
  <c r="W206" i="73"/>
  <c r="V206" i="73"/>
  <c r="U206" i="73"/>
  <c r="T206" i="73"/>
  <c r="S206" i="73"/>
  <c r="R206" i="73"/>
  <c r="Q206" i="73"/>
  <c r="P206" i="73"/>
  <c r="O206" i="73"/>
  <c r="N206" i="73"/>
  <c r="M206" i="73"/>
  <c r="L206" i="73"/>
  <c r="K206" i="73"/>
  <c r="J206" i="73"/>
  <c r="I206" i="73"/>
  <c r="H206" i="73"/>
  <c r="G206" i="73"/>
  <c r="F206" i="73"/>
  <c r="E206" i="73"/>
  <c r="D206" i="73"/>
  <c r="AJ205" i="73"/>
  <c r="AI205" i="73"/>
  <c r="AH205" i="73"/>
  <c r="AG205" i="73"/>
  <c r="AF205" i="73"/>
  <c r="AE205" i="73"/>
  <c r="AD205" i="73"/>
  <c r="AC205" i="73"/>
  <c r="AB205" i="73"/>
  <c r="AA205" i="73"/>
  <c r="Z205" i="73"/>
  <c r="Y205" i="73"/>
  <c r="X205" i="73"/>
  <c r="W205" i="73"/>
  <c r="V205" i="73"/>
  <c r="U205" i="73"/>
  <c r="T205" i="73"/>
  <c r="S205" i="73"/>
  <c r="R205" i="73"/>
  <c r="Q205" i="73"/>
  <c r="P205" i="73"/>
  <c r="O205" i="73"/>
  <c r="N205" i="73"/>
  <c r="M205" i="73"/>
  <c r="L205" i="73"/>
  <c r="K205" i="73"/>
  <c r="J205" i="73"/>
  <c r="I205" i="73"/>
  <c r="H205" i="73"/>
  <c r="G205" i="73"/>
  <c r="F205" i="73"/>
  <c r="E205" i="73"/>
  <c r="D205" i="73"/>
  <c r="AJ204" i="73"/>
  <c r="AI204" i="73"/>
  <c r="AH204" i="73"/>
  <c r="AG204" i="73"/>
  <c r="AF204" i="73"/>
  <c r="AE204" i="73"/>
  <c r="AD204" i="73"/>
  <c r="AC204" i="73"/>
  <c r="AB204" i="73"/>
  <c r="AA204" i="73"/>
  <c r="Z204" i="73"/>
  <c r="Y204" i="73"/>
  <c r="X204" i="73"/>
  <c r="W204" i="73"/>
  <c r="V204" i="73"/>
  <c r="U204" i="73"/>
  <c r="T204" i="73"/>
  <c r="S204" i="73"/>
  <c r="R204" i="73"/>
  <c r="Q204" i="73"/>
  <c r="P204" i="73"/>
  <c r="O204" i="73"/>
  <c r="N204" i="73"/>
  <c r="M204" i="73"/>
  <c r="L204" i="73"/>
  <c r="K204" i="73"/>
  <c r="J204" i="73"/>
  <c r="I204" i="73"/>
  <c r="H204" i="73"/>
  <c r="G204" i="73"/>
  <c r="F204" i="73"/>
  <c r="E204" i="73"/>
  <c r="D204" i="73"/>
  <c r="AJ203" i="73"/>
  <c r="AI203" i="73"/>
  <c r="AH203" i="73"/>
  <c r="AG203" i="73"/>
  <c r="AF203" i="73"/>
  <c r="AE203" i="73"/>
  <c r="AD203" i="73"/>
  <c r="AC203" i="73"/>
  <c r="AB203" i="73"/>
  <c r="AA203" i="73"/>
  <c r="Z203" i="73"/>
  <c r="Y203" i="73"/>
  <c r="X203" i="73"/>
  <c r="W203" i="73"/>
  <c r="V203" i="73"/>
  <c r="U203" i="73"/>
  <c r="T203" i="73"/>
  <c r="S203" i="73"/>
  <c r="R203" i="73"/>
  <c r="Q203" i="73"/>
  <c r="P203" i="73"/>
  <c r="O203" i="73"/>
  <c r="N203" i="73"/>
  <c r="M203" i="73"/>
  <c r="L203" i="73"/>
  <c r="K203" i="73"/>
  <c r="J203" i="73"/>
  <c r="I203" i="73"/>
  <c r="H203" i="73"/>
  <c r="G203" i="73"/>
  <c r="F203" i="73"/>
  <c r="E203" i="73"/>
  <c r="D203" i="73"/>
  <c r="AJ202" i="73"/>
  <c r="AI202" i="73"/>
  <c r="AH202" i="73"/>
  <c r="AG202" i="73"/>
  <c r="AF202" i="73"/>
  <c r="AE202" i="73"/>
  <c r="AD202" i="73"/>
  <c r="AC202" i="73"/>
  <c r="AB202" i="73"/>
  <c r="AA202" i="73"/>
  <c r="Z202" i="73"/>
  <c r="Y202" i="73"/>
  <c r="X202" i="73"/>
  <c r="W202" i="73"/>
  <c r="V202" i="73"/>
  <c r="U202" i="73"/>
  <c r="T202" i="73"/>
  <c r="S202" i="73"/>
  <c r="R202" i="73"/>
  <c r="Q202" i="73"/>
  <c r="P202" i="73"/>
  <c r="O202" i="73"/>
  <c r="N202" i="73"/>
  <c r="M202" i="73"/>
  <c r="L202" i="73"/>
  <c r="K202" i="73"/>
  <c r="J202" i="73"/>
  <c r="I202" i="73"/>
  <c r="H202" i="73"/>
  <c r="G202" i="73"/>
  <c r="F202" i="73"/>
  <c r="E202" i="73"/>
  <c r="D202" i="73"/>
  <c r="AJ201" i="73"/>
  <c r="AI201" i="73"/>
  <c r="AH201" i="73"/>
  <c r="AG201" i="73"/>
  <c r="AF201" i="73"/>
  <c r="AE201" i="73"/>
  <c r="AD201" i="73"/>
  <c r="AC201" i="73"/>
  <c r="AB201" i="73"/>
  <c r="AA201" i="73"/>
  <c r="Z201" i="73"/>
  <c r="Y201" i="73"/>
  <c r="X201" i="73"/>
  <c r="W201" i="73"/>
  <c r="V201" i="73"/>
  <c r="U201" i="73"/>
  <c r="T201" i="73"/>
  <c r="S201" i="73"/>
  <c r="R201" i="73"/>
  <c r="Q201" i="73"/>
  <c r="P201" i="73"/>
  <c r="O201" i="73"/>
  <c r="N201" i="73"/>
  <c r="M201" i="73"/>
  <c r="L201" i="73"/>
  <c r="K201" i="73"/>
  <c r="J201" i="73"/>
  <c r="I201" i="73"/>
  <c r="H201" i="73"/>
  <c r="G201" i="73"/>
  <c r="F201" i="73"/>
  <c r="E201" i="73"/>
  <c r="D201" i="73"/>
  <c r="AJ200" i="73"/>
  <c r="AI200" i="73"/>
  <c r="AH200" i="73"/>
  <c r="AG200" i="73"/>
  <c r="AF200" i="73"/>
  <c r="AE200" i="73"/>
  <c r="AD200" i="73"/>
  <c r="AC200" i="73"/>
  <c r="AB200" i="73"/>
  <c r="AA200" i="73"/>
  <c r="Z200" i="73"/>
  <c r="Y200" i="73"/>
  <c r="X200" i="73"/>
  <c r="W200" i="73"/>
  <c r="V200" i="73"/>
  <c r="U200" i="73"/>
  <c r="T200" i="73"/>
  <c r="S200" i="73"/>
  <c r="R200" i="73"/>
  <c r="Q200" i="73"/>
  <c r="P200" i="73"/>
  <c r="O200" i="73"/>
  <c r="N200" i="73"/>
  <c r="M200" i="73"/>
  <c r="L200" i="73"/>
  <c r="K200" i="73"/>
  <c r="J200" i="73"/>
  <c r="I200" i="73"/>
  <c r="H200" i="73"/>
  <c r="G200" i="73"/>
  <c r="F200" i="73"/>
  <c r="E200" i="73"/>
  <c r="D200" i="73"/>
  <c r="AJ199" i="73"/>
  <c r="AI199" i="73"/>
  <c r="AH199" i="73"/>
  <c r="AG199" i="73"/>
  <c r="AF199" i="73"/>
  <c r="AE199" i="73"/>
  <c r="AD199" i="73"/>
  <c r="AC199" i="73"/>
  <c r="AB199" i="73"/>
  <c r="AA199" i="73"/>
  <c r="Z199" i="73"/>
  <c r="Y199" i="73"/>
  <c r="X199" i="73"/>
  <c r="W199" i="73"/>
  <c r="V199" i="73"/>
  <c r="U199" i="73"/>
  <c r="T199" i="73"/>
  <c r="S199" i="73"/>
  <c r="R199" i="73"/>
  <c r="Q199" i="73"/>
  <c r="P199" i="73"/>
  <c r="O199" i="73"/>
  <c r="N199" i="73"/>
  <c r="M199" i="73"/>
  <c r="L199" i="73"/>
  <c r="K199" i="73"/>
  <c r="J199" i="73"/>
  <c r="I199" i="73"/>
  <c r="H199" i="73"/>
  <c r="G199" i="73"/>
  <c r="F199" i="73"/>
  <c r="E199" i="73"/>
  <c r="D199" i="73"/>
  <c r="AJ198" i="73"/>
  <c r="AI198" i="73"/>
  <c r="AH198" i="73"/>
  <c r="AG198" i="73"/>
  <c r="AF198" i="73"/>
  <c r="AE198" i="73"/>
  <c r="AD198" i="73"/>
  <c r="AC198" i="73"/>
  <c r="AB198" i="73"/>
  <c r="AA198" i="73"/>
  <c r="Z198" i="73"/>
  <c r="Y198" i="73"/>
  <c r="X198" i="73"/>
  <c r="W198" i="73"/>
  <c r="V198" i="73"/>
  <c r="U198" i="73"/>
  <c r="T198" i="73"/>
  <c r="S198" i="73"/>
  <c r="R198" i="73"/>
  <c r="Q198" i="73"/>
  <c r="P198" i="73"/>
  <c r="O198" i="73"/>
  <c r="N198" i="73"/>
  <c r="M198" i="73"/>
  <c r="L198" i="73"/>
  <c r="K198" i="73"/>
  <c r="J198" i="73"/>
  <c r="I198" i="73"/>
  <c r="H198" i="73"/>
  <c r="G198" i="73"/>
  <c r="F198" i="73"/>
  <c r="E198" i="73"/>
  <c r="D198" i="73"/>
  <c r="AJ197" i="73"/>
  <c r="AI197" i="73"/>
  <c r="AH197" i="73"/>
  <c r="AG197" i="73"/>
  <c r="AF197" i="73"/>
  <c r="AE197" i="73"/>
  <c r="AD197" i="73"/>
  <c r="AC197" i="73"/>
  <c r="AB197" i="73"/>
  <c r="AA197" i="73"/>
  <c r="Z197" i="73"/>
  <c r="Y197" i="73"/>
  <c r="X197" i="73"/>
  <c r="W197" i="73"/>
  <c r="V197" i="73"/>
  <c r="U197" i="73"/>
  <c r="T197" i="73"/>
  <c r="S197" i="73"/>
  <c r="R197" i="73"/>
  <c r="Q197" i="73"/>
  <c r="P197" i="73"/>
  <c r="O197" i="73"/>
  <c r="N197" i="73"/>
  <c r="M197" i="73"/>
  <c r="L197" i="73"/>
  <c r="K197" i="73"/>
  <c r="J197" i="73"/>
  <c r="I197" i="73"/>
  <c r="H197" i="73"/>
  <c r="G197" i="73"/>
  <c r="F197" i="73"/>
  <c r="E197" i="73"/>
  <c r="D197" i="73"/>
  <c r="AJ196" i="73"/>
  <c r="AI196" i="73"/>
  <c r="AH196" i="73"/>
  <c r="AG196" i="73"/>
  <c r="AF196" i="73"/>
  <c r="AE196" i="73"/>
  <c r="AD196" i="73"/>
  <c r="AC196" i="73"/>
  <c r="AB196" i="73"/>
  <c r="AA196" i="73"/>
  <c r="Z196" i="73"/>
  <c r="Y196" i="73"/>
  <c r="X196" i="73"/>
  <c r="W196" i="73"/>
  <c r="V196" i="73"/>
  <c r="U196" i="73"/>
  <c r="T196" i="73"/>
  <c r="S196" i="73"/>
  <c r="R196" i="73"/>
  <c r="Q196" i="73"/>
  <c r="P196" i="73"/>
  <c r="O196" i="73"/>
  <c r="N196" i="73"/>
  <c r="M196" i="73"/>
  <c r="L196" i="73"/>
  <c r="K196" i="73"/>
  <c r="J196" i="73"/>
  <c r="I196" i="73"/>
  <c r="H196" i="73"/>
  <c r="G196" i="73"/>
  <c r="F196" i="73"/>
  <c r="E196" i="73"/>
  <c r="D196" i="73"/>
  <c r="AJ195" i="73"/>
  <c r="AI195" i="73"/>
  <c r="AH195" i="73"/>
  <c r="AG195" i="73"/>
  <c r="AF195" i="73"/>
  <c r="AE195" i="73"/>
  <c r="AD195" i="73"/>
  <c r="AC195" i="73"/>
  <c r="AB195" i="73"/>
  <c r="AA195" i="73"/>
  <c r="Z195" i="73"/>
  <c r="Y195" i="73"/>
  <c r="X195" i="73"/>
  <c r="W195" i="73"/>
  <c r="V195" i="73"/>
  <c r="U195" i="73"/>
  <c r="T195" i="73"/>
  <c r="S195" i="73"/>
  <c r="R195" i="73"/>
  <c r="Q195" i="73"/>
  <c r="P195" i="73"/>
  <c r="O195" i="73"/>
  <c r="N195" i="73"/>
  <c r="M195" i="73"/>
  <c r="L195" i="73"/>
  <c r="K195" i="73"/>
  <c r="J195" i="73"/>
  <c r="I195" i="73"/>
  <c r="H195" i="73"/>
  <c r="G195" i="73"/>
  <c r="F195" i="73"/>
  <c r="E195" i="73"/>
  <c r="D195" i="73"/>
  <c r="AJ194" i="73"/>
  <c r="AI194" i="73"/>
  <c r="AH194" i="73"/>
  <c r="AG194" i="73"/>
  <c r="AF194" i="73"/>
  <c r="AE194" i="73"/>
  <c r="AD194" i="73"/>
  <c r="AC194" i="73"/>
  <c r="AB194" i="73"/>
  <c r="AA194" i="73"/>
  <c r="Z194" i="73"/>
  <c r="Y194" i="73"/>
  <c r="X194" i="73"/>
  <c r="W194" i="73"/>
  <c r="V194" i="73"/>
  <c r="U194" i="73"/>
  <c r="T194" i="73"/>
  <c r="S194" i="73"/>
  <c r="R194" i="73"/>
  <c r="Q194" i="73"/>
  <c r="P194" i="73"/>
  <c r="O194" i="73"/>
  <c r="N194" i="73"/>
  <c r="M194" i="73"/>
  <c r="L194" i="73"/>
  <c r="K194" i="73"/>
  <c r="J194" i="73"/>
  <c r="I194" i="73"/>
  <c r="H194" i="73"/>
  <c r="G194" i="73"/>
  <c r="F194" i="73"/>
  <c r="E194" i="73"/>
  <c r="D194" i="73"/>
  <c r="AJ193" i="73"/>
  <c r="AI193" i="73"/>
  <c r="AH193" i="73"/>
  <c r="AG193" i="73"/>
  <c r="AF193" i="73"/>
  <c r="AE193" i="73"/>
  <c r="AD193" i="73"/>
  <c r="AC193" i="73"/>
  <c r="AB193" i="73"/>
  <c r="AA193" i="73"/>
  <c r="Z193" i="73"/>
  <c r="Y193" i="73"/>
  <c r="X193" i="73"/>
  <c r="W193" i="73"/>
  <c r="V193" i="73"/>
  <c r="U193" i="73"/>
  <c r="T193" i="73"/>
  <c r="S193" i="73"/>
  <c r="R193" i="73"/>
  <c r="Q193" i="73"/>
  <c r="P193" i="73"/>
  <c r="O193" i="73"/>
  <c r="N193" i="73"/>
  <c r="M193" i="73"/>
  <c r="L193" i="73"/>
  <c r="K193" i="73"/>
  <c r="J193" i="73"/>
  <c r="I193" i="73"/>
  <c r="H193" i="73"/>
  <c r="G193" i="73"/>
  <c r="F193" i="73"/>
  <c r="E193" i="73"/>
  <c r="D193" i="73"/>
  <c r="AJ192" i="73"/>
  <c r="AI192" i="73"/>
  <c r="AH192" i="73"/>
  <c r="AG192" i="73"/>
  <c r="AF192" i="73"/>
  <c r="AE192" i="73"/>
  <c r="AD192" i="73"/>
  <c r="AC192" i="73"/>
  <c r="AB192" i="73"/>
  <c r="AA192" i="73"/>
  <c r="Z192" i="73"/>
  <c r="Y192" i="73"/>
  <c r="X192" i="73"/>
  <c r="W192" i="73"/>
  <c r="V192" i="73"/>
  <c r="U192" i="73"/>
  <c r="T192" i="73"/>
  <c r="S192" i="73"/>
  <c r="R192" i="73"/>
  <c r="Q192" i="73"/>
  <c r="P192" i="73"/>
  <c r="O192" i="73"/>
  <c r="N192" i="73"/>
  <c r="M192" i="73"/>
  <c r="L192" i="73"/>
  <c r="K192" i="73"/>
  <c r="J192" i="73"/>
  <c r="I192" i="73"/>
  <c r="H192" i="73"/>
  <c r="G192" i="73"/>
  <c r="F192" i="73"/>
  <c r="E192" i="73"/>
  <c r="D192" i="73"/>
  <c r="AJ191" i="73"/>
  <c r="AI191" i="73"/>
  <c r="AH191" i="73"/>
  <c r="AG191" i="73"/>
  <c r="AF191" i="73"/>
  <c r="AE191" i="73"/>
  <c r="AD191" i="73"/>
  <c r="AC191" i="73"/>
  <c r="AB191" i="73"/>
  <c r="AA191" i="73"/>
  <c r="Z191" i="73"/>
  <c r="Y191" i="73"/>
  <c r="X191" i="73"/>
  <c r="W191" i="73"/>
  <c r="V191" i="73"/>
  <c r="U191" i="73"/>
  <c r="T191" i="73"/>
  <c r="S191" i="73"/>
  <c r="R191" i="73"/>
  <c r="Q191" i="73"/>
  <c r="P191" i="73"/>
  <c r="O191" i="73"/>
  <c r="N191" i="73"/>
  <c r="M191" i="73"/>
  <c r="L191" i="73"/>
  <c r="K191" i="73"/>
  <c r="J191" i="73"/>
  <c r="I191" i="73"/>
  <c r="H191" i="73"/>
  <c r="G191" i="73"/>
  <c r="F191" i="73"/>
  <c r="E191" i="73"/>
  <c r="D191" i="73"/>
  <c r="AJ190" i="73"/>
  <c r="AI190" i="73"/>
  <c r="AH190" i="73"/>
  <c r="AG190" i="73"/>
  <c r="AF190" i="73"/>
  <c r="AE190" i="73"/>
  <c r="AD190" i="73"/>
  <c r="AC190" i="73"/>
  <c r="AB190" i="73"/>
  <c r="AA190" i="73"/>
  <c r="Z190" i="73"/>
  <c r="Y190" i="73"/>
  <c r="X190" i="73"/>
  <c r="W190" i="73"/>
  <c r="V190" i="73"/>
  <c r="U190" i="73"/>
  <c r="T190" i="73"/>
  <c r="S190" i="73"/>
  <c r="R190" i="73"/>
  <c r="Q190" i="73"/>
  <c r="P190" i="73"/>
  <c r="O190" i="73"/>
  <c r="N190" i="73"/>
  <c r="M190" i="73"/>
  <c r="L190" i="73"/>
  <c r="K190" i="73"/>
  <c r="J190" i="73"/>
  <c r="I190" i="73"/>
  <c r="H190" i="73"/>
  <c r="G190" i="73"/>
  <c r="F190" i="73"/>
  <c r="E190" i="73"/>
  <c r="D190" i="73"/>
  <c r="AJ189" i="73"/>
  <c r="AI189" i="73"/>
  <c r="AH189" i="73"/>
  <c r="AG189" i="73"/>
  <c r="AF189" i="73"/>
  <c r="AE189" i="73"/>
  <c r="AD189" i="73"/>
  <c r="AC189" i="73"/>
  <c r="AB189" i="73"/>
  <c r="AA189" i="73"/>
  <c r="Z189" i="73"/>
  <c r="Y189" i="73"/>
  <c r="X189" i="73"/>
  <c r="W189" i="73"/>
  <c r="V189" i="73"/>
  <c r="U189" i="73"/>
  <c r="T189" i="73"/>
  <c r="S189" i="73"/>
  <c r="R189" i="73"/>
  <c r="Q189" i="73"/>
  <c r="P189" i="73"/>
  <c r="O189" i="73"/>
  <c r="N189" i="73"/>
  <c r="M189" i="73"/>
  <c r="L189" i="73"/>
  <c r="K189" i="73"/>
  <c r="J189" i="73"/>
  <c r="I189" i="73"/>
  <c r="H189" i="73"/>
  <c r="G189" i="73"/>
  <c r="F189" i="73"/>
  <c r="E189" i="73"/>
  <c r="D189" i="73"/>
  <c r="AJ188" i="73"/>
  <c r="AI188" i="73"/>
  <c r="AH188" i="73"/>
  <c r="AG188" i="73"/>
  <c r="AF188" i="73"/>
  <c r="AE188" i="73"/>
  <c r="AD188" i="73"/>
  <c r="AC188" i="73"/>
  <c r="AB188" i="73"/>
  <c r="AA188" i="73"/>
  <c r="Z188" i="73"/>
  <c r="Y188" i="73"/>
  <c r="X188" i="73"/>
  <c r="W188" i="73"/>
  <c r="V188" i="73"/>
  <c r="U188" i="73"/>
  <c r="T188" i="73"/>
  <c r="S188" i="73"/>
  <c r="R188" i="73"/>
  <c r="Q188" i="73"/>
  <c r="P188" i="73"/>
  <c r="O188" i="73"/>
  <c r="N188" i="73"/>
  <c r="M188" i="73"/>
  <c r="L188" i="73"/>
  <c r="K188" i="73"/>
  <c r="J188" i="73"/>
  <c r="I188" i="73"/>
  <c r="H188" i="73"/>
  <c r="G188" i="73"/>
  <c r="F188" i="73"/>
  <c r="E188" i="73"/>
  <c r="D188" i="73"/>
  <c r="AJ187" i="73"/>
  <c r="AI187" i="73"/>
  <c r="AH187" i="73"/>
  <c r="AG187" i="73"/>
  <c r="AF187" i="73"/>
  <c r="AE187" i="73"/>
  <c r="AD187" i="73"/>
  <c r="AC187" i="73"/>
  <c r="AB187" i="73"/>
  <c r="AA187" i="73"/>
  <c r="Z187" i="73"/>
  <c r="Y187" i="73"/>
  <c r="X187" i="73"/>
  <c r="W187" i="73"/>
  <c r="V187" i="73"/>
  <c r="U187" i="73"/>
  <c r="T187" i="73"/>
  <c r="S187" i="73"/>
  <c r="R187" i="73"/>
  <c r="Q187" i="73"/>
  <c r="P187" i="73"/>
  <c r="O187" i="73"/>
  <c r="N187" i="73"/>
  <c r="M187" i="73"/>
  <c r="L187" i="73"/>
  <c r="K187" i="73"/>
  <c r="J187" i="73"/>
  <c r="I187" i="73"/>
  <c r="H187" i="73"/>
  <c r="G187" i="73"/>
  <c r="F187" i="73"/>
  <c r="E187" i="73"/>
  <c r="D187" i="73"/>
  <c r="AJ186" i="73"/>
  <c r="AI186" i="73"/>
  <c r="AH186" i="73"/>
  <c r="AG186" i="73"/>
  <c r="AF186" i="73"/>
  <c r="AE186" i="73"/>
  <c r="AD186" i="73"/>
  <c r="AC186" i="73"/>
  <c r="AB186" i="73"/>
  <c r="AA186" i="73"/>
  <c r="Z186" i="73"/>
  <c r="Y186" i="73"/>
  <c r="X186" i="73"/>
  <c r="W186" i="73"/>
  <c r="V186" i="73"/>
  <c r="U186" i="73"/>
  <c r="T186" i="73"/>
  <c r="S186" i="73"/>
  <c r="R186" i="73"/>
  <c r="Q186" i="73"/>
  <c r="P186" i="73"/>
  <c r="O186" i="73"/>
  <c r="N186" i="73"/>
  <c r="M186" i="73"/>
  <c r="L186" i="73"/>
  <c r="K186" i="73"/>
  <c r="J186" i="73"/>
  <c r="I186" i="73"/>
  <c r="H186" i="73"/>
  <c r="G186" i="73"/>
  <c r="F186" i="73"/>
  <c r="E186" i="73"/>
  <c r="D186" i="73"/>
  <c r="AJ185" i="73"/>
  <c r="AI185" i="73"/>
  <c r="AH185" i="73"/>
  <c r="AG185" i="73"/>
  <c r="AF185" i="73"/>
  <c r="AE185" i="73"/>
  <c r="AD185" i="73"/>
  <c r="AC185" i="73"/>
  <c r="AB185" i="73"/>
  <c r="AA185" i="73"/>
  <c r="Z185" i="73"/>
  <c r="Y185" i="73"/>
  <c r="X185" i="73"/>
  <c r="W185" i="73"/>
  <c r="V185" i="73"/>
  <c r="U185" i="73"/>
  <c r="T185" i="73"/>
  <c r="S185" i="73"/>
  <c r="R185" i="73"/>
  <c r="Q185" i="73"/>
  <c r="P185" i="73"/>
  <c r="O185" i="73"/>
  <c r="N185" i="73"/>
  <c r="M185" i="73"/>
  <c r="L185" i="73"/>
  <c r="K185" i="73"/>
  <c r="J185" i="73"/>
  <c r="I185" i="73"/>
  <c r="H185" i="73"/>
  <c r="G185" i="73"/>
  <c r="F185" i="73"/>
  <c r="E185" i="73"/>
  <c r="D185" i="73"/>
  <c r="AJ184" i="73"/>
  <c r="AI184" i="73"/>
  <c r="AH184" i="73"/>
  <c r="AG184" i="73"/>
  <c r="AF184" i="73"/>
  <c r="AE184" i="73"/>
  <c r="AD184" i="73"/>
  <c r="AC184" i="73"/>
  <c r="AB184" i="73"/>
  <c r="AA184" i="73"/>
  <c r="Z184" i="73"/>
  <c r="Y184" i="73"/>
  <c r="X184" i="73"/>
  <c r="W184" i="73"/>
  <c r="V184" i="73"/>
  <c r="U184" i="73"/>
  <c r="T184" i="73"/>
  <c r="S184" i="73"/>
  <c r="R184" i="73"/>
  <c r="Q184" i="73"/>
  <c r="P184" i="73"/>
  <c r="O184" i="73"/>
  <c r="N184" i="73"/>
  <c r="M184" i="73"/>
  <c r="L184" i="73"/>
  <c r="K184" i="73"/>
  <c r="J184" i="73"/>
  <c r="I184" i="73"/>
  <c r="H184" i="73"/>
  <c r="G184" i="73"/>
  <c r="F184" i="73"/>
  <c r="E184" i="73"/>
  <c r="D184" i="73"/>
  <c r="AJ183" i="73"/>
  <c r="AI183" i="73"/>
  <c r="AH183" i="73"/>
  <c r="AG183" i="73"/>
  <c r="AF183" i="73"/>
  <c r="AE183" i="73"/>
  <c r="AD183" i="73"/>
  <c r="AC183" i="73"/>
  <c r="AB183" i="73"/>
  <c r="AA183" i="73"/>
  <c r="Z183" i="73"/>
  <c r="Y183" i="73"/>
  <c r="X183" i="73"/>
  <c r="W183" i="73"/>
  <c r="V183" i="73"/>
  <c r="U183" i="73"/>
  <c r="T183" i="73"/>
  <c r="S183" i="73"/>
  <c r="R183" i="73"/>
  <c r="Q183" i="73"/>
  <c r="P183" i="73"/>
  <c r="O183" i="73"/>
  <c r="N183" i="73"/>
  <c r="M183" i="73"/>
  <c r="L183" i="73"/>
  <c r="K183" i="73"/>
  <c r="J183" i="73"/>
  <c r="I183" i="73"/>
  <c r="H183" i="73"/>
  <c r="G183" i="73"/>
  <c r="F183" i="73"/>
  <c r="E183" i="73"/>
  <c r="D183" i="73"/>
  <c r="AJ182" i="73"/>
  <c r="AI182" i="73"/>
  <c r="AH182" i="73"/>
  <c r="AG182" i="73"/>
  <c r="AF182" i="73"/>
  <c r="AE182" i="73"/>
  <c r="AD182" i="73"/>
  <c r="AC182" i="73"/>
  <c r="AB182" i="73"/>
  <c r="AA182" i="73"/>
  <c r="Z182" i="73"/>
  <c r="Y182" i="73"/>
  <c r="X182" i="73"/>
  <c r="W182" i="73"/>
  <c r="V182" i="73"/>
  <c r="U182" i="73"/>
  <c r="T182" i="73"/>
  <c r="S182" i="73"/>
  <c r="R182" i="73"/>
  <c r="Q182" i="73"/>
  <c r="P182" i="73"/>
  <c r="O182" i="73"/>
  <c r="N182" i="73"/>
  <c r="M182" i="73"/>
  <c r="L182" i="73"/>
  <c r="K182" i="73"/>
  <c r="J182" i="73"/>
  <c r="I182" i="73"/>
  <c r="H182" i="73"/>
  <c r="G182" i="73"/>
  <c r="F182" i="73"/>
  <c r="E182" i="73"/>
  <c r="D182" i="73"/>
  <c r="AJ181" i="73"/>
  <c r="AI181" i="73"/>
  <c r="AH181" i="73"/>
  <c r="AG181" i="73"/>
  <c r="AF181" i="73"/>
  <c r="AE181" i="73"/>
  <c r="AD181" i="73"/>
  <c r="AC181" i="73"/>
  <c r="AB181" i="73"/>
  <c r="AA181" i="73"/>
  <c r="Z181" i="73"/>
  <c r="Y181" i="73"/>
  <c r="X181" i="73"/>
  <c r="W181" i="73"/>
  <c r="V181" i="73"/>
  <c r="U181" i="73"/>
  <c r="T181" i="73"/>
  <c r="S181" i="73"/>
  <c r="R181" i="73"/>
  <c r="Q181" i="73"/>
  <c r="P181" i="73"/>
  <c r="O181" i="73"/>
  <c r="N181" i="73"/>
  <c r="M181" i="73"/>
  <c r="L181" i="73"/>
  <c r="K181" i="73"/>
  <c r="J181" i="73"/>
  <c r="I181" i="73"/>
  <c r="H181" i="73"/>
  <c r="G181" i="73"/>
  <c r="F181" i="73"/>
  <c r="E181" i="73"/>
  <c r="D181" i="73"/>
  <c r="AJ180" i="73"/>
  <c r="AI180" i="73"/>
  <c r="AH180" i="73"/>
  <c r="AG180" i="73"/>
  <c r="AF180" i="73"/>
  <c r="AE180" i="73"/>
  <c r="AD180" i="73"/>
  <c r="AC180" i="73"/>
  <c r="AB180" i="73"/>
  <c r="AA180" i="73"/>
  <c r="Z180" i="73"/>
  <c r="Y180" i="73"/>
  <c r="X180" i="73"/>
  <c r="W180" i="73"/>
  <c r="V180" i="73"/>
  <c r="U180" i="73"/>
  <c r="T180" i="73"/>
  <c r="S180" i="73"/>
  <c r="R180" i="73"/>
  <c r="Q180" i="73"/>
  <c r="P180" i="73"/>
  <c r="O180" i="73"/>
  <c r="N180" i="73"/>
  <c r="M180" i="73"/>
  <c r="L180" i="73"/>
  <c r="K180" i="73"/>
  <c r="J180" i="73"/>
  <c r="I180" i="73"/>
  <c r="H180" i="73"/>
  <c r="G180" i="73"/>
  <c r="F180" i="73"/>
  <c r="E180" i="73"/>
  <c r="D180" i="73"/>
  <c r="AJ179" i="73"/>
  <c r="AI179" i="73"/>
  <c r="AH179" i="73"/>
  <c r="AG179" i="73"/>
  <c r="AF179" i="73"/>
  <c r="AE179" i="73"/>
  <c r="AD179" i="73"/>
  <c r="AC179" i="73"/>
  <c r="AB179" i="73"/>
  <c r="AA179" i="73"/>
  <c r="Z179" i="73"/>
  <c r="Y179" i="73"/>
  <c r="X179" i="73"/>
  <c r="W179" i="73"/>
  <c r="V179" i="73"/>
  <c r="U179" i="73"/>
  <c r="T179" i="73"/>
  <c r="S179" i="73"/>
  <c r="R179" i="73"/>
  <c r="Q179" i="73"/>
  <c r="P179" i="73"/>
  <c r="O179" i="73"/>
  <c r="N179" i="73"/>
  <c r="M179" i="73"/>
  <c r="L179" i="73"/>
  <c r="K179" i="73"/>
  <c r="J179" i="73"/>
  <c r="I179" i="73"/>
  <c r="H179" i="73"/>
  <c r="G179" i="73"/>
  <c r="F179" i="73"/>
  <c r="E179" i="73"/>
  <c r="D179" i="73"/>
  <c r="AJ178" i="73"/>
  <c r="AI178" i="73"/>
  <c r="AH178" i="73"/>
  <c r="AG178" i="73"/>
  <c r="AF178" i="73"/>
  <c r="AE178" i="73"/>
  <c r="AD178" i="73"/>
  <c r="AC178" i="73"/>
  <c r="AB178" i="73"/>
  <c r="AA178" i="73"/>
  <c r="Z178" i="73"/>
  <c r="Y178" i="73"/>
  <c r="X178" i="73"/>
  <c r="W178" i="73"/>
  <c r="V178" i="73"/>
  <c r="U178" i="73"/>
  <c r="T178" i="73"/>
  <c r="S178" i="73"/>
  <c r="R178" i="73"/>
  <c r="Q178" i="73"/>
  <c r="P178" i="73"/>
  <c r="O178" i="73"/>
  <c r="N178" i="73"/>
  <c r="M178" i="73"/>
  <c r="L178" i="73"/>
  <c r="K178" i="73"/>
  <c r="J178" i="73"/>
  <c r="I178" i="73"/>
  <c r="H178" i="73"/>
  <c r="G178" i="73"/>
  <c r="F178" i="73"/>
  <c r="E178" i="73"/>
  <c r="D178" i="73"/>
  <c r="AJ177" i="73"/>
  <c r="AI177" i="73"/>
  <c r="AH177" i="73"/>
  <c r="AG177" i="73"/>
  <c r="AF177" i="73"/>
  <c r="AE177" i="73"/>
  <c r="AD177" i="73"/>
  <c r="AC177" i="73"/>
  <c r="AB177" i="73"/>
  <c r="AA177" i="73"/>
  <c r="Z177" i="73"/>
  <c r="Y177" i="73"/>
  <c r="X177" i="73"/>
  <c r="W177" i="73"/>
  <c r="V177" i="73"/>
  <c r="U177" i="73"/>
  <c r="T177" i="73"/>
  <c r="S177" i="73"/>
  <c r="R177" i="73"/>
  <c r="Q177" i="73"/>
  <c r="P177" i="73"/>
  <c r="O177" i="73"/>
  <c r="N177" i="73"/>
  <c r="M177" i="73"/>
  <c r="L177" i="73"/>
  <c r="K177" i="73"/>
  <c r="J177" i="73"/>
  <c r="I177" i="73"/>
  <c r="H177" i="73"/>
  <c r="G177" i="73"/>
  <c r="F177" i="73"/>
  <c r="E177" i="73"/>
  <c r="D177" i="73"/>
  <c r="AJ176" i="73"/>
  <c r="AI176" i="73"/>
  <c r="AH176" i="73"/>
  <c r="AG176" i="73"/>
  <c r="AF176" i="73"/>
  <c r="AE176" i="73"/>
  <c r="AD176" i="73"/>
  <c r="AC176" i="73"/>
  <c r="AB176" i="73"/>
  <c r="AA176" i="73"/>
  <c r="Z176" i="73"/>
  <c r="Y176" i="73"/>
  <c r="X176" i="73"/>
  <c r="W176" i="73"/>
  <c r="V176" i="73"/>
  <c r="U176" i="73"/>
  <c r="T176" i="73"/>
  <c r="S176" i="73"/>
  <c r="R176" i="73"/>
  <c r="Q176" i="73"/>
  <c r="P176" i="73"/>
  <c r="O176" i="73"/>
  <c r="N176" i="73"/>
  <c r="M176" i="73"/>
  <c r="L176" i="73"/>
  <c r="K176" i="73"/>
  <c r="J176" i="73"/>
  <c r="I176" i="73"/>
  <c r="H176" i="73"/>
  <c r="G176" i="73"/>
  <c r="F176" i="73"/>
  <c r="E176" i="73"/>
  <c r="D176" i="73"/>
  <c r="AJ175" i="73"/>
  <c r="AI175" i="73"/>
  <c r="AH175" i="73"/>
  <c r="AG175" i="73"/>
  <c r="AF175" i="73"/>
  <c r="AE175" i="73"/>
  <c r="AD175" i="73"/>
  <c r="AC175" i="73"/>
  <c r="AB175" i="73"/>
  <c r="AA175" i="73"/>
  <c r="Z175" i="73"/>
  <c r="Y175" i="73"/>
  <c r="X175" i="73"/>
  <c r="W175" i="73"/>
  <c r="V175" i="73"/>
  <c r="U175" i="73"/>
  <c r="T175" i="73"/>
  <c r="S175" i="73"/>
  <c r="R175" i="73"/>
  <c r="Q175" i="73"/>
  <c r="P175" i="73"/>
  <c r="O175" i="73"/>
  <c r="N175" i="73"/>
  <c r="M175" i="73"/>
  <c r="L175" i="73"/>
  <c r="K175" i="73"/>
  <c r="J175" i="73"/>
  <c r="I175" i="73"/>
  <c r="H175" i="73"/>
  <c r="G175" i="73"/>
  <c r="F175" i="73"/>
  <c r="E175" i="73"/>
  <c r="D175" i="73"/>
  <c r="AJ174" i="73"/>
  <c r="AI174" i="73"/>
  <c r="AH174" i="73"/>
  <c r="AG174" i="73"/>
  <c r="AF174" i="73"/>
  <c r="AE174" i="73"/>
  <c r="AD174" i="73"/>
  <c r="AC174" i="73"/>
  <c r="AB174" i="73"/>
  <c r="AA174" i="73"/>
  <c r="Z174" i="73"/>
  <c r="Y174" i="73"/>
  <c r="X174" i="73"/>
  <c r="W174" i="73"/>
  <c r="V174" i="73"/>
  <c r="U174" i="73"/>
  <c r="T174" i="73"/>
  <c r="S174" i="73"/>
  <c r="R174" i="73"/>
  <c r="Q174" i="73"/>
  <c r="P174" i="73"/>
  <c r="O174" i="73"/>
  <c r="N174" i="73"/>
  <c r="M174" i="73"/>
  <c r="L174" i="73"/>
  <c r="K174" i="73"/>
  <c r="J174" i="73"/>
  <c r="I174" i="73"/>
  <c r="H174" i="73"/>
  <c r="G174" i="73"/>
  <c r="F174" i="73"/>
  <c r="E174" i="73"/>
  <c r="D174" i="73"/>
  <c r="AJ173" i="73"/>
  <c r="AI173" i="73"/>
  <c r="AH173" i="73"/>
  <c r="AG173" i="73"/>
  <c r="AF173" i="73"/>
  <c r="AE173" i="73"/>
  <c r="AD173" i="73"/>
  <c r="AC173" i="73"/>
  <c r="AB173" i="73"/>
  <c r="AA173" i="73"/>
  <c r="Z173" i="73"/>
  <c r="Y173" i="73"/>
  <c r="X173" i="73"/>
  <c r="W173" i="73"/>
  <c r="V173" i="73"/>
  <c r="U173" i="73"/>
  <c r="T173" i="73"/>
  <c r="S173" i="73"/>
  <c r="R173" i="73"/>
  <c r="Q173" i="73"/>
  <c r="P173" i="73"/>
  <c r="O173" i="73"/>
  <c r="N173" i="73"/>
  <c r="M173" i="73"/>
  <c r="L173" i="73"/>
  <c r="K173" i="73"/>
  <c r="J173" i="73"/>
  <c r="I173" i="73"/>
  <c r="H173" i="73"/>
  <c r="G173" i="73"/>
  <c r="F173" i="73"/>
  <c r="E173" i="73"/>
  <c r="D173" i="73"/>
  <c r="AJ172" i="73"/>
  <c r="AI172" i="73"/>
  <c r="AH172" i="73"/>
  <c r="AG172" i="73"/>
  <c r="AF172" i="73"/>
  <c r="AE172" i="73"/>
  <c r="AD172" i="73"/>
  <c r="AC172" i="73"/>
  <c r="AB172" i="73"/>
  <c r="AA172" i="73"/>
  <c r="Z172" i="73"/>
  <c r="Y172" i="73"/>
  <c r="X172" i="73"/>
  <c r="W172" i="73"/>
  <c r="V172" i="73"/>
  <c r="U172" i="73"/>
  <c r="T172" i="73"/>
  <c r="S172" i="73"/>
  <c r="R172" i="73"/>
  <c r="Q172" i="73"/>
  <c r="P172" i="73"/>
  <c r="O172" i="73"/>
  <c r="N172" i="73"/>
  <c r="M172" i="73"/>
  <c r="L172" i="73"/>
  <c r="K172" i="73"/>
  <c r="J172" i="73"/>
  <c r="I172" i="73"/>
  <c r="H172" i="73"/>
  <c r="G172" i="73"/>
  <c r="F172" i="73"/>
  <c r="E172" i="73"/>
  <c r="D172" i="73"/>
  <c r="AJ171" i="73"/>
  <c r="AI171" i="73"/>
  <c r="AH171" i="73"/>
  <c r="AG171" i="73"/>
  <c r="AF171" i="73"/>
  <c r="AE171" i="73"/>
  <c r="AD171" i="73"/>
  <c r="AC171" i="73"/>
  <c r="AB171" i="73"/>
  <c r="AA171" i="73"/>
  <c r="Z171" i="73"/>
  <c r="Y171" i="73"/>
  <c r="X171" i="73"/>
  <c r="W171" i="73"/>
  <c r="V171" i="73"/>
  <c r="U171" i="73"/>
  <c r="T171" i="73"/>
  <c r="S171" i="73"/>
  <c r="R171" i="73"/>
  <c r="Q171" i="73"/>
  <c r="P171" i="73"/>
  <c r="O171" i="73"/>
  <c r="N171" i="73"/>
  <c r="M171" i="73"/>
  <c r="L171" i="73"/>
  <c r="K171" i="73"/>
  <c r="J171" i="73"/>
  <c r="I171" i="73"/>
  <c r="H171" i="73"/>
  <c r="G171" i="73"/>
  <c r="F171" i="73"/>
  <c r="E171" i="73"/>
  <c r="D171" i="73"/>
  <c r="AJ170" i="73"/>
  <c r="AI170" i="73"/>
  <c r="AH170" i="73"/>
  <c r="AG170" i="73"/>
  <c r="AF170" i="73"/>
  <c r="AE170" i="73"/>
  <c r="AD170" i="73"/>
  <c r="AC170" i="73"/>
  <c r="AB170" i="73"/>
  <c r="AA170" i="73"/>
  <c r="Z170" i="73"/>
  <c r="Y170" i="73"/>
  <c r="X170" i="73"/>
  <c r="W170" i="73"/>
  <c r="V170" i="73"/>
  <c r="U170" i="73"/>
  <c r="T170" i="73"/>
  <c r="S170" i="73"/>
  <c r="R170" i="73"/>
  <c r="Q170" i="73"/>
  <c r="P170" i="73"/>
  <c r="O170" i="73"/>
  <c r="N170" i="73"/>
  <c r="M170" i="73"/>
  <c r="L170" i="73"/>
  <c r="K170" i="73"/>
  <c r="J170" i="73"/>
  <c r="I170" i="73"/>
  <c r="H170" i="73"/>
  <c r="G170" i="73"/>
  <c r="F170" i="73"/>
  <c r="E170" i="73"/>
  <c r="D170" i="73"/>
  <c r="AJ169" i="73"/>
  <c r="AI169" i="73"/>
  <c r="AH169" i="73"/>
  <c r="AG169" i="73"/>
  <c r="AF169" i="73"/>
  <c r="AE169" i="73"/>
  <c r="AD169" i="73"/>
  <c r="AC169" i="73"/>
  <c r="AB169" i="73"/>
  <c r="AA169" i="73"/>
  <c r="Z169" i="73"/>
  <c r="Y169" i="73"/>
  <c r="X169" i="73"/>
  <c r="W169" i="73"/>
  <c r="V169" i="73"/>
  <c r="U169" i="73"/>
  <c r="T169" i="73"/>
  <c r="S169" i="73"/>
  <c r="R169" i="73"/>
  <c r="Q169" i="73"/>
  <c r="P169" i="73"/>
  <c r="O169" i="73"/>
  <c r="N169" i="73"/>
  <c r="M169" i="73"/>
  <c r="L169" i="73"/>
  <c r="K169" i="73"/>
  <c r="J169" i="73"/>
  <c r="I169" i="73"/>
  <c r="H169" i="73"/>
  <c r="G169" i="73"/>
  <c r="F169" i="73"/>
  <c r="E169" i="73"/>
  <c r="D169" i="73"/>
  <c r="AJ168" i="73"/>
  <c r="AI168" i="73"/>
  <c r="AH168" i="73"/>
  <c r="AG168" i="73"/>
  <c r="AF168" i="73"/>
  <c r="AE168" i="73"/>
  <c r="AD168" i="73"/>
  <c r="AC168" i="73"/>
  <c r="AB168" i="73"/>
  <c r="AA168" i="73"/>
  <c r="Z168" i="73"/>
  <c r="Y168" i="73"/>
  <c r="X168" i="73"/>
  <c r="W168" i="73"/>
  <c r="V168" i="73"/>
  <c r="U168" i="73"/>
  <c r="T168" i="73"/>
  <c r="S168" i="73"/>
  <c r="R168" i="73"/>
  <c r="Q168" i="73"/>
  <c r="P168" i="73"/>
  <c r="O168" i="73"/>
  <c r="N168" i="73"/>
  <c r="M168" i="73"/>
  <c r="L168" i="73"/>
  <c r="K168" i="73"/>
  <c r="J168" i="73"/>
  <c r="I168" i="73"/>
  <c r="H168" i="73"/>
  <c r="G168" i="73"/>
  <c r="F168" i="73"/>
  <c r="E168" i="73"/>
  <c r="D168" i="73"/>
  <c r="AJ167" i="73"/>
  <c r="AI167" i="73"/>
  <c r="AH167" i="73"/>
  <c r="AG167" i="73"/>
  <c r="AF167" i="73"/>
  <c r="AE167" i="73"/>
  <c r="AD167" i="73"/>
  <c r="AC167" i="73"/>
  <c r="AB167" i="73"/>
  <c r="AA167" i="73"/>
  <c r="Z167" i="73"/>
  <c r="Y167" i="73"/>
  <c r="X167" i="73"/>
  <c r="W167" i="73"/>
  <c r="V167" i="73"/>
  <c r="U167" i="73"/>
  <c r="T167" i="73"/>
  <c r="S167" i="73"/>
  <c r="R167" i="73"/>
  <c r="Q167" i="73"/>
  <c r="P167" i="73"/>
  <c r="O167" i="73"/>
  <c r="N167" i="73"/>
  <c r="M167" i="73"/>
  <c r="L167" i="73"/>
  <c r="K167" i="73"/>
  <c r="J167" i="73"/>
  <c r="I167" i="73"/>
  <c r="H167" i="73"/>
  <c r="G167" i="73"/>
  <c r="F167" i="73"/>
  <c r="E167" i="73"/>
  <c r="D167" i="73"/>
  <c r="AJ166" i="73"/>
  <c r="AI166" i="73"/>
  <c r="AH166" i="73"/>
  <c r="AG166" i="73"/>
  <c r="AF166" i="73"/>
  <c r="AE166" i="73"/>
  <c r="AD166" i="73"/>
  <c r="AC166" i="73"/>
  <c r="AB166" i="73"/>
  <c r="AA166" i="73"/>
  <c r="Z166" i="73"/>
  <c r="Y166" i="73"/>
  <c r="X166" i="73"/>
  <c r="W166" i="73"/>
  <c r="V166" i="73"/>
  <c r="U166" i="73"/>
  <c r="T166" i="73"/>
  <c r="S166" i="73"/>
  <c r="R166" i="73"/>
  <c r="Q166" i="73"/>
  <c r="P166" i="73"/>
  <c r="O166" i="73"/>
  <c r="N166" i="73"/>
  <c r="M166" i="73"/>
  <c r="L166" i="73"/>
  <c r="K166" i="73"/>
  <c r="J166" i="73"/>
  <c r="I166" i="73"/>
  <c r="H166" i="73"/>
  <c r="G166" i="73"/>
  <c r="F166" i="73"/>
  <c r="E166" i="73"/>
  <c r="D166" i="73"/>
  <c r="AJ165" i="73"/>
  <c r="AI165" i="73"/>
  <c r="AH165" i="73"/>
  <c r="AG165" i="73"/>
  <c r="AF165" i="73"/>
  <c r="AE165" i="73"/>
  <c r="AD165" i="73"/>
  <c r="AC165" i="73"/>
  <c r="AB165" i="73"/>
  <c r="AA165" i="73"/>
  <c r="Z165" i="73"/>
  <c r="Y165" i="73"/>
  <c r="X165" i="73"/>
  <c r="W165" i="73"/>
  <c r="V165" i="73"/>
  <c r="U165" i="73"/>
  <c r="T165" i="73"/>
  <c r="S165" i="73"/>
  <c r="R165" i="73"/>
  <c r="Q165" i="73"/>
  <c r="P165" i="73"/>
  <c r="O165" i="73"/>
  <c r="N165" i="73"/>
  <c r="M165" i="73"/>
  <c r="L165" i="73"/>
  <c r="K165" i="73"/>
  <c r="J165" i="73"/>
  <c r="I165" i="73"/>
  <c r="H165" i="73"/>
  <c r="G165" i="73"/>
  <c r="F165" i="73"/>
  <c r="E165" i="73"/>
  <c r="D165" i="73"/>
  <c r="AJ164" i="73"/>
  <c r="AI164" i="73"/>
  <c r="AH164" i="73"/>
  <c r="AG164" i="73"/>
  <c r="AF164" i="73"/>
  <c r="AE164" i="73"/>
  <c r="AD164" i="73"/>
  <c r="AC164" i="73"/>
  <c r="AB164" i="73"/>
  <c r="AA164" i="73"/>
  <c r="Z164" i="73"/>
  <c r="Y164" i="73"/>
  <c r="X164" i="73"/>
  <c r="W164" i="73"/>
  <c r="V164" i="73"/>
  <c r="U164" i="73"/>
  <c r="T164" i="73"/>
  <c r="S164" i="73"/>
  <c r="R164" i="73"/>
  <c r="Q164" i="73"/>
  <c r="P164" i="73"/>
  <c r="O164" i="73"/>
  <c r="N164" i="73"/>
  <c r="M164" i="73"/>
  <c r="L164" i="73"/>
  <c r="K164" i="73"/>
  <c r="J164" i="73"/>
  <c r="I164" i="73"/>
  <c r="H164" i="73"/>
  <c r="G164" i="73"/>
  <c r="F164" i="73"/>
  <c r="E164" i="73"/>
  <c r="D164" i="73"/>
  <c r="AJ163" i="73"/>
  <c r="AI163" i="73"/>
  <c r="AH163" i="73"/>
  <c r="AG163" i="73"/>
  <c r="AF163" i="73"/>
  <c r="AE163" i="73"/>
  <c r="AD163" i="73"/>
  <c r="AC163" i="73"/>
  <c r="AB163" i="73"/>
  <c r="AA163" i="73"/>
  <c r="Z163" i="73"/>
  <c r="Y163" i="73"/>
  <c r="X163" i="73"/>
  <c r="W163" i="73"/>
  <c r="V163" i="73"/>
  <c r="U163" i="73"/>
  <c r="T163" i="73"/>
  <c r="S163" i="73"/>
  <c r="R163" i="73"/>
  <c r="Q163" i="73"/>
  <c r="P163" i="73"/>
  <c r="O163" i="73"/>
  <c r="N163" i="73"/>
  <c r="M163" i="73"/>
  <c r="L163" i="73"/>
  <c r="K163" i="73"/>
  <c r="J163" i="73"/>
  <c r="I163" i="73"/>
  <c r="H163" i="73"/>
  <c r="G163" i="73"/>
  <c r="F163" i="73"/>
  <c r="E163" i="73"/>
  <c r="D163" i="73"/>
  <c r="AJ162" i="73"/>
  <c r="AI162" i="73"/>
  <c r="AH162" i="73"/>
  <c r="AG162" i="73"/>
  <c r="AF162" i="73"/>
  <c r="AE162" i="73"/>
  <c r="AD162" i="73"/>
  <c r="AC162" i="73"/>
  <c r="AB162" i="73"/>
  <c r="AA162" i="73"/>
  <c r="Z162" i="73"/>
  <c r="Y162" i="73"/>
  <c r="X162" i="73"/>
  <c r="W162" i="73"/>
  <c r="V162" i="73"/>
  <c r="U162" i="73"/>
  <c r="T162" i="73"/>
  <c r="S162" i="73"/>
  <c r="R162" i="73"/>
  <c r="Q162" i="73"/>
  <c r="P162" i="73"/>
  <c r="O162" i="73"/>
  <c r="N162" i="73"/>
  <c r="M162" i="73"/>
  <c r="L162" i="73"/>
  <c r="K162" i="73"/>
  <c r="J162" i="73"/>
  <c r="I162" i="73"/>
  <c r="H162" i="73"/>
  <c r="G162" i="73"/>
  <c r="F162" i="73"/>
  <c r="E162" i="73"/>
  <c r="D162" i="73"/>
  <c r="AJ161" i="73"/>
  <c r="AI161" i="73"/>
  <c r="AH161" i="73"/>
  <c r="AG161" i="73"/>
  <c r="AF161" i="73"/>
  <c r="AE161" i="73"/>
  <c r="AD161" i="73"/>
  <c r="AC161" i="73"/>
  <c r="AB161" i="73"/>
  <c r="AA161" i="73"/>
  <c r="Z161" i="73"/>
  <c r="Y161" i="73"/>
  <c r="X161" i="73"/>
  <c r="W161" i="73"/>
  <c r="V161" i="73"/>
  <c r="U161" i="73"/>
  <c r="T161" i="73"/>
  <c r="S161" i="73"/>
  <c r="R161" i="73"/>
  <c r="Q161" i="73"/>
  <c r="P161" i="73"/>
  <c r="O161" i="73"/>
  <c r="N161" i="73"/>
  <c r="M161" i="73"/>
  <c r="L161" i="73"/>
  <c r="K161" i="73"/>
  <c r="J161" i="73"/>
  <c r="I161" i="73"/>
  <c r="H161" i="73"/>
  <c r="G161" i="73"/>
  <c r="F161" i="73"/>
  <c r="E161" i="73"/>
  <c r="D161" i="73"/>
  <c r="AJ160" i="73"/>
  <c r="AI160" i="73"/>
  <c r="AH160" i="73"/>
  <c r="AG160" i="73"/>
  <c r="AF160" i="73"/>
  <c r="AE160" i="73"/>
  <c r="AD160" i="73"/>
  <c r="AC160" i="73"/>
  <c r="AB160" i="73"/>
  <c r="AA160" i="73"/>
  <c r="Z160" i="73"/>
  <c r="Y160" i="73"/>
  <c r="X160" i="73"/>
  <c r="W160" i="73"/>
  <c r="V160" i="73"/>
  <c r="U160" i="73"/>
  <c r="T160" i="73"/>
  <c r="S160" i="73"/>
  <c r="R160" i="73"/>
  <c r="Q160" i="73"/>
  <c r="P160" i="73"/>
  <c r="O160" i="73"/>
  <c r="N160" i="73"/>
  <c r="M160" i="73"/>
  <c r="L160" i="73"/>
  <c r="K160" i="73"/>
  <c r="J160" i="73"/>
  <c r="I160" i="73"/>
  <c r="H160" i="73"/>
  <c r="G160" i="73"/>
  <c r="F160" i="73"/>
  <c r="E160" i="73"/>
  <c r="D160" i="73"/>
  <c r="AJ159" i="73"/>
  <c r="AI159" i="73"/>
  <c r="AH159" i="73"/>
  <c r="AG159" i="73"/>
  <c r="AF159" i="73"/>
  <c r="AE159" i="73"/>
  <c r="AD159" i="73"/>
  <c r="AC159" i="73"/>
  <c r="AB159" i="73"/>
  <c r="AA159" i="73"/>
  <c r="Z159" i="73"/>
  <c r="Y159" i="73"/>
  <c r="X159" i="73"/>
  <c r="W159" i="73"/>
  <c r="V159" i="73"/>
  <c r="U159" i="73"/>
  <c r="T159" i="73"/>
  <c r="S159" i="73"/>
  <c r="R159" i="73"/>
  <c r="Q159" i="73"/>
  <c r="P159" i="73"/>
  <c r="O159" i="73"/>
  <c r="N159" i="73"/>
  <c r="M159" i="73"/>
  <c r="L159" i="73"/>
  <c r="K159" i="73"/>
  <c r="J159" i="73"/>
  <c r="I159" i="73"/>
  <c r="H159" i="73"/>
  <c r="G159" i="73"/>
  <c r="F159" i="73"/>
  <c r="E159" i="73"/>
  <c r="D159" i="73"/>
  <c r="AJ158" i="73"/>
  <c r="AI158" i="73"/>
  <c r="AH158" i="73"/>
  <c r="AG158" i="73"/>
  <c r="AF158" i="73"/>
  <c r="AE158" i="73"/>
  <c r="AD158" i="73"/>
  <c r="AC158" i="73"/>
  <c r="AB158" i="73"/>
  <c r="AA158" i="73"/>
  <c r="Z158" i="73"/>
  <c r="Y158" i="73"/>
  <c r="X158" i="73"/>
  <c r="W158" i="73"/>
  <c r="V158" i="73"/>
  <c r="U158" i="73"/>
  <c r="T158" i="73"/>
  <c r="S158" i="73"/>
  <c r="R158" i="73"/>
  <c r="Q158" i="73"/>
  <c r="P158" i="73"/>
  <c r="O158" i="73"/>
  <c r="N158" i="73"/>
  <c r="M158" i="73"/>
  <c r="L158" i="73"/>
  <c r="K158" i="73"/>
  <c r="J158" i="73"/>
  <c r="I158" i="73"/>
  <c r="H158" i="73"/>
  <c r="G158" i="73"/>
  <c r="F158" i="73"/>
  <c r="E158" i="73"/>
  <c r="D158" i="73"/>
  <c r="AJ157" i="73"/>
  <c r="AI157" i="73"/>
  <c r="AH157" i="73"/>
  <c r="AG157" i="73"/>
  <c r="AF157" i="73"/>
  <c r="AE157" i="73"/>
  <c r="AD157" i="73"/>
  <c r="AC157" i="73"/>
  <c r="AB157" i="73"/>
  <c r="AA157" i="73"/>
  <c r="Z157" i="73"/>
  <c r="Y157" i="73"/>
  <c r="X157" i="73"/>
  <c r="W157" i="73"/>
  <c r="V157" i="73"/>
  <c r="U157" i="73"/>
  <c r="T157" i="73"/>
  <c r="S157" i="73"/>
  <c r="R157" i="73"/>
  <c r="Q157" i="73"/>
  <c r="P157" i="73"/>
  <c r="O157" i="73"/>
  <c r="N157" i="73"/>
  <c r="M157" i="73"/>
  <c r="L157" i="73"/>
  <c r="K157" i="73"/>
  <c r="J157" i="73"/>
  <c r="I157" i="73"/>
  <c r="H157" i="73"/>
  <c r="G157" i="73"/>
  <c r="F157" i="73"/>
  <c r="E157" i="73"/>
  <c r="D157" i="73"/>
  <c r="AJ156" i="73"/>
  <c r="AI156" i="73"/>
  <c r="AH156" i="73"/>
  <c r="AG156" i="73"/>
  <c r="AF156" i="73"/>
  <c r="AE156" i="73"/>
  <c r="AD156" i="73"/>
  <c r="AC156" i="73"/>
  <c r="AB156" i="73"/>
  <c r="AA156" i="73"/>
  <c r="Z156" i="73"/>
  <c r="Y156" i="73"/>
  <c r="X156" i="73"/>
  <c r="W156" i="73"/>
  <c r="V156" i="73"/>
  <c r="U156" i="73"/>
  <c r="T156" i="73"/>
  <c r="S156" i="73"/>
  <c r="R156" i="73"/>
  <c r="Q156" i="73"/>
  <c r="P156" i="73"/>
  <c r="O156" i="73"/>
  <c r="N156" i="73"/>
  <c r="M156" i="73"/>
  <c r="L156" i="73"/>
  <c r="K156" i="73"/>
  <c r="J156" i="73"/>
  <c r="I156" i="73"/>
  <c r="H156" i="73"/>
  <c r="G156" i="73"/>
  <c r="F156" i="73"/>
  <c r="E156" i="73"/>
  <c r="D156" i="73"/>
  <c r="AJ155" i="73"/>
  <c r="AI155" i="73"/>
  <c r="AH155" i="73"/>
  <c r="AG155" i="73"/>
  <c r="AF155" i="73"/>
  <c r="AE155" i="73"/>
  <c r="AD155" i="73"/>
  <c r="AC155" i="73"/>
  <c r="AB155" i="73"/>
  <c r="AA155" i="73"/>
  <c r="Z155" i="73"/>
  <c r="Y155" i="73"/>
  <c r="X155" i="73"/>
  <c r="W155" i="73"/>
  <c r="V155" i="73"/>
  <c r="U155" i="73"/>
  <c r="T155" i="73"/>
  <c r="S155" i="73"/>
  <c r="R155" i="73"/>
  <c r="Q155" i="73"/>
  <c r="P155" i="73"/>
  <c r="O155" i="73"/>
  <c r="N155" i="73"/>
  <c r="M155" i="73"/>
  <c r="L155" i="73"/>
  <c r="K155" i="73"/>
  <c r="J155" i="73"/>
  <c r="I155" i="73"/>
  <c r="H155" i="73"/>
  <c r="G155" i="73"/>
  <c r="F155" i="73"/>
  <c r="E155" i="73"/>
  <c r="D155" i="73"/>
  <c r="AJ154" i="73"/>
  <c r="AI154" i="73"/>
  <c r="AH154" i="73"/>
  <c r="AG154" i="73"/>
  <c r="AF154" i="73"/>
  <c r="AE154" i="73"/>
  <c r="AD154" i="73"/>
  <c r="AC154" i="73"/>
  <c r="AB154" i="73"/>
  <c r="AA154" i="73"/>
  <c r="Z154" i="73"/>
  <c r="Y154" i="73"/>
  <c r="X154" i="73"/>
  <c r="W154" i="73"/>
  <c r="V154" i="73"/>
  <c r="U154" i="73"/>
  <c r="T154" i="73"/>
  <c r="S154" i="73"/>
  <c r="R154" i="73"/>
  <c r="Q154" i="73"/>
  <c r="P154" i="73"/>
  <c r="O154" i="73"/>
  <c r="N154" i="73"/>
  <c r="M154" i="73"/>
  <c r="L154" i="73"/>
  <c r="K154" i="73"/>
  <c r="J154" i="73"/>
  <c r="I154" i="73"/>
  <c r="H154" i="73"/>
  <c r="G154" i="73"/>
  <c r="F154" i="73"/>
  <c r="E154" i="73"/>
  <c r="D154" i="73"/>
  <c r="AJ153" i="73"/>
  <c r="AI153" i="73"/>
  <c r="AH153" i="73"/>
  <c r="AG153" i="73"/>
  <c r="AF153" i="73"/>
  <c r="AE153" i="73"/>
  <c r="AD153" i="73"/>
  <c r="AC153" i="73"/>
  <c r="AB153" i="73"/>
  <c r="AA153" i="73"/>
  <c r="Z153" i="73"/>
  <c r="Y153" i="73"/>
  <c r="X153" i="73"/>
  <c r="W153" i="73"/>
  <c r="V153" i="73"/>
  <c r="U153" i="73"/>
  <c r="T153" i="73"/>
  <c r="S153" i="73"/>
  <c r="R153" i="73"/>
  <c r="Q153" i="73"/>
  <c r="P153" i="73"/>
  <c r="O153" i="73"/>
  <c r="N153" i="73"/>
  <c r="M153" i="73"/>
  <c r="L153" i="73"/>
  <c r="K153" i="73"/>
  <c r="J153" i="73"/>
  <c r="I153" i="73"/>
  <c r="H153" i="73"/>
  <c r="G153" i="73"/>
  <c r="F153" i="73"/>
  <c r="E153" i="73"/>
  <c r="D153" i="73"/>
  <c r="AJ152" i="73"/>
  <c r="AI152" i="73"/>
  <c r="AH152" i="73"/>
  <c r="AG152" i="73"/>
  <c r="AF152" i="73"/>
  <c r="AE152" i="73"/>
  <c r="AD152" i="73"/>
  <c r="AC152" i="73"/>
  <c r="AB152" i="73"/>
  <c r="AA152" i="73"/>
  <c r="Z152" i="73"/>
  <c r="Y152" i="73"/>
  <c r="X152" i="73"/>
  <c r="W152" i="73"/>
  <c r="V152" i="73"/>
  <c r="U152" i="73"/>
  <c r="T152" i="73"/>
  <c r="S152" i="73"/>
  <c r="R152" i="73"/>
  <c r="Q152" i="73"/>
  <c r="P152" i="73"/>
  <c r="O152" i="73"/>
  <c r="N152" i="73"/>
  <c r="M152" i="73"/>
  <c r="L152" i="73"/>
  <c r="K152" i="73"/>
  <c r="J152" i="73"/>
  <c r="I152" i="73"/>
  <c r="H152" i="73"/>
  <c r="G152" i="73"/>
  <c r="F152" i="73"/>
  <c r="E152" i="73"/>
  <c r="D152" i="73"/>
  <c r="AJ151" i="73"/>
  <c r="AI151" i="73"/>
  <c r="AH151" i="73"/>
  <c r="AG151" i="73"/>
  <c r="AF151" i="73"/>
  <c r="AE151" i="73"/>
  <c r="AD151" i="73"/>
  <c r="AC151" i="73"/>
  <c r="AB151" i="73"/>
  <c r="AA151" i="73"/>
  <c r="Z151" i="73"/>
  <c r="Y151" i="73"/>
  <c r="X151" i="73"/>
  <c r="W151" i="73"/>
  <c r="V151" i="73"/>
  <c r="U151" i="73"/>
  <c r="T151" i="73"/>
  <c r="S151" i="73"/>
  <c r="R151" i="73"/>
  <c r="Q151" i="73"/>
  <c r="P151" i="73"/>
  <c r="O151" i="73"/>
  <c r="N151" i="73"/>
  <c r="M151" i="73"/>
  <c r="L151" i="73"/>
  <c r="K151" i="73"/>
  <c r="J151" i="73"/>
  <c r="I151" i="73"/>
  <c r="H151" i="73"/>
  <c r="G151" i="73"/>
  <c r="F151" i="73"/>
  <c r="E151" i="73"/>
  <c r="D151" i="73"/>
  <c r="AJ3" i="73"/>
  <c r="AI3" i="73"/>
  <c r="AH3" i="73"/>
  <c r="AG3" i="73"/>
  <c r="AF3" i="73"/>
  <c r="AE3" i="73"/>
  <c r="AD3" i="73"/>
  <c r="AC3" i="73"/>
  <c r="AB3" i="73"/>
  <c r="AA3" i="73"/>
  <c r="Z3" i="73"/>
  <c r="Y3" i="73"/>
  <c r="X3" i="73"/>
  <c r="W3" i="73"/>
  <c r="V3" i="73"/>
  <c r="U3" i="73"/>
  <c r="T3" i="73"/>
  <c r="S3" i="73"/>
  <c r="R3" i="73"/>
  <c r="Q3" i="73"/>
  <c r="P3" i="73"/>
  <c r="O3" i="73"/>
  <c r="N3" i="73"/>
  <c r="M3" i="73"/>
  <c r="L3" i="73"/>
  <c r="K3" i="73"/>
  <c r="J3" i="73"/>
  <c r="I3" i="73"/>
  <c r="H3" i="73"/>
  <c r="G3" i="73"/>
  <c r="F3" i="73"/>
  <c r="E3" i="73"/>
  <c r="D3" i="73"/>
  <c r="AJ3" i="72"/>
  <c r="AI3" i="72"/>
  <c r="AH3" i="72"/>
  <c r="AG3" i="72"/>
  <c r="AF3" i="72"/>
  <c r="AE3" i="72"/>
  <c r="AD3" i="72"/>
  <c r="AC3" i="72"/>
  <c r="AB3" i="72"/>
  <c r="AA3" i="72"/>
  <c r="Z3" i="72"/>
  <c r="Y3" i="72"/>
  <c r="X3" i="72"/>
  <c r="W3" i="72"/>
  <c r="V3" i="72"/>
  <c r="U3" i="72"/>
  <c r="T3" i="72"/>
  <c r="S3" i="72"/>
  <c r="R3" i="72"/>
  <c r="Q3" i="72"/>
  <c r="P3" i="72"/>
  <c r="O3" i="72"/>
  <c r="N3" i="72"/>
  <c r="M3" i="72"/>
  <c r="L3" i="72"/>
  <c r="K3" i="72"/>
  <c r="J3" i="72"/>
  <c r="I3" i="72"/>
  <c r="H3" i="72"/>
  <c r="G3" i="72"/>
  <c r="F3" i="72"/>
  <c r="E3" i="72"/>
  <c r="D3" i="72"/>
  <c r="C11" i="51" l="1"/>
  <c r="D11" i="51"/>
  <c r="E11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AF11" i="51"/>
  <c r="AG11" i="51"/>
  <c r="AH11" i="51"/>
  <c r="B11" i="51"/>
  <c r="AJ3" i="71"/>
  <c r="AI3" i="71"/>
  <c r="AH3" i="71"/>
  <c r="AG3" i="71"/>
  <c r="AF3" i="71"/>
  <c r="AE3" i="71"/>
  <c r="AD3" i="71"/>
  <c r="AC3" i="71"/>
  <c r="AB3" i="71"/>
  <c r="AA3" i="71"/>
  <c r="Z3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10" i="51" l="1"/>
  <c r="D10" i="51"/>
  <c r="E10" i="51"/>
  <c r="F10" i="51"/>
  <c r="G10" i="51"/>
  <c r="H10" i="51"/>
  <c r="I10" i="51"/>
  <c r="J10" i="51"/>
  <c r="K10" i="51"/>
  <c r="L10" i="51"/>
  <c r="M10" i="51"/>
  <c r="N10" i="51"/>
  <c r="O10" i="51"/>
  <c r="P10" i="51"/>
  <c r="Q10" i="51"/>
  <c r="R10" i="51"/>
  <c r="S10" i="51"/>
  <c r="T10" i="51"/>
  <c r="U10" i="51"/>
  <c r="V10" i="51"/>
  <c r="W10" i="51"/>
  <c r="X10" i="51"/>
  <c r="Y10" i="51"/>
  <c r="Z10" i="51"/>
  <c r="AA10" i="51"/>
  <c r="AB10" i="51"/>
  <c r="AC10" i="51"/>
  <c r="AD10" i="51"/>
  <c r="AE10" i="51"/>
  <c r="AF10" i="51"/>
  <c r="AG10" i="51"/>
  <c r="AH10" i="51"/>
  <c r="B10" i="51"/>
  <c r="AJ3" i="70" l="1"/>
  <c r="AI3" i="70"/>
  <c r="AH3" i="70"/>
  <c r="AG3" i="70"/>
  <c r="AF3" i="70"/>
  <c r="AE3" i="70"/>
  <c r="AD3" i="70"/>
  <c r="AC3" i="70"/>
  <c r="AB3" i="70"/>
  <c r="AA3" i="70"/>
  <c r="Z3" i="70"/>
  <c r="Y3" i="70"/>
  <c r="X3" i="70"/>
  <c r="W3" i="70"/>
  <c r="V3" i="70"/>
  <c r="U3" i="70"/>
  <c r="T3" i="70"/>
  <c r="S3" i="70"/>
  <c r="R3" i="70"/>
  <c r="Q3" i="70"/>
  <c r="P3" i="70"/>
  <c r="O3" i="70"/>
  <c r="N3" i="70"/>
  <c r="M3" i="70"/>
  <c r="L3" i="70"/>
  <c r="K3" i="70"/>
  <c r="J3" i="70"/>
  <c r="I3" i="70"/>
  <c r="H3" i="70"/>
  <c r="G3" i="70"/>
  <c r="F3" i="70"/>
  <c r="E3" i="70"/>
  <c r="D3" i="70"/>
  <c r="C9" i="51" l="1"/>
  <c r="D9" i="51"/>
  <c r="E9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AG9" i="51"/>
  <c r="AH9" i="51"/>
  <c r="B9" i="51"/>
  <c r="E151" i="60"/>
  <c r="F151" i="60"/>
  <c r="G151" i="60"/>
  <c r="H151" i="60"/>
  <c r="I151" i="60"/>
  <c r="J151" i="60"/>
  <c r="K151" i="60"/>
  <c r="L151" i="60"/>
  <c r="M151" i="60"/>
  <c r="N151" i="60"/>
  <c r="O151" i="60"/>
  <c r="P151" i="60"/>
  <c r="Q151" i="60"/>
  <c r="R151" i="60"/>
  <c r="S151" i="60"/>
  <c r="T151" i="60"/>
  <c r="U151" i="60"/>
  <c r="E152" i="60"/>
  <c r="F152" i="60"/>
  <c r="G152" i="60"/>
  <c r="H152" i="60"/>
  <c r="I152" i="60"/>
  <c r="J152" i="60"/>
  <c r="K152" i="60"/>
  <c r="L152" i="60"/>
  <c r="M152" i="60"/>
  <c r="N152" i="60"/>
  <c r="O152" i="60"/>
  <c r="P152" i="60"/>
  <c r="Q152" i="60"/>
  <c r="R152" i="60"/>
  <c r="S152" i="60"/>
  <c r="T152" i="60"/>
  <c r="U152" i="60"/>
  <c r="E153" i="60"/>
  <c r="F153" i="60"/>
  <c r="G153" i="60"/>
  <c r="H153" i="60"/>
  <c r="I153" i="60"/>
  <c r="J153" i="60"/>
  <c r="K153" i="60"/>
  <c r="L153" i="60"/>
  <c r="M153" i="60"/>
  <c r="N153" i="60"/>
  <c r="O153" i="60"/>
  <c r="P153" i="60"/>
  <c r="Q153" i="60"/>
  <c r="R153" i="60"/>
  <c r="S153" i="60"/>
  <c r="T153" i="60"/>
  <c r="U153" i="60"/>
  <c r="E154" i="60"/>
  <c r="F154" i="60"/>
  <c r="G154" i="60"/>
  <c r="H154" i="60"/>
  <c r="I154" i="60"/>
  <c r="J154" i="60"/>
  <c r="K154" i="60"/>
  <c r="L154" i="60"/>
  <c r="M154" i="60"/>
  <c r="N154" i="60"/>
  <c r="O154" i="60"/>
  <c r="P154" i="60"/>
  <c r="Q154" i="60"/>
  <c r="R154" i="60"/>
  <c r="S154" i="60"/>
  <c r="T154" i="60"/>
  <c r="U154" i="60"/>
  <c r="E155" i="60"/>
  <c r="F155" i="60"/>
  <c r="G155" i="60"/>
  <c r="H155" i="60"/>
  <c r="I155" i="60"/>
  <c r="J155" i="60"/>
  <c r="K155" i="60"/>
  <c r="L155" i="60"/>
  <c r="M155" i="60"/>
  <c r="N155" i="60"/>
  <c r="O155" i="60"/>
  <c r="P155" i="60"/>
  <c r="Q155" i="60"/>
  <c r="R155" i="60"/>
  <c r="S155" i="60"/>
  <c r="T155" i="60"/>
  <c r="U155" i="60"/>
  <c r="E156" i="60"/>
  <c r="F156" i="60"/>
  <c r="G156" i="60"/>
  <c r="H156" i="60"/>
  <c r="I156" i="60"/>
  <c r="J156" i="60"/>
  <c r="K156" i="60"/>
  <c r="L156" i="60"/>
  <c r="M156" i="60"/>
  <c r="N156" i="60"/>
  <c r="O156" i="60"/>
  <c r="P156" i="60"/>
  <c r="Q156" i="60"/>
  <c r="R156" i="60"/>
  <c r="S156" i="60"/>
  <c r="T156" i="60"/>
  <c r="U156" i="60"/>
  <c r="E157" i="60"/>
  <c r="F157" i="60"/>
  <c r="G157" i="60"/>
  <c r="H157" i="60"/>
  <c r="I157" i="60"/>
  <c r="J157" i="60"/>
  <c r="K157" i="60"/>
  <c r="L157" i="60"/>
  <c r="M157" i="60"/>
  <c r="N157" i="60"/>
  <c r="O157" i="60"/>
  <c r="P157" i="60"/>
  <c r="Q157" i="60"/>
  <c r="R157" i="60"/>
  <c r="S157" i="60"/>
  <c r="T157" i="60"/>
  <c r="U157" i="60"/>
  <c r="E158" i="60"/>
  <c r="F158" i="60"/>
  <c r="G158" i="60"/>
  <c r="H158" i="60"/>
  <c r="I158" i="60"/>
  <c r="J158" i="60"/>
  <c r="K158" i="60"/>
  <c r="L158" i="60"/>
  <c r="M158" i="60"/>
  <c r="N158" i="60"/>
  <c r="O158" i="60"/>
  <c r="P158" i="60"/>
  <c r="Q158" i="60"/>
  <c r="R158" i="60"/>
  <c r="S158" i="60"/>
  <c r="T158" i="60"/>
  <c r="U158" i="60"/>
  <c r="E159" i="60"/>
  <c r="F159" i="60"/>
  <c r="G159" i="60"/>
  <c r="H159" i="60"/>
  <c r="I159" i="60"/>
  <c r="J159" i="60"/>
  <c r="K159" i="60"/>
  <c r="L159" i="60"/>
  <c r="M159" i="60"/>
  <c r="N159" i="60"/>
  <c r="O159" i="60"/>
  <c r="P159" i="60"/>
  <c r="Q159" i="60"/>
  <c r="R159" i="60"/>
  <c r="S159" i="60"/>
  <c r="T159" i="60"/>
  <c r="U159" i="60"/>
  <c r="E160" i="60"/>
  <c r="F160" i="60"/>
  <c r="G160" i="60"/>
  <c r="H160" i="60"/>
  <c r="I160" i="60"/>
  <c r="J160" i="60"/>
  <c r="K160" i="60"/>
  <c r="L160" i="60"/>
  <c r="M160" i="60"/>
  <c r="N160" i="60"/>
  <c r="O160" i="60"/>
  <c r="P160" i="60"/>
  <c r="Q160" i="60"/>
  <c r="R160" i="60"/>
  <c r="S160" i="60"/>
  <c r="T160" i="60"/>
  <c r="U160" i="60"/>
  <c r="E161" i="60"/>
  <c r="F161" i="60"/>
  <c r="G161" i="60"/>
  <c r="H161" i="60"/>
  <c r="I161" i="60"/>
  <c r="J161" i="60"/>
  <c r="K161" i="60"/>
  <c r="L161" i="60"/>
  <c r="M161" i="60"/>
  <c r="N161" i="60"/>
  <c r="O161" i="60"/>
  <c r="P161" i="60"/>
  <c r="Q161" i="60"/>
  <c r="R161" i="60"/>
  <c r="S161" i="60"/>
  <c r="T161" i="60"/>
  <c r="U161" i="60"/>
  <c r="E162" i="60"/>
  <c r="F162" i="60"/>
  <c r="G162" i="60"/>
  <c r="H162" i="60"/>
  <c r="I162" i="60"/>
  <c r="J162" i="60"/>
  <c r="K162" i="60"/>
  <c r="L162" i="60"/>
  <c r="M162" i="60"/>
  <c r="N162" i="60"/>
  <c r="O162" i="60"/>
  <c r="P162" i="60"/>
  <c r="Q162" i="60"/>
  <c r="R162" i="60"/>
  <c r="S162" i="60"/>
  <c r="T162" i="60"/>
  <c r="U162" i="60"/>
  <c r="E163" i="60"/>
  <c r="F163" i="60"/>
  <c r="G163" i="60"/>
  <c r="H163" i="60"/>
  <c r="I163" i="60"/>
  <c r="J163" i="60"/>
  <c r="K163" i="60"/>
  <c r="L163" i="60"/>
  <c r="M163" i="60"/>
  <c r="N163" i="60"/>
  <c r="O163" i="60"/>
  <c r="P163" i="60"/>
  <c r="Q163" i="60"/>
  <c r="R163" i="60"/>
  <c r="S163" i="60"/>
  <c r="T163" i="60"/>
  <c r="U163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R164" i="60"/>
  <c r="S164" i="60"/>
  <c r="T164" i="60"/>
  <c r="U164" i="60"/>
  <c r="E165" i="60"/>
  <c r="F165" i="60"/>
  <c r="G165" i="60"/>
  <c r="H165" i="60"/>
  <c r="I165" i="60"/>
  <c r="J165" i="60"/>
  <c r="K165" i="60"/>
  <c r="L165" i="60"/>
  <c r="M165" i="60"/>
  <c r="N165" i="60"/>
  <c r="O165" i="60"/>
  <c r="P165" i="60"/>
  <c r="Q165" i="60"/>
  <c r="R165" i="60"/>
  <c r="S165" i="60"/>
  <c r="T165" i="60"/>
  <c r="U165" i="60"/>
  <c r="E166" i="60"/>
  <c r="F166" i="60"/>
  <c r="G166" i="60"/>
  <c r="H166" i="60"/>
  <c r="I166" i="60"/>
  <c r="J166" i="60"/>
  <c r="K166" i="60"/>
  <c r="L166" i="60"/>
  <c r="M166" i="60"/>
  <c r="N166" i="60"/>
  <c r="O166" i="60"/>
  <c r="P166" i="60"/>
  <c r="Q166" i="60"/>
  <c r="R166" i="60"/>
  <c r="S166" i="60"/>
  <c r="T166" i="60"/>
  <c r="U166" i="60"/>
  <c r="E167" i="60"/>
  <c r="F167" i="60"/>
  <c r="G167" i="60"/>
  <c r="H167" i="60"/>
  <c r="I167" i="60"/>
  <c r="J167" i="60"/>
  <c r="K167" i="60"/>
  <c r="L167" i="60"/>
  <c r="M167" i="60"/>
  <c r="N167" i="60"/>
  <c r="O167" i="60"/>
  <c r="P167" i="60"/>
  <c r="Q167" i="60"/>
  <c r="R167" i="60"/>
  <c r="S167" i="60"/>
  <c r="T167" i="60"/>
  <c r="U167" i="60"/>
  <c r="E168" i="60"/>
  <c r="F168" i="60"/>
  <c r="G168" i="60"/>
  <c r="H168" i="60"/>
  <c r="I168" i="60"/>
  <c r="J168" i="60"/>
  <c r="K168" i="60"/>
  <c r="L168" i="60"/>
  <c r="M168" i="60"/>
  <c r="N168" i="60"/>
  <c r="O168" i="60"/>
  <c r="P168" i="60"/>
  <c r="Q168" i="60"/>
  <c r="R168" i="60"/>
  <c r="S168" i="60"/>
  <c r="T168" i="60"/>
  <c r="U168" i="60"/>
  <c r="E169" i="60"/>
  <c r="F169" i="60"/>
  <c r="G169" i="60"/>
  <c r="H169" i="60"/>
  <c r="I169" i="60"/>
  <c r="J169" i="60"/>
  <c r="K169" i="60"/>
  <c r="L169" i="60"/>
  <c r="M169" i="60"/>
  <c r="N169" i="60"/>
  <c r="O169" i="60"/>
  <c r="P169" i="60"/>
  <c r="Q169" i="60"/>
  <c r="R169" i="60"/>
  <c r="S169" i="60"/>
  <c r="T169" i="60"/>
  <c r="U169" i="60"/>
  <c r="E170" i="60"/>
  <c r="F170" i="60"/>
  <c r="G170" i="60"/>
  <c r="H170" i="60"/>
  <c r="I170" i="60"/>
  <c r="J170" i="60"/>
  <c r="K170" i="60"/>
  <c r="L170" i="60"/>
  <c r="M170" i="60"/>
  <c r="N170" i="60"/>
  <c r="O170" i="60"/>
  <c r="P170" i="60"/>
  <c r="Q170" i="60"/>
  <c r="R170" i="60"/>
  <c r="S170" i="60"/>
  <c r="T170" i="60"/>
  <c r="U170" i="60"/>
  <c r="E171" i="60"/>
  <c r="F171" i="60"/>
  <c r="G171" i="60"/>
  <c r="H171" i="60"/>
  <c r="I171" i="60"/>
  <c r="J171" i="60"/>
  <c r="K171" i="60"/>
  <c r="L171" i="60"/>
  <c r="M171" i="60"/>
  <c r="N171" i="60"/>
  <c r="O171" i="60"/>
  <c r="P171" i="60"/>
  <c r="Q171" i="60"/>
  <c r="R171" i="60"/>
  <c r="S171" i="60"/>
  <c r="T171" i="60"/>
  <c r="U171" i="60"/>
  <c r="E172" i="60"/>
  <c r="F172" i="60"/>
  <c r="G172" i="60"/>
  <c r="H172" i="60"/>
  <c r="I172" i="60"/>
  <c r="J172" i="60"/>
  <c r="K172" i="60"/>
  <c r="L172" i="60"/>
  <c r="M172" i="60"/>
  <c r="N172" i="60"/>
  <c r="O172" i="60"/>
  <c r="P172" i="60"/>
  <c r="Q172" i="60"/>
  <c r="R172" i="60"/>
  <c r="S172" i="60"/>
  <c r="T172" i="60"/>
  <c r="U172" i="60"/>
  <c r="E173" i="60"/>
  <c r="F173" i="60"/>
  <c r="G173" i="60"/>
  <c r="H173" i="60"/>
  <c r="I173" i="60"/>
  <c r="J173" i="60"/>
  <c r="K173" i="60"/>
  <c r="L173" i="60"/>
  <c r="M173" i="60"/>
  <c r="N173" i="60"/>
  <c r="O173" i="60"/>
  <c r="P173" i="60"/>
  <c r="Q173" i="60"/>
  <c r="R173" i="60"/>
  <c r="S173" i="60"/>
  <c r="T173" i="60"/>
  <c r="U173" i="60"/>
  <c r="E174" i="60"/>
  <c r="F174" i="60"/>
  <c r="G174" i="60"/>
  <c r="H174" i="60"/>
  <c r="I174" i="60"/>
  <c r="J174" i="60"/>
  <c r="K174" i="60"/>
  <c r="L174" i="60"/>
  <c r="M174" i="60"/>
  <c r="N174" i="60"/>
  <c r="O174" i="60"/>
  <c r="P174" i="60"/>
  <c r="Q174" i="60"/>
  <c r="R174" i="60"/>
  <c r="S174" i="60"/>
  <c r="T174" i="60"/>
  <c r="U174" i="60"/>
  <c r="E175" i="60"/>
  <c r="F175" i="60"/>
  <c r="G175" i="60"/>
  <c r="H175" i="60"/>
  <c r="I175" i="60"/>
  <c r="J175" i="60"/>
  <c r="K175" i="60"/>
  <c r="L175" i="60"/>
  <c r="M175" i="60"/>
  <c r="N175" i="60"/>
  <c r="O175" i="60"/>
  <c r="P175" i="60"/>
  <c r="Q175" i="60"/>
  <c r="R175" i="60"/>
  <c r="S175" i="60"/>
  <c r="T175" i="60"/>
  <c r="U175" i="60"/>
  <c r="E176" i="60"/>
  <c r="F176" i="60"/>
  <c r="G176" i="60"/>
  <c r="H176" i="60"/>
  <c r="I176" i="60"/>
  <c r="J176" i="60"/>
  <c r="K176" i="60"/>
  <c r="L176" i="60"/>
  <c r="M176" i="60"/>
  <c r="N176" i="60"/>
  <c r="O176" i="60"/>
  <c r="P176" i="60"/>
  <c r="Q176" i="60"/>
  <c r="R176" i="60"/>
  <c r="S176" i="60"/>
  <c r="T176" i="60"/>
  <c r="U176" i="60"/>
  <c r="E177" i="60"/>
  <c r="F177" i="60"/>
  <c r="G177" i="60"/>
  <c r="H177" i="60"/>
  <c r="I177" i="60"/>
  <c r="J177" i="60"/>
  <c r="K177" i="60"/>
  <c r="L177" i="60"/>
  <c r="M177" i="60"/>
  <c r="N177" i="60"/>
  <c r="O177" i="60"/>
  <c r="P177" i="60"/>
  <c r="Q177" i="60"/>
  <c r="R177" i="60"/>
  <c r="S177" i="60"/>
  <c r="T177" i="60"/>
  <c r="U177" i="60"/>
  <c r="E178" i="60"/>
  <c r="F178" i="60"/>
  <c r="G178" i="60"/>
  <c r="H178" i="60"/>
  <c r="I178" i="60"/>
  <c r="J178" i="60"/>
  <c r="K178" i="60"/>
  <c r="L178" i="60"/>
  <c r="M178" i="60"/>
  <c r="N178" i="60"/>
  <c r="O178" i="60"/>
  <c r="P178" i="60"/>
  <c r="Q178" i="60"/>
  <c r="R178" i="60"/>
  <c r="S178" i="60"/>
  <c r="T178" i="60"/>
  <c r="U178" i="60"/>
  <c r="E179" i="60"/>
  <c r="F179" i="60"/>
  <c r="G179" i="60"/>
  <c r="H179" i="60"/>
  <c r="I179" i="60"/>
  <c r="J179" i="60"/>
  <c r="K179" i="60"/>
  <c r="L179" i="60"/>
  <c r="M179" i="60"/>
  <c r="N179" i="60"/>
  <c r="O179" i="60"/>
  <c r="P179" i="60"/>
  <c r="Q179" i="60"/>
  <c r="R179" i="60"/>
  <c r="S179" i="60"/>
  <c r="T179" i="60"/>
  <c r="U179" i="60"/>
  <c r="E180" i="60"/>
  <c r="F180" i="60"/>
  <c r="G180" i="60"/>
  <c r="H180" i="60"/>
  <c r="I180" i="60"/>
  <c r="J180" i="60"/>
  <c r="K180" i="60"/>
  <c r="L180" i="60"/>
  <c r="M180" i="60"/>
  <c r="N180" i="60"/>
  <c r="O180" i="60"/>
  <c r="P180" i="60"/>
  <c r="Q180" i="60"/>
  <c r="R180" i="60"/>
  <c r="S180" i="60"/>
  <c r="T180" i="60"/>
  <c r="U180" i="60"/>
  <c r="E181" i="60"/>
  <c r="F181" i="60"/>
  <c r="G181" i="60"/>
  <c r="H181" i="60"/>
  <c r="I181" i="60"/>
  <c r="J181" i="60"/>
  <c r="K181" i="60"/>
  <c r="L181" i="60"/>
  <c r="M181" i="60"/>
  <c r="N181" i="60"/>
  <c r="O181" i="60"/>
  <c r="P181" i="60"/>
  <c r="Q181" i="60"/>
  <c r="R181" i="60"/>
  <c r="S181" i="60"/>
  <c r="T181" i="60"/>
  <c r="U181" i="60"/>
  <c r="E182" i="60"/>
  <c r="F182" i="60"/>
  <c r="G182" i="60"/>
  <c r="H182" i="60"/>
  <c r="I182" i="60"/>
  <c r="J182" i="60"/>
  <c r="K182" i="60"/>
  <c r="L182" i="60"/>
  <c r="M182" i="60"/>
  <c r="N182" i="60"/>
  <c r="O182" i="60"/>
  <c r="P182" i="60"/>
  <c r="Q182" i="60"/>
  <c r="R182" i="60"/>
  <c r="S182" i="60"/>
  <c r="T182" i="60"/>
  <c r="U182" i="60"/>
  <c r="E183" i="60"/>
  <c r="F183" i="60"/>
  <c r="G183" i="60"/>
  <c r="H183" i="60"/>
  <c r="I183" i="60"/>
  <c r="J183" i="60"/>
  <c r="K183" i="60"/>
  <c r="L183" i="60"/>
  <c r="M183" i="60"/>
  <c r="N183" i="60"/>
  <c r="O183" i="60"/>
  <c r="P183" i="60"/>
  <c r="Q183" i="60"/>
  <c r="R183" i="60"/>
  <c r="S183" i="60"/>
  <c r="T183" i="60"/>
  <c r="U183" i="60"/>
  <c r="E184" i="60"/>
  <c r="F184" i="60"/>
  <c r="G184" i="60"/>
  <c r="H184" i="60"/>
  <c r="I184" i="60"/>
  <c r="J184" i="60"/>
  <c r="K184" i="60"/>
  <c r="L184" i="60"/>
  <c r="M184" i="60"/>
  <c r="N184" i="60"/>
  <c r="O184" i="60"/>
  <c r="P184" i="60"/>
  <c r="Q184" i="60"/>
  <c r="R184" i="60"/>
  <c r="S184" i="60"/>
  <c r="T184" i="60"/>
  <c r="U184" i="60"/>
  <c r="E185" i="60"/>
  <c r="F185" i="60"/>
  <c r="G185" i="60"/>
  <c r="H185" i="60"/>
  <c r="I185" i="60"/>
  <c r="J185" i="60"/>
  <c r="K185" i="60"/>
  <c r="L185" i="60"/>
  <c r="M185" i="60"/>
  <c r="N185" i="60"/>
  <c r="O185" i="60"/>
  <c r="P185" i="60"/>
  <c r="Q185" i="60"/>
  <c r="R185" i="60"/>
  <c r="S185" i="60"/>
  <c r="T185" i="60"/>
  <c r="U185" i="60"/>
  <c r="E186" i="60"/>
  <c r="F186" i="60"/>
  <c r="G186" i="60"/>
  <c r="H186" i="60"/>
  <c r="I186" i="60"/>
  <c r="J186" i="60"/>
  <c r="K186" i="60"/>
  <c r="L186" i="60"/>
  <c r="M186" i="60"/>
  <c r="N186" i="60"/>
  <c r="O186" i="60"/>
  <c r="P186" i="60"/>
  <c r="Q186" i="60"/>
  <c r="R186" i="60"/>
  <c r="S186" i="60"/>
  <c r="T186" i="60"/>
  <c r="U186" i="60"/>
  <c r="E187" i="60"/>
  <c r="F187" i="60"/>
  <c r="G187" i="60"/>
  <c r="H187" i="60"/>
  <c r="I187" i="60"/>
  <c r="J187" i="60"/>
  <c r="K187" i="60"/>
  <c r="L187" i="60"/>
  <c r="M187" i="60"/>
  <c r="N187" i="60"/>
  <c r="O187" i="60"/>
  <c r="P187" i="60"/>
  <c r="Q187" i="60"/>
  <c r="R187" i="60"/>
  <c r="S187" i="60"/>
  <c r="T187" i="60"/>
  <c r="U187" i="60"/>
  <c r="E188" i="60"/>
  <c r="F188" i="60"/>
  <c r="G188" i="60"/>
  <c r="H188" i="60"/>
  <c r="I188" i="60"/>
  <c r="J188" i="60"/>
  <c r="K188" i="60"/>
  <c r="L188" i="60"/>
  <c r="M188" i="60"/>
  <c r="N188" i="60"/>
  <c r="O188" i="60"/>
  <c r="P188" i="60"/>
  <c r="Q188" i="60"/>
  <c r="R188" i="60"/>
  <c r="S188" i="60"/>
  <c r="T188" i="60"/>
  <c r="U188" i="60"/>
  <c r="E189" i="60"/>
  <c r="F189" i="60"/>
  <c r="G189" i="60"/>
  <c r="H189" i="60"/>
  <c r="I189" i="60"/>
  <c r="J189" i="60"/>
  <c r="K189" i="60"/>
  <c r="L189" i="60"/>
  <c r="M189" i="60"/>
  <c r="N189" i="60"/>
  <c r="O189" i="60"/>
  <c r="P189" i="60"/>
  <c r="Q189" i="60"/>
  <c r="R189" i="60"/>
  <c r="S189" i="60"/>
  <c r="T189" i="60"/>
  <c r="U189" i="60"/>
  <c r="E190" i="60"/>
  <c r="F190" i="60"/>
  <c r="G190" i="60"/>
  <c r="H190" i="60"/>
  <c r="I190" i="60"/>
  <c r="J190" i="60"/>
  <c r="K190" i="60"/>
  <c r="L190" i="60"/>
  <c r="M190" i="60"/>
  <c r="N190" i="60"/>
  <c r="O190" i="60"/>
  <c r="P190" i="60"/>
  <c r="Q190" i="60"/>
  <c r="R190" i="60"/>
  <c r="S190" i="60"/>
  <c r="T190" i="60"/>
  <c r="U190" i="60"/>
  <c r="E191" i="60"/>
  <c r="F191" i="60"/>
  <c r="G191" i="60"/>
  <c r="H191" i="60"/>
  <c r="I191" i="60"/>
  <c r="J191" i="60"/>
  <c r="K191" i="60"/>
  <c r="L191" i="60"/>
  <c r="M191" i="60"/>
  <c r="N191" i="60"/>
  <c r="O191" i="60"/>
  <c r="P191" i="60"/>
  <c r="Q191" i="60"/>
  <c r="R191" i="60"/>
  <c r="S191" i="60"/>
  <c r="T191" i="60"/>
  <c r="U191" i="60"/>
  <c r="E192" i="60"/>
  <c r="F192" i="60"/>
  <c r="G192" i="60"/>
  <c r="H192" i="60"/>
  <c r="I192" i="60"/>
  <c r="J192" i="60"/>
  <c r="K192" i="60"/>
  <c r="L192" i="60"/>
  <c r="M192" i="60"/>
  <c r="N192" i="60"/>
  <c r="O192" i="60"/>
  <c r="P192" i="60"/>
  <c r="Q192" i="60"/>
  <c r="R192" i="60"/>
  <c r="S192" i="60"/>
  <c r="T192" i="60"/>
  <c r="U192" i="60"/>
  <c r="E193" i="60"/>
  <c r="F193" i="60"/>
  <c r="G193" i="60"/>
  <c r="H193" i="60"/>
  <c r="I193" i="60"/>
  <c r="J193" i="60"/>
  <c r="K193" i="60"/>
  <c r="L193" i="60"/>
  <c r="M193" i="60"/>
  <c r="N193" i="60"/>
  <c r="O193" i="60"/>
  <c r="P193" i="60"/>
  <c r="Q193" i="60"/>
  <c r="R193" i="60"/>
  <c r="S193" i="60"/>
  <c r="T193" i="60"/>
  <c r="U193" i="60"/>
  <c r="E194" i="60"/>
  <c r="F194" i="60"/>
  <c r="G194" i="60"/>
  <c r="H194" i="60"/>
  <c r="I194" i="60"/>
  <c r="J194" i="60"/>
  <c r="K194" i="60"/>
  <c r="L194" i="60"/>
  <c r="M194" i="60"/>
  <c r="N194" i="60"/>
  <c r="O194" i="60"/>
  <c r="P194" i="60"/>
  <c r="Q194" i="60"/>
  <c r="R194" i="60"/>
  <c r="S194" i="60"/>
  <c r="T194" i="60"/>
  <c r="U194" i="60"/>
  <c r="E195" i="60"/>
  <c r="F195" i="60"/>
  <c r="G195" i="60"/>
  <c r="H195" i="60"/>
  <c r="I195" i="60"/>
  <c r="J195" i="60"/>
  <c r="K195" i="60"/>
  <c r="L195" i="60"/>
  <c r="M195" i="60"/>
  <c r="N195" i="60"/>
  <c r="O195" i="60"/>
  <c r="P195" i="60"/>
  <c r="Q195" i="60"/>
  <c r="R195" i="60"/>
  <c r="S195" i="60"/>
  <c r="T195" i="60"/>
  <c r="U195" i="60"/>
  <c r="E196" i="60"/>
  <c r="F196" i="60"/>
  <c r="G196" i="60"/>
  <c r="H196" i="60"/>
  <c r="I196" i="60"/>
  <c r="J196" i="60"/>
  <c r="K196" i="60"/>
  <c r="L196" i="60"/>
  <c r="M196" i="60"/>
  <c r="N196" i="60"/>
  <c r="O196" i="60"/>
  <c r="P196" i="60"/>
  <c r="Q196" i="60"/>
  <c r="R196" i="60"/>
  <c r="S196" i="60"/>
  <c r="T196" i="60"/>
  <c r="U196" i="60"/>
  <c r="E197" i="60"/>
  <c r="F197" i="60"/>
  <c r="G197" i="60"/>
  <c r="H197" i="60"/>
  <c r="I197" i="60"/>
  <c r="J197" i="60"/>
  <c r="K197" i="60"/>
  <c r="L197" i="60"/>
  <c r="M197" i="60"/>
  <c r="N197" i="60"/>
  <c r="O197" i="60"/>
  <c r="P197" i="60"/>
  <c r="Q197" i="60"/>
  <c r="R197" i="60"/>
  <c r="S197" i="60"/>
  <c r="T197" i="60"/>
  <c r="U197" i="60"/>
  <c r="E198" i="60"/>
  <c r="F198" i="60"/>
  <c r="G198" i="60"/>
  <c r="H198" i="60"/>
  <c r="I198" i="60"/>
  <c r="J198" i="60"/>
  <c r="K198" i="60"/>
  <c r="L198" i="60"/>
  <c r="M198" i="60"/>
  <c r="N198" i="60"/>
  <c r="O198" i="60"/>
  <c r="P198" i="60"/>
  <c r="Q198" i="60"/>
  <c r="R198" i="60"/>
  <c r="S198" i="60"/>
  <c r="T198" i="60"/>
  <c r="U198" i="60"/>
  <c r="E199" i="60"/>
  <c r="F199" i="60"/>
  <c r="G199" i="60"/>
  <c r="H199" i="60"/>
  <c r="I199" i="60"/>
  <c r="J199" i="60"/>
  <c r="K199" i="60"/>
  <c r="L199" i="60"/>
  <c r="M199" i="60"/>
  <c r="N199" i="60"/>
  <c r="O199" i="60"/>
  <c r="P199" i="60"/>
  <c r="Q199" i="60"/>
  <c r="R199" i="60"/>
  <c r="S199" i="60"/>
  <c r="T199" i="60"/>
  <c r="U199" i="60"/>
  <c r="E200" i="60"/>
  <c r="F200" i="60"/>
  <c r="G200" i="60"/>
  <c r="H200" i="60"/>
  <c r="I200" i="60"/>
  <c r="J200" i="60"/>
  <c r="K200" i="60"/>
  <c r="L200" i="60"/>
  <c r="M200" i="60"/>
  <c r="N200" i="60"/>
  <c r="O200" i="60"/>
  <c r="P200" i="60"/>
  <c r="Q200" i="60"/>
  <c r="R200" i="60"/>
  <c r="S200" i="60"/>
  <c r="T200" i="60"/>
  <c r="U200" i="60"/>
  <c r="E201" i="60"/>
  <c r="F201" i="60"/>
  <c r="G201" i="60"/>
  <c r="H201" i="60"/>
  <c r="I201" i="60"/>
  <c r="J201" i="60"/>
  <c r="K201" i="60"/>
  <c r="L201" i="60"/>
  <c r="M201" i="60"/>
  <c r="N201" i="60"/>
  <c r="O201" i="60"/>
  <c r="P201" i="60"/>
  <c r="Q201" i="60"/>
  <c r="R201" i="60"/>
  <c r="S201" i="60"/>
  <c r="T201" i="60"/>
  <c r="U201" i="60"/>
  <c r="E202" i="60"/>
  <c r="F202" i="60"/>
  <c r="G202" i="60"/>
  <c r="H202" i="60"/>
  <c r="I202" i="60"/>
  <c r="J202" i="60"/>
  <c r="K202" i="60"/>
  <c r="L202" i="60"/>
  <c r="M202" i="60"/>
  <c r="N202" i="60"/>
  <c r="O202" i="60"/>
  <c r="P202" i="60"/>
  <c r="Q202" i="60"/>
  <c r="R202" i="60"/>
  <c r="S202" i="60"/>
  <c r="T202" i="60"/>
  <c r="U202" i="60"/>
  <c r="E203" i="60"/>
  <c r="F203" i="60"/>
  <c r="G203" i="60"/>
  <c r="H203" i="60"/>
  <c r="I203" i="60"/>
  <c r="J203" i="60"/>
  <c r="K203" i="60"/>
  <c r="L203" i="60"/>
  <c r="M203" i="60"/>
  <c r="N203" i="60"/>
  <c r="O203" i="60"/>
  <c r="P203" i="60"/>
  <c r="Q203" i="60"/>
  <c r="R203" i="60"/>
  <c r="S203" i="60"/>
  <c r="T203" i="60"/>
  <c r="U203" i="60"/>
  <c r="E204" i="60"/>
  <c r="F204" i="60"/>
  <c r="G204" i="60"/>
  <c r="H204" i="60"/>
  <c r="I204" i="60"/>
  <c r="J204" i="60"/>
  <c r="K204" i="60"/>
  <c r="L204" i="60"/>
  <c r="M204" i="60"/>
  <c r="N204" i="60"/>
  <c r="O204" i="60"/>
  <c r="P204" i="60"/>
  <c r="Q204" i="60"/>
  <c r="R204" i="60"/>
  <c r="S204" i="60"/>
  <c r="T204" i="60"/>
  <c r="U204" i="60"/>
  <c r="E205" i="60"/>
  <c r="F205" i="60"/>
  <c r="G205" i="60"/>
  <c r="H205" i="60"/>
  <c r="I205" i="60"/>
  <c r="J205" i="60"/>
  <c r="K205" i="60"/>
  <c r="L205" i="60"/>
  <c r="M205" i="60"/>
  <c r="N205" i="60"/>
  <c r="O205" i="60"/>
  <c r="P205" i="60"/>
  <c r="Q205" i="60"/>
  <c r="R205" i="60"/>
  <c r="S205" i="60"/>
  <c r="T205" i="60"/>
  <c r="U205" i="60"/>
  <c r="E206" i="60"/>
  <c r="F206" i="60"/>
  <c r="G206" i="60"/>
  <c r="H206" i="60"/>
  <c r="I206" i="60"/>
  <c r="J206" i="60"/>
  <c r="K206" i="60"/>
  <c r="L206" i="60"/>
  <c r="M206" i="60"/>
  <c r="N206" i="60"/>
  <c r="O206" i="60"/>
  <c r="P206" i="60"/>
  <c r="Q206" i="60"/>
  <c r="R206" i="60"/>
  <c r="S206" i="60"/>
  <c r="T206" i="60"/>
  <c r="U206" i="60"/>
  <c r="E207" i="60"/>
  <c r="F207" i="60"/>
  <c r="G207" i="60"/>
  <c r="H207" i="60"/>
  <c r="I207" i="60"/>
  <c r="J207" i="60"/>
  <c r="K207" i="60"/>
  <c r="L207" i="60"/>
  <c r="M207" i="60"/>
  <c r="N207" i="60"/>
  <c r="O207" i="60"/>
  <c r="P207" i="60"/>
  <c r="Q207" i="60"/>
  <c r="R207" i="60"/>
  <c r="S207" i="60"/>
  <c r="T207" i="60"/>
  <c r="U207" i="60"/>
  <c r="E208" i="60"/>
  <c r="F208" i="60"/>
  <c r="G208" i="60"/>
  <c r="H208" i="60"/>
  <c r="I208" i="60"/>
  <c r="J208" i="60"/>
  <c r="K208" i="60"/>
  <c r="L208" i="60"/>
  <c r="M208" i="60"/>
  <c r="N208" i="60"/>
  <c r="O208" i="60"/>
  <c r="P208" i="60"/>
  <c r="Q208" i="60"/>
  <c r="R208" i="60"/>
  <c r="S208" i="60"/>
  <c r="T208" i="60"/>
  <c r="U208" i="60"/>
  <c r="E209" i="60"/>
  <c r="F209" i="60"/>
  <c r="G209" i="60"/>
  <c r="H209" i="60"/>
  <c r="I209" i="60"/>
  <c r="J209" i="60"/>
  <c r="K209" i="60"/>
  <c r="L209" i="60"/>
  <c r="M209" i="60"/>
  <c r="N209" i="60"/>
  <c r="O209" i="60"/>
  <c r="P209" i="60"/>
  <c r="Q209" i="60"/>
  <c r="R209" i="60"/>
  <c r="S209" i="60"/>
  <c r="T209" i="60"/>
  <c r="U209" i="60"/>
  <c r="E210" i="60"/>
  <c r="F210" i="60"/>
  <c r="G210" i="60"/>
  <c r="H210" i="60"/>
  <c r="I210" i="60"/>
  <c r="J210" i="60"/>
  <c r="K210" i="60"/>
  <c r="L210" i="60"/>
  <c r="M210" i="60"/>
  <c r="N210" i="60"/>
  <c r="O210" i="60"/>
  <c r="P210" i="60"/>
  <c r="Q210" i="60"/>
  <c r="R210" i="60"/>
  <c r="S210" i="60"/>
  <c r="T210" i="60"/>
  <c r="U210" i="60"/>
  <c r="E211" i="60"/>
  <c r="F211" i="60"/>
  <c r="G211" i="60"/>
  <c r="H211" i="60"/>
  <c r="I211" i="60"/>
  <c r="J211" i="60"/>
  <c r="K211" i="60"/>
  <c r="L211" i="60"/>
  <c r="M211" i="60"/>
  <c r="N211" i="60"/>
  <c r="O211" i="60"/>
  <c r="P211" i="60"/>
  <c r="Q211" i="60"/>
  <c r="R211" i="60"/>
  <c r="S211" i="60"/>
  <c r="T211" i="60"/>
  <c r="U211" i="60"/>
  <c r="E212" i="60"/>
  <c r="F212" i="60"/>
  <c r="G212" i="60"/>
  <c r="H212" i="60"/>
  <c r="I212" i="60"/>
  <c r="J212" i="60"/>
  <c r="K212" i="60"/>
  <c r="L212" i="60"/>
  <c r="M212" i="60"/>
  <c r="N212" i="60"/>
  <c r="O212" i="60"/>
  <c r="P212" i="60"/>
  <c r="Q212" i="60"/>
  <c r="R212" i="60"/>
  <c r="S212" i="60"/>
  <c r="T212" i="60"/>
  <c r="U212" i="60"/>
  <c r="E213" i="60"/>
  <c r="F213" i="60"/>
  <c r="G213" i="60"/>
  <c r="H213" i="60"/>
  <c r="I213" i="60"/>
  <c r="J213" i="60"/>
  <c r="K213" i="60"/>
  <c r="L213" i="60"/>
  <c r="M213" i="60"/>
  <c r="N213" i="60"/>
  <c r="O213" i="60"/>
  <c r="P213" i="60"/>
  <c r="Q213" i="60"/>
  <c r="R213" i="60"/>
  <c r="S213" i="60"/>
  <c r="T213" i="60"/>
  <c r="U213" i="60"/>
  <c r="E214" i="60"/>
  <c r="F214" i="60"/>
  <c r="G214" i="60"/>
  <c r="H214" i="60"/>
  <c r="I214" i="60"/>
  <c r="J214" i="60"/>
  <c r="K214" i="60"/>
  <c r="L214" i="60"/>
  <c r="M214" i="60"/>
  <c r="N214" i="60"/>
  <c r="O214" i="60"/>
  <c r="P214" i="60"/>
  <c r="Q214" i="60"/>
  <c r="R214" i="60"/>
  <c r="S214" i="60"/>
  <c r="T214" i="60"/>
  <c r="U214" i="60"/>
  <c r="E215" i="60"/>
  <c r="F215" i="60"/>
  <c r="G215" i="60"/>
  <c r="H215" i="60"/>
  <c r="I215" i="60"/>
  <c r="J215" i="60"/>
  <c r="K215" i="60"/>
  <c r="L215" i="60"/>
  <c r="M215" i="60"/>
  <c r="N215" i="60"/>
  <c r="O215" i="60"/>
  <c r="P215" i="60"/>
  <c r="Q215" i="60"/>
  <c r="R215" i="60"/>
  <c r="S215" i="60"/>
  <c r="T215" i="60"/>
  <c r="U215" i="60"/>
  <c r="E216" i="60"/>
  <c r="F216" i="60"/>
  <c r="G216" i="60"/>
  <c r="H216" i="60"/>
  <c r="I216" i="60"/>
  <c r="J216" i="60"/>
  <c r="K216" i="60"/>
  <c r="L216" i="60"/>
  <c r="M216" i="60"/>
  <c r="N216" i="60"/>
  <c r="O216" i="60"/>
  <c r="P216" i="60"/>
  <c r="Q216" i="60"/>
  <c r="R216" i="60"/>
  <c r="S216" i="60"/>
  <c r="T216" i="60"/>
  <c r="U216" i="60"/>
  <c r="E217" i="60"/>
  <c r="F217" i="60"/>
  <c r="G217" i="60"/>
  <c r="H217" i="60"/>
  <c r="I217" i="60"/>
  <c r="J217" i="60"/>
  <c r="K217" i="60"/>
  <c r="L217" i="60"/>
  <c r="M217" i="60"/>
  <c r="N217" i="60"/>
  <c r="O217" i="60"/>
  <c r="P217" i="60"/>
  <c r="Q217" i="60"/>
  <c r="R217" i="60"/>
  <c r="S217" i="60"/>
  <c r="T217" i="60"/>
  <c r="U217" i="60"/>
  <c r="E218" i="60"/>
  <c r="F218" i="60"/>
  <c r="G218" i="60"/>
  <c r="H218" i="60"/>
  <c r="I218" i="60"/>
  <c r="J218" i="60"/>
  <c r="K218" i="60"/>
  <c r="L218" i="60"/>
  <c r="M218" i="60"/>
  <c r="N218" i="60"/>
  <c r="O218" i="60"/>
  <c r="P218" i="60"/>
  <c r="Q218" i="60"/>
  <c r="R218" i="60"/>
  <c r="S218" i="60"/>
  <c r="T218" i="60"/>
  <c r="U218" i="60"/>
  <c r="E219" i="60"/>
  <c r="F219" i="60"/>
  <c r="G219" i="60"/>
  <c r="H219" i="60"/>
  <c r="I219" i="60"/>
  <c r="J219" i="60"/>
  <c r="K219" i="60"/>
  <c r="L219" i="60"/>
  <c r="M219" i="60"/>
  <c r="N219" i="60"/>
  <c r="O219" i="60"/>
  <c r="P219" i="60"/>
  <c r="Q219" i="60"/>
  <c r="R219" i="60"/>
  <c r="S219" i="60"/>
  <c r="T219" i="60"/>
  <c r="U219" i="60"/>
  <c r="D152" i="60"/>
  <c r="D153" i="60"/>
  <c r="D154" i="60"/>
  <c r="D155" i="60"/>
  <c r="D156" i="60"/>
  <c r="D157" i="60"/>
  <c r="D158" i="60"/>
  <c r="D159" i="60"/>
  <c r="D160" i="60"/>
  <c r="D161" i="60"/>
  <c r="D162" i="60"/>
  <c r="D163" i="60"/>
  <c r="D164" i="60"/>
  <c r="D165" i="60"/>
  <c r="D166" i="60"/>
  <c r="D167" i="60"/>
  <c r="D168" i="60"/>
  <c r="D169" i="60"/>
  <c r="D170" i="60"/>
  <c r="D171" i="60"/>
  <c r="D172" i="60"/>
  <c r="D173" i="60"/>
  <c r="D174" i="60"/>
  <c r="D175" i="60"/>
  <c r="D176" i="60"/>
  <c r="D177" i="60"/>
  <c r="D178" i="60"/>
  <c r="D179" i="60"/>
  <c r="D180" i="60"/>
  <c r="D181" i="60"/>
  <c r="D182" i="60"/>
  <c r="D183" i="60"/>
  <c r="D184" i="60"/>
  <c r="D185" i="60"/>
  <c r="D186" i="60"/>
  <c r="D187" i="60"/>
  <c r="D188" i="60"/>
  <c r="D189" i="60"/>
  <c r="D190" i="60"/>
  <c r="D191" i="60"/>
  <c r="D192" i="60"/>
  <c r="D193" i="60"/>
  <c r="D194" i="60"/>
  <c r="D195" i="60"/>
  <c r="D196" i="60"/>
  <c r="D197" i="60"/>
  <c r="D198" i="60"/>
  <c r="D199" i="60"/>
  <c r="D200" i="60"/>
  <c r="D201" i="60"/>
  <c r="D202" i="60"/>
  <c r="D203" i="60"/>
  <c r="D204" i="60"/>
  <c r="D205" i="60"/>
  <c r="D206" i="60"/>
  <c r="D207" i="60"/>
  <c r="D208" i="60"/>
  <c r="D209" i="60"/>
  <c r="D210" i="60"/>
  <c r="D211" i="60"/>
  <c r="D212" i="60"/>
  <c r="D213" i="60"/>
  <c r="D214" i="60"/>
  <c r="D215" i="60"/>
  <c r="D216" i="60"/>
  <c r="D217" i="60"/>
  <c r="D218" i="60"/>
  <c r="D219" i="60"/>
  <c r="D151" i="60"/>
  <c r="AJ3" i="69"/>
  <c r="AI3" i="69"/>
  <c r="AH3" i="69"/>
  <c r="AG3" i="69"/>
  <c r="AF3" i="69"/>
  <c r="AE3" i="69"/>
  <c r="AD3" i="69"/>
  <c r="AC3" i="69"/>
  <c r="AB3" i="69"/>
  <c r="AA3" i="69"/>
  <c r="Z3" i="69"/>
  <c r="Y3" i="69"/>
  <c r="X3" i="69"/>
  <c r="W3" i="69"/>
  <c r="V3" i="69"/>
  <c r="U3" i="69"/>
  <c r="T3" i="69"/>
  <c r="S3" i="69"/>
  <c r="R3" i="69"/>
  <c r="Q3" i="69"/>
  <c r="P3" i="69"/>
  <c r="O3" i="69"/>
  <c r="N3" i="69"/>
  <c r="M3" i="69"/>
  <c r="L3" i="69"/>
  <c r="K3" i="69"/>
  <c r="J3" i="69"/>
  <c r="I3" i="69"/>
  <c r="H3" i="69"/>
  <c r="G3" i="69"/>
  <c r="F3" i="69"/>
  <c r="E3" i="69"/>
  <c r="D3" i="69"/>
  <c r="C8" i="51"/>
  <c r="D8" i="51"/>
  <c r="E8" i="51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U8" i="51"/>
  <c r="V8" i="51"/>
  <c r="W8" i="51"/>
  <c r="X8" i="51"/>
  <c r="Y8" i="51"/>
  <c r="Z8" i="51"/>
  <c r="AA8" i="51"/>
  <c r="AB8" i="51"/>
  <c r="AC8" i="51"/>
  <c r="AD8" i="51"/>
  <c r="AE8" i="51"/>
  <c r="AF8" i="51"/>
  <c r="AG8" i="51"/>
  <c r="AH8" i="51"/>
  <c r="B8" i="51"/>
  <c r="AJ3" i="68"/>
  <c r="AI3" i="68"/>
  <c r="AH3" i="68"/>
  <c r="AG3" i="68"/>
  <c r="AF3" i="68"/>
  <c r="AE3" i="68"/>
  <c r="AD3" i="68"/>
  <c r="AC3" i="68"/>
  <c r="AB3" i="68"/>
  <c r="AA3" i="68"/>
  <c r="Z3" i="68"/>
  <c r="Y3" i="68"/>
  <c r="X3" i="68"/>
  <c r="W3" i="68"/>
  <c r="V3" i="68"/>
  <c r="U3" i="68"/>
  <c r="T3" i="68"/>
  <c r="S3" i="68"/>
  <c r="R3" i="68"/>
  <c r="Q3" i="68"/>
  <c r="P3" i="68"/>
  <c r="O3" i="68"/>
  <c r="N3" i="68"/>
  <c r="M3" i="68"/>
  <c r="L3" i="68"/>
  <c r="K3" i="68"/>
  <c r="J3" i="68"/>
  <c r="I3" i="68"/>
  <c r="H3" i="68"/>
  <c r="G3" i="68"/>
  <c r="F3" i="68"/>
  <c r="E3" i="68"/>
  <c r="D3" i="68"/>
  <c r="D3" i="60"/>
  <c r="C7" i="51"/>
  <c r="D7" i="51"/>
  <c r="E7" i="51"/>
  <c r="F7" i="51"/>
  <c r="G7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U7" i="51"/>
  <c r="V7" i="51"/>
  <c r="W7" i="51"/>
  <c r="X7" i="51"/>
  <c r="Y7" i="51"/>
  <c r="Z7" i="51"/>
  <c r="AA7" i="51"/>
  <c r="AB7" i="51"/>
  <c r="AC7" i="51"/>
  <c r="AD7" i="51"/>
  <c r="AE7" i="51"/>
  <c r="AF7" i="51"/>
  <c r="AG7" i="51"/>
  <c r="AH7" i="51"/>
  <c r="B7" i="51"/>
  <c r="C6" i="51"/>
  <c r="D6" i="51"/>
  <c r="E6" i="51"/>
  <c r="F6" i="51"/>
  <c r="G6" i="51"/>
  <c r="H6" i="51"/>
  <c r="I6" i="51"/>
  <c r="J6" i="51"/>
  <c r="K6" i="51"/>
  <c r="L6" i="51"/>
  <c r="M6" i="51"/>
  <c r="N6" i="51"/>
  <c r="O6" i="51"/>
  <c r="P6" i="51"/>
  <c r="Q6" i="51"/>
  <c r="R6" i="51"/>
  <c r="S6" i="51"/>
  <c r="T6" i="51"/>
  <c r="U6" i="51"/>
  <c r="V6" i="51"/>
  <c r="W6" i="51"/>
  <c r="X6" i="51"/>
  <c r="Y6" i="51"/>
  <c r="Z6" i="51"/>
  <c r="AA6" i="51"/>
  <c r="AB6" i="51"/>
  <c r="AC6" i="51"/>
  <c r="AD6" i="51"/>
  <c r="AE6" i="51"/>
  <c r="AF6" i="51"/>
  <c r="AG6" i="51"/>
  <c r="AH6" i="51"/>
  <c r="B6" i="51"/>
</calcChain>
</file>

<file path=xl/sharedStrings.xml><?xml version="1.0" encoding="utf-8"?>
<sst xmlns="http://schemas.openxmlformats.org/spreadsheetml/2006/main" count="4456" uniqueCount="223">
  <si>
    <t>Total</t>
    <phoneticPr fontId="3" type="noConversion"/>
  </si>
  <si>
    <t>Total</t>
  </si>
  <si>
    <t>General</t>
    <phoneticPr fontId="3" type="noConversion"/>
  </si>
  <si>
    <t>New Taipei City</t>
    <phoneticPr fontId="4" type="noConversion"/>
  </si>
  <si>
    <t>Taipei City</t>
    <phoneticPr fontId="4" type="noConversion"/>
  </si>
  <si>
    <t>Taichung City</t>
    <phoneticPr fontId="4" type="noConversion"/>
  </si>
  <si>
    <t>Tainan City</t>
    <phoneticPr fontId="4" type="noConversion"/>
  </si>
  <si>
    <t>Kaohsiung City</t>
    <phoneticPr fontId="4" type="noConversion"/>
  </si>
  <si>
    <t>Yilan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</si>
  <si>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</si>
  <si>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</si>
  <si>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</si>
  <si>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</si>
  <si>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</si>
  <si>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</si>
  <si>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</si>
  <si>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</si>
  <si>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</si>
  <si>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</si>
  <si>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</si>
  <si>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</si>
  <si>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</si>
  <si>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</si>
  <si>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</si>
  <si>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Source: County and Government.</t>
    <phoneticPr fontId="4" type="noConversion"/>
  </si>
  <si>
    <t>Taoyuan City</t>
    <phoneticPr fontId="4" type="noConversion"/>
  </si>
  <si>
    <r>
      <rPr>
        <b/>
        <sz val="14"/>
        <rFont val="標楷體"/>
        <family val="4"/>
        <charset val="136"/>
      </rPr>
      <t>兒童及少年保護</t>
    </r>
    <r>
      <rPr>
        <b/>
        <sz val="14"/>
        <rFont val="Times New Roman"/>
        <family val="1"/>
      </rPr>
      <t>-</t>
    </r>
    <r>
      <rPr>
        <b/>
        <sz val="14"/>
        <rFont val="標楷體"/>
        <family val="4"/>
        <charset val="136"/>
      </rPr>
      <t>施虐者身分別分</t>
    </r>
    <r>
      <rPr>
        <b/>
        <sz val="14"/>
        <rFont val="Times New Roman"/>
        <family val="1"/>
      </rPr>
      <t>Number of Persons Who Abuse Child and Youth by Identity</t>
    </r>
    <phoneticPr fontId="4" type="noConversion"/>
  </si>
  <si>
    <r>
      <rPr>
        <sz val="8"/>
        <rFont val="標楷體"/>
        <family val="4"/>
        <charset val="136"/>
      </rPr>
      <t xml:space="preserve">男
</t>
    </r>
    <r>
      <rPr>
        <sz val="8"/>
        <rFont val="Times New Roman"/>
        <family val="1"/>
      </rPr>
      <t>Male</t>
    </r>
  </si>
  <si>
    <r>
      <rPr>
        <sz val="8"/>
        <rFont val="標楷體"/>
        <family val="4"/>
        <charset val="136"/>
      </rPr>
      <t xml:space="preserve">女
</t>
    </r>
    <r>
      <rPr>
        <sz val="8"/>
        <rFont val="Times New Roman"/>
        <family val="1"/>
      </rPr>
      <t>Female</t>
    </r>
  </si>
  <si>
    <r>
      <rPr>
        <sz val="8"/>
        <rFont val="標楷體"/>
        <family val="4"/>
        <charset val="136"/>
      </rPr>
      <t>資料來源：各直轄市、縣市政府。</t>
    </r>
    <phoneticPr fontId="4" type="noConversion"/>
  </si>
  <si>
    <r>
      <rPr>
        <sz val="8"/>
        <rFont val="標楷體"/>
        <family val="4"/>
        <charset val="136"/>
      </rPr>
      <t xml:space="preserve">總計
</t>
    </r>
    <r>
      <rPr>
        <sz val="8"/>
        <rFont val="Times New Roman"/>
        <family val="1"/>
      </rPr>
      <t>Total</t>
    </r>
    <phoneticPr fontId="3" type="noConversion"/>
  </si>
  <si>
    <r>
      <rPr>
        <sz val="8"/>
        <rFont val="標楷體"/>
        <family val="4"/>
        <charset val="136"/>
      </rPr>
      <t xml:space="preserve">父母
</t>
    </r>
    <r>
      <rPr>
        <sz val="8"/>
        <rFont val="Times New Roman"/>
        <family val="1"/>
      </rPr>
      <t>Parents (Foster Parents)</t>
    </r>
    <phoneticPr fontId="3" type="noConversion"/>
  </si>
  <si>
    <r>
      <rPr>
        <sz val="8"/>
        <rFont val="標楷體"/>
        <family val="4"/>
        <charset val="136"/>
      </rPr>
      <t xml:space="preserve">照顧者
</t>
    </r>
    <r>
      <rPr>
        <sz val="8"/>
        <rFont val="Times New Roman"/>
        <family val="1"/>
      </rPr>
      <t>Minders</t>
    </r>
    <phoneticPr fontId="3" type="noConversion"/>
  </si>
  <si>
    <r>
      <rPr>
        <sz val="8"/>
        <rFont val="標楷體"/>
        <family val="4"/>
        <charset val="136"/>
      </rPr>
      <t xml:space="preserve">親戚
</t>
    </r>
    <r>
      <rPr>
        <sz val="8"/>
        <rFont val="Times New Roman"/>
        <family val="1"/>
      </rPr>
      <t>Relatives</t>
    </r>
    <phoneticPr fontId="3" type="noConversion"/>
  </si>
  <si>
    <r>
      <rPr>
        <sz val="8"/>
        <rFont val="標楷體"/>
        <family val="4"/>
        <charset val="136"/>
      </rPr>
      <t xml:space="preserve">機構
</t>
    </r>
    <r>
      <rPr>
        <sz val="8"/>
        <rFont val="Times New Roman"/>
        <family val="1"/>
      </rPr>
      <t>Institution</t>
    </r>
    <phoneticPr fontId="3" type="noConversion"/>
  </si>
  <si>
    <r>
      <rPr>
        <sz val="8"/>
        <rFont val="標楷體"/>
        <family val="4"/>
        <charset val="136"/>
      </rPr>
      <t xml:space="preserve">同居者
</t>
    </r>
    <r>
      <rPr>
        <sz val="8"/>
        <rFont val="Times New Roman"/>
        <family val="1"/>
      </rPr>
      <t>Cohabitation</t>
    </r>
    <phoneticPr fontId="3" type="noConversion"/>
  </si>
  <si>
    <r>
      <rPr>
        <sz val="8"/>
        <rFont val="標楷體"/>
        <family val="4"/>
        <charset val="136"/>
      </rPr>
      <t xml:space="preserve">其他
</t>
    </r>
    <r>
      <rPr>
        <sz val="8"/>
        <rFont val="Times New Roman"/>
        <family val="1"/>
      </rPr>
      <t>Others</t>
    </r>
    <phoneticPr fontId="3" type="noConversion"/>
  </si>
  <si>
    <r>
      <rPr>
        <sz val="8"/>
        <rFont val="標楷體"/>
        <family val="4"/>
        <charset val="136"/>
      </rPr>
      <t xml:space="preserve">合計
</t>
    </r>
    <r>
      <rPr>
        <sz val="8"/>
        <rFont val="Times New Roman"/>
        <family val="1"/>
      </rPr>
      <t>SubTotal</t>
    </r>
    <phoneticPr fontId="4" type="noConversion"/>
  </si>
  <si>
    <r>
      <rPr>
        <sz val="8"/>
        <rFont val="標楷體"/>
        <family val="4"/>
        <charset val="136"/>
      </rPr>
      <t xml:space="preserve">區域及特殊族群別
</t>
    </r>
    <r>
      <rPr>
        <sz val="8"/>
        <rFont val="Times New Roman"/>
        <family val="1"/>
      </rPr>
      <t>Locality &amp;  Ethnos</t>
    </r>
    <phoneticPr fontId="3" type="noConversion"/>
  </si>
  <si>
    <r>
      <rPr>
        <sz val="8"/>
        <rFont val="標楷體"/>
        <family val="4"/>
        <charset val="136"/>
      </rPr>
      <t>　宜蘭縣</t>
    </r>
  </si>
  <si>
    <r>
      <rPr>
        <sz val="8"/>
        <rFont val="標楷體"/>
        <family val="4"/>
        <charset val="136"/>
      </rPr>
      <t>　新竹縣</t>
    </r>
  </si>
  <si>
    <r>
      <rPr>
        <sz val="8"/>
        <rFont val="標楷體"/>
        <family val="4"/>
        <charset val="136"/>
      </rPr>
      <t>　苗栗縣</t>
    </r>
  </si>
  <si>
    <r>
      <rPr>
        <sz val="8"/>
        <rFont val="標楷體"/>
        <family val="4"/>
        <charset val="136"/>
      </rPr>
      <t>　彰化縣</t>
    </r>
  </si>
  <si>
    <r>
      <rPr>
        <sz val="8"/>
        <rFont val="標楷體"/>
        <family val="4"/>
        <charset val="136"/>
      </rPr>
      <t>　南投縣</t>
    </r>
  </si>
  <si>
    <r>
      <rPr>
        <sz val="8"/>
        <rFont val="標楷體"/>
        <family val="4"/>
        <charset val="136"/>
      </rPr>
      <t>　雲林縣</t>
    </r>
  </si>
  <si>
    <r>
      <rPr>
        <sz val="8"/>
        <rFont val="標楷體"/>
        <family val="4"/>
        <charset val="136"/>
      </rPr>
      <t>　嘉義縣</t>
    </r>
  </si>
  <si>
    <r>
      <rPr>
        <sz val="8"/>
        <rFont val="標楷體"/>
        <family val="4"/>
        <charset val="136"/>
      </rPr>
      <t>　屏東縣</t>
    </r>
  </si>
  <si>
    <r>
      <rPr>
        <sz val="8"/>
        <rFont val="標楷體"/>
        <family val="4"/>
        <charset val="136"/>
      </rPr>
      <t>　臺東縣</t>
    </r>
  </si>
  <si>
    <r>
      <rPr>
        <sz val="8"/>
        <rFont val="標楷體"/>
        <family val="4"/>
        <charset val="136"/>
      </rPr>
      <t>　花蓮縣</t>
    </r>
  </si>
  <si>
    <r>
      <rPr>
        <sz val="8"/>
        <rFont val="標楷體"/>
        <family val="4"/>
        <charset val="136"/>
      </rPr>
      <t>　澎湖縣</t>
    </r>
  </si>
  <si>
    <r>
      <rPr>
        <sz val="8"/>
        <rFont val="標楷體"/>
        <family val="4"/>
        <charset val="136"/>
      </rPr>
      <t>　基隆市</t>
    </r>
  </si>
  <si>
    <r>
      <rPr>
        <sz val="8"/>
        <rFont val="標楷體"/>
        <family val="4"/>
        <charset val="136"/>
      </rPr>
      <t>　新竹市</t>
    </r>
  </si>
  <si>
    <r>
      <rPr>
        <sz val="8"/>
        <rFont val="標楷體"/>
        <family val="4"/>
        <charset val="136"/>
      </rPr>
      <t>　嘉義市</t>
    </r>
  </si>
  <si>
    <r>
      <rPr>
        <sz val="8"/>
        <rFont val="標楷體"/>
        <family val="4"/>
        <charset val="136"/>
      </rPr>
      <t>　金門縣</t>
    </r>
  </si>
  <si>
    <r>
      <rPr>
        <sz val="8"/>
        <rFont val="標楷體"/>
        <family val="4"/>
        <charset val="136"/>
      </rPr>
      <t>　連江縣</t>
    </r>
  </si>
  <si>
    <r>
      <rPr>
        <sz val="8"/>
        <rFont val="標楷體"/>
        <family val="4"/>
        <charset val="136"/>
      </rPr>
      <t>施虐者人數按性別與身分分</t>
    </r>
    <r>
      <rPr>
        <sz val="8"/>
        <rFont val="Times New Roman"/>
        <family val="1"/>
      </rPr>
      <t>(</t>
    </r>
    <r>
      <rPr>
        <sz val="8"/>
        <rFont val="標楷體"/>
        <family val="4"/>
        <charset val="136"/>
      </rPr>
      <t>人</t>
    </r>
    <r>
      <rPr>
        <sz val="8"/>
        <rFont val="Times New Roman"/>
        <family val="1"/>
      </rPr>
      <t>)Number of Persons Who Abuse Child and Youth by Identity</t>
    </r>
    <phoneticPr fontId="4" type="noConversion"/>
  </si>
  <si>
    <r>
      <rPr>
        <sz val="8"/>
        <rFont val="標楷體"/>
        <family val="4"/>
        <charset val="136"/>
      </rPr>
      <t>更新日期：</t>
    </r>
    <r>
      <rPr>
        <sz val="8"/>
        <rFont val="Times New Roman"/>
        <family val="1"/>
      </rPr>
      <t>2016/3/8</t>
    </r>
    <phoneticPr fontId="4" type="noConversion"/>
  </si>
  <si>
    <r>
      <rPr>
        <sz val="10"/>
        <rFont val="標楷體"/>
        <family val="4"/>
        <charset val="136"/>
      </rPr>
      <t>　宜蘭縣</t>
    </r>
  </si>
  <si>
    <r>
      <rPr>
        <sz val="10"/>
        <rFont val="標楷體"/>
        <family val="4"/>
        <charset val="136"/>
      </rPr>
      <t>　新竹縣</t>
    </r>
  </si>
  <si>
    <r>
      <rPr>
        <sz val="10"/>
        <rFont val="標楷體"/>
        <family val="4"/>
        <charset val="136"/>
      </rPr>
      <t>　苗栗縣</t>
    </r>
  </si>
  <si>
    <r>
      <rPr>
        <sz val="10"/>
        <rFont val="標楷體"/>
        <family val="4"/>
        <charset val="136"/>
      </rPr>
      <t>　彰化縣</t>
    </r>
  </si>
  <si>
    <r>
      <rPr>
        <sz val="10"/>
        <rFont val="標楷體"/>
        <family val="4"/>
        <charset val="136"/>
      </rPr>
      <t>　南投縣</t>
    </r>
  </si>
  <si>
    <r>
      <rPr>
        <sz val="10"/>
        <rFont val="標楷體"/>
        <family val="4"/>
        <charset val="136"/>
      </rPr>
      <t>　雲林縣</t>
    </r>
  </si>
  <si>
    <r>
      <rPr>
        <sz val="10"/>
        <rFont val="標楷體"/>
        <family val="4"/>
        <charset val="136"/>
      </rPr>
      <t>　嘉義縣</t>
    </r>
  </si>
  <si>
    <r>
      <rPr>
        <sz val="10"/>
        <rFont val="標楷體"/>
        <family val="4"/>
        <charset val="136"/>
      </rPr>
      <t>　屏東縣</t>
    </r>
  </si>
  <si>
    <r>
      <rPr>
        <sz val="10"/>
        <rFont val="標楷體"/>
        <family val="4"/>
        <charset val="136"/>
      </rPr>
      <t>　臺東縣</t>
    </r>
  </si>
  <si>
    <r>
      <rPr>
        <sz val="10"/>
        <rFont val="標楷體"/>
        <family val="4"/>
        <charset val="136"/>
      </rPr>
      <t>　花蓮縣</t>
    </r>
  </si>
  <si>
    <r>
      <rPr>
        <sz val="10"/>
        <rFont val="標楷體"/>
        <family val="4"/>
        <charset val="136"/>
      </rPr>
      <t>　澎湖縣</t>
    </r>
  </si>
  <si>
    <r>
      <rPr>
        <sz val="10"/>
        <rFont val="標楷體"/>
        <family val="4"/>
        <charset val="136"/>
      </rPr>
      <t>　基隆市</t>
    </r>
  </si>
  <si>
    <r>
      <rPr>
        <sz val="10"/>
        <rFont val="標楷體"/>
        <family val="4"/>
        <charset val="136"/>
      </rPr>
      <t>　新竹市</t>
    </r>
  </si>
  <si>
    <r>
      <rPr>
        <sz val="10"/>
        <rFont val="標楷體"/>
        <family val="4"/>
        <charset val="136"/>
      </rPr>
      <t>　嘉義市</t>
    </r>
  </si>
  <si>
    <r>
      <rPr>
        <sz val="10"/>
        <rFont val="標楷體"/>
        <family val="4"/>
        <charset val="136"/>
      </rPr>
      <t>　金門縣</t>
    </r>
  </si>
  <si>
    <r>
      <rPr>
        <sz val="10"/>
        <rFont val="標楷體"/>
        <family val="4"/>
        <charset val="136"/>
      </rPr>
      <t>　連江縣</t>
    </r>
  </si>
  <si>
    <r>
      <rPr>
        <sz val="10"/>
        <rFont val="標楷體"/>
        <family val="4"/>
        <charset val="136"/>
      </rPr>
      <t>總計</t>
    </r>
    <phoneticPr fontId="4" type="noConversion"/>
  </si>
  <si>
    <r>
      <rPr>
        <sz val="10"/>
        <color indexed="12"/>
        <rFont val="標楷體"/>
        <family val="4"/>
        <charset val="136"/>
      </rPr>
      <t>計</t>
    </r>
    <phoneticPr fontId="3" type="noConversion"/>
  </si>
  <si>
    <r>
      <rPr>
        <sz val="10"/>
        <rFont val="標楷體"/>
        <family val="4"/>
        <charset val="136"/>
      </rPr>
      <t>一般</t>
    </r>
    <phoneticPr fontId="3" type="noConversion"/>
  </si>
  <si>
    <r>
      <rPr>
        <sz val="10"/>
        <rFont val="標楷體"/>
        <family val="4"/>
        <charset val="136"/>
      </rPr>
      <t>原住民</t>
    </r>
    <phoneticPr fontId="3" type="noConversion"/>
  </si>
  <si>
    <r>
      <rPr>
        <sz val="10"/>
        <rFont val="標楷體"/>
        <family val="4"/>
        <charset val="136"/>
      </rPr>
      <t xml:space="preserve">年別
</t>
    </r>
    <r>
      <rPr>
        <sz val="10"/>
        <rFont val="Times New Roman"/>
        <family val="1"/>
      </rPr>
      <t>Year</t>
    </r>
    <phoneticPr fontId="3" type="noConversion"/>
  </si>
  <si>
    <r>
      <rPr>
        <sz val="10"/>
        <rFont val="標楷體"/>
        <family val="4"/>
        <charset val="136"/>
      </rPr>
      <t>施虐者人數按性別與身分分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>)Number of Persons Who Abuse Child and Youth by Identity</t>
    </r>
    <phoneticPr fontId="4" type="noConversion"/>
  </si>
  <si>
    <r>
      <rPr>
        <sz val="10"/>
        <rFont val="標楷體"/>
        <family val="4"/>
        <charset val="136"/>
      </rPr>
      <t xml:space="preserve">總計
</t>
    </r>
    <r>
      <rPr>
        <sz val="10"/>
        <rFont val="Times New Roman"/>
        <family val="1"/>
      </rPr>
      <t>Total</t>
    </r>
    <phoneticPr fontId="3" type="noConversion"/>
  </si>
  <si>
    <r>
      <t>(</t>
    </r>
    <r>
      <rPr>
        <sz val="10"/>
        <rFont val="標楷體"/>
        <family val="4"/>
        <charset val="136"/>
      </rPr>
      <t>養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 xml:space="preserve">父母
</t>
    </r>
    <r>
      <rPr>
        <sz val="10"/>
        <rFont val="Times New Roman"/>
        <family val="1"/>
      </rPr>
      <t>Parents (Foster Parents)</t>
    </r>
    <phoneticPr fontId="3" type="noConversion"/>
  </si>
  <si>
    <r>
      <rPr>
        <sz val="10"/>
        <rFont val="標楷體"/>
        <family val="4"/>
        <charset val="136"/>
      </rPr>
      <t xml:space="preserve">手足
</t>
    </r>
    <r>
      <rPr>
        <sz val="10"/>
        <rFont val="Times New Roman"/>
        <family val="1"/>
      </rPr>
      <t>Siblings</t>
    </r>
    <phoneticPr fontId="3" type="noConversion"/>
  </si>
  <si>
    <r>
      <t>(</t>
    </r>
    <r>
      <rPr>
        <sz val="10"/>
        <rFont val="標楷體"/>
        <family val="4"/>
        <charset val="136"/>
      </rPr>
      <t>外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 xml:space="preserve">祖父母
</t>
    </r>
    <r>
      <rPr>
        <sz val="10"/>
        <rFont val="Times New Roman"/>
        <family val="1"/>
      </rPr>
      <t>Grandparents</t>
    </r>
    <phoneticPr fontId="3" type="noConversion"/>
  </si>
  <si>
    <r>
      <rPr>
        <sz val="10"/>
        <rFont val="標楷體"/>
        <family val="4"/>
        <charset val="136"/>
      </rPr>
      <t xml:space="preserve">其他親屬
</t>
    </r>
    <r>
      <rPr>
        <sz val="10"/>
        <rFont val="Times New Roman"/>
        <family val="1"/>
      </rPr>
      <t>Other Relatives</t>
    </r>
    <phoneticPr fontId="3" type="noConversion"/>
  </si>
  <si>
    <r>
      <rPr>
        <sz val="10"/>
        <rFont val="標楷體"/>
        <family val="4"/>
        <charset val="136"/>
      </rPr>
      <t xml:space="preserve">同居人
</t>
    </r>
    <r>
      <rPr>
        <sz val="10"/>
        <rFont val="Times New Roman"/>
        <family val="1"/>
      </rPr>
      <t>Cohabitants</t>
    </r>
    <phoneticPr fontId="3" type="noConversion"/>
  </si>
  <si>
    <r>
      <rPr>
        <sz val="10"/>
        <rFont val="標楷體"/>
        <family val="4"/>
        <charset val="136"/>
      </rPr>
      <t xml:space="preserve">其他
</t>
    </r>
    <r>
      <rPr>
        <sz val="10"/>
        <rFont val="Times New Roman"/>
        <family val="1"/>
      </rPr>
      <t>Others</t>
    </r>
    <phoneticPr fontId="3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</si>
  <si>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SubTotal</t>
    </r>
    <phoneticPr fontId="4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</si>
  <si>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</si>
  <si>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</si>
  <si>
    <r>
      <rPr>
        <sz val="10"/>
        <rFont val="標楷體"/>
        <family val="4"/>
        <charset val="136"/>
      </rPr>
      <t xml:space="preserve">區域及特殊族群別
</t>
    </r>
    <r>
      <rPr>
        <sz val="10"/>
        <rFont val="Times New Roman"/>
        <family val="1"/>
      </rPr>
      <t>Locality &amp;  Ethnos</t>
    </r>
    <phoneticPr fontId="3" type="noConversion"/>
  </si>
  <si>
    <r>
      <rPr>
        <sz val="8"/>
        <rFont val="標楷體"/>
        <family val="4"/>
        <charset val="136"/>
      </rPr>
      <t xml:space="preserve">區域及特殊族群別
</t>
    </r>
    <r>
      <rPr>
        <sz val="8"/>
        <rFont val="Times New Roman"/>
        <family val="1"/>
      </rPr>
      <t>Locality &amp;  Ethnos</t>
    </r>
    <phoneticPr fontId="3" type="noConversion"/>
  </si>
  <si>
    <r>
      <rPr>
        <sz val="8"/>
        <rFont val="標楷體"/>
        <family val="4"/>
        <charset val="136"/>
      </rPr>
      <t>施虐者人數按性別與身分分</t>
    </r>
    <r>
      <rPr>
        <sz val="8"/>
        <rFont val="Times New Roman"/>
        <family val="1"/>
      </rPr>
      <t>(</t>
    </r>
    <r>
      <rPr>
        <sz val="8"/>
        <rFont val="標楷體"/>
        <family val="4"/>
        <charset val="136"/>
      </rPr>
      <t>人</t>
    </r>
    <r>
      <rPr>
        <sz val="8"/>
        <rFont val="Times New Roman"/>
        <family val="1"/>
      </rPr>
      <t>)Number of Persons Who Abuse Child and Youth by Identity</t>
    </r>
    <phoneticPr fontId="4" type="noConversion"/>
  </si>
  <si>
    <r>
      <rPr>
        <sz val="8"/>
        <rFont val="標楷體"/>
        <family val="4"/>
        <charset val="136"/>
      </rPr>
      <t xml:space="preserve">總計
</t>
    </r>
    <r>
      <rPr>
        <sz val="8"/>
        <rFont val="Times New Roman"/>
        <family val="1"/>
      </rPr>
      <t>Total</t>
    </r>
    <phoneticPr fontId="3" type="noConversion"/>
  </si>
  <si>
    <r>
      <rPr>
        <sz val="8"/>
        <rFont val="標楷體"/>
        <family val="4"/>
        <charset val="136"/>
      </rPr>
      <t xml:space="preserve">父母
</t>
    </r>
    <r>
      <rPr>
        <sz val="8"/>
        <rFont val="Times New Roman"/>
        <family val="1"/>
      </rPr>
      <t>Parents (Foster Parents)</t>
    </r>
    <phoneticPr fontId="3" type="noConversion"/>
  </si>
  <si>
    <r>
      <rPr>
        <sz val="8"/>
        <rFont val="標楷體"/>
        <family val="4"/>
        <charset val="136"/>
      </rPr>
      <t xml:space="preserve">照顧者
</t>
    </r>
    <r>
      <rPr>
        <sz val="8"/>
        <rFont val="Times New Roman"/>
        <family val="1"/>
      </rPr>
      <t>Minders</t>
    </r>
    <phoneticPr fontId="3" type="noConversion"/>
  </si>
  <si>
    <r>
      <rPr>
        <sz val="8"/>
        <rFont val="標楷體"/>
        <family val="4"/>
        <charset val="136"/>
      </rPr>
      <t xml:space="preserve">親戚
</t>
    </r>
    <r>
      <rPr>
        <sz val="8"/>
        <rFont val="Times New Roman"/>
        <family val="1"/>
      </rPr>
      <t>Relatives</t>
    </r>
    <phoneticPr fontId="3" type="noConversion"/>
  </si>
  <si>
    <r>
      <rPr>
        <sz val="8"/>
        <rFont val="標楷體"/>
        <family val="4"/>
        <charset val="136"/>
      </rPr>
      <t xml:space="preserve">機構
</t>
    </r>
    <r>
      <rPr>
        <sz val="8"/>
        <rFont val="Times New Roman"/>
        <family val="1"/>
      </rPr>
      <t>Institution</t>
    </r>
    <phoneticPr fontId="3" type="noConversion"/>
  </si>
  <si>
    <r>
      <rPr>
        <sz val="8"/>
        <rFont val="標楷體"/>
        <family val="4"/>
        <charset val="136"/>
      </rPr>
      <t xml:space="preserve">同居者
</t>
    </r>
    <r>
      <rPr>
        <sz val="8"/>
        <rFont val="Times New Roman"/>
        <family val="1"/>
      </rPr>
      <t>Cohabitation</t>
    </r>
    <phoneticPr fontId="3" type="noConversion"/>
  </si>
  <si>
    <r>
      <rPr>
        <sz val="8"/>
        <rFont val="標楷體"/>
        <family val="4"/>
        <charset val="136"/>
      </rPr>
      <t xml:space="preserve">教師
</t>
    </r>
    <r>
      <rPr>
        <sz val="8"/>
        <rFont val="Times New Roman"/>
        <family val="1"/>
      </rPr>
      <t>Teacher</t>
    </r>
    <phoneticPr fontId="3" type="noConversion"/>
  </si>
  <si>
    <r>
      <rPr>
        <sz val="8"/>
        <rFont val="標楷體"/>
        <family val="4"/>
        <charset val="136"/>
      </rPr>
      <t xml:space="preserve">同儕
</t>
    </r>
    <r>
      <rPr>
        <sz val="8"/>
        <rFont val="Times New Roman"/>
        <family val="1"/>
      </rPr>
      <t>Peer</t>
    </r>
    <phoneticPr fontId="3" type="noConversion"/>
  </si>
  <si>
    <r>
      <rPr>
        <sz val="8"/>
        <rFont val="標楷體"/>
        <family val="4"/>
        <charset val="136"/>
      </rPr>
      <t xml:space="preserve">保母
</t>
    </r>
    <r>
      <rPr>
        <sz val="8"/>
        <rFont val="Times New Roman"/>
        <family val="1"/>
      </rPr>
      <t>Nursemaid</t>
    </r>
    <phoneticPr fontId="3" type="noConversion"/>
  </si>
  <si>
    <r>
      <rPr>
        <sz val="8"/>
        <rFont val="標楷體"/>
        <family val="4"/>
        <charset val="136"/>
      </rPr>
      <t xml:space="preserve">其他
</t>
    </r>
    <r>
      <rPr>
        <sz val="8"/>
        <rFont val="Times New Roman"/>
        <family val="1"/>
      </rPr>
      <t>Others</t>
    </r>
    <phoneticPr fontId="3" type="noConversion"/>
  </si>
  <si>
    <r>
      <rPr>
        <sz val="8"/>
        <rFont val="標楷體"/>
        <family val="4"/>
        <charset val="136"/>
      </rPr>
      <t xml:space="preserve">合計
</t>
    </r>
    <r>
      <rPr>
        <sz val="8"/>
        <rFont val="Times New Roman"/>
        <family val="1"/>
      </rPr>
      <t>SubTotal</t>
    </r>
    <phoneticPr fontId="4" type="noConversion"/>
  </si>
  <si>
    <r>
      <rPr>
        <sz val="9"/>
        <rFont val="標楷體"/>
        <family val="4"/>
        <charset val="136"/>
      </rPr>
      <t>總計</t>
    </r>
    <phoneticPr fontId="4" type="noConversion"/>
  </si>
  <si>
    <r>
      <rPr>
        <sz val="9"/>
        <color indexed="12"/>
        <rFont val="標楷體"/>
        <family val="4"/>
        <charset val="136"/>
      </rPr>
      <t>計</t>
    </r>
    <phoneticPr fontId="3" type="noConversion"/>
  </si>
  <si>
    <r>
      <rPr>
        <sz val="8"/>
        <rFont val="標楷體"/>
        <family val="4"/>
        <charset val="136"/>
      </rPr>
      <t>一般</t>
    </r>
    <phoneticPr fontId="3" type="noConversion"/>
  </si>
  <si>
    <r>
      <rPr>
        <sz val="8"/>
        <rFont val="標楷體"/>
        <family val="4"/>
        <charset val="136"/>
      </rPr>
      <t>原住民</t>
    </r>
    <phoneticPr fontId="3" type="noConversion"/>
  </si>
  <si>
    <r>
      <rPr>
        <sz val="8"/>
        <rFont val="標楷體"/>
        <family val="4"/>
        <charset val="136"/>
      </rPr>
      <t>一般</t>
    </r>
    <phoneticPr fontId="3" type="noConversion"/>
  </si>
  <si>
    <r>
      <rPr>
        <sz val="8"/>
        <rFont val="標楷體"/>
        <family val="4"/>
        <charset val="136"/>
      </rPr>
      <t>原住民</t>
    </r>
    <phoneticPr fontId="3" type="noConversion"/>
  </si>
  <si>
    <r>
      <rPr>
        <sz val="8"/>
        <rFont val="標楷體"/>
        <family val="4"/>
        <charset val="136"/>
      </rPr>
      <t>資料來源：各直轄市、縣市政府。</t>
    </r>
    <phoneticPr fontId="4" type="noConversion"/>
  </si>
  <si>
    <r>
      <rPr>
        <sz val="8"/>
        <rFont val="標楷體"/>
        <family val="4"/>
        <charset val="136"/>
      </rPr>
      <t>更新日期：</t>
    </r>
    <r>
      <rPr>
        <sz val="8"/>
        <rFont val="Times New Roman"/>
        <family val="1"/>
      </rPr>
      <t>2016/11/30</t>
    </r>
    <phoneticPr fontId="4" type="noConversion"/>
  </si>
  <si>
    <r>
      <rPr>
        <sz val="9"/>
        <color indexed="12"/>
        <rFont val="標楷體"/>
        <family val="4"/>
        <charset val="136"/>
      </rPr>
      <t>計</t>
    </r>
    <phoneticPr fontId="3" type="noConversion"/>
  </si>
  <si>
    <r>
      <rPr>
        <sz val="9"/>
        <rFont val="標楷體"/>
        <family val="4"/>
        <charset val="136"/>
      </rPr>
      <t>總計</t>
    </r>
    <phoneticPr fontId="4" type="noConversion"/>
  </si>
  <si>
    <r>
      <rPr>
        <b/>
        <sz val="14"/>
        <rFont val="標楷體"/>
        <family val="4"/>
        <charset val="136"/>
      </rPr>
      <t>兒童及少年保護</t>
    </r>
    <r>
      <rPr>
        <b/>
        <sz val="14"/>
        <rFont val="Times New Roman"/>
        <family val="1"/>
      </rPr>
      <t>-</t>
    </r>
    <r>
      <rPr>
        <b/>
        <sz val="14"/>
        <rFont val="標楷體"/>
        <family val="4"/>
        <charset val="136"/>
      </rPr>
      <t>施虐者身分別分</t>
    </r>
    <r>
      <rPr>
        <b/>
        <sz val="14"/>
        <rFont val="Times New Roman"/>
        <family val="1"/>
      </rPr>
      <t>Number of Persons Who Abuse Child and Youth by Identity</t>
    </r>
    <phoneticPr fontId="4" type="noConversion"/>
  </si>
  <si>
    <r>
      <rPr>
        <sz val="10"/>
        <rFont val="標楷體"/>
        <family val="4"/>
        <charset val="136"/>
      </rPr>
      <t>資料來源：各直轄市、縣市政府。</t>
    </r>
    <phoneticPr fontId="4" type="noConversion"/>
  </si>
  <si>
    <t>Source: County and Government.</t>
    <phoneticPr fontId="4" type="noConversion"/>
  </si>
  <si>
    <r>
      <rPr>
        <b/>
        <sz val="14"/>
        <color indexed="10"/>
        <rFont val="標楷體"/>
        <family val="4"/>
        <charset val="136"/>
      </rPr>
      <t>家內</t>
    </r>
    <r>
      <rPr>
        <b/>
        <sz val="14"/>
        <rFont val="標楷體"/>
        <family val="4"/>
        <charset val="136"/>
      </rPr>
      <t>兒童及少年保護</t>
    </r>
    <r>
      <rPr>
        <b/>
        <sz val="14"/>
        <color indexed="10"/>
        <rFont val="標楷體"/>
        <family val="4"/>
        <charset val="136"/>
      </rPr>
      <t>案件</t>
    </r>
    <r>
      <rPr>
        <b/>
        <sz val="14"/>
        <rFont val="Times New Roman"/>
        <family val="1"/>
      </rPr>
      <t>-</t>
    </r>
    <r>
      <rPr>
        <b/>
        <sz val="14"/>
        <rFont val="標楷體"/>
        <family val="4"/>
        <charset val="136"/>
      </rPr>
      <t>施虐者身分別分</t>
    </r>
    <r>
      <rPr>
        <b/>
        <sz val="14"/>
        <rFont val="Times New Roman"/>
        <family val="1"/>
      </rPr>
      <t>Intra-family Child and Youth Protection Cases -  Number of Persons Who Abuse Child and Youth by Identity</t>
    </r>
    <phoneticPr fontId="4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</si>
  <si>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</si>
  <si>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2018/3/31</t>
    </r>
    <phoneticPr fontId="4" type="noConversion"/>
  </si>
  <si>
    <t xml:space="preserve">  新北市</t>
    <phoneticPr fontId="4" type="noConversion"/>
  </si>
  <si>
    <t>New Taipei City</t>
    <phoneticPr fontId="4" type="noConversion"/>
  </si>
  <si>
    <t xml:space="preserve">  臺北市</t>
    <phoneticPr fontId="4" type="noConversion"/>
  </si>
  <si>
    <t xml:space="preserve">  臺北市</t>
    <phoneticPr fontId="4" type="noConversion"/>
  </si>
  <si>
    <t>Taipei City</t>
    <phoneticPr fontId="4" type="noConversion"/>
  </si>
  <si>
    <t xml:space="preserve">  桃園市</t>
    <phoneticPr fontId="4" type="noConversion"/>
  </si>
  <si>
    <t>Taoyuan City</t>
    <phoneticPr fontId="4" type="noConversion"/>
  </si>
  <si>
    <t xml:space="preserve">  臺中市</t>
    <phoneticPr fontId="4" type="noConversion"/>
  </si>
  <si>
    <t>Taichung City</t>
    <phoneticPr fontId="4" type="noConversion"/>
  </si>
  <si>
    <t xml:space="preserve">  臺南市</t>
    <phoneticPr fontId="4" type="noConversion"/>
  </si>
  <si>
    <t>Tainan City</t>
    <phoneticPr fontId="4" type="noConversion"/>
  </si>
  <si>
    <t xml:space="preserve">  高雄市</t>
    <phoneticPr fontId="4" type="noConversion"/>
  </si>
  <si>
    <t xml:space="preserve">  高雄市</t>
    <phoneticPr fontId="4" type="noConversion"/>
  </si>
  <si>
    <t>Kaohsiung City</t>
    <phoneticPr fontId="4" type="noConversion"/>
  </si>
  <si>
    <t>　新北市</t>
    <phoneticPr fontId="4" type="noConversion"/>
  </si>
  <si>
    <t>New Taipei City</t>
    <phoneticPr fontId="4" type="noConversion"/>
  </si>
  <si>
    <t>　臺北市</t>
    <phoneticPr fontId="4" type="noConversion"/>
  </si>
  <si>
    <t>Taipei City</t>
    <phoneticPr fontId="4" type="noConversion"/>
  </si>
  <si>
    <t>　桃園市</t>
    <phoneticPr fontId="4" type="noConversion"/>
  </si>
  <si>
    <t>Taoyuan City</t>
    <phoneticPr fontId="4" type="noConversion"/>
  </si>
  <si>
    <t>　臺中市</t>
    <phoneticPr fontId="4" type="noConversion"/>
  </si>
  <si>
    <t>Taichung City</t>
    <phoneticPr fontId="4" type="noConversion"/>
  </si>
  <si>
    <t>　臺南市</t>
    <phoneticPr fontId="4" type="noConversion"/>
  </si>
  <si>
    <t>Tainan City</t>
    <phoneticPr fontId="4" type="noConversion"/>
  </si>
  <si>
    <t>　高雄市</t>
    <phoneticPr fontId="4" type="noConversion"/>
  </si>
  <si>
    <t>Kaohsiung City</t>
    <phoneticPr fontId="4" type="noConversion"/>
  </si>
  <si>
    <t>　臺北市</t>
    <phoneticPr fontId="4" type="noConversion"/>
  </si>
  <si>
    <t>　桃園市</t>
    <phoneticPr fontId="4" type="noConversion"/>
  </si>
  <si>
    <t>　臺中市</t>
    <phoneticPr fontId="4" type="noConversion"/>
  </si>
  <si>
    <t>　臺南市</t>
    <phoneticPr fontId="4" type="noConversion"/>
  </si>
  <si>
    <t>　高雄市</t>
    <phoneticPr fontId="4" type="noConversion"/>
  </si>
  <si>
    <r>
      <t>104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2015</t>
    </r>
  </si>
  <si>
    <r>
      <t>105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2016</t>
    </r>
  </si>
  <si>
    <r>
      <t>106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2017</t>
    </r>
  </si>
  <si>
    <r>
      <t>107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</t>
    </r>
    <r>
      <rPr>
        <sz val="9"/>
        <rFont val="Times New Roman"/>
        <family val="1"/>
      </rPr>
      <t xml:space="preserve"> 2018</t>
    </r>
    <phoneticPr fontId="4" type="noConversion"/>
  </si>
  <si>
    <r>
      <t>更新日期：</t>
    </r>
    <r>
      <rPr>
        <sz val="10"/>
        <rFont val="Times New Roman"/>
        <family val="1"/>
      </rPr>
      <t>2019/4/1</t>
    </r>
    <phoneticPr fontId="4" type="noConversion"/>
  </si>
  <si>
    <r>
      <rPr>
        <sz val="10"/>
        <rFont val="標楷體"/>
        <family val="4"/>
        <charset val="136"/>
      </rPr>
      <t xml:space="preserve">不詳
</t>
    </r>
    <r>
      <rPr>
        <sz val="10"/>
        <rFont val="Times New Roman"/>
        <family val="1"/>
      </rPr>
      <t>Unknown</t>
    </r>
    <phoneticPr fontId="3" type="noConversion"/>
  </si>
  <si>
    <t>不詳
Unknown</t>
    <phoneticPr fontId="3" type="noConversion"/>
  </si>
  <si>
    <t>其他
Others</t>
    <phoneticPr fontId="3" type="noConversion"/>
  </si>
  <si>
    <r>
      <t xml:space="preserve">不詳
</t>
    </r>
    <r>
      <rPr>
        <sz val="10"/>
        <rFont val="Times New Roman"/>
        <family val="1"/>
      </rPr>
      <t>Unknown</t>
    </r>
    <phoneticPr fontId="3" type="noConversion"/>
  </si>
  <si>
    <r>
      <t>108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</t>
    </r>
    <r>
      <rPr>
        <sz val="9"/>
        <rFont val="Times New Roman"/>
        <family val="1"/>
      </rPr>
      <t xml:space="preserve"> 201</t>
    </r>
    <r>
      <rPr>
        <sz val="9"/>
        <rFont val="Times New Roman"/>
        <family val="1"/>
      </rPr>
      <t>9</t>
    </r>
    <phoneticPr fontId="4" type="noConversion"/>
  </si>
  <si>
    <r>
      <rPr>
        <b/>
        <sz val="14"/>
        <rFont val="標楷體"/>
        <family val="4"/>
        <charset val="136"/>
      </rPr>
      <t>兒童及少年保護</t>
    </r>
    <r>
      <rPr>
        <b/>
        <sz val="14"/>
        <rFont val="Times New Roman"/>
        <family val="1"/>
      </rPr>
      <t>-</t>
    </r>
    <r>
      <rPr>
        <b/>
        <sz val="14"/>
        <rFont val="標楷體"/>
        <family val="4"/>
        <charset val="136"/>
      </rPr>
      <t>施虐者身分別分</t>
    </r>
    <r>
      <rPr>
        <b/>
        <sz val="14"/>
        <rFont val="Times New Roman"/>
        <family val="1"/>
      </rPr>
      <t>Number of Persons Who Abuse Child and Youth by Identity</t>
    </r>
    <phoneticPr fontId="4" type="noConversion"/>
  </si>
  <si>
    <r>
      <t xml:space="preserve">教師
</t>
    </r>
    <r>
      <rPr>
        <sz val="10"/>
        <rFont val="Times New Roman"/>
        <family val="1"/>
      </rPr>
      <t>Teacher</t>
    </r>
    <phoneticPr fontId="3" type="noConversion"/>
  </si>
  <si>
    <r>
      <t xml:space="preserve">同學
</t>
    </r>
    <r>
      <rPr>
        <sz val="10"/>
        <rFont val="Times New Roman"/>
        <family val="1"/>
      </rPr>
      <t>Schoolmate</t>
    </r>
    <phoneticPr fontId="3" type="noConversion"/>
  </si>
  <si>
    <r>
      <t xml:space="preserve">保母
</t>
    </r>
    <r>
      <rPr>
        <sz val="10"/>
        <rFont val="Times New Roman"/>
        <family val="1"/>
      </rPr>
      <t>Babysitter</t>
    </r>
    <phoneticPr fontId="3" type="noConversion"/>
  </si>
  <si>
    <r>
      <rPr>
        <sz val="10"/>
        <rFont val="標楷體"/>
        <family val="4"/>
        <charset val="136"/>
      </rPr>
      <t>不詳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Unknown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</si>
  <si>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2020/3/31</t>
    </r>
    <phoneticPr fontId="4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</si>
  <si>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r>
      <rPr>
        <sz val="9"/>
        <rFont val="Times New Roman"/>
        <family val="1"/>
      </rPr>
      <t/>
    </r>
    <phoneticPr fontId="4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</si>
  <si>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9"/>
        <rFont val="Times New Roman"/>
        <family val="1"/>
      </rPr>
      <t/>
    </r>
    <phoneticPr fontId="4" type="noConversion"/>
  </si>
  <si>
    <r>
      <rPr>
        <sz val="10"/>
        <rFont val="標楷體"/>
        <family val="4"/>
        <charset val="136"/>
      </rPr>
      <t>上半年</t>
    </r>
    <r>
      <rPr>
        <sz val="10"/>
        <rFont val="Times New Roman"/>
        <family val="1"/>
      </rPr>
      <t>, Jan.-June</t>
    </r>
    <r>
      <rPr>
        <sz val="12"/>
        <color indexed="8"/>
        <rFont val="新細明體"/>
        <family val="1"/>
        <charset val="136"/>
      </rPr>
      <t/>
    </r>
    <phoneticPr fontId="4" type="noConversion"/>
  </si>
  <si>
    <r>
      <rPr>
        <sz val="10"/>
        <rFont val="標楷體"/>
        <family val="4"/>
        <charset val="136"/>
      </rPr>
      <t>下半年</t>
    </r>
    <r>
      <rPr>
        <sz val="10"/>
        <rFont val="Times New Roman"/>
        <family val="1"/>
      </rPr>
      <t>, July-Dec.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</si>
  <si>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109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2020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</si>
  <si>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2021/03/31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</si>
  <si>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110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2021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</si>
  <si>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2022/3/31</t>
    </r>
    <phoneticPr fontId="4" type="noConversion"/>
  </si>
  <si>
    <r>
      <rPr>
        <b/>
        <sz val="10"/>
        <rFont val="標楷體"/>
        <family val="4"/>
        <charset val="136"/>
      </rPr>
      <t>總計</t>
    </r>
    <phoneticPr fontId="4" type="noConversion"/>
  </si>
  <si>
    <r>
      <rPr>
        <b/>
        <sz val="10"/>
        <color indexed="12"/>
        <rFont val="標楷體"/>
        <family val="4"/>
        <charset val="136"/>
      </rPr>
      <t>計</t>
    </r>
    <phoneticPr fontId="3" type="noConversion"/>
  </si>
  <si>
    <r>
      <rPr>
        <b/>
        <sz val="10"/>
        <rFont val="標楷體"/>
        <family val="4"/>
        <charset val="136"/>
      </rPr>
      <t>一般</t>
    </r>
    <phoneticPr fontId="3" type="noConversion"/>
  </si>
  <si>
    <r>
      <rPr>
        <b/>
        <sz val="10"/>
        <rFont val="標楷體"/>
        <family val="4"/>
        <charset val="136"/>
      </rPr>
      <t>原住民</t>
    </r>
    <phoneticPr fontId="3" type="noConversion"/>
  </si>
  <si>
    <r>
      <rPr>
        <b/>
        <sz val="10"/>
        <rFont val="標楷體"/>
        <family val="4"/>
        <charset val="136"/>
      </rPr>
      <t>總計</t>
    </r>
    <phoneticPr fontId="4" type="noConversion"/>
  </si>
  <si>
    <r>
      <rPr>
        <b/>
        <sz val="10"/>
        <color indexed="12"/>
        <rFont val="標楷體"/>
        <family val="4"/>
        <charset val="136"/>
      </rPr>
      <t>計</t>
    </r>
    <phoneticPr fontId="3" type="noConversion"/>
  </si>
  <si>
    <r>
      <rPr>
        <b/>
        <sz val="10"/>
        <rFont val="標楷體"/>
        <family val="4"/>
        <charset val="136"/>
      </rPr>
      <t>一般</t>
    </r>
    <phoneticPr fontId="3" type="noConversion"/>
  </si>
  <si>
    <r>
      <rPr>
        <b/>
        <sz val="10"/>
        <rFont val="標楷體"/>
        <family val="4"/>
        <charset val="136"/>
      </rPr>
      <t>原住民</t>
    </r>
    <phoneticPr fontId="3" type="noConversion"/>
  </si>
  <si>
    <r>
      <rPr>
        <b/>
        <sz val="10"/>
        <rFont val="標楷體"/>
        <family val="4"/>
        <charset val="136"/>
      </rPr>
      <t>總計</t>
    </r>
    <phoneticPr fontId="4" type="noConversion"/>
  </si>
  <si>
    <r>
      <rPr>
        <b/>
        <sz val="10"/>
        <rFont val="標楷體"/>
        <family val="4"/>
        <charset val="136"/>
      </rPr>
      <t>原住民</t>
    </r>
    <phoneticPr fontId="3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</si>
  <si>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</si>
  <si>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2023/3/31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</si>
  <si>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111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2022</t>
    </r>
    <phoneticPr fontId="3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</si>
  <si>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</si>
  <si>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112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2023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</si>
  <si>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2024/04/01</t>
    </r>
    <phoneticPr fontId="4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</si>
  <si>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</si>
  <si>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2024/09/30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</si>
  <si>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7-12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, July-Dec., 2024</t>
    </r>
    <phoneticPr fontId="3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</si>
  <si>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1-6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,Jan.-June, 2024</t>
    </r>
    <phoneticPr fontId="3" type="noConversion"/>
  </si>
  <si>
    <t>Indigenous</t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</si>
  <si>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2024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</si>
  <si>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2025/03/31</t>
    </r>
    <phoneticPr fontId="4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</si>
  <si>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4" type="noConversion"/>
  </si>
  <si>
    <r>
      <rPr>
        <sz val="10"/>
        <rFont val="標楷體"/>
        <family val="4"/>
        <charset val="136"/>
      </rPr>
      <t xml:space="preserve">父或母之同居人
</t>
    </r>
    <r>
      <rPr>
        <sz val="10"/>
        <rFont val="Times New Roman"/>
        <family val="1"/>
      </rPr>
      <t>Cohabitants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</si>
  <si>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2025/09/30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</si>
  <si>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1-6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Jan.-June, 2025</t>
    </r>
    <phoneticPr fontId="3" type="noConversion"/>
  </si>
  <si>
    <r>
      <t>(</t>
    </r>
    <r>
      <rPr>
        <sz val="10"/>
        <rFont val="標楷體"/>
        <family val="4"/>
        <charset val="136"/>
      </rPr>
      <t>前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 xml:space="preserve">親密關係伴侶
</t>
    </r>
    <r>
      <rPr>
        <sz val="10"/>
        <rFont val="Times New Roman"/>
        <family val="1"/>
      </rPr>
      <t>Intimate Partner</t>
    </r>
    <phoneticPr fontId="4" type="noConversion"/>
  </si>
  <si>
    <r>
      <rPr>
        <sz val="10"/>
        <rFont val="標楷體"/>
        <family val="4"/>
        <charset val="136"/>
      </rPr>
      <t xml:space="preserve">托育機構人員
</t>
    </r>
    <r>
      <rPr>
        <sz val="10"/>
        <rFont val="Times New Roman"/>
        <family val="1"/>
      </rPr>
      <t>Childcare Institution Staff</t>
    </r>
    <phoneticPr fontId="4" type="noConversion"/>
  </si>
  <si>
    <r>
      <rPr>
        <sz val="10"/>
        <rFont val="標楷體"/>
        <family val="4"/>
        <charset val="136"/>
      </rPr>
      <t xml:space="preserve">居家式托育人員
</t>
    </r>
    <r>
      <rPr>
        <sz val="10"/>
        <rFont val="Times New Roman"/>
        <family val="1"/>
      </rPr>
      <t>Home-based Childcare Staff</t>
    </r>
    <phoneticPr fontId="4" type="noConversion"/>
  </si>
  <si>
    <r>
      <rPr>
        <sz val="10"/>
        <rFont val="標楷體"/>
        <family val="4"/>
        <charset val="136"/>
      </rPr>
      <t xml:space="preserve">補習班或兒童課後
照顧服務中心人員
</t>
    </r>
    <r>
      <rPr>
        <sz val="10"/>
        <rFont val="Times New Roman"/>
        <family val="1"/>
      </rPr>
      <t>After-school Care Service Center Staff</t>
    </r>
    <phoneticPr fontId="4" type="noConversion"/>
  </si>
  <si>
    <r>
      <rPr>
        <sz val="10"/>
        <rFont val="標楷體"/>
        <family val="4"/>
        <charset val="136"/>
      </rPr>
      <t xml:space="preserve">學校教職員工
</t>
    </r>
    <r>
      <rPr>
        <sz val="10"/>
        <rFont val="Times New Roman"/>
        <family val="1"/>
      </rPr>
      <t>School Faculty and Staff</t>
    </r>
    <phoneticPr fontId="4" type="noConversion"/>
  </si>
  <si>
    <r>
      <rPr>
        <sz val="10"/>
        <rFont val="標楷體"/>
        <family val="4"/>
        <charset val="136"/>
      </rPr>
      <t xml:space="preserve">安置單位人員
</t>
    </r>
    <r>
      <rPr>
        <sz val="10"/>
        <rFont val="Times New Roman"/>
        <family val="1"/>
      </rPr>
      <t>Resettlement Agency Staff</t>
    </r>
    <phoneticPr fontId="4" type="noConversion"/>
  </si>
  <si>
    <r>
      <rPr>
        <sz val="10"/>
        <rFont val="標楷體"/>
        <family val="4"/>
        <charset val="136"/>
      </rPr>
      <t xml:space="preserve">職場上司同事
</t>
    </r>
    <r>
      <rPr>
        <sz val="10"/>
        <rFont val="Times New Roman"/>
        <family val="1"/>
      </rPr>
      <t>Boss/Colleagues</t>
    </r>
    <phoneticPr fontId="4" type="noConversion"/>
  </si>
  <si>
    <r>
      <rPr>
        <sz val="10"/>
        <rFont val="標楷體"/>
        <family val="4"/>
        <charset val="136"/>
      </rPr>
      <t>朋友</t>
    </r>
    <r>
      <rPr>
        <sz val="10"/>
        <rFont val="Times New Roman"/>
        <family val="1"/>
      </rPr>
      <t>/</t>
    </r>
    <r>
      <rPr>
        <sz val="10"/>
        <rFont val="標楷體"/>
        <family val="4"/>
        <charset val="136"/>
      </rPr>
      <t xml:space="preserve">鄰居
</t>
    </r>
    <r>
      <rPr>
        <sz val="10"/>
        <rFont val="Times New Roman"/>
        <family val="1"/>
      </rPr>
      <t>Friends/Neighbors</t>
    </r>
    <phoneticPr fontId="4" type="noConversion"/>
  </si>
  <si>
    <r>
      <rPr>
        <sz val="10"/>
        <rFont val="標楷體"/>
        <family val="4"/>
        <charset val="136"/>
      </rPr>
      <t xml:space="preserve">網友
</t>
    </r>
    <r>
      <rPr>
        <sz val="10"/>
        <rFont val="Times New Roman"/>
        <family val="1"/>
      </rPr>
      <t>Netizens</t>
    </r>
    <phoneticPr fontId="4" type="noConversion"/>
  </si>
  <si>
    <r>
      <rPr>
        <sz val="10"/>
        <rFont val="標楷體"/>
        <family val="4"/>
        <charset val="136"/>
      </rPr>
      <t xml:space="preserve">陌生人
</t>
    </r>
    <r>
      <rPr>
        <sz val="10"/>
        <rFont val="Times New Roman"/>
        <family val="1"/>
      </rPr>
      <t>Stranger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</si>
  <si>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新北市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</si>
  <si>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臺北市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</si>
  <si>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桃園市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</si>
  <si>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臺中市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</si>
  <si>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臺南市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</si>
  <si>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高雄市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</si>
  <si>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7-12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July-Dec., 2025</t>
    </r>
    <phoneticPr fontId="3" type="noConversion"/>
  </si>
  <si>
    <r>
      <rPr>
        <sz val="10"/>
        <rFont val="標楷體"/>
        <family val="4"/>
        <charset val="136"/>
      </rPr>
      <t>不詳</t>
    </r>
    <r>
      <rPr>
        <sz val="10"/>
        <rFont val="Times New Roman"/>
        <family val="1"/>
      </rPr>
      <t xml:space="preserve">
Unknown</t>
    </r>
    <phoneticPr fontId="3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</si>
  <si>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2025</t>
    </r>
    <phoneticPr fontId="3" type="noConversion"/>
  </si>
  <si>
    <t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</si>
  <si>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2026/03/31</t>
    </r>
    <phoneticPr fontId="4" type="noConversion"/>
  </si>
  <si>
    <r>
      <t xml:space="preserve"> 114</t>
    </r>
    <r>
      <rPr>
        <b/>
        <sz val="10"/>
        <rFont val="標楷體"/>
        <family val="4"/>
        <charset val="136"/>
      </rPr>
      <t>年</t>
    </r>
    <r>
      <rPr>
        <b/>
        <sz val="10"/>
        <rFont val="Times New Roman"/>
        <family val="1"/>
      </rPr>
      <t>, 2025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</si>
</sst>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－&quot;"/>
    <numFmt numFmtId="177" formatCode="#,##0_);[Red]\(#,##0\)"/>
  </numFmts>
  <fonts count="33" x14ac:knownFonts="1">
    <font>
      <sz val="9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b/>
      <sz val="14"/>
      <name val="標楷體"/>
      <family val="4"/>
      <charset val="136"/>
    </font>
    <font>
      <sz val="8"/>
      <name val="標楷體"/>
      <family val="4"/>
      <charset val="136"/>
    </font>
    <font>
      <sz val="9"/>
      <name val="標楷體"/>
      <family val="4"/>
      <charset val="136"/>
    </font>
    <font>
      <b/>
      <sz val="14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sz val="9"/>
      <color indexed="12"/>
      <name val="Times New Roman"/>
      <family val="1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indexed="12"/>
      <name val="Times New Roman"/>
      <family val="1"/>
    </font>
    <font>
      <sz val="10"/>
      <color indexed="12"/>
      <name val="標楷體"/>
      <family val="4"/>
      <charset val="136"/>
    </font>
    <font>
      <sz val="14"/>
      <name val="Times New Roman"/>
      <family val="1"/>
    </font>
    <font>
      <sz val="12"/>
      <name val="Times New Roman"/>
      <family val="1"/>
    </font>
    <font>
      <sz val="9"/>
      <color indexed="12"/>
      <name val="標楷體"/>
      <family val="4"/>
      <charset val="136"/>
    </font>
    <font>
      <sz val="8"/>
      <color indexed="12"/>
      <name val="Times New Roman"/>
      <family val="1"/>
    </font>
    <font>
      <b/>
      <sz val="14"/>
      <color indexed="10"/>
      <name val="標楷體"/>
      <family val="4"/>
      <charset val="136"/>
    </font>
    <font>
      <sz val="10"/>
      <name val="細明體"/>
      <family val="3"/>
      <charset val="136"/>
    </font>
    <font>
      <sz val="12"/>
      <color indexed="8"/>
      <name val="新細明體"/>
      <family val="1"/>
      <charset val="136"/>
    </font>
    <font>
      <sz val="9"/>
      <name val="Times New Roman"/>
      <family val="4"/>
      <charset val="136"/>
    </font>
    <font>
      <sz val="10"/>
      <name val="Times New Roman"/>
      <family val="4"/>
      <charset val="136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b/>
      <sz val="10"/>
      <color indexed="12"/>
      <name val="Times New Roman"/>
      <family val="1"/>
    </font>
    <font>
      <b/>
      <sz val="10"/>
      <color indexed="12"/>
      <name val="標楷體"/>
      <family val="4"/>
      <charset val="136"/>
    </font>
    <font>
      <sz val="8"/>
      <color theme="0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</cellStyleXfs>
  <cellXfs count="138">
    <xf numFmtId="0" fontId="0" fillId="0" borderId="0" xfId="0"/>
    <xf numFmtId="0" fontId="0" fillId="0" borderId="0" xfId="0" applyAlignment="1">
      <alignment vertical="center"/>
    </xf>
    <xf numFmtId="177" fontId="9" fillId="0" borderId="0" xfId="0" applyNumberFormat="1" applyFont="1" applyAlignment="1">
      <alignment horizontal="left" vertical="center"/>
    </xf>
    <xf numFmtId="177" fontId="10" fillId="0" borderId="0" xfId="2" applyNumberFormat="1" applyFont="1" applyAlignment="1">
      <alignment horizontal="centerContinuous" vertical="center"/>
    </xf>
    <xf numFmtId="177" fontId="11" fillId="0" borderId="0" xfId="0" applyNumberFormat="1" applyFont="1" applyAlignment="1">
      <alignment horizontal="centerContinuous" vertical="center"/>
    </xf>
    <xf numFmtId="177" fontId="10" fillId="0" borderId="0" xfId="2" applyNumberFormat="1" applyFont="1">
      <alignment vertical="center"/>
    </xf>
    <xf numFmtId="177" fontId="10" fillId="0" borderId="0" xfId="2" applyNumberFormat="1" applyFont="1" applyAlignment="1">
      <alignment horizontal="center" vertical="center"/>
    </xf>
    <xf numFmtId="177" fontId="10" fillId="0" borderId="0" xfId="2" applyNumberFormat="1" applyFont="1" applyAlignment="1">
      <alignment horizontal="center" wrapText="1"/>
    </xf>
    <xf numFmtId="49" fontId="10" fillId="0" borderId="0" xfId="3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right" vertical="center"/>
    </xf>
    <xf numFmtId="177" fontId="10" fillId="0" borderId="0" xfId="2" applyNumberFormat="1" applyFont="1" applyAlignment="1">
      <alignment horizontal="left" wrapText="1"/>
    </xf>
    <xf numFmtId="177" fontId="10" fillId="0" borderId="1" xfId="2" applyNumberFormat="1" applyFont="1" applyBorder="1">
      <alignment vertical="center"/>
    </xf>
    <xf numFmtId="177" fontId="10" fillId="0" borderId="0" xfId="2" applyNumberFormat="1" applyFont="1" applyAlignment="1"/>
    <xf numFmtId="0" fontId="10" fillId="0" borderId="0" xfId="2" applyFont="1">
      <alignment vertical="center"/>
    </xf>
    <xf numFmtId="49" fontId="10" fillId="3" borderId="5" xfId="0" applyNumberFormat="1" applyFont="1" applyFill="1" applyBorder="1" applyAlignment="1">
      <alignment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176" fontId="10" fillId="0" borderId="0" xfId="0" applyNumberFormat="1" applyFont="1" applyAlignment="1">
      <alignment horizontal="right"/>
    </xf>
    <xf numFmtId="176" fontId="10" fillId="0" borderId="2" xfId="0" applyNumberFormat="1" applyFont="1" applyBorder="1" applyAlignment="1">
      <alignment horizontal="right"/>
    </xf>
    <xf numFmtId="177" fontId="13" fillId="0" borderId="0" xfId="2" applyNumberFormat="1" applyFont="1" applyAlignment="1">
      <alignment horizontal="left" wrapText="1"/>
    </xf>
    <xf numFmtId="176" fontId="13" fillId="0" borderId="0" xfId="0" applyNumberFormat="1" applyFont="1" applyAlignment="1">
      <alignment horizontal="right"/>
    </xf>
    <xf numFmtId="177" fontId="13" fillId="0" borderId="0" xfId="2" applyNumberFormat="1" applyFont="1" applyAlignment="1"/>
    <xf numFmtId="49" fontId="13" fillId="2" borderId="7" xfId="0" applyNumberFormat="1" applyFon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49" fontId="13" fillId="3" borderId="5" xfId="0" applyNumberFormat="1" applyFont="1" applyFill="1" applyBorder="1" applyAlignment="1">
      <alignment vertical="center"/>
    </xf>
    <xf numFmtId="176" fontId="13" fillId="0" borderId="2" xfId="0" applyNumberFormat="1" applyFont="1" applyBorder="1" applyAlignment="1">
      <alignment horizontal="right"/>
    </xf>
    <xf numFmtId="49" fontId="13" fillId="3" borderId="5" xfId="3" applyNumberFormat="1" applyFont="1" applyFill="1" applyBorder="1" applyAlignment="1">
      <alignment vertical="top" wrapText="1"/>
    </xf>
    <xf numFmtId="49" fontId="15" fillId="3" borderId="8" xfId="3" applyNumberFormat="1" applyFont="1" applyFill="1" applyBorder="1" applyAlignment="1">
      <alignment horizontal="right" vertical="center"/>
    </xf>
    <xf numFmtId="49" fontId="15" fillId="3" borderId="9" xfId="3" applyNumberFormat="1" applyFont="1" applyFill="1" applyBorder="1" applyAlignment="1">
      <alignment horizontal="left" vertical="center"/>
    </xf>
    <xf numFmtId="176" fontId="15" fillId="3" borderId="0" xfId="0" applyNumberFormat="1" applyFont="1" applyFill="1" applyAlignment="1">
      <alignment horizontal="right" vertical="center"/>
    </xf>
    <xf numFmtId="49" fontId="13" fillId="0" borderId="10" xfId="3" applyNumberFormat="1" applyFont="1" applyBorder="1" applyAlignment="1">
      <alignment horizontal="right" vertical="center"/>
    </xf>
    <xf numFmtId="49" fontId="13" fillId="0" borderId="3" xfId="3" applyNumberFormat="1" applyFont="1" applyBorder="1" applyAlignment="1">
      <alignment horizontal="left" vertical="center"/>
    </xf>
    <xf numFmtId="49" fontId="13" fillId="0" borderId="11" xfId="3" applyNumberFormat="1" applyFont="1" applyBorder="1" applyAlignment="1">
      <alignment horizontal="right" vertical="center"/>
    </xf>
    <xf numFmtId="49" fontId="13" fillId="0" borderId="4" xfId="3" applyNumberFormat="1" applyFont="1" applyBorder="1" applyAlignment="1">
      <alignment horizontal="left" vertical="center"/>
    </xf>
    <xf numFmtId="177" fontId="13" fillId="0" borderId="0" xfId="2" applyNumberFormat="1" applyFont="1" applyAlignment="1">
      <alignment horizontal="center" vertical="center"/>
    </xf>
    <xf numFmtId="177" fontId="13" fillId="0" borderId="0" xfId="2" applyNumberFormat="1" applyFont="1" applyAlignment="1">
      <alignment horizontal="center" wrapText="1"/>
    </xf>
    <xf numFmtId="177" fontId="17" fillId="0" borderId="0" xfId="0" applyNumberFormat="1" applyFont="1" applyAlignment="1">
      <alignment horizontal="left" vertical="center"/>
    </xf>
    <xf numFmtId="177" fontId="18" fillId="0" borderId="0" xfId="0" applyNumberFormat="1" applyFont="1" applyAlignment="1">
      <alignment horizontal="centerContinuous" vertical="center"/>
    </xf>
    <xf numFmtId="49" fontId="2" fillId="3" borderId="5" xfId="3" applyNumberFormat="1" applyFont="1" applyFill="1" applyBorder="1" applyAlignment="1">
      <alignment vertical="top" wrapText="1"/>
    </xf>
    <xf numFmtId="49" fontId="12" fillId="3" borderId="8" xfId="3" applyNumberFormat="1" applyFont="1" applyFill="1" applyBorder="1" applyAlignment="1">
      <alignment horizontal="right" vertical="center"/>
    </xf>
    <xf numFmtId="49" fontId="12" fillId="3" borderId="9" xfId="3" applyNumberFormat="1" applyFont="1" applyFill="1" applyBorder="1" applyAlignment="1">
      <alignment horizontal="left" vertical="center"/>
    </xf>
    <xf numFmtId="176" fontId="20" fillId="3" borderId="0" xfId="0" applyNumberFormat="1" applyFont="1" applyFill="1" applyAlignment="1">
      <alignment horizontal="right" vertical="center"/>
    </xf>
    <xf numFmtId="49" fontId="10" fillId="0" borderId="10" xfId="3" applyNumberFormat="1" applyFont="1" applyBorder="1" applyAlignment="1">
      <alignment horizontal="right" vertical="center"/>
    </xf>
    <xf numFmtId="49" fontId="10" fillId="0" borderId="3" xfId="3" applyNumberFormat="1" applyFont="1" applyBorder="1" applyAlignment="1">
      <alignment horizontal="left" vertical="center"/>
    </xf>
    <xf numFmtId="49" fontId="10" fillId="0" borderId="11" xfId="3" applyNumberFormat="1" applyFont="1" applyBorder="1" applyAlignment="1">
      <alignment horizontal="right" vertical="center"/>
    </xf>
    <xf numFmtId="49" fontId="10" fillId="0" borderId="4" xfId="3" applyNumberFormat="1" applyFont="1" applyBorder="1" applyAlignment="1">
      <alignment horizontal="left" vertical="center"/>
    </xf>
    <xf numFmtId="0" fontId="2" fillId="0" borderId="0" xfId="4" applyFont="1"/>
    <xf numFmtId="0" fontId="9" fillId="0" borderId="2" xfId="0" applyFont="1" applyBorder="1" applyAlignment="1">
      <alignment vertical="center"/>
    </xf>
    <xf numFmtId="177" fontId="13" fillId="0" borderId="0" xfId="2" applyNumberFormat="1" applyFont="1">
      <alignment vertical="center"/>
    </xf>
    <xf numFmtId="0" fontId="13" fillId="0" borderId="0" xfId="4" applyFont="1"/>
    <xf numFmtId="176" fontId="13" fillId="0" borderId="0" xfId="0" applyNumberFormat="1" applyFont="1" applyAlignment="1">
      <alignment horizontal="right" vertical="center"/>
    </xf>
    <xf numFmtId="177" fontId="13" fillId="0" borderId="3" xfId="2" applyNumberFormat="1" applyFont="1" applyBorder="1" applyAlignment="1">
      <alignment horizontal="center" vertical="center" wrapText="1"/>
    </xf>
    <xf numFmtId="177" fontId="14" fillId="0" borderId="0" xfId="2" applyNumberFormat="1" applyFont="1">
      <alignment vertical="center"/>
    </xf>
    <xf numFmtId="177" fontId="13" fillId="0" borderId="1" xfId="2" applyNumberFormat="1" applyFont="1" applyBorder="1">
      <alignment vertical="center"/>
    </xf>
    <xf numFmtId="49" fontId="14" fillId="3" borderId="6" xfId="0" applyNumberFormat="1" applyFont="1" applyFill="1" applyBorder="1" applyAlignment="1">
      <alignment vertical="center"/>
    </xf>
    <xf numFmtId="49" fontId="7" fillId="3" borderId="6" xfId="0" applyNumberFormat="1" applyFont="1" applyFill="1" applyBorder="1" applyAlignment="1">
      <alignment vertical="center"/>
    </xf>
    <xf numFmtId="49" fontId="13" fillId="3" borderId="5" xfId="3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horizontal="left"/>
    </xf>
    <xf numFmtId="0" fontId="10" fillId="0" borderId="2" xfId="2" applyFont="1" applyBorder="1">
      <alignment vertical="center"/>
    </xf>
    <xf numFmtId="0" fontId="0" fillId="0" borderId="2" xfId="3" applyFont="1" applyBorder="1"/>
    <xf numFmtId="49" fontId="13" fillId="0" borderId="3" xfId="0" applyNumberFormat="1" applyFont="1" applyBorder="1" applyAlignment="1">
      <alignment horizontal="center" wrapText="1"/>
    </xf>
    <xf numFmtId="0" fontId="24" fillId="0" borderId="2" xfId="3" applyFont="1" applyBorder="1"/>
    <xf numFmtId="177" fontId="25" fillId="0" borderId="0" xfId="2" applyNumberFormat="1" applyFont="1">
      <alignment vertical="center"/>
    </xf>
    <xf numFmtId="49" fontId="26" fillId="3" borderId="5" xfId="3" applyNumberFormat="1" applyFont="1" applyFill="1" applyBorder="1" applyAlignment="1">
      <alignment horizontal="center" vertical="top" wrapText="1"/>
    </xf>
    <xf numFmtId="49" fontId="28" fillId="3" borderId="8" xfId="3" applyNumberFormat="1" applyFont="1" applyFill="1" applyBorder="1" applyAlignment="1">
      <alignment horizontal="right" vertical="center"/>
    </xf>
    <xf numFmtId="49" fontId="28" fillId="3" borderId="9" xfId="3" applyNumberFormat="1" applyFont="1" applyFill="1" applyBorder="1" applyAlignment="1">
      <alignment horizontal="left" vertical="center"/>
    </xf>
    <xf numFmtId="176" fontId="28" fillId="3" borderId="0" xfId="0" applyNumberFormat="1" applyFont="1" applyFill="1" applyAlignment="1">
      <alignment horizontal="right" vertical="center"/>
    </xf>
    <xf numFmtId="177" fontId="26" fillId="0" borderId="0" xfId="2" applyNumberFormat="1" applyFont="1" applyAlignment="1">
      <alignment horizontal="left" wrapText="1"/>
    </xf>
    <xf numFmtId="49" fontId="26" fillId="0" borderId="10" xfId="3" applyNumberFormat="1" applyFont="1" applyBorder="1" applyAlignment="1">
      <alignment horizontal="right" vertical="center"/>
    </xf>
    <xf numFmtId="49" fontId="26" fillId="0" borderId="3" xfId="3" applyNumberFormat="1" applyFont="1" applyBorder="1" applyAlignment="1">
      <alignment horizontal="left" vertical="center"/>
    </xf>
    <xf numFmtId="176" fontId="26" fillId="0" borderId="0" xfId="0" applyNumberFormat="1" applyFont="1" applyAlignment="1">
      <alignment horizontal="right"/>
    </xf>
    <xf numFmtId="177" fontId="30" fillId="0" borderId="0" xfId="2" applyNumberFormat="1" applyFont="1">
      <alignment vertical="center"/>
    </xf>
    <xf numFmtId="49" fontId="13" fillId="0" borderId="4" xfId="0" applyNumberFormat="1" applyFont="1" applyBorder="1" applyAlignment="1">
      <alignment horizontal="center" wrapText="1"/>
    </xf>
    <xf numFmtId="177" fontId="31" fillId="0" borderId="0" xfId="2" applyNumberFormat="1" applyFont="1" applyAlignment="1">
      <alignment horizontal="right" vertical="center"/>
    </xf>
    <xf numFmtId="176" fontId="13" fillId="0" borderId="2" xfId="0" applyNumberFormat="1" applyFont="1" applyBorder="1" applyAlignment="1">
      <alignment horizontal="right" vertical="center"/>
    </xf>
    <xf numFmtId="176" fontId="13" fillId="0" borderId="13" xfId="0" applyNumberFormat="1" applyFont="1" applyBorder="1" applyAlignment="1">
      <alignment horizontal="right" vertical="center"/>
    </xf>
    <xf numFmtId="49" fontId="13" fillId="0" borderId="13" xfId="0" applyNumberFormat="1" applyFont="1" applyBorder="1" applyAlignment="1">
      <alignment horizontal="center" wrapText="1"/>
    </xf>
    <xf numFmtId="176" fontId="26" fillId="0" borderId="0" xfId="0" applyNumberFormat="1" applyFont="1" applyAlignment="1">
      <alignment horizontal="right" vertical="center"/>
    </xf>
    <xf numFmtId="177" fontId="26" fillId="0" borderId="0" xfId="2" applyNumberFormat="1" applyFont="1" applyAlignment="1">
      <alignment horizontal="center" wrapText="1"/>
    </xf>
    <xf numFmtId="49" fontId="13" fillId="3" borderId="6" xfId="0" applyNumberFormat="1" applyFont="1" applyFill="1" applyBorder="1" applyAlignment="1">
      <alignment vertical="center"/>
    </xf>
    <xf numFmtId="177" fontId="32" fillId="0" borderId="0" xfId="2" applyNumberFormat="1" applyFont="1" applyAlignment="1">
      <alignment horizontal="right" vertical="center"/>
    </xf>
    <xf numFmtId="177" fontId="13" fillId="0" borderId="12" xfId="2" applyNumberFormat="1" applyFont="1" applyBorder="1" applyAlignment="1">
      <alignment horizontal="center" vertical="center" wrapText="1"/>
    </xf>
    <xf numFmtId="177" fontId="13" fillId="0" borderId="12" xfId="2" applyNumberFormat="1" applyFont="1" applyBorder="1" applyAlignment="1">
      <alignment horizontal="center" vertical="center"/>
    </xf>
    <xf numFmtId="177" fontId="13" fillId="0" borderId="5" xfId="2" applyNumberFormat="1" applyFont="1" applyBorder="1" applyAlignment="1">
      <alignment horizontal="center" vertical="center" wrapText="1"/>
    </xf>
    <xf numFmtId="177" fontId="13" fillId="0" borderId="7" xfId="2" applyNumberFormat="1" applyFont="1" applyBorder="1" applyAlignment="1">
      <alignment horizontal="center" vertical="center" wrapText="1"/>
    </xf>
    <xf numFmtId="177" fontId="13" fillId="0" borderId="12" xfId="1" applyNumberFormat="1" applyFont="1" applyBorder="1" applyAlignment="1">
      <alignment horizontal="center" vertical="center" wrapText="1"/>
    </xf>
    <xf numFmtId="177" fontId="13" fillId="0" borderId="13" xfId="1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77" fontId="13" fillId="0" borderId="9" xfId="2" applyNumberFormat="1" applyFont="1" applyBorder="1" applyAlignment="1">
      <alignment horizontal="center" vertical="center" wrapText="1"/>
    </xf>
    <xf numFmtId="177" fontId="13" fillId="0" borderId="3" xfId="2" applyNumberFormat="1" applyFont="1" applyBorder="1" applyAlignment="1">
      <alignment horizontal="center" vertical="center" wrapText="1"/>
    </xf>
    <xf numFmtId="177" fontId="13" fillId="0" borderId="4" xfId="2" applyNumberFormat="1" applyFont="1" applyBorder="1" applyAlignment="1">
      <alignment horizontal="center" vertical="center" wrapText="1"/>
    </xf>
    <xf numFmtId="177" fontId="13" fillId="0" borderId="13" xfId="2" applyNumberFormat="1" applyFont="1" applyBorder="1" applyAlignment="1">
      <alignment horizontal="center" vertical="center" wrapText="1"/>
    </xf>
    <xf numFmtId="177" fontId="13" fillId="0" borderId="14" xfId="2" applyNumberFormat="1" applyFont="1" applyBorder="1" applyAlignment="1">
      <alignment horizontal="center" vertical="center" wrapText="1"/>
    </xf>
    <xf numFmtId="177" fontId="13" fillId="0" borderId="14" xfId="1" applyNumberFormat="1" applyFont="1" applyBorder="1" applyAlignment="1">
      <alignment horizontal="center" vertical="center" wrapText="1"/>
    </xf>
    <xf numFmtId="177" fontId="14" fillId="0" borderId="12" xfId="1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77" fontId="25" fillId="0" borderId="12" xfId="1" applyNumberFormat="1" applyFont="1" applyBorder="1" applyAlignment="1">
      <alignment horizontal="center" vertical="center" wrapText="1"/>
    </xf>
    <xf numFmtId="177" fontId="13" fillId="0" borderId="0" xfId="2" applyNumberFormat="1" applyFont="1" applyAlignment="1">
      <alignment horizontal="center" vertical="center" wrapText="1"/>
    </xf>
    <xf numFmtId="177" fontId="13" fillId="0" borderId="2" xfId="2" applyNumberFormat="1" applyFont="1" applyBorder="1" applyAlignment="1">
      <alignment horizontal="center" vertical="center" wrapText="1"/>
    </xf>
    <xf numFmtId="49" fontId="26" fillId="0" borderId="6" xfId="3" applyNumberFormat="1" applyFont="1" applyBorder="1" applyAlignment="1">
      <alignment horizontal="center" vertical="center" wrapText="1"/>
    </xf>
    <xf numFmtId="49" fontId="26" fillId="0" borderId="7" xfId="3" applyNumberFormat="1" applyFont="1" applyBorder="1" applyAlignment="1">
      <alignment horizontal="center" vertical="center" wrapText="1"/>
    </xf>
    <xf numFmtId="49" fontId="13" fillId="2" borderId="6" xfId="0" applyNumberFormat="1" applyFont="1" applyFill="1" applyBorder="1" applyAlignment="1">
      <alignment horizontal="center" vertical="center"/>
    </xf>
    <xf numFmtId="49" fontId="13" fillId="2" borderId="7" xfId="0" applyNumberFormat="1" applyFont="1" applyFill="1" applyBorder="1" applyAlignment="1">
      <alignment horizontal="center" vertical="center"/>
    </xf>
    <xf numFmtId="177" fontId="14" fillId="0" borderId="12" xfId="2" applyNumberFormat="1" applyFont="1" applyBorder="1" applyAlignment="1">
      <alignment horizontal="center" vertical="center" wrapText="1"/>
    </xf>
    <xf numFmtId="177" fontId="13" fillId="0" borderId="8" xfId="2" applyNumberFormat="1" applyFont="1" applyBorder="1" applyAlignment="1">
      <alignment horizontal="center" vertical="center" wrapText="1"/>
    </xf>
    <xf numFmtId="177" fontId="13" fillId="0" borderId="11" xfId="2" applyNumberFormat="1" applyFont="1" applyBorder="1" applyAlignment="1">
      <alignment horizontal="center" vertical="center" wrapText="1"/>
    </xf>
    <xf numFmtId="49" fontId="13" fillId="0" borderId="6" xfId="3" applyNumberFormat="1" applyFont="1" applyBorder="1" applyAlignment="1">
      <alignment horizontal="center" vertical="center" wrapText="1"/>
    </xf>
    <xf numFmtId="49" fontId="13" fillId="0" borderId="7" xfId="3" applyNumberFormat="1" applyFont="1" applyBorder="1" applyAlignment="1">
      <alignment horizontal="center" vertical="center" wrapText="1"/>
    </xf>
    <xf numFmtId="177" fontId="13" fillId="0" borderId="1" xfId="2" applyNumberFormat="1" applyFont="1" applyBorder="1" applyAlignment="1">
      <alignment horizontal="center" vertical="center" wrapText="1"/>
    </xf>
    <xf numFmtId="177" fontId="13" fillId="0" borderId="14" xfId="1" applyNumberFormat="1" applyFont="1" applyBorder="1" applyAlignment="1">
      <alignment horizontal="center" vertical="center"/>
    </xf>
    <xf numFmtId="177" fontId="13" fillId="0" borderId="13" xfId="1" applyNumberFormat="1" applyFont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/>
    </xf>
    <xf numFmtId="177" fontId="10" fillId="0" borderId="7" xfId="2" applyNumberFormat="1" applyFont="1" applyBorder="1" applyAlignment="1">
      <alignment horizontal="center" vertical="center" wrapText="1"/>
    </xf>
    <xf numFmtId="177" fontId="10" fillId="0" borderId="11" xfId="2" applyNumberFormat="1" applyFont="1" applyBorder="1" applyAlignment="1">
      <alignment horizontal="center" vertical="center" wrapText="1"/>
    </xf>
    <xf numFmtId="177" fontId="10" fillId="0" borderId="8" xfId="2" applyNumberFormat="1" applyFont="1" applyBorder="1" applyAlignment="1">
      <alignment horizontal="center" vertical="center" wrapText="1"/>
    </xf>
    <xf numFmtId="49" fontId="2" fillId="0" borderId="6" xfId="3" applyNumberFormat="1" applyFont="1" applyBorder="1" applyAlignment="1">
      <alignment horizontal="center" vertical="center" wrapText="1"/>
    </xf>
    <xf numFmtId="49" fontId="2" fillId="0" borderId="7" xfId="3" applyNumberFormat="1" applyFont="1" applyBorder="1" applyAlignment="1">
      <alignment horizontal="center" vertical="center" wrapText="1"/>
    </xf>
    <xf numFmtId="177" fontId="10" fillId="0" borderId="5" xfId="2" applyNumberFormat="1" applyFont="1" applyBorder="1" applyAlignment="1">
      <alignment horizontal="center" vertical="center" wrapText="1"/>
    </xf>
    <xf numFmtId="177" fontId="10" fillId="0" borderId="1" xfId="2" applyNumberFormat="1" applyFont="1" applyBorder="1" applyAlignment="1">
      <alignment horizontal="center" vertical="center" wrapText="1"/>
    </xf>
    <xf numFmtId="177" fontId="10" fillId="0" borderId="9" xfId="2" applyNumberFormat="1" applyFont="1" applyBorder="1" applyAlignment="1">
      <alignment horizontal="center" vertical="center" wrapText="1"/>
    </xf>
    <xf numFmtId="177" fontId="10" fillId="0" borderId="0" xfId="2" applyNumberFormat="1" applyFont="1" applyAlignment="1">
      <alignment horizontal="center" vertical="center" wrapText="1"/>
    </xf>
    <xf numFmtId="177" fontId="10" fillId="0" borderId="3" xfId="2" applyNumberFormat="1" applyFont="1" applyBorder="1" applyAlignment="1">
      <alignment horizontal="center" vertical="center" wrapText="1"/>
    </xf>
    <xf numFmtId="177" fontId="10" fillId="0" borderId="2" xfId="2" applyNumberFormat="1" applyFont="1" applyBorder="1" applyAlignment="1">
      <alignment horizontal="center" vertical="center" wrapText="1"/>
    </xf>
    <xf numFmtId="177" fontId="10" fillId="0" borderId="4" xfId="2" applyNumberFormat="1" applyFont="1" applyBorder="1" applyAlignment="1">
      <alignment horizontal="center" vertical="center" wrapText="1"/>
    </xf>
    <xf numFmtId="177" fontId="10" fillId="0" borderId="12" xfId="2" applyNumberFormat="1" applyFont="1" applyBorder="1" applyAlignment="1">
      <alignment horizontal="center" vertical="center" wrapText="1"/>
    </xf>
    <xf numFmtId="177" fontId="10" fillId="0" borderId="13" xfId="2" applyNumberFormat="1" applyFont="1" applyBorder="1" applyAlignment="1">
      <alignment horizontal="center" vertical="center" wrapText="1"/>
    </xf>
    <xf numFmtId="177" fontId="10" fillId="0" borderId="14" xfId="2" applyNumberFormat="1" applyFont="1" applyBorder="1" applyAlignment="1">
      <alignment horizontal="center" vertical="center" wrapText="1"/>
    </xf>
    <xf numFmtId="177" fontId="26" fillId="0" borderId="3" xfId="2" applyNumberFormat="1" applyFont="1" applyBorder="1" applyAlignment="1">
      <alignment horizontal="left" vertical="center" wrapText="1"/>
    </xf>
  </cellXfs>
  <cellStyles count="5">
    <cellStyle name="一般" xfId="0" builtinId="0"/>
    <cellStyle name="一般 3" xfId="1" xr:uid="{00000000-0005-0000-0000-000001000000}"/>
    <cellStyle name="一般_moi04-05" xfId="2" xr:uid="{00000000-0005-0000-0000-000002000000}"/>
    <cellStyle name="一般_Sheet1" xfId="3" xr:uid="{00000000-0005-0000-0000-000003000000}"/>
    <cellStyle name="一般_十年長照上網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152400</xdr:rowOff>
    </xdr:from>
    <xdr:to>
      <xdr:col>6</xdr:col>
      <xdr:colOff>3464</xdr:colOff>
      <xdr:row>18</xdr:row>
      <xdr:rowOff>152400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0</xdr:colOff>
      <xdr:row>18</xdr:row>
      <xdr:rowOff>152400</xdr:rowOff>
    </xdr:from>
    <xdr:to>
      <xdr:col>5</xdr:col>
      <xdr:colOff>387583</xdr:colOff>
      <xdr:row>18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0</xdr:colOff>
      <xdr:row>18</xdr:row>
      <xdr:rowOff>152400</xdr:rowOff>
    </xdr:from>
    <xdr:to>
      <xdr:col>5</xdr:col>
      <xdr:colOff>387583</xdr:colOff>
      <xdr:row>18</xdr:row>
      <xdr:rowOff>152400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0</xdr:colOff>
      <xdr:row>18</xdr:row>
      <xdr:rowOff>152400</xdr:rowOff>
    </xdr:from>
    <xdr:to>
      <xdr:col>6</xdr:col>
      <xdr:colOff>3204</xdr:colOff>
      <xdr:row>18</xdr:row>
      <xdr:rowOff>152400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0</xdr:colOff>
      <xdr:row>18</xdr:row>
      <xdr:rowOff>152400</xdr:rowOff>
    </xdr:from>
    <xdr:to>
      <xdr:col>6</xdr:col>
      <xdr:colOff>3204</xdr:colOff>
      <xdr:row>18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3949700" y="76771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3949700" y="76771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3949700" y="23431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3949700" y="76771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949700" y="23431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3905250" y="769620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3905250" y="76962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3905250" y="23622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>
          <a:spLocks noChangeArrowheads="1"/>
        </xdr:cNvSpPr>
      </xdr:nvSpPr>
      <xdr:spPr bwMode="auto">
        <a:xfrm>
          <a:off x="3905250" y="769620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>
          <a:off x="3905250" y="236220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 bwMode="auto">
        <a:xfrm>
          <a:off x="3905250" y="23050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3464</xdr:colOff>
      <xdr:row>106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3464</xdr:colOff>
      <xdr:row>80</xdr:row>
      <xdr:rowOff>152400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395183</xdr:colOff>
      <xdr:row>106</xdr:row>
      <xdr:rowOff>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0</xdr:rowOff>
    </xdr:from>
    <xdr:to>
      <xdr:col>6</xdr:col>
      <xdr:colOff>395183</xdr:colOff>
      <xdr:row>81</xdr:row>
      <xdr:rowOff>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 bwMode="auto">
        <a:xfrm>
          <a:off x="3901440" y="17830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6</xdr:col>
      <xdr:colOff>395183</xdr:colOff>
      <xdr:row>80</xdr:row>
      <xdr:rowOff>152400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6</xdr:col>
      <xdr:colOff>395183</xdr:colOff>
      <xdr:row>80</xdr:row>
      <xdr:rowOff>152400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3210</xdr:colOff>
      <xdr:row>106</xdr:row>
      <xdr:rowOff>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0</xdr:rowOff>
    </xdr:from>
    <xdr:to>
      <xdr:col>7</xdr:col>
      <xdr:colOff>3210</xdr:colOff>
      <xdr:row>81</xdr:row>
      <xdr:rowOff>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3901440" y="17830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3210</xdr:colOff>
      <xdr:row>80</xdr:row>
      <xdr:rowOff>152400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3210</xdr:colOff>
      <xdr:row>80</xdr:row>
      <xdr:rowOff>152400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176</xdr:row>
      <xdr:rowOff>0</xdr:rowOff>
    </xdr:from>
    <xdr:to>
      <xdr:col>7</xdr:col>
      <xdr:colOff>3464</xdr:colOff>
      <xdr:row>176</xdr:row>
      <xdr:rowOff>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7</xdr:col>
      <xdr:colOff>3464</xdr:colOff>
      <xdr:row>150</xdr:row>
      <xdr:rowOff>152400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395183</xdr:colOff>
      <xdr:row>176</xdr:row>
      <xdr:rowOff>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395183</xdr:colOff>
      <xdr:row>151</xdr:row>
      <xdr:rowOff>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3901440" y="17830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6</xdr:col>
      <xdr:colOff>395183</xdr:colOff>
      <xdr:row>150</xdr:row>
      <xdr:rowOff>152400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6</xdr:col>
      <xdr:colOff>395183</xdr:colOff>
      <xdr:row>150</xdr:row>
      <xdr:rowOff>152400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176</xdr:row>
      <xdr:rowOff>0</xdr:rowOff>
    </xdr:from>
    <xdr:to>
      <xdr:col>7</xdr:col>
      <xdr:colOff>3210</xdr:colOff>
      <xdr:row>176</xdr:row>
      <xdr:rowOff>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0</xdr:rowOff>
    </xdr:from>
    <xdr:to>
      <xdr:col>7</xdr:col>
      <xdr:colOff>3210</xdr:colOff>
      <xdr:row>151</xdr:row>
      <xdr:rowOff>0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3901440" y="17830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7</xdr:col>
      <xdr:colOff>3210</xdr:colOff>
      <xdr:row>150</xdr:row>
      <xdr:rowOff>152400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7</xdr:col>
      <xdr:colOff>3210</xdr:colOff>
      <xdr:row>150</xdr:row>
      <xdr:rowOff>152400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3464</xdr:colOff>
      <xdr:row>106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439AD7B4-A92E-4430-9AC5-4EAAEFFA0F00}"/>
            </a:ext>
          </a:extLst>
        </xdr:cNvPr>
        <xdr:cNvSpPr txBox="1">
          <a:spLocks noChangeArrowheads="1"/>
        </xdr:cNvSpPr>
      </xdr:nvSpPr>
      <xdr:spPr bwMode="auto">
        <a:xfrm>
          <a:off x="4391025" y="6705600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3464</xdr:colOff>
      <xdr:row>80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AAE2731-46A1-4CD5-AD06-63FC6886CE38}"/>
            </a:ext>
          </a:extLst>
        </xdr:cNvPr>
        <xdr:cNvSpPr txBox="1">
          <a:spLocks noChangeArrowheads="1"/>
        </xdr:cNvSpPr>
      </xdr:nvSpPr>
      <xdr:spPr bwMode="auto">
        <a:xfrm>
          <a:off x="4391025" y="1885950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395183</xdr:colOff>
      <xdr:row>106</xdr:row>
      <xdr:rowOff>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D8B56F0F-6D90-4558-ACB9-A4B305ADD648}"/>
            </a:ext>
          </a:extLst>
        </xdr:cNvPr>
        <xdr:cNvSpPr txBox="1">
          <a:spLocks noChangeArrowheads="1"/>
        </xdr:cNvSpPr>
      </xdr:nvSpPr>
      <xdr:spPr bwMode="auto">
        <a:xfrm>
          <a:off x="4391025" y="670560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0</xdr:rowOff>
    </xdr:from>
    <xdr:to>
      <xdr:col>6</xdr:col>
      <xdr:colOff>395183</xdr:colOff>
      <xdr:row>81</xdr:row>
      <xdr:rowOff>0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FFA7319D-A8EB-4738-B035-7B47670A37EF}"/>
            </a:ext>
          </a:extLst>
        </xdr:cNvPr>
        <xdr:cNvSpPr txBox="1">
          <a:spLocks noChangeArrowheads="1"/>
        </xdr:cNvSpPr>
      </xdr:nvSpPr>
      <xdr:spPr bwMode="auto">
        <a:xfrm>
          <a:off x="4391025" y="194310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6</xdr:col>
      <xdr:colOff>395183</xdr:colOff>
      <xdr:row>80</xdr:row>
      <xdr:rowOff>152400</xdr:rowOff>
    </xdr:to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7A170122-3AF9-425F-8CAB-F5495FFF5E6D}"/>
            </a:ext>
          </a:extLst>
        </xdr:cNvPr>
        <xdr:cNvSpPr txBox="1">
          <a:spLocks noChangeArrowheads="1"/>
        </xdr:cNvSpPr>
      </xdr:nvSpPr>
      <xdr:spPr bwMode="auto">
        <a:xfrm>
          <a:off x="4391025" y="188595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6</xdr:col>
      <xdr:colOff>395183</xdr:colOff>
      <xdr:row>80</xdr:row>
      <xdr:rowOff>152400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B8831AA7-BB03-4EC3-83FE-05BE4B12C5DC}"/>
            </a:ext>
          </a:extLst>
        </xdr:cNvPr>
        <xdr:cNvSpPr txBox="1">
          <a:spLocks noChangeArrowheads="1"/>
        </xdr:cNvSpPr>
      </xdr:nvSpPr>
      <xdr:spPr bwMode="auto">
        <a:xfrm>
          <a:off x="4391025" y="188595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3210</xdr:colOff>
      <xdr:row>106</xdr:row>
      <xdr:rowOff>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9A6322C9-41C6-49B6-B075-DC48F32751BC}"/>
            </a:ext>
          </a:extLst>
        </xdr:cNvPr>
        <xdr:cNvSpPr txBox="1">
          <a:spLocks noChangeArrowheads="1"/>
        </xdr:cNvSpPr>
      </xdr:nvSpPr>
      <xdr:spPr bwMode="auto">
        <a:xfrm>
          <a:off x="4391025" y="6705600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0</xdr:rowOff>
    </xdr:from>
    <xdr:to>
      <xdr:col>7</xdr:col>
      <xdr:colOff>3210</xdr:colOff>
      <xdr:row>81</xdr:row>
      <xdr:rowOff>0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49D8E6CB-FFE5-424B-BB2D-02A61A78E3B6}"/>
            </a:ext>
          </a:extLst>
        </xdr:cNvPr>
        <xdr:cNvSpPr txBox="1">
          <a:spLocks noChangeArrowheads="1"/>
        </xdr:cNvSpPr>
      </xdr:nvSpPr>
      <xdr:spPr bwMode="auto">
        <a:xfrm>
          <a:off x="4391025" y="1943100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3210</xdr:colOff>
      <xdr:row>80</xdr:row>
      <xdr:rowOff>152400</xdr:rowOff>
    </xdr:to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50B52164-5EAB-4FC2-80AA-971161C8A41E}"/>
            </a:ext>
          </a:extLst>
        </xdr:cNvPr>
        <xdr:cNvSpPr txBox="1">
          <a:spLocks noChangeArrowheads="1"/>
        </xdr:cNvSpPr>
      </xdr:nvSpPr>
      <xdr:spPr bwMode="auto">
        <a:xfrm>
          <a:off x="4391025" y="1885950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3210</xdr:colOff>
      <xdr:row>80</xdr:row>
      <xdr:rowOff>152400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FBCFC8C1-783D-4585-9F9E-14F5E5D08CC3}"/>
            </a:ext>
          </a:extLst>
        </xdr:cNvPr>
        <xdr:cNvSpPr txBox="1">
          <a:spLocks noChangeArrowheads="1"/>
        </xdr:cNvSpPr>
      </xdr:nvSpPr>
      <xdr:spPr bwMode="auto">
        <a:xfrm>
          <a:off x="4391025" y="1885950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65627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8002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3464</xdr:colOff>
      <xdr:row>106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3464</xdr:colOff>
      <xdr:row>80</xdr:row>
      <xdr:rowOff>152400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395183</xdr:colOff>
      <xdr:row>106</xdr:row>
      <xdr:rowOff>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0</xdr:rowOff>
    </xdr:from>
    <xdr:to>
      <xdr:col>6</xdr:col>
      <xdr:colOff>395183</xdr:colOff>
      <xdr:row>81</xdr:row>
      <xdr:rowOff>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6</xdr:col>
      <xdr:colOff>395183</xdr:colOff>
      <xdr:row>80</xdr:row>
      <xdr:rowOff>152400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6</xdr:col>
      <xdr:colOff>395183</xdr:colOff>
      <xdr:row>80</xdr:row>
      <xdr:rowOff>152400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3210</xdr:colOff>
      <xdr:row>106</xdr:row>
      <xdr:rowOff>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0</xdr:rowOff>
    </xdr:from>
    <xdr:to>
      <xdr:col>7</xdr:col>
      <xdr:colOff>3210</xdr:colOff>
      <xdr:row>81</xdr:row>
      <xdr:rowOff>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3210</xdr:colOff>
      <xdr:row>80</xdr:row>
      <xdr:rowOff>152400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80</xdr:row>
      <xdr:rowOff>152400</xdr:rowOff>
    </xdr:from>
    <xdr:to>
      <xdr:col>7</xdr:col>
      <xdr:colOff>3210</xdr:colOff>
      <xdr:row>80</xdr:row>
      <xdr:rowOff>152400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176</xdr:row>
      <xdr:rowOff>0</xdr:rowOff>
    </xdr:from>
    <xdr:to>
      <xdr:col>7</xdr:col>
      <xdr:colOff>3464</xdr:colOff>
      <xdr:row>176</xdr:row>
      <xdr:rowOff>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7</xdr:col>
      <xdr:colOff>3464</xdr:colOff>
      <xdr:row>150</xdr:row>
      <xdr:rowOff>152400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395183</xdr:colOff>
      <xdr:row>176</xdr:row>
      <xdr:rowOff>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395183</xdr:colOff>
      <xdr:row>151</xdr:row>
      <xdr:rowOff>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6</xdr:col>
      <xdr:colOff>395183</xdr:colOff>
      <xdr:row>150</xdr:row>
      <xdr:rowOff>152400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6</xdr:col>
      <xdr:colOff>395183</xdr:colOff>
      <xdr:row>150</xdr:row>
      <xdr:rowOff>152400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176</xdr:row>
      <xdr:rowOff>0</xdr:rowOff>
    </xdr:from>
    <xdr:to>
      <xdr:col>7</xdr:col>
      <xdr:colOff>3210</xdr:colOff>
      <xdr:row>176</xdr:row>
      <xdr:rowOff>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0</xdr:rowOff>
    </xdr:from>
    <xdr:to>
      <xdr:col>7</xdr:col>
      <xdr:colOff>3210</xdr:colOff>
      <xdr:row>151</xdr:row>
      <xdr:rowOff>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7</xdr:col>
      <xdr:colOff>3210</xdr:colOff>
      <xdr:row>150</xdr:row>
      <xdr:rowOff>152400</xdr:rowOff>
    </xdr:to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150</xdr:row>
      <xdr:rowOff>152400</xdr:rowOff>
    </xdr:from>
    <xdr:to>
      <xdr:col>7</xdr:col>
      <xdr:colOff>3210</xdr:colOff>
      <xdr:row>150</xdr:row>
      <xdr:rowOff>152400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56876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4505325" y="656272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4505325" y="1743075"/>
          <a:ext cx="6606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4505325" y="65627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4505325" y="180022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45053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4505325" y="1743075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4505325" y="65627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4505325" y="180022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45053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4505325" y="1743075"/>
          <a:ext cx="66043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3901440" y="17830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3901440" y="65455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3901440" y="17830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390144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3802380" y="654558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3802380" y="172974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3802380" y="65455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3802380" y="178308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380238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3802380" y="1729740"/>
          <a:ext cx="39518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3802380" y="65455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3802380" y="178308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380238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3802380" y="172974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4067175" y="6562725"/>
          <a:ext cx="6130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4067175" y="1743075"/>
          <a:ext cx="6130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4067175" y="6562725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4067175" y="1800225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4067175" y="1743075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4067175" y="1743075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4067175" y="6562725"/>
          <a:ext cx="6128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4067175" y="1800225"/>
          <a:ext cx="6128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4067175" y="1743075"/>
          <a:ext cx="6128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4067175" y="1743075"/>
          <a:ext cx="6128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7</xdr:col>
      <xdr:colOff>3464</xdr:colOff>
      <xdr:row>32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3952875" y="712470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3464</xdr:colOff>
      <xdr:row>6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395183</xdr:colOff>
      <xdr:row>32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3952875" y="712470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395183</xdr:colOff>
      <xdr:row>7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3952875" y="236220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6</xdr:col>
      <xdr:colOff>395183</xdr:colOff>
      <xdr:row>6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3210</xdr:colOff>
      <xdr:row>32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3952875" y="71247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3210</xdr:colOff>
      <xdr:row>7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3952875" y="23622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6</xdr:row>
      <xdr:rowOff>152400</xdr:rowOff>
    </xdr:from>
    <xdr:to>
      <xdr:col>7</xdr:col>
      <xdr:colOff>3210</xdr:colOff>
      <xdr:row>6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7</xdr:col>
      <xdr:colOff>3464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3952875" y="712470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3464</xdr:colOff>
      <xdr:row>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387583</xdr:colOff>
      <xdr:row>33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3952875" y="712470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387583</xdr:colOff>
      <xdr:row>8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3952875" y="236220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387583</xdr:colOff>
      <xdr:row>7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387583</xdr:colOff>
      <xdr:row>7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41798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3210</xdr:colOff>
      <xdr:row>33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3952875" y="71247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3210</xdr:colOff>
      <xdr:row>8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3952875" y="23622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3210</xdr:colOff>
      <xdr:row>7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3210</xdr:colOff>
      <xdr:row>7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>
          <a:spLocks noChangeArrowheads="1"/>
        </xdr:cNvSpPr>
      </xdr:nvSpPr>
      <xdr:spPr bwMode="auto">
        <a:xfrm>
          <a:off x="3952875" y="23050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7</xdr:col>
      <xdr:colOff>3464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949700" y="76771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3464</xdr:colOff>
      <xdr:row>7</xdr:row>
      <xdr:rowOff>152400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387583</xdr:colOff>
      <xdr:row>33</xdr:row>
      <xdr:rowOff>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3949700" y="76771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387583</xdr:colOff>
      <xdr:row>8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3949700" y="23431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387583</xdr:colOff>
      <xdr:row>7</xdr:row>
      <xdr:rowOff>152400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387583</xdr:colOff>
      <xdr:row>7</xdr:row>
      <xdr:rowOff>152400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3210</xdr:colOff>
      <xdr:row>33</xdr:row>
      <xdr:rowOff>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3949700" y="76771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3210</xdr:colOff>
      <xdr:row>8</xdr:row>
      <xdr:rowOff>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3949700" y="234315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3210</xdr:colOff>
      <xdr:row>7</xdr:row>
      <xdr:rowOff>152400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3210</xdr:colOff>
      <xdr:row>7</xdr:row>
      <xdr:rowOff>152400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3949700" y="2286000"/>
          <a:ext cx="57471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7</xdr:col>
      <xdr:colOff>3464</xdr:colOff>
      <xdr:row>33</xdr:row>
      <xdr:rowOff>0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>
          <a:spLocks noChangeArrowheads="1"/>
        </xdr:cNvSpPr>
      </xdr:nvSpPr>
      <xdr:spPr bwMode="auto">
        <a:xfrm>
          <a:off x="12811125" y="769620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7</xdr:col>
      <xdr:colOff>3464</xdr:colOff>
      <xdr:row>7</xdr:row>
      <xdr:rowOff>144087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>
          <a:spLocks noChangeArrowheads="1"/>
        </xdr:cNvSpPr>
      </xdr:nvSpPr>
      <xdr:spPr bwMode="auto">
        <a:xfrm>
          <a:off x="12811125" y="23050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379236</xdr:colOff>
      <xdr:row>33</xdr:row>
      <xdr:rowOff>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>
          <a:spLocks noChangeArrowheads="1"/>
        </xdr:cNvSpPr>
      </xdr:nvSpPr>
      <xdr:spPr bwMode="auto">
        <a:xfrm>
          <a:off x="12811125" y="76962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379236</xdr:colOff>
      <xdr:row>8</xdr:row>
      <xdr:rowOff>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>
          <a:spLocks noChangeArrowheads="1"/>
        </xdr:cNvSpPr>
      </xdr:nvSpPr>
      <xdr:spPr bwMode="auto">
        <a:xfrm>
          <a:off x="12811125" y="23622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6</xdr:col>
      <xdr:colOff>379236</xdr:colOff>
      <xdr:row>7</xdr:row>
      <xdr:rowOff>144087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 txBox="1">
          <a:spLocks noChangeArrowheads="1"/>
        </xdr:cNvSpPr>
      </xdr:nvSpPr>
      <xdr:spPr bwMode="auto">
        <a:xfrm>
          <a:off x="12811125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6</xdr:col>
      <xdr:colOff>379236</xdr:colOff>
      <xdr:row>7</xdr:row>
      <xdr:rowOff>144087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 txBox="1">
          <a:spLocks noChangeArrowheads="1"/>
        </xdr:cNvSpPr>
      </xdr:nvSpPr>
      <xdr:spPr bwMode="auto">
        <a:xfrm>
          <a:off x="12811125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3210</xdr:colOff>
      <xdr:row>33</xdr:row>
      <xdr:rowOff>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 txBox="1">
          <a:spLocks noChangeArrowheads="1"/>
        </xdr:cNvSpPr>
      </xdr:nvSpPr>
      <xdr:spPr bwMode="auto">
        <a:xfrm>
          <a:off x="3095625" y="83629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3210</xdr:colOff>
      <xdr:row>8</xdr:row>
      <xdr:rowOff>0</xdr:rowOff>
    </xdr:to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>
          <a:spLocks noChangeArrowheads="1"/>
        </xdr:cNvSpPr>
      </xdr:nvSpPr>
      <xdr:spPr bwMode="auto">
        <a:xfrm>
          <a:off x="3095625" y="24955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7</xdr:col>
      <xdr:colOff>3210</xdr:colOff>
      <xdr:row>7</xdr:row>
      <xdr:rowOff>144087</xdr:rowOff>
    </xdr:to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>
          <a:spLocks noChangeArrowheads="1"/>
        </xdr:cNvSpPr>
      </xdr:nvSpPr>
      <xdr:spPr bwMode="auto">
        <a:xfrm>
          <a:off x="3095625" y="87820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7</xdr:col>
      <xdr:colOff>3210</xdr:colOff>
      <xdr:row>7</xdr:row>
      <xdr:rowOff>144087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 txBox="1">
          <a:spLocks noChangeArrowheads="1"/>
        </xdr:cNvSpPr>
      </xdr:nvSpPr>
      <xdr:spPr bwMode="auto">
        <a:xfrm>
          <a:off x="3095625" y="15068550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7</xdr:col>
      <xdr:colOff>3464</xdr:colOff>
      <xdr:row>33</xdr:row>
      <xdr:rowOff>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12811125" y="769620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7</xdr:col>
      <xdr:colOff>3464</xdr:colOff>
      <xdr:row>7</xdr:row>
      <xdr:rowOff>144087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12811125" y="2305050"/>
          <a:ext cx="57496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379236</xdr:colOff>
      <xdr:row>33</xdr:row>
      <xdr:rowOff>0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12811125" y="76962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379236</xdr:colOff>
      <xdr:row>8</xdr:row>
      <xdr:rowOff>0</xdr:rowOff>
    </xdr:to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12811125" y="236220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6</xdr:col>
      <xdr:colOff>379236</xdr:colOff>
      <xdr:row>7</xdr:row>
      <xdr:rowOff>144087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>
          <a:spLocks noChangeArrowheads="1"/>
        </xdr:cNvSpPr>
      </xdr:nvSpPr>
      <xdr:spPr bwMode="auto">
        <a:xfrm>
          <a:off x="12811125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6</xdr:col>
      <xdr:colOff>379236</xdr:colOff>
      <xdr:row>7</xdr:row>
      <xdr:rowOff>144087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 txBox="1">
          <a:spLocks noChangeArrowheads="1"/>
        </xdr:cNvSpPr>
      </xdr:nvSpPr>
      <xdr:spPr bwMode="auto">
        <a:xfrm>
          <a:off x="12811125" y="2305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379236</xdr:colOff>
      <xdr:row>33</xdr:row>
      <xdr:rowOff>0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 txBox="1">
          <a:spLocks noChangeArrowheads="1"/>
        </xdr:cNvSpPr>
      </xdr:nvSpPr>
      <xdr:spPr bwMode="auto">
        <a:xfrm>
          <a:off x="2609850" y="83629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379236</xdr:colOff>
      <xdr:row>8</xdr:row>
      <xdr:rowOff>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 txBox="1">
          <a:spLocks noChangeArrowheads="1"/>
        </xdr:cNvSpPr>
      </xdr:nvSpPr>
      <xdr:spPr bwMode="auto">
        <a:xfrm>
          <a:off x="2609850" y="24955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6</xdr:col>
      <xdr:colOff>379236</xdr:colOff>
      <xdr:row>7</xdr:row>
      <xdr:rowOff>144087</xdr:rowOff>
    </xdr:to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>
          <a:spLocks noChangeArrowheads="1"/>
        </xdr:cNvSpPr>
      </xdr:nvSpPr>
      <xdr:spPr bwMode="auto">
        <a:xfrm>
          <a:off x="2609850" y="87820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144087</xdr:rowOff>
    </xdr:from>
    <xdr:to>
      <xdr:col>6</xdr:col>
      <xdr:colOff>379236</xdr:colOff>
      <xdr:row>7</xdr:row>
      <xdr:rowOff>144087</xdr:rowOff>
    </xdr:to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>
          <a:spLocks noChangeArrowheads="1"/>
        </xdr:cNvSpPr>
      </xdr:nvSpPr>
      <xdr:spPr bwMode="auto">
        <a:xfrm>
          <a:off x="2609850" y="15068550"/>
          <a:ext cx="419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4"/>
  <sheetViews>
    <sheetView tabSelected="1" zoomScaleNormal="100" zoomScaleSheetLayoutView="100" workbookViewId="0">
      <pane xSplit="5" ySplit="17" topLeftCell="F18" activePane="bottomRight" state="frozen"/>
      <selection pane="topRight" activeCell="F1" sqref="F1"/>
      <selection pane="bottomLeft" activeCell="A18" sqref="A18"/>
      <selection pane="bottomRight" activeCell="A31" sqref="A31"/>
    </sheetView>
  </sheetViews>
  <sheetFormatPr defaultColWidth="5.5" defaultRowHeight="11.1" customHeight="1" x14ac:dyDescent="0.2"/>
  <cols>
    <col min="1" max="1" width="23" style="5" customWidth="1"/>
    <col min="2" max="70" width="12.1640625" style="5" customWidth="1"/>
    <col min="71" max="72" width="10" style="5" customWidth="1"/>
    <col min="73" max="16384" width="5.5" style="5"/>
  </cols>
  <sheetData>
    <row r="1" spans="1:70" s="1" customFormat="1" ht="18" customHeight="1" x14ac:dyDescent="0.2">
      <c r="A1" s="2" t="s">
        <v>160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2" spans="1:70" s="1" customFormat="1" ht="14.65" customHeight="1" x14ac:dyDescent="0.2">
      <c r="A2" s="50" t="s">
        <v>117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</row>
    <row r="3" spans="1:70" s="36" customFormat="1" ht="35.450000000000003" hidden="1" customHeight="1" x14ac:dyDescent="0.2">
      <c r="A3" s="92" t="s">
        <v>77</v>
      </c>
      <c r="B3" s="83" t="s">
        <v>79</v>
      </c>
      <c r="C3" s="95"/>
      <c r="D3" s="95"/>
      <c r="E3" s="96"/>
      <c r="F3" s="83" t="s">
        <v>80</v>
      </c>
      <c r="G3" s="96"/>
      <c r="H3" s="87" t="s">
        <v>81</v>
      </c>
      <c r="I3" s="88"/>
      <c r="J3" s="97"/>
      <c r="K3" s="87" t="s">
        <v>82</v>
      </c>
      <c r="L3" s="88"/>
      <c r="M3" s="97"/>
      <c r="N3" s="87" t="s">
        <v>83</v>
      </c>
      <c r="O3" s="88"/>
      <c r="P3" s="97"/>
      <c r="Q3" s="105" t="s">
        <v>84</v>
      </c>
      <c r="R3" s="88"/>
      <c r="S3" s="97"/>
      <c r="T3" s="99" t="s">
        <v>161</v>
      </c>
      <c r="U3" s="100"/>
      <c r="V3" s="101"/>
      <c r="W3" s="102" t="s">
        <v>162</v>
      </c>
      <c r="X3" s="103"/>
      <c r="Y3" s="104"/>
      <c r="Z3" s="102" t="s">
        <v>163</v>
      </c>
      <c r="AA3" s="103"/>
      <c r="AB3" s="104"/>
      <c r="AC3" s="98" t="s">
        <v>157</v>
      </c>
      <c r="AD3" s="88"/>
      <c r="AE3" s="88"/>
      <c r="AF3" s="98" t="s">
        <v>156</v>
      </c>
      <c r="AG3" s="88"/>
      <c r="AH3" s="88"/>
    </row>
    <row r="4" spans="1:70" s="36" customFormat="1" ht="15.75" hidden="1" customHeight="1" x14ac:dyDescent="0.2">
      <c r="A4" s="93"/>
      <c r="B4" s="85" t="s">
        <v>86</v>
      </c>
      <c r="C4" s="85" t="s">
        <v>87</v>
      </c>
      <c r="D4" s="85" t="s">
        <v>88</v>
      </c>
      <c r="E4" s="83" t="s">
        <v>155</v>
      </c>
      <c r="F4" s="85" t="s">
        <v>87</v>
      </c>
      <c r="G4" s="85" t="s">
        <v>88</v>
      </c>
      <c r="H4" s="85" t="s">
        <v>87</v>
      </c>
      <c r="I4" s="85" t="s">
        <v>88</v>
      </c>
      <c r="J4" s="83" t="s">
        <v>155</v>
      </c>
      <c r="K4" s="85" t="s">
        <v>87</v>
      </c>
      <c r="L4" s="85" t="s">
        <v>88</v>
      </c>
      <c r="M4" s="83" t="s">
        <v>155</v>
      </c>
      <c r="N4" s="85" t="s">
        <v>87</v>
      </c>
      <c r="O4" s="85" t="s">
        <v>88</v>
      </c>
      <c r="P4" s="83" t="s">
        <v>155</v>
      </c>
      <c r="Q4" s="85" t="s">
        <v>87</v>
      </c>
      <c r="R4" s="85" t="s">
        <v>88</v>
      </c>
      <c r="S4" s="83" t="s">
        <v>155</v>
      </c>
      <c r="T4" s="85" t="s">
        <v>87</v>
      </c>
      <c r="U4" s="85" t="s">
        <v>88</v>
      </c>
      <c r="V4" s="83" t="s">
        <v>155</v>
      </c>
      <c r="W4" s="85" t="s">
        <v>87</v>
      </c>
      <c r="X4" s="85" t="s">
        <v>88</v>
      </c>
      <c r="Y4" s="83" t="s">
        <v>155</v>
      </c>
      <c r="Z4" s="85" t="s">
        <v>87</v>
      </c>
      <c r="AA4" s="85" t="s">
        <v>88</v>
      </c>
      <c r="AB4" s="83" t="s">
        <v>155</v>
      </c>
      <c r="AC4" s="85" t="s">
        <v>87</v>
      </c>
      <c r="AD4" s="85" t="s">
        <v>88</v>
      </c>
      <c r="AE4" s="83" t="s">
        <v>155</v>
      </c>
      <c r="AF4" s="85" t="s">
        <v>87</v>
      </c>
      <c r="AG4" s="85" t="s">
        <v>88</v>
      </c>
      <c r="AH4" s="83" t="s">
        <v>155</v>
      </c>
    </row>
    <row r="5" spans="1:70" s="37" customFormat="1" ht="15.75" hidden="1" customHeight="1" x14ac:dyDescent="0.2">
      <c r="A5" s="94"/>
      <c r="B5" s="86"/>
      <c r="C5" s="86"/>
      <c r="D5" s="86"/>
      <c r="E5" s="84"/>
      <c r="F5" s="86"/>
      <c r="G5" s="86"/>
      <c r="H5" s="86"/>
      <c r="I5" s="86"/>
      <c r="J5" s="84"/>
      <c r="K5" s="86"/>
      <c r="L5" s="86"/>
      <c r="M5" s="84"/>
      <c r="N5" s="86"/>
      <c r="O5" s="86"/>
      <c r="P5" s="84"/>
      <c r="Q5" s="86"/>
      <c r="R5" s="86"/>
      <c r="S5" s="84"/>
      <c r="T5" s="86"/>
      <c r="U5" s="86"/>
      <c r="V5" s="84"/>
      <c r="W5" s="86"/>
      <c r="X5" s="86"/>
      <c r="Y5" s="84"/>
      <c r="Z5" s="86"/>
      <c r="AA5" s="86"/>
      <c r="AB5" s="84"/>
      <c r="AC5" s="86"/>
      <c r="AD5" s="86"/>
      <c r="AE5" s="84"/>
      <c r="AF5" s="86"/>
      <c r="AG5" s="86"/>
      <c r="AH5" s="84"/>
    </row>
    <row r="6" spans="1:70" s="37" customFormat="1" ht="15.75" hidden="1" customHeight="1" x14ac:dyDescent="0.2">
      <c r="A6" s="53" t="s">
        <v>166</v>
      </c>
      <c r="B6" s="52">
        <f>'2019'!D7</f>
        <v>10192</v>
      </c>
      <c r="C6" s="52">
        <f>'2019'!E7</f>
        <v>6900</v>
      </c>
      <c r="D6" s="52">
        <f>'2019'!F7</f>
        <v>3095</v>
      </c>
      <c r="E6" s="52">
        <f>'2019'!G7</f>
        <v>197</v>
      </c>
      <c r="F6" s="52">
        <f>'2019'!H7</f>
        <v>2862</v>
      </c>
      <c r="G6" s="52">
        <f>'2019'!I7</f>
        <v>2081</v>
      </c>
      <c r="H6" s="52">
        <f>'2019'!J7</f>
        <v>183</v>
      </c>
      <c r="I6" s="52">
        <f>'2019'!K7</f>
        <v>24</v>
      </c>
      <c r="J6" s="52">
        <f>'2019'!L7</f>
        <v>2</v>
      </c>
      <c r="K6" s="52">
        <f>'2019'!M7</f>
        <v>98</v>
      </c>
      <c r="L6" s="52">
        <f>'2019'!N7</f>
        <v>146</v>
      </c>
      <c r="M6" s="52">
        <f>'2019'!O7</f>
        <v>0</v>
      </c>
      <c r="N6" s="52">
        <f>'2019'!P7</f>
        <v>279</v>
      </c>
      <c r="O6" s="52">
        <f>'2019'!Q7</f>
        <v>87</v>
      </c>
      <c r="P6" s="52">
        <f>'2019'!R7</f>
        <v>8</v>
      </c>
      <c r="Q6" s="52">
        <f>'2019'!S7</f>
        <v>217</v>
      </c>
      <c r="R6" s="52">
        <f>'2019'!T7</f>
        <v>73</v>
      </c>
      <c r="S6" s="52">
        <f>'2019'!U7</f>
        <v>4</v>
      </c>
      <c r="T6" s="52">
        <f>'2019'!V7</f>
        <v>52</v>
      </c>
      <c r="U6" s="52">
        <f>'2019'!W7</f>
        <v>17</v>
      </c>
      <c r="V6" s="52">
        <f>'2019'!X7</f>
        <v>2</v>
      </c>
      <c r="W6" s="52">
        <f>'2019'!Y7</f>
        <v>172</v>
      </c>
      <c r="X6" s="52">
        <f>'2019'!Z7</f>
        <v>44</v>
      </c>
      <c r="Y6" s="52">
        <f>'2019'!AA7</f>
        <v>6</v>
      </c>
      <c r="Z6" s="52">
        <f>'2019'!AB7</f>
        <v>1</v>
      </c>
      <c r="AA6" s="52">
        <f>'2019'!AC7</f>
        <v>17</v>
      </c>
      <c r="AB6" s="52">
        <f>'2019'!AD7</f>
        <v>0</v>
      </c>
      <c r="AC6" s="52">
        <f>'2019'!AE7</f>
        <v>1333</v>
      </c>
      <c r="AD6" s="52">
        <f>'2019'!AF7</f>
        <v>189</v>
      </c>
      <c r="AE6" s="52">
        <f>'2019'!AG7</f>
        <v>42</v>
      </c>
      <c r="AF6" s="52">
        <f>'2019'!AH7</f>
        <v>1703</v>
      </c>
      <c r="AG6" s="52">
        <f>'2019'!AI7</f>
        <v>417</v>
      </c>
      <c r="AH6" s="52">
        <f>'2019'!AJ7</f>
        <v>133</v>
      </c>
    </row>
    <row r="7" spans="1:70" s="37" customFormat="1" ht="15.75" hidden="1" customHeight="1" x14ac:dyDescent="0.2">
      <c r="A7" s="53" t="s">
        <v>167</v>
      </c>
      <c r="B7" s="52">
        <f>'2020'!D7</f>
        <v>11746</v>
      </c>
      <c r="C7" s="52">
        <f>'2020'!E7</f>
        <v>7944</v>
      </c>
      <c r="D7" s="52">
        <f>'2020'!F7</f>
        <v>3614</v>
      </c>
      <c r="E7" s="52">
        <f>'2020'!G7</f>
        <v>188</v>
      </c>
      <c r="F7" s="52">
        <f>'2020'!H7</f>
        <v>3206</v>
      </c>
      <c r="G7" s="52">
        <f>'2020'!I7</f>
        <v>2325</v>
      </c>
      <c r="H7" s="52">
        <f>'2020'!J7</f>
        <v>172</v>
      </c>
      <c r="I7" s="52">
        <f>'2020'!K7</f>
        <v>34</v>
      </c>
      <c r="J7" s="52">
        <f>'2020'!L7</f>
        <v>0</v>
      </c>
      <c r="K7" s="52">
        <f>'2020'!M7</f>
        <v>133</v>
      </c>
      <c r="L7" s="52">
        <f>'2020'!N7</f>
        <v>193</v>
      </c>
      <c r="M7" s="52">
        <f>'2020'!O7</f>
        <v>0</v>
      </c>
      <c r="N7" s="52">
        <f>'2020'!P7</f>
        <v>304</v>
      </c>
      <c r="O7" s="52">
        <f>'2020'!Q7</f>
        <v>79</v>
      </c>
      <c r="P7" s="52">
        <f>'2020'!R7</f>
        <v>3</v>
      </c>
      <c r="Q7" s="52">
        <f>'2020'!S7</f>
        <v>253</v>
      </c>
      <c r="R7" s="52">
        <f>'2020'!T7</f>
        <v>77</v>
      </c>
      <c r="S7" s="52">
        <f>'2020'!U7</f>
        <v>0</v>
      </c>
      <c r="T7" s="52">
        <f>'2020'!V7</f>
        <v>50</v>
      </c>
      <c r="U7" s="52">
        <f>'2020'!W7</f>
        <v>20</v>
      </c>
      <c r="V7" s="52">
        <f>'2020'!X7</f>
        <v>1</v>
      </c>
      <c r="W7" s="52">
        <f>'2020'!Y7</f>
        <v>245</v>
      </c>
      <c r="X7" s="52">
        <f>'2020'!Z7</f>
        <v>50</v>
      </c>
      <c r="Y7" s="52">
        <f>'2020'!AA7</f>
        <v>6</v>
      </c>
      <c r="Z7" s="52">
        <f>'2020'!AB7</f>
        <v>1</v>
      </c>
      <c r="AA7" s="52">
        <f>'2020'!AC7</f>
        <v>23</v>
      </c>
      <c r="AB7" s="52">
        <f>'2020'!AD7</f>
        <v>0</v>
      </c>
      <c r="AC7" s="52">
        <f>'2020'!AE7</f>
        <v>1516</v>
      </c>
      <c r="AD7" s="52">
        <f>'2020'!AF7</f>
        <v>251</v>
      </c>
      <c r="AE7" s="52">
        <f>'2020'!AG7</f>
        <v>29</v>
      </c>
      <c r="AF7" s="52">
        <f>'2020'!AH7</f>
        <v>2064</v>
      </c>
      <c r="AG7" s="52">
        <f>'2020'!AI7</f>
        <v>562</v>
      </c>
      <c r="AH7" s="52">
        <f>'2020'!AJ7</f>
        <v>149</v>
      </c>
    </row>
    <row r="8" spans="1:70" s="37" customFormat="1" ht="15.75" hidden="1" customHeight="1" x14ac:dyDescent="0.2">
      <c r="A8" s="53" t="s">
        <v>184</v>
      </c>
      <c r="B8" s="52">
        <f>'2021'!D7</f>
        <v>10809</v>
      </c>
      <c r="C8" s="52">
        <f>'2021'!E7</f>
        <v>7156</v>
      </c>
      <c r="D8" s="52">
        <f>'2021'!F7</f>
        <v>3553</v>
      </c>
      <c r="E8" s="52">
        <f>'2021'!G7</f>
        <v>100</v>
      </c>
      <c r="F8" s="52">
        <f>'2021'!H7</f>
        <v>3220</v>
      </c>
      <c r="G8" s="52">
        <f>'2021'!I7</f>
        <v>2571</v>
      </c>
      <c r="H8" s="52">
        <f>'2021'!J7</f>
        <v>237</v>
      </c>
      <c r="I8" s="52">
        <f>'2021'!K7</f>
        <v>42</v>
      </c>
      <c r="J8" s="52">
        <f>'2021'!L7</f>
        <v>0</v>
      </c>
      <c r="K8" s="52">
        <f>'2021'!M7</f>
        <v>129</v>
      </c>
      <c r="L8" s="52">
        <f>'2021'!N7</f>
        <v>166</v>
      </c>
      <c r="M8" s="52">
        <f>'2021'!O7</f>
        <v>0</v>
      </c>
      <c r="N8" s="52">
        <f>'2021'!P7</f>
        <v>327</v>
      </c>
      <c r="O8" s="52">
        <f>'2021'!Q7</f>
        <v>98</v>
      </c>
      <c r="P8" s="52">
        <f>'2021'!R7</f>
        <v>1</v>
      </c>
      <c r="Q8" s="52">
        <f>'2021'!S7</f>
        <v>192</v>
      </c>
      <c r="R8" s="52">
        <f>'2021'!T7</f>
        <v>56</v>
      </c>
      <c r="S8" s="52">
        <f>'2021'!U7</f>
        <v>0</v>
      </c>
      <c r="T8" s="52">
        <f>'2021'!V7</f>
        <v>44</v>
      </c>
      <c r="U8" s="52">
        <f>'2021'!W7</f>
        <v>13</v>
      </c>
      <c r="V8" s="52">
        <f>'2021'!X7</f>
        <v>0</v>
      </c>
      <c r="W8" s="52">
        <f>'2021'!Y7</f>
        <v>162</v>
      </c>
      <c r="X8" s="52">
        <f>'2021'!Z7</f>
        <v>47</v>
      </c>
      <c r="Y8" s="52">
        <f>'2021'!AA7</f>
        <v>0</v>
      </c>
      <c r="Z8" s="52">
        <f>'2021'!AB7</f>
        <v>2</v>
      </c>
      <c r="AA8" s="52">
        <f>'2021'!AC7</f>
        <v>10</v>
      </c>
      <c r="AB8" s="52">
        <f>'2021'!AD7</f>
        <v>0</v>
      </c>
      <c r="AC8" s="52">
        <f>'2021'!AE7</f>
        <v>1316</v>
      </c>
      <c r="AD8" s="52">
        <f>'2021'!AF7</f>
        <v>186</v>
      </c>
      <c r="AE8" s="52">
        <f>'2021'!AG7</f>
        <v>2</v>
      </c>
      <c r="AF8" s="52">
        <f>'2021'!AH7</f>
        <v>1527</v>
      </c>
      <c r="AG8" s="52">
        <f>'2021'!AI7</f>
        <v>364</v>
      </c>
      <c r="AH8" s="52">
        <f>'2021'!AJ7</f>
        <v>97</v>
      </c>
    </row>
    <row r="9" spans="1:70" s="37" customFormat="1" ht="15.75" hidden="1" customHeight="1" x14ac:dyDescent="0.2">
      <c r="A9" s="53" t="s">
        <v>187</v>
      </c>
      <c r="B9" s="52">
        <f>'2022'!D7</f>
        <v>11350</v>
      </c>
      <c r="C9" s="52">
        <f>'2022'!E7</f>
        <v>7490</v>
      </c>
      <c r="D9" s="52">
        <f>'2022'!F7</f>
        <v>3768</v>
      </c>
      <c r="E9" s="52">
        <f>'2022'!G7</f>
        <v>92</v>
      </c>
      <c r="F9" s="52">
        <f>'2022'!H7</f>
        <v>3346</v>
      </c>
      <c r="G9" s="52">
        <f>'2022'!I7</f>
        <v>2602</v>
      </c>
      <c r="H9" s="52">
        <f>'2022'!J7</f>
        <v>234</v>
      </c>
      <c r="I9" s="52">
        <f>'2022'!K7</f>
        <v>53</v>
      </c>
      <c r="J9" s="52">
        <f>'2022'!L7</f>
        <v>0</v>
      </c>
      <c r="K9" s="52">
        <f>'2022'!M7</f>
        <v>152</v>
      </c>
      <c r="L9" s="52">
        <f>'2022'!N7</f>
        <v>230</v>
      </c>
      <c r="M9" s="52">
        <f>'2022'!O7</f>
        <v>2</v>
      </c>
      <c r="N9" s="52">
        <f>'2022'!P7</f>
        <v>352</v>
      </c>
      <c r="O9" s="52">
        <f>'2022'!Q7</f>
        <v>103</v>
      </c>
      <c r="P9" s="52">
        <f>'2022'!R7</f>
        <v>0</v>
      </c>
      <c r="Q9" s="52">
        <f>'2022'!S7</f>
        <v>315</v>
      </c>
      <c r="R9" s="52">
        <f>'2022'!T7</f>
        <v>87</v>
      </c>
      <c r="S9" s="52">
        <f>'2022'!U7</f>
        <v>0</v>
      </c>
      <c r="T9" s="52">
        <f>'2022'!V7</f>
        <v>94</v>
      </c>
      <c r="U9" s="52">
        <f>'2022'!W7</f>
        <v>65</v>
      </c>
      <c r="V9" s="52">
        <f>'2022'!X7</f>
        <v>1</v>
      </c>
      <c r="W9" s="52">
        <f>'2022'!Y7</f>
        <v>260</v>
      </c>
      <c r="X9" s="52">
        <f>'2022'!Z7</f>
        <v>57</v>
      </c>
      <c r="Y9" s="52">
        <f>'2022'!AA7</f>
        <v>0</v>
      </c>
      <c r="Z9" s="52">
        <f>'2022'!AB7</f>
        <v>6</v>
      </c>
      <c r="AA9" s="52">
        <f>'2022'!AC7</f>
        <v>37</v>
      </c>
      <c r="AB9" s="52">
        <f>'2022'!AD7</f>
        <v>0</v>
      </c>
      <c r="AC9" s="52">
        <f>'2022'!AE7</f>
        <v>1872</v>
      </c>
      <c r="AD9" s="52">
        <f>'2022'!AF7</f>
        <v>361</v>
      </c>
      <c r="AE9" s="52">
        <f>'2022'!AG7</f>
        <v>0</v>
      </c>
      <c r="AF9" s="52">
        <f>'2022'!AH7</f>
        <v>859</v>
      </c>
      <c r="AG9" s="52">
        <f>'2022'!AI7</f>
        <v>173</v>
      </c>
      <c r="AH9" s="52">
        <f>'2022'!AJ7</f>
        <v>89</v>
      </c>
    </row>
    <row r="10" spans="1:70" s="37" customFormat="1" ht="15.75" hidden="1" customHeight="1" x14ac:dyDescent="0.2">
      <c r="A10" s="53" t="s">
        <v>190</v>
      </c>
      <c r="B10" s="52">
        <f>'2023'!D7</f>
        <v>12129</v>
      </c>
      <c r="C10" s="52">
        <f>'2023'!E7</f>
        <v>7988</v>
      </c>
      <c r="D10" s="52">
        <f>'2023'!F7</f>
        <v>4039</v>
      </c>
      <c r="E10" s="52">
        <f>'2023'!G7</f>
        <v>102</v>
      </c>
      <c r="F10" s="52">
        <f>'2023'!H7</f>
        <v>3760</v>
      </c>
      <c r="G10" s="52">
        <f>'2023'!I7</f>
        <v>2899</v>
      </c>
      <c r="H10" s="52">
        <f>'2023'!J7</f>
        <v>264</v>
      </c>
      <c r="I10" s="52">
        <f>'2023'!K7</f>
        <v>70</v>
      </c>
      <c r="J10" s="52">
        <f>'2023'!L7</f>
        <v>0</v>
      </c>
      <c r="K10" s="52">
        <f>'2023'!M7</f>
        <v>153</v>
      </c>
      <c r="L10" s="52">
        <f>'2023'!N7</f>
        <v>200</v>
      </c>
      <c r="M10" s="52">
        <f>'2023'!O7</f>
        <v>0</v>
      </c>
      <c r="N10" s="52">
        <f>'2023'!P7</f>
        <v>338</v>
      </c>
      <c r="O10" s="52">
        <f>'2023'!Q7</f>
        <v>122</v>
      </c>
      <c r="P10" s="52">
        <f>'2023'!R7</f>
        <v>0</v>
      </c>
      <c r="Q10" s="52">
        <f>'2023'!S7</f>
        <v>365</v>
      </c>
      <c r="R10" s="52">
        <f>'2023'!T7</f>
        <v>91</v>
      </c>
      <c r="S10" s="52">
        <f>'2023'!U7</f>
        <v>0</v>
      </c>
      <c r="T10" s="52">
        <f>'2023'!V7</f>
        <v>151</v>
      </c>
      <c r="U10" s="52">
        <f>'2023'!W7</f>
        <v>95</v>
      </c>
      <c r="V10" s="52">
        <f>'2023'!X7</f>
        <v>0</v>
      </c>
      <c r="W10" s="52">
        <f>'2023'!Y7</f>
        <v>319</v>
      </c>
      <c r="X10" s="52">
        <f>'2023'!Z7</f>
        <v>60</v>
      </c>
      <c r="Y10" s="52">
        <f>'2023'!AA7</f>
        <v>0</v>
      </c>
      <c r="Z10" s="52">
        <f>'2023'!AB7</f>
        <v>3</v>
      </c>
      <c r="AA10" s="52">
        <f>'2023'!AC7</f>
        <v>37</v>
      </c>
      <c r="AB10" s="52">
        <f>'2023'!AD7</f>
        <v>0</v>
      </c>
      <c r="AC10" s="52">
        <f>'2023'!AE7</f>
        <v>1894</v>
      </c>
      <c r="AD10" s="52">
        <f>'2023'!AF7</f>
        <v>318</v>
      </c>
      <c r="AE10" s="52">
        <f>'2023'!AG7</f>
        <v>2</v>
      </c>
      <c r="AF10" s="52">
        <f>'2023'!AH7</f>
        <v>741</v>
      </c>
      <c r="AG10" s="52">
        <f>'2023'!AI7</f>
        <v>147</v>
      </c>
      <c r="AH10" s="52">
        <f>'2023'!AJ7</f>
        <v>100</v>
      </c>
    </row>
    <row r="11" spans="1:70" s="37" customFormat="1" ht="15.75" hidden="1" customHeight="1" x14ac:dyDescent="0.2">
      <c r="A11" s="53" t="s">
        <v>197</v>
      </c>
      <c r="B11" s="52">
        <f>'2024'!D7</f>
        <v>10794</v>
      </c>
      <c r="C11" s="52">
        <f>'2024'!E7</f>
        <v>7117</v>
      </c>
      <c r="D11" s="52">
        <f>'2024'!F7</f>
        <v>3606</v>
      </c>
      <c r="E11" s="52">
        <f>'2024'!G7</f>
        <v>71</v>
      </c>
      <c r="F11" s="52">
        <f>'2024'!H7</f>
        <v>3473</v>
      </c>
      <c r="G11" s="52">
        <f>'2024'!I7</f>
        <v>2748</v>
      </c>
      <c r="H11" s="52">
        <f>'2024'!J7</f>
        <v>235</v>
      </c>
      <c r="I11" s="52">
        <f>'2024'!K7</f>
        <v>59</v>
      </c>
      <c r="J11" s="52">
        <f>'2024'!L7</f>
        <v>0</v>
      </c>
      <c r="K11" s="52">
        <f>'2024'!M7</f>
        <v>145</v>
      </c>
      <c r="L11" s="52">
        <f>'2024'!N7</f>
        <v>191</v>
      </c>
      <c r="M11" s="52">
        <f>'2024'!O7</f>
        <v>0</v>
      </c>
      <c r="N11" s="52">
        <f>'2024'!P7</f>
        <v>308</v>
      </c>
      <c r="O11" s="52">
        <f>'2024'!Q7</f>
        <v>93</v>
      </c>
      <c r="P11" s="52">
        <f>'2024'!R7</f>
        <v>0</v>
      </c>
      <c r="Q11" s="52">
        <f>'2024'!S7</f>
        <v>307</v>
      </c>
      <c r="R11" s="52">
        <f>'2024'!T7</f>
        <v>66</v>
      </c>
      <c r="S11" s="52">
        <f>'2024'!U7</f>
        <v>1</v>
      </c>
      <c r="T11" s="52">
        <f>'2024'!V7</f>
        <v>110</v>
      </c>
      <c r="U11" s="52">
        <f>'2024'!W7</f>
        <v>5</v>
      </c>
      <c r="V11" s="52">
        <f>'2024'!X7</f>
        <v>0</v>
      </c>
      <c r="W11" s="52">
        <f>'2024'!Y7</f>
        <v>256</v>
      </c>
      <c r="X11" s="52">
        <f>'2024'!Z7</f>
        <v>52</v>
      </c>
      <c r="Y11" s="52">
        <f>'2024'!AA7</f>
        <v>0</v>
      </c>
      <c r="Z11" s="52">
        <f>'2024'!AB7</f>
        <v>1</v>
      </c>
      <c r="AA11" s="52">
        <f>'2024'!AC7</f>
        <v>13</v>
      </c>
      <c r="AB11" s="52">
        <f>'2024'!AD7</f>
        <v>0</v>
      </c>
      <c r="AC11" s="52">
        <f>'2024'!AE7</f>
        <v>1696</v>
      </c>
      <c r="AD11" s="52">
        <f>'2024'!AF7</f>
        <v>248</v>
      </c>
      <c r="AE11" s="52">
        <f>'2024'!AG7</f>
        <v>5</v>
      </c>
      <c r="AF11" s="52">
        <f>'2024'!AH7</f>
        <v>586</v>
      </c>
      <c r="AG11" s="52">
        <f>'2024'!AI7</f>
        <v>131</v>
      </c>
      <c r="AH11" s="52">
        <f>'2024'!AJ7</f>
        <v>65</v>
      </c>
    </row>
    <row r="12" spans="1:70" s="37" customFormat="1" ht="15.75" hidden="1" customHeight="1" x14ac:dyDescent="0.25">
      <c r="A12" s="62" t="s">
        <v>168</v>
      </c>
      <c r="B12" s="52">
        <v>5731</v>
      </c>
      <c r="C12" s="52">
        <v>3896</v>
      </c>
      <c r="D12" s="52">
        <v>1804</v>
      </c>
      <c r="E12" s="52">
        <v>31</v>
      </c>
      <c r="F12" s="52">
        <v>1868</v>
      </c>
      <c r="G12" s="52">
        <v>1365</v>
      </c>
      <c r="H12" s="52">
        <v>125</v>
      </c>
      <c r="I12" s="52">
        <v>32</v>
      </c>
      <c r="J12" s="52">
        <v>0</v>
      </c>
      <c r="K12" s="52">
        <v>81</v>
      </c>
      <c r="L12" s="52">
        <v>99</v>
      </c>
      <c r="M12" s="52">
        <v>0</v>
      </c>
      <c r="N12" s="52">
        <v>173</v>
      </c>
      <c r="O12" s="52">
        <v>49</v>
      </c>
      <c r="P12" s="52">
        <v>0</v>
      </c>
      <c r="Q12" s="52">
        <v>177</v>
      </c>
      <c r="R12" s="52">
        <v>36</v>
      </c>
      <c r="S12" s="52">
        <v>0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>
        <v>48</v>
      </c>
      <c r="BE12" s="52">
        <v>4</v>
      </c>
      <c r="BF12" s="52">
        <v>0</v>
      </c>
      <c r="BG12" s="52">
        <v>142</v>
      </c>
      <c r="BH12" s="52">
        <v>32</v>
      </c>
      <c r="BI12" s="52">
        <v>0</v>
      </c>
      <c r="BJ12" s="52">
        <v>0</v>
      </c>
      <c r="BK12" s="52">
        <v>9</v>
      </c>
      <c r="BL12" s="52">
        <v>0</v>
      </c>
      <c r="BM12" s="52">
        <v>969</v>
      </c>
      <c r="BN12" s="52">
        <v>137</v>
      </c>
      <c r="BO12" s="52">
        <v>3</v>
      </c>
      <c r="BP12" s="52">
        <v>313</v>
      </c>
      <c r="BQ12" s="52">
        <v>41</v>
      </c>
      <c r="BR12" s="52">
        <v>28</v>
      </c>
    </row>
    <row r="13" spans="1:70" s="37" customFormat="1" ht="15.75" hidden="1" customHeight="1" x14ac:dyDescent="0.25">
      <c r="A13" s="74" t="s">
        <v>169</v>
      </c>
      <c r="B13" s="52">
        <v>5063</v>
      </c>
      <c r="C13" s="52">
        <v>3221</v>
      </c>
      <c r="D13" s="52">
        <v>1802</v>
      </c>
      <c r="E13" s="52">
        <v>40</v>
      </c>
      <c r="F13" s="52">
        <v>1605</v>
      </c>
      <c r="G13" s="52">
        <v>1383</v>
      </c>
      <c r="H13" s="52">
        <v>110</v>
      </c>
      <c r="I13" s="52">
        <v>27</v>
      </c>
      <c r="J13" s="52">
        <v>0</v>
      </c>
      <c r="K13" s="52">
        <v>64</v>
      </c>
      <c r="L13" s="52">
        <v>92</v>
      </c>
      <c r="M13" s="52">
        <v>0</v>
      </c>
      <c r="N13" s="52">
        <v>135</v>
      </c>
      <c r="O13" s="52">
        <v>44</v>
      </c>
      <c r="P13" s="52">
        <v>0</v>
      </c>
      <c r="Q13" s="52">
        <v>130</v>
      </c>
      <c r="R13" s="52">
        <v>30</v>
      </c>
      <c r="S13" s="52">
        <v>1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>
        <v>62</v>
      </c>
      <c r="BE13" s="52">
        <v>1</v>
      </c>
      <c r="BF13" s="52">
        <v>0</v>
      </c>
      <c r="BG13" s="52">
        <v>114</v>
      </c>
      <c r="BH13" s="52">
        <v>20</v>
      </c>
      <c r="BI13" s="52">
        <v>0</v>
      </c>
      <c r="BJ13" s="52">
        <v>1</v>
      </c>
      <c r="BK13" s="52">
        <v>4</v>
      </c>
      <c r="BL13" s="52">
        <v>0</v>
      </c>
      <c r="BM13" s="52">
        <v>727</v>
      </c>
      <c r="BN13" s="52">
        <v>111</v>
      </c>
      <c r="BO13" s="52">
        <v>2</v>
      </c>
      <c r="BP13" s="52">
        <v>273</v>
      </c>
      <c r="BQ13" s="52">
        <v>90</v>
      </c>
      <c r="BR13" s="52">
        <v>37</v>
      </c>
    </row>
    <row r="14" spans="1:70" s="37" customFormat="1" ht="15.75" hidden="1" customHeight="1" x14ac:dyDescent="0.2">
      <c r="A14" s="78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</row>
    <row r="15" spans="1:70" s="36" customFormat="1" ht="35.450000000000003" customHeight="1" x14ac:dyDescent="0.2">
      <c r="A15" s="92" t="s">
        <v>77</v>
      </c>
      <c r="B15" s="83" t="s">
        <v>79</v>
      </c>
      <c r="C15" s="95"/>
      <c r="D15" s="95"/>
      <c r="E15" s="96"/>
      <c r="F15" s="83" t="s">
        <v>80</v>
      </c>
      <c r="G15" s="96"/>
      <c r="H15" s="87" t="s">
        <v>81</v>
      </c>
      <c r="I15" s="88"/>
      <c r="J15" s="97"/>
      <c r="K15" s="87" t="s">
        <v>82</v>
      </c>
      <c r="L15" s="88"/>
      <c r="M15" s="97"/>
      <c r="N15" s="87" t="s">
        <v>83</v>
      </c>
      <c r="O15" s="88"/>
      <c r="P15" s="97"/>
      <c r="Q15" s="87" t="s">
        <v>198</v>
      </c>
      <c r="R15" s="88"/>
      <c r="S15" s="97"/>
      <c r="T15" s="89" t="s">
        <v>201</v>
      </c>
      <c r="U15" s="90"/>
      <c r="V15" s="91"/>
      <c r="W15" s="89" t="s">
        <v>202</v>
      </c>
      <c r="X15" s="90"/>
      <c r="Y15" s="91"/>
      <c r="Z15" s="89" t="s">
        <v>203</v>
      </c>
      <c r="AA15" s="90"/>
      <c r="AB15" s="91"/>
      <c r="AC15" s="89" t="s">
        <v>204</v>
      </c>
      <c r="AD15" s="90"/>
      <c r="AE15" s="91"/>
      <c r="AF15" s="89" t="s">
        <v>205</v>
      </c>
      <c r="AG15" s="90"/>
      <c r="AH15" s="91"/>
      <c r="AI15" s="89" t="s">
        <v>206</v>
      </c>
      <c r="AJ15" s="90"/>
      <c r="AK15" s="91"/>
      <c r="AL15" s="89" t="s">
        <v>207</v>
      </c>
      <c r="AM15" s="90"/>
      <c r="AN15" s="91"/>
      <c r="AO15" s="89" t="s">
        <v>208</v>
      </c>
      <c r="AP15" s="90"/>
      <c r="AQ15" s="91"/>
      <c r="AR15" s="89" t="s">
        <v>209</v>
      </c>
      <c r="AS15" s="90"/>
      <c r="AT15" s="91"/>
      <c r="AU15" s="90" t="s">
        <v>210</v>
      </c>
      <c r="AV15" s="90"/>
      <c r="AW15" s="90"/>
      <c r="AX15" s="87" t="s">
        <v>85</v>
      </c>
      <c r="AY15" s="88"/>
      <c r="AZ15" s="88"/>
      <c r="BA15" s="87" t="s">
        <v>218</v>
      </c>
      <c r="BB15" s="88"/>
      <c r="BC15" s="88"/>
    </row>
    <row r="16" spans="1:70" s="36" customFormat="1" ht="15.75" customHeight="1" x14ac:dyDescent="0.2">
      <c r="A16" s="93"/>
      <c r="B16" s="85" t="s">
        <v>86</v>
      </c>
      <c r="C16" s="85" t="s">
        <v>87</v>
      </c>
      <c r="D16" s="85" t="s">
        <v>88</v>
      </c>
      <c r="E16" s="83" t="s">
        <v>155</v>
      </c>
      <c r="F16" s="85" t="s">
        <v>87</v>
      </c>
      <c r="G16" s="85" t="s">
        <v>88</v>
      </c>
      <c r="H16" s="85" t="s">
        <v>87</v>
      </c>
      <c r="I16" s="85" t="s">
        <v>88</v>
      </c>
      <c r="J16" s="83" t="s">
        <v>155</v>
      </c>
      <c r="K16" s="85" t="s">
        <v>87</v>
      </c>
      <c r="L16" s="85" t="s">
        <v>88</v>
      </c>
      <c r="M16" s="83" t="s">
        <v>155</v>
      </c>
      <c r="N16" s="85" t="s">
        <v>87</v>
      </c>
      <c r="O16" s="85" t="s">
        <v>88</v>
      </c>
      <c r="P16" s="83" t="s">
        <v>155</v>
      </c>
      <c r="Q16" s="85" t="s">
        <v>87</v>
      </c>
      <c r="R16" s="85" t="s">
        <v>88</v>
      </c>
      <c r="S16" s="83" t="s">
        <v>155</v>
      </c>
      <c r="T16" s="85" t="s">
        <v>87</v>
      </c>
      <c r="U16" s="85" t="s">
        <v>88</v>
      </c>
      <c r="V16" s="83" t="s">
        <v>155</v>
      </c>
      <c r="W16" s="85" t="s">
        <v>87</v>
      </c>
      <c r="X16" s="85" t="s">
        <v>88</v>
      </c>
      <c r="Y16" s="83" t="s">
        <v>155</v>
      </c>
      <c r="Z16" s="85" t="s">
        <v>87</v>
      </c>
      <c r="AA16" s="85" t="s">
        <v>88</v>
      </c>
      <c r="AB16" s="83" t="s">
        <v>155</v>
      </c>
      <c r="AC16" s="85" t="s">
        <v>87</v>
      </c>
      <c r="AD16" s="85" t="s">
        <v>88</v>
      </c>
      <c r="AE16" s="83" t="s">
        <v>155</v>
      </c>
      <c r="AF16" s="85" t="s">
        <v>87</v>
      </c>
      <c r="AG16" s="85" t="s">
        <v>88</v>
      </c>
      <c r="AH16" s="83" t="s">
        <v>155</v>
      </c>
      <c r="AI16" s="85" t="s">
        <v>87</v>
      </c>
      <c r="AJ16" s="85" t="s">
        <v>88</v>
      </c>
      <c r="AK16" s="83" t="s">
        <v>155</v>
      </c>
      <c r="AL16" s="85" t="s">
        <v>87</v>
      </c>
      <c r="AM16" s="85" t="s">
        <v>88</v>
      </c>
      <c r="AN16" s="83" t="s">
        <v>155</v>
      </c>
      <c r="AO16" s="85" t="s">
        <v>87</v>
      </c>
      <c r="AP16" s="85" t="s">
        <v>88</v>
      </c>
      <c r="AQ16" s="83" t="s">
        <v>155</v>
      </c>
      <c r="AR16" s="85" t="s">
        <v>87</v>
      </c>
      <c r="AS16" s="85" t="s">
        <v>88</v>
      </c>
      <c r="AT16" s="83" t="s">
        <v>155</v>
      </c>
      <c r="AU16" s="85" t="s">
        <v>87</v>
      </c>
      <c r="AV16" s="85" t="s">
        <v>88</v>
      </c>
      <c r="AW16" s="83" t="s">
        <v>155</v>
      </c>
      <c r="AX16" s="85" t="s">
        <v>87</v>
      </c>
      <c r="AY16" s="85" t="s">
        <v>88</v>
      </c>
      <c r="AZ16" s="83" t="s">
        <v>155</v>
      </c>
      <c r="BA16" s="85" t="s">
        <v>87</v>
      </c>
      <c r="BB16" s="85" t="s">
        <v>88</v>
      </c>
      <c r="BC16" s="83" t="s">
        <v>155</v>
      </c>
    </row>
    <row r="17" spans="1:61" s="37" customFormat="1" ht="15.75" customHeight="1" x14ac:dyDescent="0.2">
      <c r="A17" s="94"/>
      <c r="B17" s="86"/>
      <c r="C17" s="86"/>
      <c r="D17" s="86"/>
      <c r="E17" s="84"/>
      <c r="F17" s="86"/>
      <c r="G17" s="86"/>
      <c r="H17" s="86"/>
      <c r="I17" s="86"/>
      <c r="J17" s="84"/>
      <c r="K17" s="86"/>
      <c r="L17" s="86"/>
      <c r="M17" s="84"/>
      <c r="N17" s="86"/>
      <c r="O17" s="86"/>
      <c r="P17" s="84"/>
      <c r="Q17" s="86"/>
      <c r="R17" s="86"/>
      <c r="S17" s="84"/>
      <c r="T17" s="86"/>
      <c r="U17" s="86"/>
      <c r="V17" s="84"/>
      <c r="W17" s="86"/>
      <c r="X17" s="86"/>
      <c r="Y17" s="84"/>
      <c r="Z17" s="86"/>
      <c r="AA17" s="86"/>
      <c r="AB17" s="84"/>
      <c r="AC17" s="86"/>
      <c r="AD17" s="86"/>
      <c r="AE17" s="84"/>
      <c r="AF17" s="86"/>
      <c r="AG17" s="86"/>
      <c r="AH17" s="84"/>
      <c r="AI17" s="86"/>
      <c r="AJ17" s="86"/>
      <c r="AK17" s="84"/>
      <c r="AL17" s="86"/>
      <c r="AM17" s="86"/>
      <c r="AN17" s="84"/>
      <c r="AO17" s="86"/>
      <c r="AP17" s="86"/>
      <c r="AQ17" s="84"/>
      <c r="AR17" s="86"/>
      <c r="AS17" s="86"/>
      <c r="AT17" s="84"/>
      <c r="AU17" s="86"/>
      <c r="AV17" s="86"/>
      <c r="AW17" s="84"/>
      <c r="AX17" s="86"/>
      <c r="AY17" s="86"/>
      <c r="AZ17" s="84"/>
      <c r="BA17" s="86"/>
      <c r="BB17" s="86"/>
      <c r="BC17" s="84"/>
    </row>
    <row r="18" spans="1:61" s="80" customFormat="1" ht="15.75" customHeight="1" x14ac:dyDescent="0.2">
      <c r="A18" s="137" t="s">
        <v>222</v>
      </c>
      <c r="B18" s="79">
        <f>'2025'!D7</f>
        <v>9781</v>
      </c>
      <c r="C18" s="79">
        <f>'2025'!E7</f>
        <v>6341</v>
      </c>
      <c r="D18" s="79">
        <f>'2025'!F7</f>
        <v>3308</v>
      </c>
      <c r="E18" s="79">
        <f>'2025'!G7</f>
        <v>132</v>
      </c>
      <c r="F18" s="79">
        <f>'2025'!H7</f>
        <v>3070</v>
      </c>
      <c r="G18" s="79">
        <f>'2025'!I7</f>
        <v>2367</v>
      </c>
      <c r="H18" s="79">
        <f>'2025'!J7</f>
        <v>202</v>
      </c>
      <c r="I18" s="79">
        <f>'2025'!K7</f>
        <v>43</v>
      </c>
      <c r="J18" s="79">
        <f>'2025'!L7</f>
        <v>0</v>
      </c>
      <c r="K18" s="79">
        <f>'2025'!M7</f>
        <v>140</v>
      </c>
      <c r="L18" s="79">
        <f>'2025'!N7</f>
        <v>179</v>
      </c>
      <c r="M18" s="79">
        <f>'2025'!O7</f>
        <v>0</v>
      </c>
      <c r="N18" s="79">
        <f>'2025'!P7</f>
        <v>266</v>
      </c>
      <c r="O18" s="79">
        <f>'2025'!Q7</f>
        <v>71</v>
      </c>
      <c r="P18" s="79">
        <f>'2025'!R7</f>
        <v>0</v>
      </c>
      <c r="Q18" s="79">
        <f>'2025'!S7</f>
        <v>261</v>
      </c>
      <c r="R18" s="79">
        <f>'2025'!T7</f>
        <v>79</v>
      </c>
      <c r="S18" s="79">
        <f>'2025'!U7</f>
        <v>1</v>
      </c>
      <c r="T18" s="79">
        <f>'2025'!V7</f>
        <v>102</v>
      </c>
      <c r="U18" s="79">
        <f>'2025'!W7</f>
        <v>6</v>
      </c>
      <c r="V18" s="79">
        <f>'2025'!X7</f>
        <v>0</v>
      </c>
      <c r="W18" s="79">
        <f>'2025'!Y7</f>
        <v>1</v>
      </c>
      <c r="X18" s="79">
        <f>'2025'!Z7</f>
        <v>5</v>
      </c>
      <c r="Y18" s="79">
        <f>'2025'!AA7</f>
        <v>0</v>
      </c>
      <c r="Z18" s="79">
        <f>'2025'!AB7</f>
        <v>5</v>
      </c>
      <c r="AA18" s="79">
        <f>'2025'!AC7</f>
        <v>9</v>
      </c>
      <c r="AB18" s="79">
        <f>'2025'!AD7</f>
        <v>0</v>
      </c>
      <c r="AC18" s="79">
        <f>'2025'!AE7</f>
        <v>17</v>
      </c>
      <c r="AD18" s="79">
        <f>'2025'!AF7</f>
        <v>1</v>
      </c>
      <c r="AE18" s="79">
        <f>'2025'!AG7</f>
        <v>0</v>
      </c>
      <c r="AF18" s="79">
        <f>'2025'!AH7</f>
        <v>52</v>
      </c>
      <c r="AG18" s="79">
        <f>'2025'!AI7</f>
        <v>9</v>
      </c>
      <c r="AH18" s="79">
        <f>'2025'!AJ7</f>
        <v>0</v>
      </c>
      <c r="AI18" s="79">
        <f>'2025'!AK7</f>
        <v>27</v>
      </c>
      <c r="AJ18" s="79">
        <f>'2025'!AL7</f>
        <v>5</v>
      </c>
      <c r="AK18" s="79">
        <f>'2025'!AM7</f>
        <v>0</v>
      </c>
      <c r="AL18" s="79">
        <f>'2025'!AN7</f>
        <v>3</v>
      </c>
      <c r="AM18" s="79">
        <f>'2025'!AO7</f>
        <v>0</v>
      </c>
      <c r="AN18" s="79">
        <f>'2025'!AP7</f>
        <v>0</v>
      </c>
      <c r="AO18" s="79">
        <f>'2025'!AQ7</f>
        <v>454</v>
      </c>
      <c r="AP18" s="79">
        <f>'2025'!AR7</f>
        <v>40</v>
      </c>
      <c r="AQ18" s="79">
        <f>'2025'!AS7</f>
        <v>0</v>
      </c>
      <c r="AR18" s="79">
        <f>'2025'!AT7</f>
        <v>28</v>
      </c>
      <c r="AS18" s="79">
        <f>'2025'!AU7</f>
        <v>0</v>
      </c>
      <c r="AT18" s="79">
        <f>'2025'!AV7</f>
        <v>0</v>
      </c>
      <c r="AU18" s="79">
        <f>'2025'!AW7</f>
        <v>101</v>
      </c>
      <c r="AV18" s="79">
        <f>'2025'!AX7</f>
        <v>5</v>
      </c>
      <c r="AW18" s="79">
        <f>'2025'!AY7</f>
        <v>0</v>
      </c>
      <c r="AX18" s="79">
        <f>'2025'!AZ7</f>
        <v>922</v>
      </c>
      <c r="AY18" s="79">
        <f>'2025'!BA7</f>
        <v>130</v>
      </c>
      <c r="AZ18" s="79">
        <f>'2025'!BB7</f>
        <v>0</v>
      </c>
      <c r="BA18" s="79">
        <f>'2025'!BC7</f>
        <v>690</v>
      </c>
      <c r="BB18" s="79">
        <f>'2025'!BD7</f>
        <v>359</v>
      </c>
      <c r="BC18" s="79">
        <f>'2025'!BE7</f>
        <v>131</v>
      </c>
    </row>
    <row r="19" spans="1:61" s="21" customFormat="1" ht="15" customHeight="1" x14ac:dyDescent="0.25">
      <c r="A19" s="62" t="s">
        <v>168</v>
      </c>
      <c r="B19" s="52">
        <f>'Jan.-June, 2025'!D7</f>
        <v>5307</v>
      </c>
      <c r="C19" s="52">
        <f>'Jan.-June, 2025'!E7</f>
        <v>3489</v>
      </c>
      <c r="D19" s="52">
        <f>'Jan.-June, 2025'!F7</f>
        <v>1730</v>
      </c>
      <c r="E19" s="52">
        <f>'Jan.-June, 2025'!G7</f>
        <v>88</v>
      </c>
      <c r="F19" s="52">
        <f>'Jan.-June, 2025'!H7</f>
        <v>1755</v>
      </c>
      <c r="G19" s="52">
        <f>'Jan.-June, 2025'!I7</f>
        <v>1288</v>
      </c>
      <c r="H19" s="52">
        <f>'Jan.-June, 2025'!J7</f>
        <v>125</v>
      </c>
      <c r="I19" s="52">
        <f>'Jan.-June, 2025'!K7</f>
        <v>28</v>
      </c>
      <c r="J19" s="52">
        <f>'Jan.-June, 2025'!L7</f>
        <v>0</v>
      </c>
      <c r="K19" s="52">
        <f>'Jan.-June, 2025'!M7</f>
        <v>74</v>
      </c>
      <c r="L19" s="52">
        <f>'Jan.-June, 2025'!N7</f>
        <v>81</v>
      </c>
      <c r="M19" s="52">
        <f>'Jan.-June, 2025'!O7</f>
        <v>0</v>
      </c>
      <c r="N19" s="52">
        <f>'Jan.-June, 2025'!P7</f>
        <v>153</v>
      </c>
      <c r="O19" s="52">
        <f>'Jan.-June, 2025'!Q7</f>
        <v>39</v>
      </c>
      <c r="P19" s="52">
        <f>'Jan.-June, 2025'!R7</f>
        <v>0</v>
      </c>
      <c r="Q19" s="52">
        <f>'Jan.-June, 2025'!S7</f>
        <v>136</v>
      </c>
      <c r="R19" s="52">
        <f>'Jan.-June, 2025'!T7</f>
        <v>42</v>
      </c>
      <c r="S19" s="52">
        <f>'Jan.-June, 2025'!U7</f>
        <v>0</v>
      </c>
      <c r="T19" s="52">
        <f>'Jan.-June, 2025'!V7</f>
        <v>91</v>
      </c>
      <c r="U19" s="52">
        <f>'Jan.-June, 2025'!W7</f>
        <v>6</v>
      </c>
      <c r="V19" s="52">
        <f>'Jan.-June, 2025'!X7</f>
        <v>0</v>
      </c>
      <c r="W19" s="52">
        <f>'Jan.-June, 2025'!Y7</f>
        <v>0</v>
      </c>
      <c r="X19" s="52">
        <f>'Jan.-June, 2025'!Z7</f>
        <v>2</v>
      </c>
      <c r="Y19" s="52">
        <f>'Jan.-June, 2025'!AA7</f>
        <v>0</v>
      </c>
      <c r="Z19" s="52">
        <f>'Jan.-June, 2025'!AB7</f>
        <v>2</v>
      </c>
      <c r="AA19" s="52">
        <f>'Jan.-June, 2025'!AC7</f>
        <v>5</v>
      </c>
      <c r="AB19" s="52">
        <f>'Jan.-June, 2025'!AD7</f>
        <v>0</v>
      </c>
      <c r="AC19" s="52">
        <f>'Jan.-June, 2025'!AE7</f>
        <v>8</v>
      </c>
      <c r="AD19" s="52">
        <f>'Jan.-June, 2025'!AF7</f>
        <v>1</v>
      </c>
      <c r="AE19" s="52">
        <f>'Jan.-June, 2025'!AG7</f>
        <v>0</v>
      </c>
      <c r="AF19" s="52">
        <f>'Jan.-June, 2025'!AH7</f>
        <v>34</v>
      </c>
      <c r="AG19" s="52">
        <f>'Jan.-June, 2025'!AI7</f>
        <v>8</v>
      </c>
      <c r="AH19" s="52">
        <f>'Jan.-June, 2025'!AJ7</f>
        <v>0</v>
      </c>
      <c r="AI19" s="52">
        <f>'Jan.-June, 2025'!AK7</f>
        <v>16</v>
      </c>
      <c r="AJ19" s="52">
        <f>'Jan.-June, 2025'!AL7</f>
        <v>2</v>
      </c>
      <c r="AK19" s="52">
        <f>'Jan.-June, 2025'!AM7</f>
        <v>0</v>
      </c>
      <c r="AL19" s="52">
        <f>'Jan.-June, 2025'!AN7</f>
        <v>2</v>
      </c>
      <c r="AM19" s="52">
        <f>'Jan.-June, 2025'!AO7</f>
        <v>0</v>
      </c>
      <c r="AN19" s="52">
        <f>'Jan.-June, 2025'!AP7</f>
        <v>0</v>
      </c>
      <c r="AO19" s="52">
        <f>'Jan.-June, 2025'!AQ7</f>
        <v>134</v>
      </c>
      <c r="AP19" s="52">
        <f>'Jan.-June, 2025'!AR7</f>
        <v>6</v>
      </c>
      <c r="AQ19" s="52">
        <f>'Jan.-June, 2025'!AS7</f>
        <v>0</v>
      </c>
      <c r="AR19" s="52">
        <f>'Jan.-June, 2025'!AT7</f>
        <v>25</v>
      </c>
      <c r="AS19" s="52">
        <f>'Jan.-June, 2025'!AU7</f>
        <v>0</v>
      </c>
      <c r="AT19" s="52">
        <f>'Jan.-June, 2025'!AV7</f>
        <v>0</v>
      </c>
      <c r="AU19" s="52">
        <f>'Jan.-June, 2025'!AW7</f>
        <v>54</v>
      </c>
      <c r="AV19" s="52">
        <f>'Jan.-June, 2025'!AX7</f>
        <v>3</v>
      </c>
      <c r="AW19" s="52">
        <f>'Jan.-June, 2025'!AY7</f>
        <v>0</v>
      </c>
      <c r="AX19" s="52">
        <f>'Jan.-June, 2025'!AZ7</f>
        <v>614</v>
      </c>
      <c r="AY19" s="52">
        <f>'Jan.-June, 2025'!BA7</f>
        <v>72</v>
      </c>
      <c r="AZ19" s="52">
        <f>'Jan.-June, 2025'!BB7</f>
        <v>0</v>
      </c>
      <c r="BA19" s="52">
        <f>'Jan.-June, 2025'!BC7</f>
        <v>266</v>
      </c>
      <c r="BB19" s="52">
        <f>'Jan.-June, 2025'!BD7</f>
        <v>147</v>
      </c>
      <c r="BC19" s="52">
        <f>'Jan.-June, 2025'!BE7</f>
        <v>88</v>
      </c>
    </row>
    <row r="20" spans="1:61" s="21" customFormat="1" ht="15" customHeight="1" x14ac:dyDescent="0.25">
      <c r="A20" s="74" t="s">
        <v>169</v>
      </c>
      <c r="B20" s="52">
        <f>'July-Dec., 2025'!D7</f>
        <v>4474</v>
      </c>
      <c r="C20" s="52">
        <f>'July-Dec., 2025'!E7</f>
        <v>2852</v>
      </c>
      <c r="D20" s="52">
        <f>'July-Dec., 2025'!F7</f>
        <v>1578</v>
      </c>
      <c r="E20" s="52">
        <f>'July-Dec., 2025'!G7</f>
        <v>44</v>
      </c>
      <c r="F20" s="52">
        <f>'July-Dec., 2025'!H7</f>
        <v>1315</v>
      </c>
      <c r="G20" s="52">
        <f>'July-Dec., 2025'!I7</f>
        <v>1079</v>
      </c>
      <c r="H20" s="52">
        <f>'July-Dec., 2025'!J7</f>
        <v>77</v>
      </c>
      <c r="I20" s="52">
        <f>'July-Dec., 2025'!K7</f>
        <v>15</v>
      </c>
      <c r="J20" s="52">
        <f>'July-Dec., 2025'!L7</f>
        <v>0</v>
      </c>
      <c r="K20" s="52">
        <f>'July-Dec., 2025'!M7</f>
        <v>66</v>
      </c>
      <c r="L20" s="52">
        <f>'July-Dec., 2025'!N7</f>
        <v>98</v>
      </c>
      <c r="M20" s="52">
        <f>'July-Dec., 2025'!O7</f>
        <v>0</v>
      </c>
      <c r="N20" s="52">
        <f>'July-Dec., 2025'!P7</f>
        <v>113</v>
      </c>
      <c r="O20" s="52">
        <f>'July-Dec., 2025'!Q7</f>
        <v>32</v>
      </c>
      <c r="P20" s="52">
        <f>'July-Dec., 2025'!R7</f>
        <v>0</v>
      </c>
      <c r="Q20" s="52">
        <f>'July-Dec., 2025'!S7</f>
        <v>125</v>
      </c>
      <c r="R20" s="52">
        <f>'July-Dec., 2025'!T7</f>
        <v>37</v>
      </c>
      <c r="S20" s="52">
        <f>'July-Dec., 2025'!U7</f>
        <v>1</v>
      </c>
      <c r="T20" s="52">
        <f>'July-Dec., 2025'!V7</f>
        <v>11</v>
      </c>
      <c r="U20" s="52">
        <f>'July-Dec., 2025'!W7</f>
        <v>0</v>
      </c>
      <c r="V20" s="52">
        <f>'July-Dec., 2025'!X7</f>
        <v>0</v>
      </c>
      <c r="W20" s="52">
        <f>'July-Dec., 2025'!Y7</f>
        <v>1</v>
      </c>
      <c r="X20" s="52">
        <f>'July-Dec., 2025'!Z7</f>
        <v>3</v>
      </c>
      <c r="Y20" s="52">
        <f>'July-Dec., 2025'!AA7</f>
        <v>0</v>
      </c>
      <c r="Z20" s="52">
        <f>'July-Dec., 2025'!AB7</f>
        <v>3</v>
      </c>
      <c r="AA20" s="52">
        <f>'July-Dec., 2025'!AC7</f>
        <v>4</v>
      </c>
      <c r="AB20" s="52">
        <f>'July-Dec., 2025'!AD7</f>
        <v>0</v>
      </c>
      <c r="AC20" s="52">
        <f>'July-Dec., 2025'!AE7</f>
        <v>9</v>
      </c>
      <c r="AD20" s="52">
        <f>'July-Dec., 2025'!AF7</f>
        <v>0</v>
      </c>
      <c r="AE20" s="52">
        <f>'July-Dec., 2025'!AG7</f>
        <v>0</v>
      </c>
      <c r="AF20" s="52">
        <f>'July-Dec., 2025'!AH7</f>
        <v>18</v>
      </c>
      <c r="AG20" s="52">
        <f>'July-Dec., 2025'!AI7</f>
        <v>1</v>
      </c>
      <c r="AH20" s="52">
        <f>'July-Dec., 2025'!AJ7</f>
        <v>0</v>
      </c>
      <c r="AI20" s="52">
        <f>'July-Dec., 2025'!AK7</f>
        <v>11</v>
      </c>
      <c r="AJ20" s="52">
        <f>'July-Dec., 2025'!AL7</f>
        <v>3</v>
      </c>
      <c r="AK20" s="52">
        <f>'July-Dec., 2025'!AM7</f>
        <v>0</v>
      </c>
      <c r="AL20" s="52">
        <f>'July-Dec., 2025'!AN7</f>
        <v>1</v>
      </c>
      <c r="AM20" s="52">
        <f>'July-Dec., 2025'!AO7</f>
        <v>0</v>
      </c>
      <c r="AN20" s="52">
        <f>'July-Dec., 2025'!AP7</f>
        <v>0</v>
      </c>
      <c r="AO20" s="52">
        <f>'July-Dec., 2025'!AQ7</f>
        <v>320</v>
      </c>
      <c r="AP20" s="52">
        <f>'July-Dec., 2025'!AR7</f>
        <v>34</v>
      </c>
      <c r="AQ20" s="52">
        <f>'July-Dec., 2025'!AS7</f>
        <v>0</v>
      </c>
      <c r="AR20" s="52">
        <f>'July-Dec., 2025'!AT7</f>
        <v>3</v>
      </c>
      <c r="AS20" s="52">
        <f>'July-Dec., 2025'!AU7</f>
        <v>0</v>
      </c>
      <c r="AT20" s="52">
        <f>'July-Dec., 2025'!AV7</f>
        <v>0</v>
      </c>
      <c r="AU20" s="52">
        <f>'July-Dec., 2025'!AW7</f>
        <v>47</v>
      </c>
      <c r="AV20" s="52">
        <f>'July-Dec., 2025'!AX7</f>
        <v>2</v>
      </c>
      <c r="AW20" s="52">
        <f>'July-Dec., 2025'!AY7</f>
        <v>0</v>
      </c>
      <c r="AX20" s="52">
        <f>'July-Dec., 2025'!AZ7</f>
        <v>308</v>
      </c>
      <c r="AY20" s="52">
        <f>'July-Dec., 2025'!BA7</f>
        <v>58</v>
      </c>
      <c r="AZ20" s="52">
        <f>'July-Dec., 2025'!BB7</f>
        <v>0</v>
      </c>
      <c r="BA20" s="52">
        <f>'July-Dec., 2025'!BC7</f>
        <v>424</v>
      </c>
      <c r="BB20" s="52">
        <f>'July-Dec., 2025'!BD7</f>
        <v>212</v>
      </c>
      <c r="BC20" s="52">
        <f>'July-Dec., 2025'!BE7</f>
        <v>43</v>
      </c>
    </row>
    <row r="21" spans="1:61" ht="15.75" customHeight="1" x14ac:dyDescent="0.2">
      <c r="A21" s="55" t="s">
        <v>114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</row>
    <row r="22" spans="1:61" ht="15.75" customHeight="1" x14ac:dyDescent="0.2">
      <c r="A22" s="51" t="s">
        <v>115</v>
      </c>
    </row>
    <row r="23" spans="1:61" ht="15.75" customHeight="1" x14ac:dyDescent="0.2">
      <c r="A23" s="64" t="s">
        <v>221</v>
      </c>
    </row>
    <row r="24" spans="1:61" s="73" customFormat="1" ht="14.65" customHeight="1" x14ac:dyDescent="0.2">
      <c r="B24" s="82" t="str">
        <f>IF(B18=SUM(B19:B20),"","*")</f>
        <v/>
      </c>
      <c r="C24" s="82" t="str">
        <f t="shared" ref="C24:BC24" si="0">IF(C18=SUM(C19:C20),"","*")</f>
        <v/>
      </c>
      <c r="D24" s="82" t="str">
        <f t="shared" si="0"/>
        <v/>
      </c>
      <c r="E24" s="82" t="str">
        <f t="shared" si="0"/>
        <v/>
      </c>
      <c r="F24" s="82" t="str">
        <f t="shared" si="0"/>
        <v/>
      </c>
      <c r="G24" s="82" t="str">
        <f t="shared" si="0"/>
        <v/>
      </c>
      <c r="H24" s="82" t="str">
        <f t="shared" si="0"/>
        <v/>
      </c>
      <c r="I24" s="82" t="str">
        <f t="shared" si="0"/>
        <v/>
      </c>
      <c r="J24" s="82" t="str">
        <f t="shared" si="0"/>
        <v/>
      </c>
      <c r="K24" s="82" t="str">
        <f t="shared" si="0"/>
        <v/>
      </c>
      <c r="L24" s="82" t="str">
        <f t="shared" si="0"/>
        <v/>
      </c>
      <c r="M24" s="82" t="str">
        <f t="shared" si="0"/>
        <v/>
      </c>
      <c r="N24" s="82" t="str">
        <f t="shared" si="0"/>
        <v/>
      </c>
      <c r="O24" s="82" t="str">
        <f t="shared" si="0"/>
        <v/>
      </c>
      <c r="P24" s="82" t="str">
        <f t="shared" si="0"/>
        <v/>
      </c>
      <c r="Q24" s="82" t="str">
        <f t="shared" si="0"/>
        <v/>
      </c>
      <c r="R24" s="82" t="str">
        <f t="shared" si="0"/>
        <v/>
      </c>
      <c r="S24" s="82" t="str">
        <f t="shared" si="0"/>
        <v/>
      </c>
      <c r="T24" s="82" t="str">
        <f t="shared" si="0"/>
        <v/>
      </c>
      <c r="U24" s="82" t="str">
        <f t="shared" si="0"/>
        <v/>
      </c>
      <c r="V24" s="82" t="str">
        <f t="shared" si="0"/>
        <v/>
      </c>
      <c r="W24" s="82" t="str">
        <f t="shared" si="0"/>
        <v/>
      </c>
      <c r="X24" s="82" t="str">
        <f t="shared" si="0"/>
        <v/>
      </c>
      <c r="Y24" s="82" t="str">
        <f t="shared" si="0"/>
        <v/>
      </c>
      <c r="Z24" s="82" t="str">
        <f t="shared" si="0"/>
        <v/>
      </c>
      <c r="AA24" s="82" t="str">
        <f t="shared" si="0"/>
        <v/>
      </c>
      <c r="AB24" s="82" t="str">
        <f t="shared" si="0"/>
        <v/>
      </c>
      <c r="AC24" s="82" t="str">
        <f t="shared" si="0"/>
        <v/>
      </c>
      <c r="AD24" s="82" t="str">
        <f t="shared" si="0"/>
        <v/>
      </c>
      <c r="AE24" s="82" t="str">
        <f t="shared" si="0"/>
        <v/>
      </c>
      <c r="AF24" s="82" t="str">
        <f t="shared" si="0"/>
        <v/>
      </c>
      <c r="AG24" s="82" t="str">
        <f t="shared" si="0"/>
        <v/>
      </c>
      <c r="AH24" s="82" t="str">
        <f t="shared" si="0"/>
        <v/>
      </c>
      <c r="AI24" s="82" t="str">
        <f t="shared" si="0"/>
        <v/>
      </c>
      <c r="AJ24" s="82" t="str">
        <f t="shared" si="0"/>
        <v/>
      </c>
      <c r="AK24" s="82" t="str">
        <f t="shared" si="0"/>
        <v/>
      </c>
      <c r="AL24" s="82" t="str">
        <f t="shared" si="0"/>
        <v/>
      </c>
      <c r="AM24" s="82" t="str">
        <f t="shared" si="0"/>
        <v/>
      </c>
      <c r="AN24" s="82" t="str">
        <f t="shared" si="0"/>
        <v/>
      </c>
      <c r="AO24" s="82" t="str">
        <f t="shared" si="0"/>
        <v/>
      </c>
      <c r="AP24" s="82" t="str">
        <f t="shared" si="0"/>
        <v/>
      </c>
      <c r="AQ24" s="82" t="str">
        <f t="shared" si="0"/>
        <v/>
      </c>
      <c r="AR24" s="82" t="str">
        <f t="shared" si="0"/>
        <v/>
      </c>
      <c r="AS24" s="82" t="str">
        <f t="shared" si="0"/>
        <v/>
      </c>
      <c r="AT24" s="82" t="str">
        <f t="shared" si="0"/>
        <v/>
      </c>
      <c r="AU24" s="82" t="str">
        <f t="shared" si="0"/>
        <v/>
      </c>
      <c r="AV24" s="82" t="str">
        <f t="shared" si="0"/>
        <v/>
      </c>
      <c r="AW24" s="82" t="str">
        <f t="shared" si="0"/>
        <v/>
      </c>
      <c r="AX24" s="82" t="str">
        <f t="shared" si="0"/>
        <v/>
      </c>
      <c r="AY24" s="82" t="str">
        <f t="shared" si="0"/>
        <v/>
      </c>
      <c r="AZ24" s="82" t="str">
        <f t="shared" si="0"/>
        <v/>
      </c>
      <c r="BA24" s="82" t="str">
        <f t="shared" si="0"/>
        <v/>
      </c>
      <c r="BB24" s="82" t="str">
        <f t="shared" si="0"/>
        <v/>
      </c>
      <c r="BC24" s="82" t="str">
        <f t="shared" si="0"/>
        <v/>
      </c>
      <c r="BD24" s="75"/>
      <c r="BE24" s="75"/>
      <c r="BF24" s="75"/>
      <c r="BG24" s="75"/>
      <c r="BH24" s="75"/>
      <c r="BI24" s="75"/>
    </row>
  </sheetData>
  <mergeCells count="118">
    <mergeCell ref="Z4:Z5"/>
    <mergeCell ref="AA4:AA5"/>
    <mergeCell ref="A3:A5"/>
    <mergeCell ref="C4:C5"/>
    <mergeCell ref="D4:D5"/>
    <mergeCell ref="F4:F5"/>
    <mergeCell ref="G4:G5"/>
    <mergeCell ref="B3:E3"/>
    <mergeCell ref="E4:E5"/>
    <mergeCell ref="B4:B5"/>
    <mergeCell ref="I4:I5"/>
    <mergeCell ref="AF3:AH3"/>
    <mergeCell ref="AC3:AE3"/>
    <mergeCell ref="F3:G3"/>
    <mergeCell ref="T3:V3"/>
    <mergeCell ref="W3:Y3"/>
    <mergeCell ref="Z3:AB3"/>
    <mergeCell ref="K3:M3"/>
    <mergeCell ref="N3:P3"/>
    <mergeCell ref="Q3:S3"/>
    <mergeCell ref="H3:J3"/>
    <mergeCell ref="AF4:AF5"/>
    <mergeCell ref="AH4:AH5"/>
    <mergeCell ref="S4:S5"/>
    <mergeCell ref="AG4:AG5"/>
    <mergeCell ref="AB4:AB5"/>
    <mergeCell ref="K4:K5"/>
    <mergeCell ref="L4:L5"/>
    <mergeCell ref="H4:H5"/>
    <mergeCell ref="J4:J5"/>
    <mergeCell ref="N4:N5"/>
    <mergeCell ref="O4:O5"/>
    <mergeCell ref="W4:W5"/>
    <mergeCell ref="AE4:AE5"/>
    <mergeCell ref="X4:X5"/>
    <mergeCell ref="Y4:Y5"/>
    <mergeCell ref="M4:M5"/>
    <mergeCell ref="AC4:AC5"/>
    <mergeCell ref="Q4:Q5"/>
    <mergeCell ref="T4:T5"/>
    <mergeCell ref="U4:U5"/>
    <mergeCell ref="V4:V5"/>
    <mergeCell ref="P4:P5"/>
    <mergeCell ref="R4:R5"/>
    <mergeCell ref="AD4:AD5"/>
    <mergeCell ref="A15:A17"/>
    <mergeCell ref="B15:E15"/>
    <mergeCell ref="F15:G15"/>
    <mergeCell ref="H15:J15"/>
    <mergeCell ref="K15:M15"/>
    <mergeCell ref="N15:P15"/>
    <mergeCell ref="Q15:S15"/>
    <mergeCell ref="T15:V15"/>
    <mergeCell ref="W15:Y15"/>
    <mergeCell ref="K16:K17"/>
    <mergeCell ref="L16:L17"/>
    <mergeCell ref="M16:M17"/>
    <mergeCell ref="N16:N17"/>
    <mergeCell ref="O16:O17"/>
    <mergeCell ref="P16:P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A15:BC15"/>
    <mergeCell ref="AL15:AN15"/>
    <mergeCell ref="AO15:AQ15"/>
    <mergeCell ref="AR15:AT15"/>
    <mergeCell ref="AU15:AW15"/>
    <mergeCell ref="AX15:AZ15"/>
    <mergeCell ref="Z15:AB15"/>
    <mergeCell ref="AC15:AE15"/>
    <mergeCell ref="AF15:AH15"/>
    <mergeCell ref="AI15:AK15"/>
    <mergeCell ref="V16:V17"/>
    <mergeCell ref="W16:W17"/>
    <mergeCell ref="X16:X17"/>
    <mergeCell ref="Y16:Y17"/>
    <mergeCell ref="Z16:Z17"/>
    <mergeCell ref="Q16:Q17"/>
    <mergeCell ref="R16:R17"/>
    <mergeCell ref="S16:S17"/>
    <mergeCell ref="T16:T17"/>
    <mergeCell ref="U16:U17"/>
    <mergeCell ref="AF16:AF17"/>
    <mergeCell ref="AG16:AG17"/>
    <mergeCell ref="AH16:AH17"/>
    <mergeCell ref="AI16:AI17"/>
    <mergeCell ref="AJ16:AJ17"/>
    <mergeCell ref="AA16:AA17"/>
    <mergeCell ref="AB16:AB17"/>
    <mergeCell ref="AC16:AC17"/>
    <mergeCell ref="AD16:AD17"/>
    <mergeCell ref="AE16:AE17"/>
    <mergeCell ref="AP16:AP17"/>
    <mergeCell ref="AQ16:AQ17"/>
    <mergeCell ref="AR16:AR17"/>
    <mergeCell ref="AS16:AS17"/>
    <mergeCell ref="AT16:AT17"/>
    <mergeCell ref="AK16:AK17"/>
    <mergeCell ref="AL16:AL17"/>
    <mergeCell ref="AM16:AM17"/>
    <mergeCell ref="AN16:AN17"/>
    <mergeCell ref="AO16:AO17"/>
    <mergeCell ref="AZ16:AZ17"/>
    <mergeCell ref="BA16:BA17"/>
    <mergeCell ref="BB16:BB17"/>
    <mergeCell ref="BC16:BC17"/>
    <mergeCell ref="AU16:AU17"/>
    <mergeCell ref="AV16:AV17"/>
    <mergeCell ref="AW16:AW17"/>
    <mergeCell ref="AX16:AX17"/>
    <mergeCell ref="AY16:AY17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79"/>
  <sheetViews>
    <sheetView zoomScaleNormal="100" zoomScaleSheetLayoutView="100" workbookViewId="0">
      <pane xSplit="4" ySplit="7" topLeftCell="E8" activePane="bottomRight" state="frozen"/>
      <selection activeCell="A79" sqref="A79"/>
      <selection pane="topRight" activeCell="A79" sqref="A79"/>
      <selection pane="bottomLeft" activeCell="A79" sqref="A79"/>
      <selection pane="bottomRight" activeCell="E8" sqref="E8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57" width="11.5" style="5" customWidth="1"/>
    <col min="58" max="16384" width="5.5" style="5"/>
  </cols>
  <sheetData>
    <row r="1" spans="1:57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57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57" ht="12.75" customHeight="1" x14ac:dyDescent="0.2">
      <c r="A3" s="61" t="s">
        <v>219</v>
      </c>
      <c r="B3" s="60"/>
      <c r="C3" s="60"/>
      <c r="D3" s="5" t="s">
        <v>220</v>
      </c>
      <c r="E3" s="5" t="s">
        <v>220</v>
      </c>
      <c r="F3" s="5" t="s">
        <v>220</v>
      </c>
      <c r="G3" s="5" t="s">
        <v>220</v>
      </c>
      <c r="H3" s="5" t="s">
        <v>220</v>
      </c>
      <c r="I3" s="5" t="s">
        <v>220</v>
      </c>
      <c r="J3" s="5" t="s">
        <v>220</v>
      </c>
      <c r="K3" s="5" t="s">
        <v>220</v>
      </c>
      <c r="L3" s="5" t="s">
        <v>220</v>
      </c>
      <c r="M3" s="5" t="s">
        <v>220</v>
      </c>
      <c r="N3" s="5" t="s">
        <v>220</v>
      </c>
      <c r="O3" s="5" t="s">
        <v>220</v>
      </c>
      <c r="P3" s="5" t="s">
        <v>220</v>
      </c>
      <c r="Q3" s="5" t="s">
        <v>220</v>
      </c>
      <c r="R3" s="5" t="s">
        <v>220</v>
      </c>
      <c r="S3" s="5" t="s">
        <v>220</v>
      </c>
      <c r="T3" s="5" t="s">
        <v>220</v>
      </c>
      <c r="U3" s="5" t="s">
        <v>220</v>
      </c>
      <c r="V3" s="5" t="s">
        <v>220</v>
      </c>
      <c r="W3" s="5" t="s">
        <v>220</v>
      </c>
      <c r="X3" s="5" t="s">
        <v>220</v>
      </c>
      <c r="Y3" s="5" t="s">
        <v>220</v>
      </c>
      <c r="Z3" s="5" t="s">
        <v>220</v>
      </c>
      <c r="AA3" s="5" t="s">
        <v>220</v>
      </c>
      <c r="AB3" s="5" t="s">
        <v>220</v>
      </c>
      <c r="AC3" s="5" t="s">
        <v>220</v>
      </c>
      <c r="AD3" s="5" t="s">
        <v>220</v>
      </c>
      <c r="AE3" s="5" t="s">
        <v>220</v>
      </c>
      <c r="AF3" s="5" t="s">
        <v>220</v>
      </c>
      <c r="AG3" s="5" t="s">
        <v>220</v>
      </c>
      <c r="AH3" s="5" t="s">
        <v>220</v>
      </c>
      <c r="AI3" s="5" t="s">
        <v>220</v>
      </c>
      <c r="AJ3" s="5" t="s">
        <v>220</v>
      </c>
      <c r="AK3" s="5" t="s">
        <v>220</v>
      </c>
      <c r="AL3" s="5" t="s">
        <v>220</v>
      </c>
      <c r="AM3" s="5" t="s">
        <v>220</v>
      </c>
      <c r="AN3" s="5" t="s">
        <v>220</v>
      </c>
      <c r="AO3" s="5" t="s">
        <v>220</v>
      </c>
      <c r="AP3" s="5" t="s">
        <v>220</v>
      </c>
      <c r="AQ3" s="5" t="s">
        <v>220</v>
      </c>
      <c r="AR3" s="5" t="s">
        <v>220</v>
      </c>
      <c r="AS3" s="5" t="s">
        <v>220</v>
      </c>
      <c r="AT3" s="5" t="s">
        <v>220</v>
      </c>
      <c r="AU3" s="5" t="s">
        <v>220</v>
      </c>
      <c r="AV3" s="5" t="s">
        <v>220</v>
      </c>
      <c r="AW3" s="5" t="s">
        <v>220</v>
      </c>
      <c r="AX3" s="5" t="s">
        <v>220</v>
      </c>
      <c r="AY3" s="5" t="s">
        <v>220</v>
      </c>
      <c r="AZ3" s="5" t="s">
        <v>220</v>
      </c>
      <c r="BA3" s="5" t="s">
        <v>220</v>
      </c>
      <c r="BB3" s="5" t="s">
        <v>220</v>
      </c>
      <c r="BC3" s="5" t="s">
        <v>220</v>
      </c>
      <c r="BD3" s="5" t="s">
        <v>220</v>
      </c>
      <c r="BE3" s="5" t="s">
        <v>220</v>
      </c>
    </row>
    <row r="4" spans="1:57" s="36" customFormat="1" ht="56.25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198</v>
      </c>
      <c r="T4" s="88"/>
      <c r="U4" s="97"/>
      <c r="V4" s="89" t="s">
        <v>201</v>
      </c>
      <c r="W4" s="90"/>
      <c r="X4" s="91"/>
      <c r="Y4" s="89" t="s">
        <v>202</v>
      </c>
      <c r="Z4" s="90"/>
      <c r="AA4" s="91"/>
      <c r="AB4" s="89" t="s">
        <v>203</v>
      </c>
      <c r="AC4" s="90"/>
      <c r="AD4" s="91"/>
      <c r="AE4" s="89" t="s">
        <v>204</v>
      </c>
      <c r="AF4" s="90"/>
      <c r="AG4" s="91"/>
      <c r="AH4" s="89" t="s">
        <v>205</v>
      </c>
      <c r="AI4" s="90"/>
      <c r="AJ4" s="91"/>
      <c r="AK4" s="89" t="s">
        <v>206</v>
      </c>
      <c r="AL4" s="90"/>
      <c r="AM4" s="91"/>
      <c r="AN4" s="89" t="s">
        <v>207</v>
      </c>
      <c r="AO4" s="90"/>
      <c r="AP4" s="91"/>
      <c r="AQ4" s="89" t="s">
        <v>208</v>
      </c>
      <c r="AR4" s="90"/>
      <c r="AS4" s="91"/>
      <c r="AT4" s="89" t="s">
        <v>209</v>
      </c>
      <c r="AU4" s="90"/>
      <c r="AV4" s="91"/>
      <c r="AW4" s="90" t="s">
        <v>210</v>
      </c>
      <c r="AX4" s="90"/>
      <c r="AY4" s="90"/>
      <c r="AZ4" s="87" t="s">
        <v>85</v>
      </c>
      <c r="BA4" s="88"/>
      <c r="BB4" s="88"/>
      <c r="BC4" s="87" t="s">
        <v>218</v>
      </c>
      <c r="BD4" s="88"/>
      <c r="BE4" s="88"/>
    </row>
    <row r="5" spans="1:57" s="36" customFormat="1" ht="16.5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83" t="s">
        <v>155</v>
      </c>
      <c r="AK5" s="85" t="s">
        <v>87</v>
      </c>
      <c r="AL5" s="85" t="s">
        <v>88</v>
      </c>
      <c r="AM5" s="83" t="s">
        <v>155</v>
      </c>
      <c r="AN5" s="85" t="s">
        <v>87</v>
      </c>
      <c r="AO5" s="85" t="s">
        <v>88</v>
      </c>
      <c r="AP5" s="83" t="s">
        <v>155</v>
      </c>
      <c r="AQ5" s="85" t="s">
        <v>87</v>
      </c>
      <c r="AR5" s="85" t="s">
        <v>88</v>
      </c>
      <c r="AS5" s="83" t="s">
        <v>155</v>
      </c>
      <c r="AT5" s="85" t="s">
        <v>87</v>
      </c>
      <c r="AU5" s="85" t="s">
        <v>88</v>
      </c>
      <c r="AV5" s="83" t="s">
        <v>155</v>
      </c>
      <c r="AW5" s="85" t="s">
        <v>87</v>
      </c>
      <c r="AX5" s="85" t="s">
        <v>88</v>
      </c>
      <c r="AY5" s="83" t="s">
        <v>155</v>
      </c>
      <c r="AZ5" s="85" t="s">
        <v>87</v>
      </c>
      <c r="BA5" s="85" t="s">
        <v>88</v>
      </c>
      <c r="BB5" s="83" t="s">
        <v>155</v>
      </c>
      <c r="BC5" s="85" t="s">
        <v>87</v>
      </c>
      <c r="BD5" s="85" t="s">
        <v>88</v>
      </c>
      <c r="BE5" s="83" t="s">
        <v>155</v>
      </c>
    </row>
    <row r="6" spans="1:57" s="37" customFormat="1" ht="16.5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  <c r="AK6" s="86"/>
      <c r="AL6" s="86"/>
      <c r="AM6" s="84"/>
      <c r="AN6" s="86"/>
      <c r="AO6" s="86"/>
      <c r="AP6" s="84"/>
      <c r="AQ6" s="86"/>
      <c r="AR6" s="86"/>
      <c r="AS6" s="84"/>
      <c r="AT6" s="86"/>
      <c r="AU6" s="86"/>
      <c r="AV6" s="84"/>
      <c r="AW6" s="86"/>
      <c r="AX6" s="86"/>
      <c r="AY6" s="84"/>
      <c r="AZ6" s="86"/>
      <c r="BA6" s="86"/>
      <c r="BB6" s="84"/>
      <c r="BC6" s="86"/>
      <c r="BD6" s="86"/>
      <c r="BE6" s="84"/>
    </row>
    <row r="7" spans="1:57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9781</v>
      </c>
      <c r="E7" s="68">
        <v>6341</v>
      </c>
      <c r="F7" s="68">
        <v>3308</v>
      </c>
      <c r="G7" s="68">
        <v>132</v>
      </c>
      <c r="H7" s="68">
        <v>3070</v>
      </c>
      <c r="I7" s="68">
        <v>2367</v>
      </c>
      <c r="J7" s="68">
        <v>202</v>
      </c>
      <c r="K7" s="68">
        <v>43</v>
      </c>
      <c r="L7" s="68">
        <v>0</v>
      </c>
      <c r="M7" s="68">
        <v>140</v>
      </c>
      <c r="N7" s="68">
        <v>179</v>
      </c>
      <c r="O7" s="68">
        <v>0</v>
      </c>
      <c r="P7" s="68">
        <v>266</v>
      </c>
      <c r="Q7" s="68">
        <v>71</v>
      </c>
      <c r="R7" s="68">
        <v>0</v>
      </c>
      <c r="S7" s="68">
        <v>261</v>
      </c>
      <c r="T7" s="68">
        <v>79</v>
      </c>
      <c r="U7" s="68">
        <v>1</v>
      </c>
      <c r="V7" s="68">
        <v>102</v>
      </c>
      <c r="W7" s="68">
        <v>6</v>
      </c>
      <c r="X7" s="68">
        <v>0</v>
      </c>
      <c r="Y7" s="68">
        <v>1</v>
      </c>
      <c r="Z7" s="68">
        <v>5</v>
      </c>
      <c r="AA7" s="68">
        <v>0</v>
      </c>
      <c r="AB7" s="68">
        <v>5</v>
      </c>
      <c r="AC7" s="68">
        <v>9</v>
      </c>
      <c r="AD7" s="68">
        <v>0</v>
      </c>
      <c r="AE7" s="68">
        <v>17</v>
      </c>
      <c r="AF7" s="68">
        <v>1</v>
      </c>
      <c r="AG7" s="68">
        <v>0</v>
      </c>
      <c r="AH7" s="68">
        <v>52</v>
      </c>
      <c r="AI7" s="68">
        <v>9</v>
      </c>
      <c r="AJ7" s="68">
        <v>0</v>
      </c>
      <c r="AK7" s="68">
        <v>27</v>
      </c>
      <c r="AL7" s="68">
        <v>5</v>
      </c>
      <c r="AM7" s="68">
        <v>0</v>
      </c>
      <c r="AN7" s="68">
        <v>3</v>
      </c>
      <c r="AO7" s="68">
        <v>0</v>
      </c>
      <c r="AP7" s="68">
        <v>0</v>
      </c>
      <c r="AQ7" s="68">
        <v>454</v>
      </c>
      <c r="AR7" s="68">
        <v>40</v>
      </c>
      <c r="AS7" s="68">
        <v>0</v>
      </c>
      <c r="AT7" s="68">
        <v>28</v>
      </c>
      <c r="AU7" s="68">
        <v>0</v>
      </c>
      <c r="AV7" s="68">
        <v>0</v>
      </c>
      <c r="AW7" s="68">
        <v>101</v>
      </c>
      <c r="AX7" s="68">
        <v>5</v>
      </c>
      <c r="AY7" s="68">
        <v>0</v>
      </c>
      <c r="AZ7" s="68">
        <v>922</v>
      </c>
      <c r="BA7" s="68">
        <v>130</v>
      </c>
      <c r="BB7" s="68">
        <v>0</v>
      </c>
      <c r="BC7" s="68">
        <v>690</v>
      </c>
      <c r="BD7" s="68">
        <v>359</v>
      </c>
      <c r="BE7" s="68">
        <v>131</v>
      </c>
    </row>
    <row r="8" spans="1:57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9136</v>
      </c>
      <c r="E8" s="72">
        <v>5947</v>
      </c>
      <c r="F8" s="72">
        <v>3057</v>
      </c>
      <c r="G8" s="72">
        <v>132</v>
      </c>
      <c r="H8" s="72">
        <v>2884</v>
      </c>
      <c r="I8" s="72">
        <v>2169</v>
      </c>
      <c r="J8" s="72">
        <v>182</v>
      </c>
      <c r="K8" s="72">
        <v>36</v>
      </c>
      <c r="L8" s="72">
        <v>0</v>
      </c>
      <c r="M8" s="72">
        <v>135</v>
      </c>
      <c r="N8" s="72">
        <v>175</v>
      </c>
      <c r="O8" s="72">
        <v>0</v>
      </c>
      <c r="P8" s="72">
        <v>236</v>
      </c>
      <c r="Q8" s="72">
        <v>64</v>
      </c>
      <c r="R8" s="72">
        <v>0</v>
      </c>
      <c r="S8" s="72">
        <v>225</v>
      </c>
      <c r="T8" s="72">
        <v>78</v>
      </c>
      <c r="U8" s="72">
        <v>1</v>
      </c>
      <c r="V8" s="72">
        <v>97</v>
      </c>
      <c r="W8" s="72">
        <v>6</v>
      </c>
      <c r="X8" s="72">
        <v>0</v>
      </c>
      <c r="Y8" s="72">
        <v>1</v>
      </c>
      <c r="Z8" s="72">
        <v>4</v>
      </c>
      <c r="AA8" s="72">
        <v>0</v>
      </c>
      <c r="AB8" s="72">
        <v>5</v>
      </c>
      <c r="AC8" s="72">
        <v>9</v>
      </c>
      <c r="AD8" s="72">
        <v>0</v>
      </c>
      <c r="AE8" s="72">
        <v>17</v>
      </c>
      <c r="AF8" s="72">
        <v>1</v>
      </c>
      <c r="AG8" s="72">
        <v>0</v>
      </c>
      <c r="AH8" s="72">
        <v>51</v>
      </c>
      <c r="AI8" s="72">
        <v>9</v>
      </c>
      <c r="AJ8" s="72">
        <v>0</v>
      </c>
      <c r="AK8" s="72">
        <v>26</v>
      </c>
      <c r="AL8" s="72">
        <v>5</v>
      </c>
      <c r="AM8" s="72">
        <v>0</v>
      </c>
      <c r="AN8" s="72">
        <v>3</v>
      </c>
      <c r="AO8" s="72">
        <v>0</v>
      </c>
      <c r="AP8" s="72">
        <v>0</v>
      </c>
      <c r="AQ8" s="72">
        <v>434</v>
      </c>
      <c r="AR8" s="72">
        <v>39</v>
      </c>
      <c r="AS8" s="72">
        <v>0</v>
      </c>
      <c r="AT8" s="72">
        <v>28</v>
      </c>
      <c r="AU8" s="72">
        <v>0</v>
      </c>
      <c r="AV8" s="72">
        <v>0</v>
      </c>
      <c r="AW8" s="72">
        <v>96</v>
      </c>
      <c r="AX8" s="72">
        <v>5</v>
      </c>
      <c r="AY8" s="72">
        <v>0</v>
      </c>
      <c r="AZ8" s="72">
        <v>875</v>
      </c>
      <c r="BA8" s="72">
        <v>115</v>
      </c>
      <c r="BB8" s="72">
        <v>0</v>
      </c>
      <c r="BC8" s="72">
        <v>652</v>
      </c>
      <c r="BD8" s="72">
        <v>342</v>
      </c>
      <c r="BE8" s="72">
        <v>131</v>
      </c>
    </row>
    <row r="9" spans="1:57" s="69" customFormat="1" ht="15" customHeight="1" x14ac:dyDescent="0.2">
      <c r="A9" s="109"/>
      <c r="B9" s="70" t="s">
        <v>177</v>
      </c>
      <c r="C9" s="71" t="s">
        <v>194</v>
      </c>
      <c r="D9" s="72">
        <v>645</v>
      </c>
      <c r="E9" s="72">
        <v>394</v>
      </c>
      <c r="F9" s="72">
        <v>251</v>
      </c>
      <c r="G9" s="72">
        <v>0</v>
      </c>
      <c r="H9" s="72">
        <v>186</v>
      </c>
      <c r="I9" s="72">
        <v>198</v>
      </c>
      <c r="J9" s="72">
        <v>20</v>
      </c>
      <c r="K9" s="72">
        <v>7</v>
      </c>
      <c r="L9" s="72">
        <v>0</v>
      </c>
      <c r="M9" s="72">
        <v>5</v>
      </c>
      <c r="N9" s="72">
        <v>4</v>
      </c>
      <c r="O9" s="72">
        <v>0</v>
      </c>
      <c r="P9" s="72">
        <v>30</v>
      </c>
      <c r="Q9" s="72">
        <v>7</v>
      </c>
      <c r="R9" s="72">
        <v>0</v>
      </c>
      <c r="S9" s="72">
        <v>36</v>
      </c>
      <c r="T9" s="72">
        <v>1</v>
      </c>
      <c r="U9" s="72">
        <v>0</v>
      </c>
      <c r="V9" s="72">
        <v>5</v>
      </c>
      <c r="W9" s="72">
        <v>0</v>
      </c>
      <c r="X9" s="72">
        <v>0</v>
      </c>
      <c r="Y9" s="72">
        <v>0</v>
      </c>
      <c r="Z9" s="72">
        <v>1</v>
      </c>
      <c r="AA9" s="72">
        <v>0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>
        <v>1</v>
      </c>
      <c r="AI9" s="72">
        <v>0</v>
      </c>
      <c r="AJ9" s="72">
        <v>0</v>
      </c>
      <c r="AK9" s="72">
        <v>1</v>
      </c>
      <c r="AL9" s="72">
        <v>0</v>
      </c>
      <c r="AM9" s="72">
        <v>0</v>
      </c>
      <c r="AN9" s="72">
        <v>0</v>
      </c>
      <c r="AO9" s="72">
        <v>0</v>
      </c>
      <c r="AP9" s="72">
        <v>0</v>
      </c>
      <c r="AQ9" s="72">
        <v>20</v>
      </c>
      <c r="AR9" s="72">
        <v>1</v>
      </c>
      <c r="AS9" s="72">
        <v>0</v>
      </c>
      <c r="AT9" s="72">
        <v>0</v>
      </c>
      <c r="AU9" s="72">
        <v>0</v>
      </c>
      <c r="AV9" s="72">
        <v>0</v>
      </c>
      <c r="AW9" s="72">
        <v>5</v>
      </c>
      <c r="AX9" s="72">
        <v>0</v>
      </c>
      <c r="AY9" s="72">
        <v>0</v>
      </c>
      <c r="AZ9" s="72">
        <v>47</v>
      </c>
      <c r="BA9" s="72">
        <v>15</v>
      </c>
      <c r="BB9" s="72">
        <v>0</v>
      </c>
      <c r="BC9" s="72">
        <v>38</v>
      </c>
      <c r="BD9" s="72">
        <v>17</v>
      </c>
      <c r="BE9" s="72">
        <v>0</v>
      </c>
    </row>
    <row r="10" spans="1:57" s="23" customFormat="1" ht="15" customHeight="1" x14ac:dyDescent="0.2">
      <c r="A10" s="81" t="s">
        <v>211</v>
      </c>
      <c r="B10" s="29" t="s">
        <v>74</v>
      </c>
      <c r="C10" s="30" t="s">
        <v>0</v>
      </c>
      <c r="D10" s="31">
        <v>2119</v>
      </c>
      <c r="E10" s="31">
        <v>1438</v>
      </c>
      <c r="F10" s="31">
        <v>651</v>
      </c>
      <c r="G10" s="31">
        <v>30</v>
      </c>
      <c r="H10" s="31">
        <v>635</v>
      </c>
      <c r="I10" s="31">
        <v>459</v>
      </c>
      <c r="J10" s="31">
        <v>43</v>
      </c>
      <c r="K10" s="31">
        <v>10</v>
      </c>
      <c r="L10" s="31">
        <v>0</v>
      </c>
      <c r="M10" s="31">
        <v>34</v>
      </c>
      <c r="N10" s="31">
        <v>33</v>
      </c>
      <c r="O10" s="31">
        <v>0</v>
      </c>
      <c r="P10" s="31">
        <v>55</v>
      </c>
      <c r="Q10" s="31">
        <v>10</v>
      </c>
      <c r="R10" s="31">
        <v>0</v>
      </c>
      <c r="S10" s="31">
        <v>41</v>
      </c>
      <c r="T10" s="31">
        <v>11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2</v>
      </c>
      <c r="AA10" s="31">
        <v>0</v>
      </c>
      <c r="AB10" s="31">
        <v>0</v>
      </c>
      <c r="AC10" s="31">
        <v>4</v>
      </c>
      <c r="AD10" s="31">
        <v>0</v>
      </c>
      <c r="AE10" s="31">
        <v>1</v>
      </c>
      <c r="AF10" s="31">
        <v>0</v>
      </c>
      <c r="AG10" s="31">
        <v>0</v>
      </c>
      <c r="AH10" s="31">
        <v>17</v>
      </c>
      <c r="AI10" s="31">
        <v>0</v>
      </c>
      <c r="AJ10" s="31">
        <v>0</v>
      </c>
      <c r="AK10" s="31">
        <v>4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210</v>
      </c>
      <c r="AR10" s="31">
        <v>8</v>
      </c>
      <c r="AS10" s="31">
        <v>0</v>
      </c>
      <c r="AT10" s="31">
        <v>0</v>
      </c>
      <c r="AU10" s="31">
        <v>0</v>
      </c>
      <c r="AV10" s="31">
        <v>0</v>
      </c>
      <c r="AW10" s="31">
        <v>32</v>
      </c>
      <c r="AX10" s="31">
        <v>2</v>
      </c>
      <c r="AY10" s="31">
        <v>0</v>
      </c>
      <c r="AZ10" s="31">
        <v>168</v>
      </c>
      <c r="BA10" s="31">
        <v>16</v>
      </c>
      <c r="BB10" s="31">
        <v>0</v>
      </c>
      <c r="BC10" s="31">
        <v>198</v>
      </c>
      <c r="BD10" s="31">
        <v>96</v>
      </c>
      <c r="BE10" s="31">
        <v>30</v>
      </c>
    </row>
    <row r="11" spans="1:57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2024</v>
      </c>
      <c r="E11" s="22">
        <v>1387</v>
      </c>
      <c r="F11" s="22">
        <v>607</v>
      </c>
      <c r="G11" s="22">
        <v>30</v>
      </c>
      <c r="H11" s="22">
        <v>614</v>
      </c>
      <c r="I11" s="22">
        <v>428</v>
      </c>
      <c r="J11" s="22">
        <v>40</v>
      </c>
      <c r="K11" s="22">
        <v>8</v>
      </c>
      <c r="L11" s="22">
        <v>0</v>
      </c>
      <c r="M11" s="22">
        <v>32</v>
      </c>
      <c r="N11" s="22">
        <v>32</v>
      </c>
      <c r="O11" s="22">
        <v>0</v>
      </c>
      <c r="P11" s="22">
        <v>49</v>
      </c>
      <c r="Q11" s="22">
        <v>9</v>
      </c>
      <c r="R11" s="22">
        <v>0</v>
      </c>
      <c r="S11" s="22">
        <v>34</v>
      </c>
      <c r="T11" s="22">
        <v>11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1</v>
      </c>
      <c r="AA11" s="22">
        <v>0</v>
      </c>
      <c r="AB11" s="22">
        <v>0</v>
      </c>
      <c r="AC11" s="22">
        <v>4</v>
      </c>
      <c r="AD11" s="22">
        <v>0</v>
      </c>
      <c r="AE11" s="22">
        <v>1</v>
      </c>
      <c r="AF11" s="22">
        <v>0</v>
      </c>
      <c r="AG11" s="22">
        <v>0</v>
      </c>
      <c r="AH11" s="22">
        <v>17</v>
      </c>
      <c r="AI11" s="22">
        <v>0</v>
      </c>
      <c r="AJ11" s="22">
        <v>0</v>
      </c>
      <c r="AK11" s="22">
        <v>4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208</v>
      </c>
      <c r="AR11" s="22">
        <v>8</v>
      </c>
      <c r="AS11" s="22">
        <v>0</v>
      </c>
      <c r="AT11" s="22">
        <v>0</v>
      </c>
      <c r="AU11" s="22">
        <v>0</v>
      </c>
      <c r="AV11" s="22">
        <v>0</v>
      </c>
      <c r="AW11" s="22">
        <v>31</v>
      </c>
      <c r="AX11" s="22">
        <v>2</v>
      </c>
      <c r="AY11" s="22">
        <v>0</v>
      </c>
      <c r="AZ11" s="22">
        <v>164</v>
      </c>
      <c r="BA11" s="22">
        <v>13</v>
      </c>
      <c r="BB11" s="22">
        <v>0</v>
      </c>
      <c r="BC11" s="22">
        <v>193</v>
      </c>
      <c r="BD11" s="22">
        <v>91</v>
      </c>
      <c r="BE11" s="22">
        <v>30</v>
      </c>
    </row>
    <row r="12" spans="1:57" s="23" customFormat="1" ht="15" customHeight="1" x14ac:dyDescent="0.2">
      <c r="A12" s="111"/>
      <c r="B12" s="32" t="s">
        <v>76</v>
      </c>
      <c r="C12" s="33" t="s">
        <v>194</v>
      </c>
      <c r="D12" s="22">
        <v>95</v>
      </c>
      <c r="E12" s="22">
        <v>51</v>
      </c>
      <c r="F12" s="22">
        <v>44</v>
      </c>
      <c r="G12" s="22">
        <v>0</v>
      </c>
      <c r="H12" s="22">
        <v>21</v>
      </c>
      <c r="I12" s="22">
        <v>31</v>
      </c>
      <c r="J12" s="22">
        <v>3</v>
      </c>
      <c r="K12" s="22">
        <v>2</v>
      </c>
      <c r="L12" s="22">
        <v>0</v>
      </c>
      <c r="M12" s="22">
        <v>2</v>
      </c>
      <c r="N12" s="22">
        <v>1</v>
      </c>
      <c r="O12" s="22">
        <v>0</v>
      </c>
      <c r="P12" s="22">
        <v>6</v>
      </c>
      <c r="Q12" s="22">
        <v>1</v>
      </c>
      <c r="R12" s="22">
        <v>0</v>
      </c>
      <c r="S12" s="22">
        <v>7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</v>
      </c>
      <c r="AX12" s="22">
        <v>0</v>
      </c>
      <c r="AY12" s="22">
        <v>0</v>
      </c>
      <c r="AZ12" s="22">
        <v>4</v>
      </c>
      <c r="BA12" s="22">
        <v>3</v>
      </c>
      <c r="BB12" s="22">
        <v>0</v>
      </c>
      <c r="BC12" s="22">
        <v>5</v>
      </c>
      <c r="BD12" s="22">
        <v>5</v>
      </c>
      <c r="BE12" s="22">
        <v>0</v>
      </c>
    </row>
    <row r="13" spans="1:57" s="23" customFormat="1" ht="15" customHeight="1" x14ac:dyDescent="0.2">
      <c r="A13" s="81" t="s">
        <v>212</v>
      </c>
      <c r="B13" s="29" t="s">
        <v>74</v>
      </c>
      <c r="C13" s="30" t="s">
        <v>0</v>
      </c>
      <c r="D13" s="31">
        <v>907</v>
      </c>
      <c r="E13" s="31">
        <v>546</v>
      </c>
      <c r="F13" s="31">
        <v>324</v>
      </c>
      <c r="G13" s="31">
        <v>37</v>
      </c>
      <c r="H13" s="31">
        <v>274</v>
      </c>
      <c r="I13" s="31">
        <v>227</v>
      </c>
      <c r="J13" s="31">
        <v>14</v>
      </c>
      <c r="K13" s="31">
        <v>4</v>
      </c>
      <c r="L13" s="31">
        <v>0</v>
      </c>
      <c r="M13" s="31">
        <v>8</v>
      </c>
      <c r="N13" s="31">
        <v>14</v>
      </c>
      <c r="O13" s="31">
        <v>0</v>
      </c>
      <c r="P13" s="31">
        <v>10</v>
      </c>
      <c r="Q13" s="31">
        <v>5</v>
      </c>
      <c r="R13" s="31">
        <v>0</v>
      </c>
      <c r="S13" s="31">
        <v>25</v>
      </c>
      <c r="T13" s="31">
        <v>4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4</v>
      </c>
      <c r="AF13" s="31">
        <v>0</v>
      </c>
      <c r="AG13" s="31">
        <v>0</v>
      </c>
      <c r="AH13" s="31">
        <v>3</v>
      </c>
      <c r="AI13" s="31">
        <v>0</v>
      </c>
      <c r="AJ13" s="31">
        <v>0</v>
      </c>
      <c r="AK13" s="31">
        <v>1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32</v>
      </c>
      <c r="AR13" s="31">
        <v>4</v>
      </c>
      <c r="AS13" s="31">
        <v>0</v>
      </c>
      <c r="AT13" s="31">
        <v>0</v>
      </c>
      <c r="AU13" s="31">
        <v>0</v>
      </c>
      <c r="AV13" s="31">
        <v>0</v>
      </c>
      <c r="AW13" s="31">
        <v>11</v>
      </c>
      <c r="AX13" s="31">
        <v>0</v>
      </c>
      <c r="AY13" s="31">
        <v>0</v>
      </c>
      <c r="AZ13" s="31">
        <v>116</v>
      </c>
      <c r="BA13" s="31">
        <v>20</v>
      </c>
      <c r="BB13" s="31">
        <v>0</v>
      </c>
      <c r="BC13" s="31">
        <v>47</v>
      </c>
      <c r="BD13" s="31">
        <v>46</v>
      </c>
      <c r="BE13" s="31">
        <v>37</v>
      </c>
    </row>
    <row r="14" spans="1:57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895</v>
      </c>
      <c r="E14" s="22">
        <v>543</v>
      </c>
      <c r="F14" s="22">
        <v>315</v>
      </c>
      <c r="G14" s="22">
        <v>37</v>
      </c>
      <c r="H14" s="22">
        <v>272</v>
      </c>
      <c r="I14" s="22">
        <v>219</v>
      </c>
      <c r="J14" s="22">
        <v>14</v>
      </c>
      <c r="K14" s="22">
        <v>4</v>
      </c>
      <c r="L14" s="22">
        <v>0</v>
      </c>
      <c r="M14" s="22">
        <v>8</v>
      </c>
      <c r="N14" s="22">
        <v>14</v>
      </c>
      <c r="O14" s="22">
        <v>0</v>
      </c>
      <c r="P14" s="22">
        <v>10</v>
      </c>
      <c r="Q14" s="22">
        <v>5</v>
      </c>
      <c r="R14" s="22">
        <v>0</v>
      </c>
      <c r="S14" s="22">
        <v>25</v>
      </c>
      <c r="T14" s="22">
        <v>4</v>
      </c>
      <c r="U14" s="22">
        <v>0</v>
      </c>
      <c r="V14" s="22">
        <v>0</v>
      </c>
      <c r="W14" s="22">
        <v>0</v>
      </c>
      <c r="X14" s="22">
        <v>0</v>
      </c>
      <c r="Y14" s="22">
        <v>1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4</v>
      </c>
      <c r="AF14" s="22">
        <v>0</v>
      </c>
      <c r="AG14" s="22">
        <v>0</v>
      </c>
      <c r="AH14" s="22">
        <v>3</v>
      </c>
      <c r="AI14" s="22">
        <v>0</v>
      </c>
      <c r="AJ14" s="22">
        <v>0</v>
      </c>
      <c r="AK14" s="22">
        <v>1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31</v>
      </c>
      <c r="AR14" s="22">
        <v>4</v>
      </c>
      <c r="AS14" s="22">
        <v>0</v>
      </c>
      <c r="AT14" s="22">
        <v>0</v>
      </c>
      <c r="AU14" s="22">
        <v>0</v>
      </c>
      <c r="AV14" s="22">
        <v>0</v>
      </c>
      <c r="AW14" s="22">
        <v>11</v>
      </c>
      <c r="AX14" s="22">
        <v>0</v>
      </c>
      <c r="AY14" s="22">
        <v>0</v>
      </c>
      <c r="AZ14" s="22">
        <v>116</v>
      </c>
      <c r="BA14" s="22">
        <v>20</v>
      </c>
      <c r="BB14" s="22">
        <v>0</v>
      </c>
      <c r="BC14" s="22">
        <v>47</v>
      </c>
      <c r="BD14" s="22">
        <v>45</v>
      </c>
      <c r="BE14" s="22">
        <v>37</v>
      </c>
    </row>
    <row r="15" spans="1:57" s="23" customFormat="1" ht="15" customHeight="1" x14ac:dyDescent="0.2">
      <c r="A15" s="111"/>
      <c r="B15" s="34" t="s">
        <v>76</v>
      </c>
      <c r="C15" s="35" t="s">
        <v>194</v>
      </c>
      <c r="D15" s="22">
        <v>12</v>
      </c>
      <c r="E15" s="22">
        <v>3</v>
      </c>
      <c r="F15" s="22">
        <v>9</v>
      </c>
      <c r="G15" s="22">
        <v>0</v>
      </c>
      <c r="H15" s="22">
        <v>2</v>
      </c>
      <c r="I15" s="22">
        <v>8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1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1</v>
      </c>
      <c r="BE15" s="22">
        <v>0</v>
      </c>
    </row>
    <row r="16" spans="1:57" s="23" customFormat="1" ht="15" customHeight="1" x14ac:dyDescent="0.2">
      <c r="A16" s="81" t="s">
        <v>213</v>
      </c>
      <c r="B16" s="29" t="s">
        <v>74</v>
      </c>
      <c r="C16" s="30" t="s">
        <v>0</v>
      </c>
      <c r="D16" s="31">
        <v>790</v>
      </c>
      <c r="E16" s="31">
        <v>563</v>
      </c>
      <c r="F16" s="31">
        <v>216</v>
      </c>
      <c r="G16" s="31">
        <v>11</v>
      </c>
      <c r="H16" s="31">
        <v>270</v>
      </c>
      <c r="I16" s="31">
        <v>169</v>
      </c>
      <c r="J16" s="31">
        <v>8</v>
      </c>
      <c r="K16" s="31">
        <v>3</v>
      </c>
      <c r="L16" s="31">
        <v>0</v>
      </c>
      <c r="M16" s="31">
        <v>12</v>
      </c>
      <c r="N16" s="31">
        <v>11</v>
      </c>
      <c r="O16" s="31">
        <v>0</v>
      </c>
      <c r="P16" s="31">
        <v>23</v>
      </c>
      <c r="Q16" s="31">
        <v>5</v>
      </c>
      <c r="R16" s="31">
        <v>0</v>
      </c>
      <c r="S16" s="31">
        <v>15</v>
      </c>
      <c r="T16" s="31">
        <v>5</v>
      </c>
      <c r="U16" s="31">
        <v>0</v>
      </c>
      <c r="V16" s="31">
        <v>3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3</v>
      </c>
      <c r="AD16" s="31">
        <v>0</v>
      </c>
      <c r="AE16" s="31">
        <v>2</v>
      </c>
      <c r="AF16" s="31">
        <v>0</v>
      </c>
      <c r="AG16" s="31">
        <v>0</v>
      </c>
      <c r="AH16" s="31">
        <v>11</v>
      </c>
      <c r="AI16" s="31">
        <v>1</v>
      </c>
      <c r="AJ16" s="31">
        <v>0</v>
      </c>
      <c r="AK16" s="31">
        <v>2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29</v>
      </c>
      <c r="AR16" s="31">
        <v>5</v>
      </c>
      <c r="AS16" s="31">
        <v>0</v>
      </c>
      <c r="AT16" s="31">
        <v>2</v>
      </c>
      <c r="AU16" s="31">
        <v>0</v>
      </c>
      <c r="AV16" s="31">
        <v>0</v>
      </c>
      <c r="AW16" s="31">
        <v>8</v>
      </c>
      <c r="AX16" s="31">
        <v>1</v>
      </c>
      <c r="AY16" s="31">
        <v>0</v>
      </c>
      <c r="AZ16" s="31">
        <v>134</v>
      </c>
      <c r="BA16" s="31">
        <v>11</v>
      </c>
      <c r="BB16" s="31">
        <v>0</v>
      </c>
      <c r="BC16" s="31">
        <v>44</v>
      </c>
      <c r="BD16" s="31">
        <v>2</v>
      </c>
      <c r="BE16" s="31">
        <v>11</v>
      </c>
    </row>
    <row r="17" spans="1:57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709</v>
      </c>
      <c r="E17" s="22">
        <v>518</v>
      </c>
      <c r="F17" s="22">
        <v>180</v>
      </c>
      <c r="G17" s="22">
        <v>11</v>
      </c>
      <c r="H17" s="22">
        <v>244</v>
      </c>
      <c r="I17" s="22">
        <v>138</v>
      </c>
      <c r="J17" s="22">
        <v>7</v>
      </c>
      <c r="K17" s="22">
        <v>2</v>
      </c>
      <c r="L17" s="22">
        <v>0</v>
      </c>
      <c r="M17" s="22">
        <v>11</v>
      </c>
      <c r="N17" s="22">
        <v>11</v>
      </c>
      <c r="O17" s="22">
        <v>0</v>
      </c>
      <c r="P17" s="22">
        <v>23</v>
      </c>
      <c r="Q17" s="22">
        <v>4</v>
      </c>
      <c r="R17" s="22">
        <v>0</v>
      </c>
      <c r="S17" s="22">
        <v>11</v>
      </c>
      <c r="T17" s="22">
        <v>5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3</v>
      </c>
      <c r="AD17" s="22">
        <v>0</v>
      </c>
      <c r="AE17" s="22">
        <v>2</v>
      </c>
      <c r="AF17" s="22">
        <v>0</v>
      </c>
      <c r="AG17" s="22">
        <v>0</v>
      </c>
      <c r="AH17" s="22">
        <v>11</v>
      </c>
      <c r="AI17" s="22">
        <v>1</v>
      </c>
      <c r="AJ17" s="22">
        <v>0</v>
      </c>
      <c r="AK17" s="22">
        <v>2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26</v>
      </c>
      <c r="AR17" s="22">
        <v>4</v>
      </c>
      <c r="AS17" s="22">
        <v>0</v>
      </c>
      <c r="AT17" s="22">
        <v>2</v>
      </c>
      <c r="AU17" s="22">
        <v>0</v>
      </c>
      <c r="AV17" s="22">
        <v>0</v>
      </c>
      <c r="AW17" s="22">
        <v>7</v>
      </c>
      <c r="AX17" s="22">
        <v>1</v>
      </c>
      <c r="AY17" s="22">
        <v>0</v>
      </c>
      <c r="AZ17" s="22">
        <v>129</v>
      </c>
      <c r="BA17" s="22">
        <v>9</v>
      </c>
      <c r="BB17" s="22">
        <v>0</v>
      </c>
      <c r="BC17" s="22">
        <v>43</v>
      </c>
      <c r="BD17" s="22">
        <v>2</v>
      </c>
      <c r="BE17" s="22">
        <v>11</v>
      </c>
    </row>
    <row r="18" spans="1:57" s="23" customFormat="1" ht="15" customHeight="1" x14ac:dyDescent="0.2">
      <c r="A18" s="111"/>
      <c r="B18" s="34" t="s">
        <v>76</v>
      </c>
      <c r="C18" s="35" t="s">
        <v>194</v>
      </c>
      <c r="D18" s="22">
        <v>81</v>
      </c>
      <c r="E18" s="22">
        <v>45</v>
      </c>
      <c r="F18" s="22">
        <v>36</v>
      </c>
      <c r="G18" s="22">
        <v>0</v>
      </c>
      <c r="H18" s="22">
        <v>26</v>
      </c>
      <c r="I18" s="22">
        <v>31</v>
      </c>
      <c r="J18" s="22">
        <v>1</v>
      </c>
      <c r="K18" s="22">
        <v>1</v>
      </c>
      <c r="L18" s="22">
        <v>0</v>
      </c>
      <c r="M18" s="22">
        <v>1</v>
      </c>
      <c r="N18" s="22">
        <v>0</v>
      </c>
      <c r="O18" s="22">
        <v>0</v>
      </c>
      <c r="P18" s="22">
        <v>0</v>
      </c>
      <c r="Q18" s="22">
        <v>1</v>
      </c>
      <c r="R18" s="22">
        <v>0</v>
      </c>
      <c r="S18" s="22">
        <v>4</v>
      </c>
      <c r="T18" s="22">
        <v>0</v>
      </c>
      <c r="U18" s="22">
        <v>0</v>
      </c>
      <c r="V18" s="22">
        <v>3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3</v>
      </c>
      <c r="AR18" s="22">
        <v>1</v>
      </c>
      <c r="AS18" s="22">
        <v>0</v>
      </c>
      <c r="AT18" s="22">
        <v>0</v>
      </c>
      <c r="AU18" s="22">
        <v>0</v>
      </c>
      <c r="AV18" s="22">
        <v>0</v>
      </c>
      <c r="AW18" s="22">
        <v>1</v>
      </c>
      <c r="AX18" s="22">
        <v>0</v>
      </c>
      <c r="AY18" s="22">
        <v>0</v>
      </c>
      <c r="AZ18" s="22">
        <v>5</v>
      </c>
      <c r="BA18" s="22">
        <v>2</v>
      </c>
      <c r="BB18" s="22">
        <v>0</v>
      </c>
      <c r="BC18" s="22">
        <v>1</v>
      </c>
      <c r="BD18" s="22">
        <v>0</v>
      </c>
      <c r="BE18" s="22">
        <v>0</v>
      </c>
    </row>
    <row r="19" spans="1:57" s="23" customFormat="1" ht="15" customHeight="1" x14ac:dyDescent="0.2">
      <c r="A19" s="81" t="s">
        <v>214</v>
      </c>
      <c r="B19" s="29" t="s">
        <v>74</v>
      </c>
      <c r="C19" s="30" t="s">
        <v>0</v>
      </c>
      <c r="D19" s="31">
        <v>1295</v>
      </c>
      <c r="E19" s="31">
        <v>831</v>
      </c>
      <c r="F19" s="31">
        <v>443</v>
      </c>
      <c r="G19" s="31">
        <v>21</v>
      </c>
      <c r="H19" s="31">
        <v>472</v>
      </c>
      <c r="I19" s="31">
        <v>283</v>
      </c>
      <c r="J19" s="31">
        <v>27</v>
      </c>
      <c r="K19" s="31">
        <v>7</v>
      </c>
      <c r="L19" s="31">
        <v>0</v>
      </c>
      <c r="M19" s="31">
        <v>22</v>
      </c>
      <c r="N19" s="31">
        <v>27</v>
      </c>
      <c r="O19" s="31">
        <v>0</v>
      </c>
      <c r="P19" s="31">
        <v>27</v>
      </c>
      <c r="Q19" s="31">
        <v>11</v>
      </c>
      <c r="R19" s="31">
        <v>0</v>
      </c>
      <c r="S19" s="31">
        <v>29</v>
      </c>
      <c r="T19" s="31">
        <v>13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1</v>
      </c>
      <c r="AF19" s="31">
        <v>0</v>
      </c>
      <c r="AG19" s="31">
        <v>0</v>
      </c>
      <c r="AH19" s="31">
        <v>4</v>
      </c>
      <c r="AI19" s="31">
        <v>0</v>
      </c>
      <c r="AJ19" s="31">
        <v>0</v>
      </c>
      <c r="AK19" s="31">
        <v>8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47</v>
      </c>
      <c r="AR19" s="31">
        <v>2</v>
      </c>
      <c r="AS19" s="31">
        <v>0</v>
      </c>
      <c r="AT19" s="31">
        <v>1</v>
      </c>
      <c r="AU19" s="31">
        <v>0</v>
      </c>
      <c r="AV19" s="31">
        <v>0</v>
      </c>
      <c r="AW19" s="31">
        <v>8</v>
      </c>
      <c r="AX19" s="31">
        <v>1</v>
      </c>
      <c r="AY19" s="31">
        <v>0</v>
      </c>
      <c r="AZ19" s="31">
        <v>133</v>
      </c>
      <c r="BA19" s="31">
        <v>8</v>
      </c>
      <c r="BB19" s="31">
        <v>0</v>
      </c>
      <c r="BC19" s="31">
        <v>52</v>
      </c>
      <c r="BD19" s="31">
        <v>91</v>
      </c>
      <c r="BE19" s="31">
        <v>21</v>
      </c>
    </row>
    <row r="20" spans="1:57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1240</v>
      </c>
      <c r="E20" s="22">
        <v>794</v>
      </c>
      <c r="F20" s="22">
        <v>425</v>
      </c>
      <c r="G20" s="22">
        <v>21</v>
      </c>
      <c r="H20" s="22">
        <v>447</v>
      </c>
      <c r="I20" s="22">
        <v>269</v>
      </c>
      <c r="J20" s="22">
        <v>24</v>
      </c>
      <c r="K20" s="22">
        <v>6</v>
      </c>
      <c r="L20" s="22">
        <v>0</v>
      </c>
      <c r="M20" s="22">
        <v>21</v>
      </c>
      <c r="N20" s="22">
        <v>24</v>
      </c>
      <c r="O20" s="22">
        <v>0</v>
      </c>
      <c r="P20" s="22">
        <v>26</v>
      </c>
      <c r="Q20" s="22">
        <v>11</v>
      </c>
      <c r="R20" s="22">
        <v>0</v>
      </c>
      <c r="S20" s="22">
        <v>27</v>
      </c>
      <c r="T20" s="22">
        <v>13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1</v>
      </c>
      <c r="AF20" s="22">
        <v>0</v>
      </c>
      <c r="AG20" s="22">
        <v>0</v>
      </c>
      <c r="AH20" s="22">
        <v>3</v>
      </c>
      <c r="AI20" s="22">
        <v>0</v>
      </c>
      <c r="AJ20" s="22">
        <v>0</v>
      </c>
      <c r="AK20" s="22">
        <v>8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46</v>
      </c>
      <c r="AR20" s="22">
        <v>2</v>
      </c>
      <c r="AS20" s="22">
        <v>0</v>
      </c>
      <c r="AT20" s="22">
        <v>1</v>
      </c>
      <c r="AU20" s="22">
        <v>0</v>
      </c>
      <c r="AV20" s="22">
        <v>0</v>
      </c>
      <c r="AW20" s="22">
        <v>7</v>
      </c>
      <c r="AX20" s="22">
        <v>1</v>
      </c>
      <c r="AY20" s="22">
        <v>0</v>
      </c>
      <c r="AZ20" s="22">
        <v>132</v>
      </c>
      <c r="BA20" s="22">
        <v>8</v>
      </c>
      <c r="BB20" s="22">
        <v>0</v>
      </c>
      <c r="BC20" s="22">
        <v>51</v>
      </c>
      <c r="BD20" s="22">
        <v>91</v>
      </c>
      <c r="BE20" s="22">
        <v>21</v>
      </c>
    </row>
    <row r="21" spans="1:57" s="23" customFormat="1" ht="15" customHeight="1" x14ac:dyDescent="0.2">
      <c r="A21" s="111"/>
      <c r="B21" s="34" t="s">
        <v>76</v>
      </c>
      <c r="C21" s="35" t="s">
        <v>194</v>
      </c>
      <c r="D21" s="22">
        <v>55</v>
      </c>
      <c r="E21" s="22">
        <v>37</v>
      </c>
      <c r="F21" s="22">
        <v>18</v>
      </c>
      <c r="G21" s="22">
        <v>0</v>
      </c>
      <c r="H21" s="22">
        <v>25</v>
      </c>
      <c r="I21" s="22">
        <v>14</v>
      </c>
      <c r="J21" s="22">
        <v>3</v>
      </c>
      <c r="K21" s="22">
        <v>1</v>
      </c>
      <c r="L21" s="22">
        <v>0</v>
      </c>
      <c r="M21" s="22">
        <v>1</v>
      </c>
      <c r="N21" s="22">
        <v>3</v>
      </c>
      <c r="O21" s="22">
        <v>0</v>
      </c>
      <c r="P21" s="22">
        <v>1</v>
      </c>
      <c r="Q21" s="22">
        <v>0</v>
      </c>
      <c r="R21" s="22">
        <v>0</v>
      </c>
      <c r="S21" s="22">
        <v>2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1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1</v>
      </c>
      <c r="AX21" s="22">
        <v>0</v>
      </c>
      <c r="AY21" s="22">
        <v>0</v>
      </c>
      <c r="AZ21" s="22">
        <v>1</v>
      </c>
      <c r="BA21" s="22">
        <v>0</v>
      </c>
      <c r="BB21" s="22">
        <v>0</v>
      </c>
      <c r="BC21" s="22">
        <v>1</v>
      </c>
      <c r="BD21" s="22">
        <v>0</v>
      </c>
      <c r="BE21" s="22">
        <v>0</v>
      </c>
    </row>
    <row r="22" spans="1:57" s="23" customFormat="1" ht="15" customHeight="1" x14ac:dyDescent="0.2">
      <c r="A22" s="81" t="s">
        <v>215</v>
      </c>
      <c r="B22" s="29" t="s">
        <v>74</v>
      </c>
      <c r="C22" s="30" t="s">
        <v>0</v>
      </c>
      <c r="D22" s="31">
        <v>543</v>
      </c>
      <c r="E22" s="31">
        <v>340</v>
      </c>
      <c r="F22" s="31">
        <v>201</v>
      </c>
      <c r="G22" s="31">
        <v>2</v>
      </c>
      <c r="H22" s="31">
        <v>174</v>
      </c>
      <c r="I22" s="31">
        <v>157</v>
      </c>
      <c r="J22" s="31">
        <v>26</v>
      </c>
      <c r="K22" s="31">
        <v>2</v>
      </c>
      <c r="L22" s="31">
        <v>0</v>
      </c>
      <c r="M22" s="31">
        <v>7</v>
      </c>
      <c r="N22" s="31">
        <v>9</v>
      </c>
      <c r="O22" s="31">
        <v>0</v>
      </c>
      <c r="P22" s="31">
        <v>9</v>
      </c>
      <c r="Q22" s="31">
        <v>7</v>
      </c>
      <c r="R22" s="31">
        <v>0</v>
      </c>
      <c r="S22" s="31">
        <v>24</v>
      </c>
      <c r="T22" s="31">
        <v>15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4</v>
      </c>
      <c r="AF22" s="31">
        <v>0</v>
      </c>
      <c r="AG22" s="31">
        <v>0</v>
      </c>
      <c r="AH22" s="31">
        <v>3</v>
      </c>
      <c r="AI22" s="31">
        <v>0</v>
      </c>
      <c r="AJ22" s="31">
        <v>0</v>
      </c>
      <c r="AK22" s="31">
        <v>2</v>
      </c>
      <c r="AL22" s="31">
        <v>1</v>
      </c>
      <c r="AM22" s="31">
        <v>0</v>
      </c>
      <c r="AN22" s="31">
        <v>0</v>
      </c>
      <c r="AO22" s="31">
        <v>0</v>
      </c>
      <c r="AP22" s="31">
        <v>0</v>
      </c>
      <c r="AQ22" s="31">
        <v>14</v>
      </c>
      <c r="AR22" s="31">
        <v>3</v>
      </c>
      <c r="AS22" s="31">
        <v>0</v>
      </c>
      <c r="AT22" s="31">
        <v>0</v>
      </c>
      <c r="AU22" s="31">
        <v>0</v>
      </c>
      <c r="AV22" s="31">
        <v>0</v>
      </c>
      <c r="AW22" s="31">
        <v>9</v>
      </c>
      <c r="AX22" s="31">
        <v>0</v>
      </c>
      <c r="AY22" s="31">
        <v>0</v>
      </c>
      <c r="AZ22" s="31">
        <v>61</v>
      </c>
      <c r="BA22" s="31">
        <v>4</v>
      </c>
      <c r="BB22" s="31">
        <v>0</v>
      </c>
      <c r="BC22" s="31">
        <v>7</v>
      </c>
      <c r="BD22" s="31">
        <v>3</v>
      </c>
      <c r="BE22" s="31">
        <v>2</v>
      </c>
    </row>
    <row r="23" spans="1:57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529</v>
      </c>
      <c r="E23" s="22">
        <v>334</v>
      </c>
      <c r="F23" s="22">
        <v>193</v>
      </c>
      <c r="G23" s="22">
        <v>2</v>
      </c>
      <c r="H23" s="22">
        <v>171</v>
      </c>
      <c r="I23" s="22">
        <v>150</v>
      </c>
      <c r="J23" s="22">
        <v>24</v>
      </c>
      <c r="K23" s="22">
        <v>1</v>
      </c>
      <c r="L23" s="22">
        <v>0</v>
      </c>
      <c r="M23" s="22">
        <v>7</v>
      </c>
      <c r="N23" s="22">
        <v>9</v>
      </c>
      <c r="O23" s="22">
        <v>0</v>
      </c>
      <c r="P23" s="22">
        <v>9</v>
      </c>
      <c r="Q23" s="22">
        <v>7</v>
      </c>
      <c r="R23" s="22">
        <v>0</v>
      </c>
      <c r="S23" s="22">
        <v>24</v>
      </c>
      <c r="T23" s="22">
        <v>15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4</v>
      </c>
      <c r="AF23" s="22">
        <v>0</v>
      </c>
      <c r="AG23" s="22">
        <v>0</v>
      </c>
      <c r="AH23" s="22">
        <v>3</v>
      </c>
      <c r="AI23" s="22">
        <v>0</v>
      </c>
      <c r="AJ23" s="22">
        <v>0</v>
      </c>
      <c r="AK23" s="22">
        <v>2</v>
      </c>
      <c r="AL23" s="22">
        <v>1</v>
      </c>
      <c r="AM23" s="22">
        <v>0</v>
      </c>
      <c r="AN23" s="22">
        <v>0</v>
      </c>
      <c r="AO23" s="22">
        <v>0</v>
      </c>
      <c r="AP23" s="22">
        <v>0</v>
      </c>
      <c r="AQ23" s="22">
        <v>14</v>
      </c>
      <c r="AR23" s="22">
        <v>3</v>
      </c>
      <c r="AS23" s="22">
        <v>0</v>
      </c>
      <c r="AT23" s="22">
        <v>0</v>
      </c>
      <c r="AU23" s="22">
        <v>0</v>
      </c>
      <c r="AV23" s="22">
        <v>0</v>
      </c>
      <c r="AW23" s="22">
        <v>9</v>
      </c>
      <c r="AX23" s="22">
        <v>0</v>
      </c>
      <c r="AY23" s="22">
        <v>0</v>
      </c>
      <c r="AZ23" s="22">
        <v>61</v>
      </c>
      <c r="BA23" s="22">
        <v>4</v>
      </c>
      <c r="BB23" s="22">
        <v>0</v>
      </c>
      <c r="BC23" s="22">
        <v>6</v>
      </c>
      <c r="BD23" s="22">
        <v>3</v>
      </c>
      <c r="BE23" s="22">
        <v>2</v>
      </c>
    </row>
    <row r="24" spans="1:57" s="23" customFormat="1" ht="15" customHeight="1" x14ac:dyDescent="0.2">
      <c r="A24" s="111"/>
      <c r="B24" s="34" t="s">
        <v>76</v>
      </c>
      <c r="C24" s="35" t="s">
        <v>194</v>
      </c>
      <c r="D24" s="22">
        <v>14</v>
      </c>
      <c r="E24" s="22">
        <v>6</v>
      </c>
      <c r="F24" s="22">
        <v>8</v>
      </c>
      <c r="G24" s="22">
        <v>0</v>
      </c>
      <c r="H24" s="22">
        <v>3</v>
      </c>
      <c r="I24" s="22">
        <v>7</v>
      </c>
      <c r="J24" s="22">
        <v>2</v>
      </c>
      <c r="K24" s="22">
        <v>1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1</v>
      </c>
      <c r="BD24" s="22">
        <v>0</v>
      </c>
      <c r="BE24" s="22">
        <v>0</v>
      </c>
    </row>
    <row r="25" spans="1:57" s="23" customFormat="1" ht="15" customHeight="1" x14ac:dyDescent="0.2">
      <c r="A25" s="81" t="s">
        <v>216</v>
      </c>
      <c r="B25" s="29" t="s">
        <v>74</v>
      </c>
      <c r="C25" s="30" t="s">
        <v>0</v>
      </c>
      <c r="D25" s="31">
        <v>1297</v>
      </c>
      <c r="E25" s="31">
        <v>788</v>
      </c>
      <c r="F25" s="31">
        <v>496</v>
      </c>
      <c r="G25" s="31">
        <v>13</v>
      </c>
      <c r="H25" s="31">
        <v>395</v>
      </c>
      <c r="I25" s="31">
        <v>326</v>
      </c>
      <c r="J25" s="31">
        <v>20</v>
      </c>
      <c r="K25" s="31">
        <v>4</v>
      </c>
      <c r="L25" s="31">
        <v>0</v>
      </c>
      <c r="M25" s="31">
        <v>17</v>
      </c>
      <c r="N25" s="31">
        <v>42</v>
      </c>
      <c r="O25" s="31">
        <v>0</v>
      </c>
      <c r="P25" s="31">
        <v>20</v>
      </c>
      <c r="Q25" s="31">
        <v>10</v>
      </c>
      <c r="R25" s="31">
        <v>0</v>
      </c>
      <c r="S25" s="31">
        <v>42</v>
      </c>
      <c r="T25" s="31">
        <v>6</v>
      </c>
      <c r="U25" s="31">
        <v>1</v>
      </c>
      <c r="V25" s="31">
        <v>73</v>
      </c>
      <c r="W25" s="31">
        <v>5</v>
      </c>
      <c r="X25" s="31">
        <v>0</v>
      </c>
      <c r="Y25" s="31">
        <v>0</v>
      </c>
      <c r="Z25" s="31">
        <v>3</v>
      </c>
      <c r="AA25" s="31">
        <v>0</v>
      </c>
      <c r="AB25" s="31">
        <v>1</v>
      </c>
      <c r="AC25" s="31">
        <v>0</v>
      </c>
      <c r="AD25" s="31">
        <v>0</v>
      </c>
      <c r="AE25" s="31">
        <v>1</v>
      </c>
      <c r="AF25" s="31">
        <v>0</v>
      </c>
      <c r="AG25" s="31">
        <v>0</v>
      </c>
      <c r="AH25" s="31">
        <v>3</v>
      </c>
      <c r="AI25" s="31">
        <v>1</v>
      </c>
      <c r="AJ25" s="31">
        <v>0</v>
      </c>
      <c r="AK25" s="31">
        <v>1</v>
      </c>
      <c r="AL25" s="31">
        <v>0</v>
      </c>
      <c r="AM25" s="31">
        <v>0</v>
      </c>
      <c r="AN25" s="31">
        <v>2</v>
      </c>
      <c r="AO25" s="31">
        <v>0</v>
      </c>
      <c r="AP25" s="31">
        <v>0</v>
      </c>
      <c r="AQ25" s="31">
        <v>41</v>
      </c>
      <c r="AR25" s="31">
        <v>4</v>
      </c>
      <c r="AS25" s="31">
        <v>0</v>
      </c>
      <c r="AT25" s="31">
        <v>18</v>
      </c>
      <c r="AU25" s="31">
        <v>0</v>
      </c>
      <c r="AV25" s="31">
        <v>0</v>
      </c>
      <c r="AW25" s="31">
        <v>12</v>
      </c>
      <c r="AX25" s="31">
        <v>0</v>
      </c>
      <c r="AY25" s="31">
        <v>0</v>
      </c>
      <c r="AZ25" s="31">
        <v>20</v>
      </c>
      <c r="BA25" s="31">
        <v>29</v>
      </c>
      <c r="BB25" s="31">
        <v>0</v>
      </c>
      <c r="BC25" s="31">
        <v>122</v>
      </c>
      <c r="BD25" s="31">
        <v>66</v>
      </c>
      <c r="BE25" s="31">
        <v>12</v>
      </c>
    </row>
    <row r="26" spans="1:57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1253</v>
      </c>
      <c r="E26" s="22">
        <v>768</v>
      </c>
      <c r="F26" s="22">
        <v>472</v>
      </c>
      <c r="G26" s="22">
        <v>13</v>
      </c>
      <c r="H26" s="22">
        <v>383</v>
      </c>
      <c r="I26" s="22">
        <v>307</v>
      </c>
      <c r="J26" s="22">
        <v>19</v>
      </c>
      <c r="K26" s="22">
        <v>4</v>
      </c>
      <c r="L26" s="22">
        <v>0</v>
      </c>
      <c r="M26" s="22">
        <v>17</v>
      </c>
      <c r="N26" s="22">
        <v>42</v>
      </c>
      <c r="O26" s="22">
        <v>0</v>
      </c>
      <c r="P26" s="22">
        <v>19</v>
      </c>
      <c r="Q26" s="22">
        <v>8</v>
      </c>
      <c r="R26" s="22">
        <v>0</v>
      </c>
      <c r="S26" s="22">
        <v>42</v>
      </c>
      <c r="T26" s="22">
        <v>6</v>
      </c>
      <c r="U26" s="22">
        <v>1</v>
      </c>
      <c r="V26" s="22">
        <v>71</v>
      </c>
      <c r="W26" s="22">
        <v>5</v>
      </c>
      <c r="X26" s="22">
        <v>0</v>
      </c>
      <c r="Y26" s="22">
        <v>0</v>
      </c>
      <c r="Z26" s="22">
        <v>3</v>
      </c>
      <c r="AA26" s="22">
        <v>0</v>
      </c>
      <c r="AB26" s="22">
        <v>1</v>
      </c>
      <c r="AC26" s="22">
        <v>0</v>
      </c>
      <c r="AD26" s="22">
        <v>0</v>
      </c>
      <c r="AE26" s="22">
        <v>1</v>
      </c>
      <c r="AF26" s="22">
        <v>0</v>
      </c>
      <c r="AG26" s="22">
        <v>0</v>
      </c>
      <c r="AH26" s="22">
        <v>3</v>
      </c>
      <c r="AI26" s="22">
        <v>1</v>
      </c>
      <c r="AJ26" s="22">
        <v>0</v>
      </c>
      <c r="AK26" s="22">
        <v>1</v>
      </c>
      <c r="AL26" s="22">
        <v>0</v>
      </c>
      <c r="AM26" s="22">
        <v>0</v>
      </c>
      <c r="AN26" s="22">
        <v>2</v>
      </c>
      <c r="AO26" s="22">
        <v>0</v>
      </c>
      <c r="AP26" s="22">
        <v>0</v>
      </c>
      <c r="AQ26" s="22">
        <v>40</v>
      </c>
      <c r="AR26" s="22">
        <v>4</v>
      </c>
      <c r="AS26" s="22">
        <v>0</v>
      </c>
      <c r="AT26" s="22">
        <v>18</v>
      </c>
      <c r="AU26" s="22">
        <v>0</v>
      </c>
      <c r="AV26" s="22">
        <v>0</v>
      </c>
      <c r="AW26" s="22">
        <v>12</v>
      </c>
      <c r="AX26" s="22">
        <v>0</v>
      </c>
      <c r="AY26" s="22">
        <v>0</v>
      </c>
      <c r="AZ26" s="22">
        <v>20</v>
      </c>
      <c r="BA26" s="22">
        <v>28</v>
      </c>
      <c r="BB26" s="22">
        <v>0</v>
      </c>
      <c r="BC26" s="22">
        <v>119</v>
      </c>
      <c r="BD26" s="22">
        <v>64</v>
      </c>
      <c r="BE26" s="22">
        <v>12</v>
      </c>
    </row>
    <row r="27" spans="1:57" s="23" customFormat="1" ht="15" customHeight="1" x14ac:dyDescent="0.2">
      <c r="A27" s="111"/>
      <c r="B27" s="34" t="s">
        <v>76</v>
      </c>
      <c r="C27" s="35" t="s">
        <v>194</v>
      </c>
      <c r="D27" s="22">
        <v>44</v>
      </c>
      <c r="E27" s="22">
        <v>20</v>
      </c>
      <c r="F27" s="22">
        <v>24</v>
      </c>
      <c r="G27" s="22">
        <v>0</v>
      </c>
      <c r="H27" s="22">
        <v>12</v>
      </c>
      <c r="I27" s="22">
        <v>19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1</v>
      </c>
      <c r="Q27" s="22">
        <v>2</v>
      </c>
      <c r="R27" s="22">
        <v>0</v>
      </c>
      <c r="S27" s="22">
        <v>0</v>
      </c>
      <c r="T27" s="22">
        <v>0</v>
      </c>
      <c r="U27" s="22">
        <v>0</v>
      </c>
      <c r="V27" s="22">
        <v>2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1</v>
      </c>
      <c r="BB27" s="22">
        <v>0</v>
      </c>
      <c r="BC27" s="22">
        <v>3</v>
      </c>
      <c r="BD27" s="22">
        <v>2</v>
      </c>
      <c r="BE27" s="22">
        <v>0</v>
      </c>
    </row>
    <row r="28" spans="1:57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60</v>
      </c>
      <c r="E28" s="31">
        <v>39</v>
      </c>
      <c r="F28" s="31">
        <v>21</v>
      </c>
      <c r="G28" s="31">
        <v>0</v>
      </c>
      <c r="H28" s="31">
        <v>20</v>
      </c>
      <c r="I28" s="31">
        <v>15</v>
      </c>
      <c r="J28" s="31">
        <v>1</v>
      </c>
      <c r="K28" s="31">
        <v>1</v>
      </c>
      <c r="L28" s="31">
        <v>0</v>
      </c>
      <c r="M28" s="31">
        <v>1</v>
      </c>
      <c r="N28" s="31">
        <v>1</v>
      </c>
      <c r="O28" s="31">
        <v>0</v>
      </c>
      <c r="P28" s="31">
        <v>3</v>
      </c>
      <c r="Q28" s="31">
        <v>1</v>
      </c>
      <c r="R28" s="31">
        <v>0</v>
      </c>
      <c r="S28" s="31">
        <v>5</v>
      </c>
      <c r="T28" s="31">
        <v>2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1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8</v>
      </c>
      <c r="BA28" s="31">
        <v>1</v>
      </c>
      <c r="BB28" s="31">
        <v>0</v>
      </c>
      <c r="BC28" s="31">
        <v>0</v>
      </c>
      <c r="BD28" s="31">
        <v>0</v>
      </c>
      <c r="BE28" s="31">
        <v>0</v>
      </c>
    </row>
    <row r="29" spans="1:57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54</v>
      </c>
      <c r="E29" s="22">
        <v>34</v>
      </c>
      <c r="F29" s="22">
        <v>20</v>
      </c>
      <c r="G29" s="22">
        <v>0</v>
      </c>
      <c r="H29" s="22">
        <v>20</v>
      </c>
      <c r="I29" s="22">
        <v>15</v>
      </c>
      <c r="J29" s="22">
        <v>1</v>
      </c>
      <c r="K29" s="22">
        <v>1</v>
      </c>
      <c r="L29" s="22">
        <v>0</v>
      </c>
      <c r="M29" s="22">
        <v>1</v>
      </c>
      <c r="N29" s="22">
        <v>1</v>
      </c>
      <c r="O29" s="22">
        <v>0</v>
      </c>
      <c r="P29" s="22">
        <v>2</v>
      </c>
      <c r="Q29" s="22">
        <v>1</v>
      </c>
      <c r="R29" s="22">
        <v>0</v>
      </c>
      <c r="S29" s="22">
        <v>4</v>
      </c>
      <c r="T29" s="22">
        <v>2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1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5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</row>
    <row r="30" spans="1:57" s="23" customFormat="1" ht="15" customHeight="1" x14ac:dyDescent="0.2">
      <c r="A30" s="24"/>
      <c r="B30" s="34" t="s">
        <v>76</v>
      </c>
      <c r="C30" s="35" t="s">
        <v>194</v>
      </c>
      <c r="D30" s="22">
        <v>6</v>
      </c>
      <c r="E30" s="22">
        <v>5</v>
      </c>
      <c r="F30" s="22">
        <v>1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1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3</v>
      </c>
      <c r="BA30" s="22">
        <v>1</v>
      </c>
      <c r="BB30" s="22">
        <v>0</v>
      </c>
      <c r="BC30" s="22">
        <v>0</v>
      </c>
      <c r="BD30" s="22">
        <v>0</v>
      </c>
      <c r="BE30" s="22">
        <v>0</v>
      </c>
    </row>
    <row r="31" spans="1:57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336</v>
      </c>
      <c r="E31" s="31">
        <v>206</v>
      </c>
      <c r="F31" s="31">
        <v>128</v>
      </c>
      <c r="G31" s="31">
        <v>2</v>
      </c>
      <c r="H31" s="31">
        <v>118</v>
      </c>
      <c r="I31" s="31">
        <v>114</v>
      </c>
      <c r="J31" s="31">
        <v>10</v>
      </c>
      <c r="K31" s="31">
        <v>0</v>
      </c>
      <c r="L31" s="31">
        <v>0</v>
      </c>
      <c r="M31" s="31">
        <v>6</v>
      </c>
      <c r="N31" s="31">
        <v>2</v>
      </c>
      <c r="O31" s="31">
        <v>0</v>
      </c>
      <c r="P31" s="31">
        <v>4</v>
      </c>
      <c r="Q31" s="31">
        <v>2</v>
      </c>
      <c r="R31" s="31">
        <v>0</v>
      </c>
      <c r="S31" s="31">
        <v>16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4</v>
      </c>
      <c r="AL31" s="31">
        <v>2</v>
      </c>
      <c r="AM31" s="31">
        <v>0</v>
      </c>
      <c r="AN31" s="31">
        <v>0</v>
      </c>
      <c r="AO31" s="31">
        <v>0</v>
      </c>
      <c r="AP31" s="31">
        <v>0</v>
      </c>
      <c r="AQ31" s="31">
        <v>2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6</v>
      </c>
      <c r="AX31" s="31">
        <v>0</v>
      </c>
      <c r="AY31" s="31">
        <v>0</v>
      </c>
      <c r="AZ31" s="31">
        <v>30</v>
      </c>
      <c r="BA31" s="31">
        <v>8</v>
      </c>
      <c r="BB31" s="31">
        <v>0</v>
      </c>
      <c r="BC31" s="31">
        <v>10</v>
      </c>
      <c r="BD31" s="31">
        <v>0</v>
      </c>
      <c r="BE31" s="31">
        <v>2</v>
      </c>
    </row>
    <row r="32" spans="1:57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282</v>
      </c>
      <c r="E32" s="22">
        <v>178</v>
      </c>
      <c r="F32" s="22">
        <v>102</v>
      </c>
      <c r="G32" s="22">
        <v>2</v>
      </c>
      <c r="H32" s="22">
        <v>108</v>
      </c>
      <c r="I32" s="22">
        <v>90</v>
      </c>
      <c r="J32" s="22">
        <v>8</v>
      </c>
      <c r="K32" s="22">
        <v>0</v>
      </c>
      <c r="L32" s="22">
        <v>0</v>
      </c>
      <c r="M32" s="22">
        <v>6</v>
      </c>
      <c r="N32" s="22">
        <v>2</v>
      </c>
      <c r="O32" s="22">
        <v>0</v>
      </c>
      <c r="P32" s="22">
        <v>4</v>
      </c>
      <c r="Q32" s="22">
        <v>2</v>
      </c>
      <c r="R32" s="22">
        <v>0</v>
      </c>
      <c r="S32" s="22">
        <v>6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4</v>
      </c>
      <c r="AL32" s="22">
        <v>2</v>
      </c>
      <c r="AM32" s="22">
        <v>0</v>
      </c>
      <c r="AN32" s="22">
        <v>0</v>
      </c>
      <c r="AO32" s="22">
        <v>0</v>
      </c>
      <c r="AP32" s="22">
        <v>0</v>
      </c>
      <c r="AQ32" s="22">
        <v>2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6</v>
      </c>
      <c r="AX32" s="22">
        <v>0</v>
      </c>
      <c r="AY32" s="22">
        <v>0</v>
      </c>
      <c r="AZ32" s="22">
        <v>24</v>
      </c>
      <c r="BA32" s="22">
        <v>6</v>
      </c>
      <c r="BB32" s="22">
        <v>0</v>
      </c>
      <c r="BC32" s="22">
        <v>10</v>
      </c>
      <c r="BD32" s="22">
        <v>0</v>
      </c>
      <c r="BE32" s="22">
        <v>2</v>
      </c>
    </row>
    <row r="33" spans="1:57" s="23" customFormat="1" ht="15" customHeight="1" x14ac:dyDescent="0.2">
      <c r="A33" s="111"/>
      <c r="B33" s="34" t="s">
        <v>76</v>
      </c>
      <c r="C33" s="35" t="s">
        <v>194</v>
      </c>
      <c r="D33" s="22">
        <v>54</v>
      </c>
      <c r="E33" s="22">
        <v>28</v>
      </c>
      <c r="F33" s="22">
        <v>26</v>
      </c>
      <c r="G33" s="22">
        <v>0</v>
      </c>
      <c r="H33" s="22">
        <v>10</v>
      </c>
      <c r="I33" s="22">
        <v>24</v>
      </c>
      <c r="J33" s="22">
        <v>2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10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6</v>
      </c>
      <c r="BA33" s="22">
        <v>2</v>
      </c>
      <c r="BB33" s="22">
        <v>0</v>
      </c>
      <c r="BC33" s="22">
        <v>0</v>
      </c>
      <c r="BD33" s="22">
        <v>0</v>
      </c>
      <c r="BE33" s="22">
        <v>0</v>
      </c>
    </row>
    <row r="34" spans="1:57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201</v>
      </c>
      <c r="E34" s="31">
        <v>150</v>
      </c>
      <c r="F34" s="31">
        <v>49</v>
      </c>
      <c r="G34" s="31">
        <v>2</v>
      </c>
      <c r="H34" s="31">
        <v>56</v>
      </c>
      <c r="I34" s="31">
        <v>38</v>
      </c>
      <c r="J34" s="31">
        <v>1</v>
      </c>
      <c r="K34" s="31">
        <v>0</v>
      </c>
      <c r="L34" s="31">
        <v>0</v>
      </c>
      <c r="M34" s="31">
        <v>1</v>
      </c>
      <c r="N34" s="31">
        <v>3</v>
      </c>
      <c r="O34" s="31">
        <v>0</v>
      </c>
      <c r="P34" s="31">
        <v>13</v>
      </c>
      <c r="Q34" s="31">
        <v>0</v>
      </c>
      <c r="R34" s="31">
        <v>0</v>
      </c>
      <c r="S34" s="31">
        <v>4</v>
      </c>
      <c r="T34" s="31">
        <v>3</v>
      </c>
      <c r="U34" s="31">
        <v>0</v>
      </c>
      <c r="V34" s="31">
        <v>25</v>
      </c>
      <c r="W34" s="31">
        <v>1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1</v>
      </c>
      <c r="AF34" s="31">
        <v>0</v>
      </c>
      <c r="AG34" s="31">
        <v>0</v>
      </c>
      <c r="AH34" s="31">
        <v>2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1</v>
      </c>
      <c r="AO34" s="31">
        <v>0</v>
      </c>
      <c r="AP34" s="31">
        <v>0</v>
      </c>
      <c r="AQ34" s="31">
        <v>10</v>
      </c>
      <c r="AR34" s="31">
        <v>1</v>
      </c>
      <c r="AS34" s="31">
        <v>0</v>
      </c>
      <c r="AT34" s="31">
        <v>6</v>
      </c>
      <c r="AU34" s="31">
        <v>0</v>
      </c>
      <c r="AV34" s="31">
        <v>0</v>
      </c>
      <c r="AW34" s="31">
        <v>6</v>
      </c>
      <c r="AX34" s="31">
        <v>0</v>
      </c>
      <c r="AY34" s="31">
        <v>0</v>
      </c>
      <c r="AZ34" s="31">
        <v>24</v>
      </c>
      <c r="BA34" s="31">
        <v>3</v>
      </c>
      <c r="BB34" s="31">
        <v>0</v>
      </c>
      <c r="BC34" s="31">
        <v>0</v>
      </c>
      <c r="BD34" s="31">
        <v>0</v>
      </c>
      <c r="BE34" s="31">
        <v>2</v>
      </c>
    </row>
    <row r="35" spans="1:57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194</v>
      </c>
      <c r="E35" s="22">
        <v>144</v>
      </c>
      <c r="F35" s="22">
        <v>48</v>
      </c>
      <c r="G35" s="22">
        <v>2</v>
      </c>
      <c r="H35" s="22">
        <v>51</v>
      </c>
      <c r="I35" s="22">
        <v>37</v>
      </c>
      <c r="J35" s="22">
        <v>1</v>
      </c>
      <c r="K35" s="22">
        <v>0</v>
      </c>
      <c r="L35" s="22">
        <v>0</v>
      </c>
      <c r="M35" s="22">
        <v>1</v>
      </c>
      <c r="N35" s="22">
        <v>3</v>
      </c>
      <c r="O35" s="22">
        <v>0</v>
      </c>
      <c r="P35" s="22">
        <v>13</v>
      </c>
      <c r="Q35" s="22">
        <v>0</v>
      </c>
      <c r="R35" s="22">
        <v>0</v>
      </c>
      <c r="S35" s="22">
        <v>4</v>
      </c>
      <c r="T35" s="22">
        <v>3</v>
      </c>
      <c r="U35" s="22">
        <v>0</v>
      </c>
      <c r="V35" s="22">
        <v>25</v>
      </c>
      <c r="W35" s="22">
        <v>1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1</v>
      </c>
      <c r="AF35" s="22">
        <v>0</v>
      </c>
      <c r="AG35" s="22">
        <v>0</v>
      </c>
      <c r="AH35" s="22">
        <v>2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1</v>
      </c>
      <c r="AO35" s="22">
        <v>0</v>
      </c>
      <c r="AP35" s="22">
        <v>0</v>
      </c>
      <c r="AQ35" s="22">
        <v>10</v>
      </c>
      <c r="AR35" s="22">
        <v>1</v>
      </c>
      <c r="AS35" s="22">
        <v>0</v>
      </c>
      <c r="AT35" s="22">
        <v>6</v>
      </c>
      <c r="AU35" s="22">
        <v>0</v>
      </c>
      <c r="AV35" s="22">
        <v>0</v>
      </c>
      <c r="AW35" s="22">
        <v>6</v>
      </c>
      <c r="AX35" s="22">
        <v>0</v>
      </c>
      <c r="AY35" s="22">
        <v>0</v>
      </c>
      <c r="AZ35" s="22">
        <v>23</v>
      </c>
      <c r="BA35" s="22">
        <v>3</v>
      </c>
      <c r="BB35" s="22">
        <v>0</v>
      </c>
      <c r="BC35" s="22">
        <v>0</v>
      </c>
      <c r="BD35" s="22">
        <v>0</v>
      </c>
      <c r="BE35" s="22">
        <v>2</v>
      </c>
    </row>
    <row r="36" spans="1:57" s="23" customFormat="1" ht="15" customHeight="1" x14ac:dyDescent="0.2">
      <c r="A36" s="111"/>
      <c r="B36" s="34" t="s">
        <v>76</v>
      </c>
      <c r="C36" s="35" t="s">
        <v>194</v>
      </c>
      <c r="D36" s="22">
        <v>7</v>
      </c>
      <c r="E36" s="22">
        <v>6</v>
      </c>
      <c r="F36" s="22">
        <v>1</v>
      </c>
      <c r="G36" s="22">
        <v>0</v>
      </c>
      <c r="H36" s="22">
        <v>5</v>
      </c>
      <c r="I36" s="22">
        <v>1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1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</row>
    <row r="37" spans="1:57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373</v>
      </c>
      <c r="E37" s="31">
        <v>194</v>
      </c>
      <c r="F37" s="31">
        <v>177</v>
      </c>
      <c r="G37" s="31">
        <v>2</v>
      </c>
      <c r="H37" s="31">
        <v>131</v>
      </c>
      <c r="I37" s="31">
        <v>135</v>
      </c>
      <c r="J37" s="31">
        <v>10</v>
      </c>
      <c r="K37" s="31">
        <v>4</v>
      </c>
      <c r="L37" s="31">
        <v>0</v>
      </c>
      <c r="M37" s="31">
        <v>4</v>
      </c>
      <c r="N37" s="31">
        <v>10</v>
      </c>
      <c r="O37" s="31">
        <v>0</v>
      </c>
      <c r="P37" s="31">
        <v>10</v>
      </c>
      <c r="Q37" s="31">
        <v>5</v>
      </c>
      <c r="R37" s="31">
        <v>0</v>
      </c>
      <c r="S37" s="31">
        <v>4</v>
      </c>
      <c r="T37" s="31">
        <v>7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1</v>
      </c>
      <c r="AF37" s="31">
        <v>1</v>
      </c>
      <c r="AG37" s="31">
        <v>0</v>
      </c>
      <c r="AH37" s="31">
        <v>3</v>
      </c>
      <c r="AI37" s="31">
        <v>6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31</v>
      </c>
      <c r="BD37" s="31">
        <v>9</v>
      </c>
      <c r="BE37" s="31">
        <v>2</v>
      </c>
    </row>
    <row r="38" spans="1:57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360</v>
      </c>
      <c r="E38" s="22">
        <v>188</v>
      </c>
      <c r="F38" s="22">
        <v>170</v>
      </c>
      <c r="G38" s="22">
        <v>2</v>
      </c>
      <c r="H38" s="22">
        <v>125</v>
      </c>
      <c r="I38" s="22">
        <v>128</v>
      </c>
      <c r="J38" s="22">
        <v>10</v>
      </c>
      <c r="K38" s="22">
        <v>4</v>
      </c>
      <c r="L38" s="22">
        <v>0</v>
      </c>
      <c r="M38" s="22">
        <v>4</v>
      </c>
      <c r="N38" s="22">
        <v>10</v>
      </c>
      <c r="O38" s="22">
        <v>0</v>
      </c>
      <c r="P38" s="22">
        <v>10</v>
      </c>
      <c r="Q38" s="22">
        <v>5</v>
      </c>
      <c r="R38" s="22">
        <v>0</v>
      </c>
      <c r="S38" s="22">
        <v>4</v>
      </c>
      <c r="T38" s="22">
        <v>7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1</v>
      </c>
      <c r="AF38" s="22">
        <v>1</v>
      </c>
      <c r="AG38" s="22">
        <v>0</v>
      </c>
      <c r="AH38" s="22">
        <v>3</v>
      </c>
      <c r="AI38" s="22">
        <v>6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31</v>
      </c>
      <c r="BD38" s="22">
        <v>9</v>
      </c>
      <c r="BE38" s="22">
        <v>2</v>
      </c>
    </row>
    <row r="39" spans="1:57" s="23" customFormat="1" ht="15" customHeight="1" x14ac:dyDescent="0.2">
      <c r="A39" s="111"/>
      <c r="B39" s="34" t="s">
        <v>76</v>
      </c>
      <c r="C39" s="35" t="s">
        <v>194</v>
      </c>
      <c r="D39" s="22">
        <v>13</v>
      </c>
      <c r="E39" s="22">
        <v>6</v>
      </c>
      <c r="F39" s="22">
        <v>7</v>
      </c>
      <c r="G39" s="22">
        <v>0</v>
      </c>
      <c r="H39" s="22">
        <v>6</v>
      </c>
      <c r="I39" s="22">
        <v>7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</row>
    <row r="40" spans="1:57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190</v>
      </c>
      <c r="E40" s="31">
        <v>138</v>
      </c>
      <c r="F40" s="31">
        <v>49</v>
      </c>
      <c r="G40" s="31">
        <v>3</v>
      </c>
      <c r="H40" s="31">
        <v>51</v>
      </c>
      <c r="I40" s="31">
        <v>40</v>
      </c>
      <c r="J40" s="31">
        <v>7</v>
      </c>
      <c r="K40" s="31">
        <v>1</v>
      </c>
      <c r="L40" s="31">
        <v>0</v>
      </c>
      <c r="M40" s="31">
        <v>7</v>
      </c>
      <c r="N40" s="31">
        <v>2</v>
      </c>
      <c r="O40" s="31">
        <v>0</v>
      </c>
      <c r="P40" s="31">
        <v>6</v>
      </c>
      <c r="Q40" s="31">
        <v>0</v>
      </c>
      <c r="R40" s="31">
        <v>0</v>
      </c>
      <c r="S40" s="31">
        <v>2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2</v>
      </c>
      <c r="AR40" s="31">
        <v>1</v>
      </c>
      <c r="AS40" s="31">
        <v>0</v>
      </c>
      <c r="AT40" s="31">
        <v>1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16</v>
      </c>
      <c r="BA40" s="31">
        <v>0</v>
      </c>
      <c r="BB40" s="31">
        <v>0</v>
      </c>
      <c r="BC40" s="31">
        <v>46</v>
      </c>
      <c r="BD40" s="31">
        <v>5</v>
      </c>
      <c r="BE40" s="31">
        <v>3</v>
      </c>
    </row>
    <row r="41" spans="1:57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150</v>
      </c>
      <c r="E41" s="22">
        <v>111</v>
      </c>
      <c r="F41" s="22">
        <v>36</v>
      </c>
      <c r="G41" s="22">
        <v>3</v>
      </c>
      <c r="H41" s="22">
        <v>37</v>
      </c>
      <c r="I41" s="22">
        <v>30</v>
      </c>
      <c r="J41" s="22">
        <v>5</v>
      </c>
      <c r="K41" s="22">
        <v>0</v>
      </c>
      <c r="L41" s="22">
        <v>0</v>
      </c>
      <c r="M41" s="22">
        <v>7</v>
      </c>
      <c r="N41" s="22">
        <v>2</v>
      </c>
      <c r="O41" s="22">
        <v>0</v>
      </c>
      <c r="P41" s="22">
        <v>3</v>
      </c>
      <c r="Q41" s="22">
        <v>0</v>
      </c>
      <c r="R41" s="22">
        <v>0</v>
      </c>
      <c r="S41" s="22">
        <v>1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2</v>
      </c>
      <c r="AR41" s="22">
        <v>1</v>
      </c>
      <c r="AS41" s="22">
        <v>0</v>
      </c>
      <c r="AT41" s="22">
        <v>1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14</v>
      </c>
      <c r="BA41" s="22">
        <v>0</v>
      </c>
      <c r="BB41" s="22">
        <v>0</v>
      </c>
      <c r="BC41" s="22">
        <v>41</v>
      </c>
      <c r="BD41" s="22">
        <v>3</v>
      </c>
      <c r="BE41" s="22">
        <v>3</v>
      </c>
    </row>
    <row r="42" spans="1:57" s="23" customFormat="1" ht="15" customHeight="1" x14ac:dyDescent="0.2">
      <c r="A42" s="111"/>
      <c r="B42" s="34" t="s">
        <v>76</v>
      </c>
      <c r="C42" s="35" t="s">
        <v>194</v>
      </c>
      <c r="D42" s="22">
        <v>40</v>
      </c>
      <c r="E42" s="22">
        <v>27</v>
      </c>
      <c r="F42" s="22">
        <v>13</v>
      </c>
      <c r="G42" s="22">
        <v>0</v>
      </c>
      <c r="H42" s="22">
        <v>14</v>
      </c>
      <c r="I42" s="22">
        <v>10</v>
      </c>
      <c r="J42" s="22">
        <v>2</v>
      </c>
      <c r="K42" s="22">
        <v>1</v>
      </c>
      <c r="L42" s="22">
        <v>0</v>
      </c>
      <c r="M42" s="22">
        <v>0</v>
      </c>
      <c r="N42" s="22">
        <v>0</v>
      </c>
      <c r="O42" s="22">
        <v>0</v>
      </c>
      <c r="P42" s="22">
        <v>3</v>
      </c>
      <c r="Q42" s="22">
        <v>0</v>
      </c>
      <c r="R42" s="22">
        <v>0</v>
      </c>
      <c r="S42" s="22">
        <v>1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2</v>
      </c>
      <c r="BA42" s="22">
        <v>0</v>
      </c>
      <c r="BB42" s="22">
        <v>0</v>
      </c>
      <c r="BC42" s="22">
        <v>5</v>
      </c>
      <c r="BD42" s="22">
        <v>2</v>
      </c>
      <c r="BE42" s="22">
        <v>0</v>
      </c>
    </row>
    <row r="43" spans="1:57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277</v>
      </c>
      <c r="E43" s="31">
        <v>195</v>
      </c>
      <c r="F43" s="31">
        <v>78</v>
      </c>
      <c r="G43" s="31">
        <v>4</v>
      </c>
      <c r="H43" s="31">
        <v>85</v>
      </c>
      <c r="I43" s="31">
        <v>52</v>
      </c>
      <c r="J43" s="31">
        <v>4</v>
      </c>
      <c r="K43" s="31">
        <v>0</v>
      </c>
      <c r="L43" s="31">
        <v>0</v>
      </c>
      <c r="M43" s="31">
        <v>9</v>
      </c>
      <c r="N43" s="31">
        <v>5</v>
      </c>
      <c r="O43" s="31">
        <v>0</v>
      </c>
      <c r="P43" s="31">
        <v>10</v>
      </c>
      <c r="Q43" s="31">
        <v>5</v>
      </c>
      <c r="R43" s="31">
        <v>0</v>
      </c>
      <c r="S43" s="31">
        <v>7</v>
      </c>
      <c r="T43" s="31">
        <v>1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4</v>
      </c>
      <c r="AC43" s="31">
        <v>1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17</v>
      </c>
      <c r="AR43" s="31">
        <v>2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45</v>
      </c>
      <c r="BA43" s="31">
        <v>7</v>
      </c>
      <c r="BB43" s="31">
        <v>0</v>
      </c>
      <c r="BC43" s="31">
        <v>14</v>
      </c>
      <c r="BD43" s="31">
        <v>5</v>
      </c>
      <c r="BE43" s="31">
        <v>4</v>
      </c>
    </row>
    <row r="44" spans="1:57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274</v>
      </c>
      <c r="E44" s="22">
        <v>194</v>
      </c>
      <c r="F44" s="22">
        <v>76</v>
      </c>
      <c r="G44" s="22">
        <v>4</v>
      </c>
      <c r="H44" s="22">
        <v>85</v>
      </c>
      <c r="I44" s="22">
        <v>50</v>
      </c>
      <c r="J44" s="22">
        <v>4</v>
      </c>
      <c r="K44" s="22">
        <v>0</v>
      </c>
      <c r="L44" s="22">
        <v>0</v>
      </c>
      <c r="M44" s="22">
        <v>9</v>
      </c>
      <c r="N44" s="22">
        <v>5</v>
      </c>
      <c r="O44" s="22">
        <v>0</v>
      </c>
      <c r="P44" s="22">
        <v>9</v>
      </c>
      <c r="Q44" s="22">
        <v>5</v>
      </c>
      <c r="R44" s="22">
        <v>0</v>
      </c>
      <c r="S44" s="22">
        <v>7</v>
      </c>
      <c r="T44" s="22">
        <v>1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4</v>
      </c>
      <c r="AC44" s="22">
        <v>1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17</v>
      </c>
      <c r="AR44" s="22">
        <v>2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45</v>
      </c>
      <c r="BA44" s="22">
        <v>7</v>
      </c>
      <c r="BB44" s="22">
        <v>0</v>
      </c>
      <c r="BC44" s="22">
        <v>14</v>
      </c>
      <c r="BD44" s="22">
        <v>5</v>
      </c>
      <c r="BE44" s="22">
        <v>4</v>
      </c>
    </row>
    <row r="45" spans="1:57" s="23" customFormat="1" ht="15" customHeight="1" x14ac:dyDescent="0.2">
      <c r="A45" s="111"/>
      <c r="B45" s="34" t="s">
        <v>76</v>
      </c>
      <c r="C45" s="35" t="s">
        <v>194</v>
      </c>
      <c r="D45" s="22">
        <v>3</v>
      </c>
      <c r="E45" s="22">
        <v>1</v>
      </c>
      <c r="F45" s="22">
        <v>2</v>
      </c>
      <c r="G45" s="22">
        <v>0</v>
      </c>
      <c r="H45" s="22">
        <v>0</v>
      </c>
      <c r="I45" s="22">
        <v>2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1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</row>
    <row r="46" spans="1:57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136</v>
      </c>
      <c r="E46" s="31">
        <v>92</v>
      </c>
      <c r="F46" s="31">
        <v>44</v>
      </c>
      <c r="G46" s="31">
        <v>0</v>
      </c>
      <c r="H46" s="31">
        <v>48</v>
      </c>
      <c r="I46" s="31">
        <v>38</v>
      </c>
      <c r="J46" s="31">
        <v>0</v>
      </c>
      <c r="K46" s="31">
        <v>0</v>
      </c>
      <c r="L46" s="31">
        <v>0</v>
      </c>
      <c r="M46" s="31">
        <v>1</v>
      </c>
      <c r="N46" s="31">
        <v>3</v>
      </c>
      <c r="O46" s="31">
        <v>0</v>
      </c>
      <c r="P46" s="31">
        <v>4</v>
      </c>
      <c r="Q46" s="31">
        <v>2</v>
      </c>
      <c r="R46" s="31">
        <v>0</v>
      </c>
      <c r="S46" s="31">
        <v>4</v>
      </c>
      <c r="T46" s="31">
        <v>1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4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4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25</v>
      </c>
      <c r="BA46" s="31">
        <v>0</v>
      </c>
      <c r="BB46" s="31">
        <v>0</v>
      </c>
      <c r="BC46" s="31">
        <v>2</v>
      </c>
      <c r="BD46" s="31">
        <v>0</v>
      </c>
      <c r="BE46" s="31">
        <v>0</v>
      </c>
    </row>
    <row r="47" spans="1:57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134</v>
      </c>
      <c r="E47" s="22">
        <v>91</v>
      </c>
      <c r="F47" s="22">
        <v>43</v>
      </c>
      <c r="G47" s="22">
        <v>0</v>
      </c>
      <c r="H47" s="22">
        <v>48</v>
      </c>
      <c r="I47" s="22">
        <v>37</v>
      </c>
      <c r="J47" s="22">
        <v>0</v>
      </c>
      <c r="K47" s="22">
        <v>0</v>
      </c>
      <c r="L47" s="22">
        <v>0</v>
      </c>
      <c r="M47" s="22">
        <v>1</v>
      </c>
      <c r="N47" s="22">
        <v>3</v>
      </c>
      <c r="O47" s="22">
        <v>0</v>
      </c>
      <c r="P47" s="22">
        <v>4</v>
      </c>
      <c r="Q47" s="22">
        <v>2</v>
      </c>
      <c r="R47" s="22">
        <v>0</v>
      </c>
      <c r="S47" s="22">
        <v>4</v>
      </c>
      <c r="T47" s="22">
        <v>1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4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4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24</v>
      </c>
      <c r="BA47" s="22">
        <v>0</v>
      </c>
      <c r="BB47" s="22">
        <v>0</v>
      </c>
      <c r="BC47" s="22">
        <v>2</v>
      </c>
      <c r="BD47" s="22">
        <v>0</v>
      </c>
      <c r="BE47" s="22">
        <v>0</v>
      </c>
    </row>
    <row r="48" spans="1:57" s="23" customFormat="1" ht="15" customHeight="1" x14ac:dyDescent="0.2">
      <c r="A48" s="111"/>
      <c r="B48" s="34" t="s">
        <v>76</v>
      </c>
      <c r="C48" s="35" t="s">
        <v>194</v>
      </c>
      <c r="D48" s="22">
        <v>2</v>
      </c>
      <c r="E48" s="22">
        <v>1</v>
      </c>
      <c r="F48" s="22">
        <v>1</v>
      </c>
      <c r="G48" s="22">
        <v>0</v>
      </c>
      <c r="H48" s="22">
        <v>0</v>
      </c>
      <c r="I48" s="22">
        <v>1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1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</row>
    <row r="49" spans="1:57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330</v>
      </c>
      <c r="E49" s="31">
        <v>234</v>
      </c>
      <c r="F49" s="31">
        <v>95</v>
      </c>
      <c r="G49" s="31">
        <v>1</v>
      </c>
      <c r="H49" s="31">
        <v>77</v>
      </c>
      <c r="I49" s="31">
        <v>54</v>
      </c>
      <c r="J49" s="31">
        <v>12</v>
      </c>
      <c r="K49" s="31">
        <v>4</v>
      </c>
      <c r="L49" s="31">
        <v>0</v>
      </c>
      <c r="M49" s="31">
        <v>4</v>
      </c>
      <c r="N49" s="31">
        <v>5</v>
      </c>
      <c r="O49" s="31">
        <v>0</v>
      </c>
      <c r="P49" s="31">
        <v>18</v>
      </c>
      <c r="Q49" s="31">
        <v>0</v>
      </c>
      <c r="R49" s="31">
        <v>0</v>
      </c>
      <c r="S49" s="31">
        <v>10</v>
      </c>
      <c r="T49" s="31">
        <v>3</v>
      </c>
      <c r="U49" s="31">
        <v>0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11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40</v>
      </c>
      <c r="BA49" s="31">
        <v>10</v>
      </c>
      <c r="BB49" s="31">
        <v>0</v>
      </c>
      <c r="BC49" s="31">
        <v>61</v>
      </c>
      <c r="BD49" s="31">
        <v>19</v>
      </c>
      <c r="BE49" s="31">
        <v>1</v>
      </c>
    </row>
    <row r="50" spans="1:57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286</v>
      </c>
      <c r="E50" s="22">
        <v>197</v>
      </c>
      <c r="F50" s="22">
        <v>88</v>
      </c>
      <c r="G50" s="22">
        <v>1</v>
      </c>
      <c r="H50" s="22">
        <v>66</v>
      </c>
      <c r="I50" s="22">
        <v>54</v>
      </c>
      <c r="J50" s="22">
        <v>11</v>
      </c>
      <c r="K50" s="22">
        <v>4</v>
      </c>
      <c r="L50" s="22">
        <v>0</v>
      </c>
      <c r="M50" s="22">
        <v>4</v>
      </c>
      <c r="N50" s="22">
        <v>5</v>
      </c>
      <c r="O50" s="22">
        <v>0</v>
      </c>
      <c r="P50" s="22">
        <v>11</v>
      </c>
      <c r="Q50" s="22">
        <v>0</v>
      </c>
      <c r="R50" s="22">
        <v>0</v>
      </c>
      <c r="S50" s="22">
        <v>10</v>
      </c>
      <c r="T50" s="22">
        <v>3</v>
      </c>
      <c r="U50" s="22">
        <v>0</v>
      </c>
      <c r="V50" s="22">
        <v>1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8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35</v>
      </c>
      <c r="BA50" s="22">
        <v>5</v>
      </c>
      <c r="BB50" s="22">
        <v>0</v>
      </c>
      <c r="BC50" s="22">
        <v>51</v>
      </c>
      <c r="BD50" s="22">
        <v>17</v>
      </c>
      <c r="BE50" s="22">
        <v>1</v>
      </c>
    </row>
    <row r="51" spans="1:57" s="23" customFormat="1" ht="15" customHeight="1" x14ac:dyDescent="0.2">
      <c r="A51" s="111"/>
      <c r="B51" s="34" t="s">
        <v>76</v>
      </c>
      <c r="C51" s="35" t="s">
        <v>194</v>
      </c>
      <c r="D51" s="22">
        <v>44</v>
      </c>
      <c r="E51" s="22">
        <v>37</v>
      </c>
      <c r="F51" s="22">
        <v>7</v>
      </c>
      <c r="G51" s="22">
        <v>0</v>
      </c>
      <c r="H51" s="22">
        <v>11</v>
      </c>
      <c r="I51" s="22">
        <v>0</v>
      </c>
      <c r="J51" s="22">
        <v>1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7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3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5</v>
      </c>
      <c r="BA51" s="22">
        <v>5</v>
      </c>
      <c r="BB51" s="22">
        <v>0</v>
      </c>
      <c r="BC51" s="22">
        <v>10</v>
      </c>
      <c r="BD51" s="22">
        <v>2</v>
      </c>
      <c r="BE51" s="22">
        <v>0</v>
      </c>
    </row>
    <row r="52" spans="1:57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83</v>
      </c>
      <c r="E52" s="31">
        <v>67</v>
      </c>
      <c r="F52" s="31">
        <v>14</v>
      </c>
      <c r="G52" s="31">
        <v>2</v>
      </c>
      <c r="H52" s="31">
        <v>15</v>
      </c>
      <c r="I52" s="31">
        <v>5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6</v>
      </c>
      <c r="Q52" s="31">
        <v>0</v>
      </c>
      <c r="R52" s="31">
        <v>0</v>
      </c>
      <c r="S52" s="31">
        <v>1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1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6</v>
      </c>
      <c r="AR52" s="31">
        <v>1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10</v>
      </c>
      <c r="BA52" s="31">
        <v>0</v>
      </c>
      <c r="BB52" s="31">
        <v>0</v>
      </c>
      <c r="BC52" s="31">
        <v>28</v>
      </c>
      <c r="BD52" s="31">
        <v>8</v>
      </c>
      <c r="BE52" s="31">
        <v>2</v>
      </c>
    </row>
    <row r="53" spans="1:57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41</v>
      </c>
      <c r="E53" s="22">
        <v>34</v>
      </c>
      <c r="F53" s="22">
        <v>5</v>
      </c>
      <c r="G53" s="22">
        <v>2</v>
      </c>
      <c r="H53" s="22">
        <v>7</v>
      </c>
      <c r="I53" s="22">
        <v>1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1</v>
      </c>
      <c r="Q53" s="22">
        <v>0</v>
      </c>
      <c r="R53" s="22">
        <v>0</v>
      </c>
      <c r="S53" s="22">
        <v>1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1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4</v>
      </c>
      <c r="AR53" s="22">
        <v>1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4</v>
      </c>
      <c r="BA53" s="22">
        <v>0</v>
      </c>
      <c r="BB53" s="22">
        <v>0</v>
      </c>
      <c r="BC53" s="22">
        <v>16</v>
      </c>
      <c r="BD53" s="22">
        <v>3</v>
      </c>
      <c r="BE53" s="22">
        <v>2</v>
      </c>
    </row>
    <row r="54" spans="1:57" s="23" customFormat="1" ht="15" customHeight="1" x14ac:dyDescent="0.2">
      <c r="A54" s="111"/>
      <c r="B54" s="34" t="s">
        <v>76</v>
      </c>
      <c r="C54" s="35" t="s">
        <v>194</v>
      </c>
      <c r="D54" s="22">
        <v>42</v>
      </c>
      <c r="E54" s="22">
        <v>33</v>
      </c>
      <c r="F54" s="22">
        <v>9</v>
      </c>
      <c r="G54" s="22">
        <v>0</v>
      </c>
      <c r="H54" s="22">
        <v>8</v>
      </c>
      <c r="I54" s="22">
        <v>4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5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2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6</v>
      </c>
      <c r="BA54" s="22">
        <v>0</v>
      </c>
      <c r="BB54" s="22">
        <v>0</v>
      </c>
      <c r="BC54" s="22">
        <v>12</v>
      </c>
      <c r="BD54" s="22">
        <v>5</v>
      </c>
      <c r="BE54" s="22">
        <v>0</v>
      </c>
    </row>
    <row r="55" spans="1:57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262</v>
      </c>
      <c r="E55" s="31">
        <v>181</v>
      </c>
      <c r="F55" s="31">
        <v>80</v>
      </c>
      <c r="G55" s="31">
        <v>1</v>
      </c>
      <c r="H55" s="31">
        <v>75</v>
      </c>
      <c r="I55" s="31">
        <v>65</v>
      </c>
      <c r="J55" s="31">
        <v>4</v>
      </c>
      <c r="K55" s="31">
        <v>3</v>
      </c>
      <c r="L55" s="31">
        <v>0</v>
      </c>
      <c r="M55" s="31">
        <v>0</v>
      </c>
      <c r="N55" s="31">
        <v>4</v>
      </c>
      <c r="O55" s="31">
        <v>0</v>
      </c>
      <c r="P55" s="31">
        <v>17</v>
      </c>
      <c r="Q55" s="31">
        <v>3</v>
      </c>
      <c r="R55" s="31">
        <v>0</v>
      </c>
      <c r="S55" s="31">
        <v>14</v>
      </c>
      <c r="T55" s="31">
        <v>1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2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16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6</v>
      </c>
      <c r="AX55" s="31">
        <v>0</v>
      </c>
      <c r="AY55" s="31">
        <v>0</v>
      </c>
      <c r="AZ55" s="31">
        <v>44</v>
      </c>
      <c r="BA55" s="31">
        <v>4</v>
      </c>
      <c r="BB55" s="31">
        <v>0</v>
      </c>
      <c r="BC55" s="31">
        <v>3</v>
      </c>
      <c r="BD55" s="31">
        <v>0</v>
      </c>
      <c r="BE55" s="31">
        <v>1</v>
      </c>
    </row>
    <row r="56" spans="1:57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156</v>
      </c>
      <c r="E56" s="22">
        <v>111</v>
      </c>
      <c r="F56" s="22">
        <v>44</v>
      </c>
      <c r="G56" s="22">
        <v>1</v>
      </c>
      <c r="H56" s="22">
        <v>43</v>
      </c>
      <c r="I56" s="22">
        <v>34</v>
      </c>
      <c r="J56" s="22">
        <v>1</v>
      </c>
      <c r="K56" s="22">
        <v>2</v>
      </c>
      <c r="L56" s="22">
        <v>0</v>
      </c>
      <c r="M56" s="22">
        <v>0</v>
      </c>
      <c r="N56" s="22">
        <v>4</v>
      </c>
      <c r="O56" s="22">
        <v>0</v>
      </c>
      <c r="P56" s="22">
        <v>12</v>
      </c>
      <c r="Q56" s="22">
        <v>1</v>
      </c>
      <c r="R56" s="22">
        <v>0</v>
      </c>
      <c r="S56" s="22">
        <v>4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1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4</v>
      </c>
      <c r="AX56" s="22">
        <v>0</v>
      </c>
      <c r="AY56" s="22">
        <v>0</v>
      </c>
      <c r="AZ56" s="22">
        <v>33</v>
      </c>
      <c r="BA56" s="22">
        <v>3</v>
      </c>
      <c r="BB56" s="22">
        <v>0</v>
      </c>
      <c r="BC56" s="22">
        <v>3</v>
      </c>
      <c r="BD56" s="22">
        <v>0</v>
      </c>
      <c r="BE56" s="22">
        <v>1</v>
      </c>
    </row>
    <row r="57" spans="1:57" s="23" customFormat="1" ht="15" customHeight="1" x14ac:dyDescent="0.2">
      <c r="A57" s="111"/>
      <c r="B57" s="34" t="s">
        <v>76</v>
      </c>
      <c r="C57" s="35" t="s">
        <v>194</v>
      </c>
      <c r="D57" s="22">
        <v>106</v>
      </c>
      <c r="E57" s="22">
        <v>70</v>
      </c>
      <c r="F57" s="22">
        <v>36</v>
      </c>
      <c r="G57" s="22">
        <v>0</v>
      </c>
      <c r="H57" s="22">
        <v>32</v>
      </c>
      <c r="I57" s="22">
        <v>31</v>
      </c>
      <c r="J57" s="22">
        <v>3</v>
      </c>
      <c r="K57" s="22">
        <v>1</v>
      </c>
      <c r="L57" s="22">
        <v>0</v>
      </c>
      <c r="M57" s="22">
        <v>0</v>
      </c>
      <c r="N57" s="22">
        <v>0</v>
      </c>
      <c r="O57" s="22">
        <v>0</v>
      </c>
      <c r="P57" s="22">
        <v>5</v>
      </c>
      <c r="Q57" s="22">
        <v>2</v>
      </c>
      <c r="R57" s="22">
        <v>0</v>
      </c>
      <c r="S57" s="22">
        <v>10</v>
      </c>
      <c r="T57" s="22">
        <v>1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1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6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2</v>
      </c>
      <c r="AX57" s="22">
        <v>0</v>
      </c>
      <c r="AY57" s="22">
        <v>0</v>
      </c>
      <c r="AZ57" s="22">
        <v>11</v>
      </c>
      <c r="BA57" s="22">
        <v>1</v>
      </c>
      <c r="BB57" s="22">
        <v>0</v>
      </c>
      <c r="BC57" s="22">
        <v>0</v>
      </c>
      <c r="BD57" s="22">
        <v>0</v>
      </c>
      <c r="BE57" s="22">
        <v>0</v>
      </c>
    </row>
    <row r="58" spans="1:57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17</v>
      </c>
      <c r="E58" s="31">
        <v>9</v>
      </c>
      <c r="F58" s="31">
        <v>8</v>
      </c>
      <c r="G58" s="31">
        <v>0</v>
      </c>
      <c r="H58" s="31">
        <v>7</v>
      </c>
      <c r="I58" s="31">
        <v>6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2</v>
      </c>
      <c r="BA58" s="31">
        <v>2</v>
      </c>
      <c r="BB58" s="31">
        <v>0</v>
      </c>
      <c r="BC58" s="31">
        <v>0</v>
      </c>
      <c r="BD58" s="31">
        <v>0</v>
      </c>
      <c r="BE58" s="31">
        <v>0</v>
      </c>
    </row>
    <row r="59" spans="1:57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17</v>
      </c>
      <c r="E59" s="22">
        <v>9</v>
      </c>
      <c r="F59" s="22">
        <v>8</v>
      </c>
      <c r="G59" s="22">
        <v>0</v>
      </c>
      <c r="H59" s="22">
        <v>7</v>
      </c>
      <c r="I59" s="22">
        <v>6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2</v>
      </c>
      <c r="BA59" s="22">
        <v>2</v>
      </c>
      <c r="BB59" s="22">
        <v>0</v>
      </c>
      <c r="BC59" s="22">
        <v>0</v>
      </c>
      <c r="BD59" s="22">
        <v>0</v>
      </c>
      <c r="BE59" s="22">
        <v>0</v>
      </c>
    </row>
    <row r="60" spans="1:57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0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</row>
    <row r="61" spans="1:57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208</v>
      </c>
      <c r="E61" s="31">
        <v>123</v>
      </c>
      <c r="F61" s="31">
        <v>85</v>
      </c>
      <c r="G61" s="31">
        <v>0</v>
      </c>
      <c r="H61" s="31">
        <v>81</v>
      </c>
      <c r="I61" s="31">
        <v>72</v>
      </c>
      <c r="J61" s="31">
        <v>2</v>
      </c>
      <c r="K61" s="31">
        <v>0</v>
      </c>
      <c r="L61" s="31">
        <v>0</v>
      </c>
      <c r="M61" s="31">
        <v>3</v>
      </c>
      <c r="N61" s="31">
        <v>1</v>
      </c>
      <c r="O61" s="31">
        <v>0</v>
      </c>
      <c r="P61" s="31">
        <v>17</v>
      </c>
      <c r="Q61" s="31">
        <v>2</v>
      </c>
      <c r="R61" s="31">
        <v>0</v>
      </c>
      <c r="S61" s="31">
        <v>5</v>
      </c>
      <c r="T61" s="31">
        <v>4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1</v>
      </c>
      <c r="AM61" s="31">
        <v>0</v>
      </c>
      <c r="AN61" s="31">
        <v>0</v>
      </c>
      <c r="AO61" s="31">
        <v>0</v>
      </c>
      <c r="AP61" s="31">
        <v>0</v>
      </c>
      <c r="AQ61" s="31">
        <v>5</v>
      </c>
      <c r="AR61" s="31">
        <v>2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10</v>
      </c>
      <c r="BA61" s="31">
        <v>3</v>
      </c>
      <c r="BB61" s="31">
        <v>0</v>
      </c>
      <c r="BC61" s="31">
        <v>0</v>
      </c>
      <c r="BD61" s="31">
        <v>0</v>
      </c>
      <c r="BE61" s="31">
        <v>0</v>
      </c>
    </row>
    <row r="62" spans="1:57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194</v>
      </c>
      <c r="E62" s="22">
        <v>116</v>
      </c>
      <c r="F62" s="22">
        <v>78</v>
      </c>
      <c r="G62" s="22">
        <v>0</v>
      </c>
      <c r="H62" s="22">
        <v>76</v>
      </c>
      <c r="I62" s="22">
        <v>66</v>
      </c>
      <c r="J62" s="22">
        <v>2</v>
      </c>
      <c r="K62" s="22">
        <v>0</v>
      </c>
      <c r="L62" s="22">
        <v>0</v>
      </c>
      <c r="M62" s="22">
        <v>2</v>
      </c>
      <c r="N62" s="22">
        <v>1</v>
      </c>
      <c r="O62" s="22">
        <v>0</v>
      </c>
      <c r="P62" s="22">
        <v>17</v>
      </c>
      <c r="Q62" s="22">
        <v>1</v>
      </c>
      <c r="R62" s="22">
        <v>0</v>
      </c>
      <c r="S62" s="22">
        <v>5</v>
      </c>
      <c r="T62" s="22">
        <v>4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1</v>
      </c>
      <c r="AM62" s="22">
        <v>0</v>
      </c>
      <c r="AN62" s="22">
        <v>0</v>
      </c>
      <c r="AO62" s="22">
        <v>0</v>
      </c>
      <c r="AP62" s="22">
        <v>0</v>
      </c>
      <c r="AQ62" s="22">
        <v>4</v>
      </c>
      <c r="AR62" s="22">
        <v>2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10</v>
      </c>
      <c r="BA62" s="22">
        <v>3</v>
      </c>
      <c r="BB62" s="22">
        <v>0</v>
      </c>
      <c r="BC62" s="22">
        <v>0</v>
      </c>
      <c r="BD62" s="22">
        <v>0</v>
      </c>
      <c r="BE62" s="22">
        <v>0</v>
      </c>
    </row>
    <row r="63" spans="1:57" s="23" customFormat="1" ht="15" customHeight="1" x14ac:dyDescent="0.2">
      <c r="A63" s="111"/>
      <c r="B63" s="34" t="s">
        <v>76</v>
      </c>
      <c r="C63" s="35" t="s">
        <v>194</v>
      </c>
      <c r="D63" s="22">
        <v>14</v>
      </c>
      <c r="E63" s="22">
        <v>7</v>
      </c>
      <c r="F63" s="22">
        <v>7</v>
      </c>
      <c r="G63" s="22">
        <v>0</v>
      </c>
      <c r="H63" s="22">
        <v>5</v>
      </c>
      <c r="I63" s="22">
        <v>6</v>
      </c>
      <c r="J63" s="22">
        <v>0</v>
      </c>
      <c r="K63" s="22">
        <v>0</v>
      </c>
      <c r="L63" s="22">
        <v>0</v>
      </c>
      <c r="M63" s="22">
        <v>1</v>
      </c>
      <c r="N63" s="22">
        <v>0</v>
      </c>
      <c r="O63" s="22">
        <v>0</v>
      </c>
      <c r="P63" s="22">
        <v>0</v>
      </c>
      <c r="Q63" s="22">
        <v>1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</row>
    <row r="64" spans="1:57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178</v>
      </c>
      <c r="E64" s="31">
        <v>110</v>
      </c>
      <c r="F64" s="31">
        <v>67</v>
      </c>
      <c r="G64" s="31">
        <v>1</v>
      </c>
      <c r="H64" s="31">
        <v>36</v>
      </c>
      <c r="I64" s="31">
        <v>41</v>
      </c>
      <c r="J64" s="31">
        <v>10</v>
      </c>
      <c r="K64" s="31">
        <v>0</v>
      </c>
      <c r="L64" s="31">
        <v>0</v>
      </c>
      <c r="M64" s="31">
        <v>2</v>
      </c>
      <c r="N64" s="31">
        <v>2</v>
      </c>
      <c r="O64" s="31">
        <v>0</v>
      </c>
      <c r="P64" s="31">
        <v>4</v>
      </c>
      <c r="Q64" s="31">
        <v>0</v>
      </c>
      <c r="R64" s="31">
        <v>0</v>
      </c>
      <c r="S64" s="31">
        <v>5</v>
      </c>
      <c r="T64" s="31">
        <v>3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1</v>
      </c>
      <c r="AD64" s="31">
        <v>0</v>
      </c>
      <c r="AE64" s="31">
        <v>2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3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7</v>
      </c>
      <c r="AR64" s="31">
        <v>7</v>
      </c>
      <c r="AS64" s="31">
        <v>0</v>
      </c>
      <c r="AT64" s="31">
        <v>0</v>
      </c>
      <c r="AU64" s="31">
        <v>0</v>
      </c>
      <c r="AV64" s="31">
        <v>0</v>
      </c>
      <c r="AW64" s="31">
        <v>1</v>
      </c>
      <c r="AX64" s="31">
        <v>1</v>
      </c>
      <c r="AY64" s="31">
        <v>0</v>
      </c>
      <c r="AZ64" s="31">
        <v>23</v>
      </c>
      <c r="BA64" s="31">
        <v>4</v>
      </c>
      <c r="BB64" s="31">
        <v>0</v>
      </c>
      <c r="BC64" s="31">
        <v>17</v>
      </c>
      <c r="BD64" s="31">
        <v>8</v>
      </c>
      <c r="BE64" s="31">
        <v>1</v>
      </c>
    </row>
    <row r="65" spans="1:57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170</v>
      </c>
      <c r="E65" s="22">
        <v>104</v>
      </c>
      <c r="F65" s="22">
        <v>65</v>
      </c>
      <c r="G65" s="22">
        <v>1</v>
      </c>
      <c r="H65" s="22">
        <v>34</v>
      </c>
      <c r="I65" s="22">
        <v>39</v>
      </c>
      <c r="J65" s="22">
        <v>8</v>
      </c>
      <c r="K65" s="22">
        <v>0</v>
      </c>
      <c r="L65" s="22">
        <v>0</v>
      </c>
      <c r="M65" s="22">
        <v>2</v>
      </c>
      <c r="N65" s="22">
        <v>2</v>
      </c>
      <c r="O65" s="22">
        <v>0</v>
      </c>
      <c r="P65" s="22">
        <v>4</v>
      </c>
      <c r="Q65" s="22">
        <v>0</v>
      </c>
      <c r="R65" s="22">
        <v>0</v>
      </c>
      <c r="S65" s="22">
        <v>4</v>
      </c>
      <c r="T65" s="22">
        <v>3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1</v>
      </c>
      <c r="AD65" s="22">
        <v>0</v>
      </c>
      <c r="AE65" s="22">
        <v>2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3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7</v>
      </c>
      <c r="AR65" s="22">
        <v>7</v>
      </c>
      <c r="AS65" s="22">
        <v>0</v>
      </c>
      <c r="AT65" s="22">
        <v>0</v>
      </c>
      <c r="AU65" s="22">
        <v>0</v>
      </c>
      <c r="AV65" s="22">
        <v>0</v>
      </c>
      <c r="AW65" s="22">
        <v>1</v>
      </c>
      <c r="AX65" s="22">
        <v>1</v>
      </c>
      <c r="AY65" s="22">
        <v>0</v>
      </c>
      <c r="AZ65" s="22">
        <v>22</v>
      </c>
      <c r="BA65" s="22">
        <v>4</v>
      </c>
      <c r="BB65" s="22">
        <v>0</v>
      </c>
      <c r="BC65" s="22">
        <v>17</v>
      </c>
      <c r="BD65" s="22">
        <v>8</v>
      </c>
      <c r="BE65" s="22">
        <v>1</v>
      </c>
    </row>
    <row r="66" spans="1:57" s="23" customFormat="1" ht="15" customHeight="1" x14ac:dyDescent="0.2">
      <c r="A66" s="111"/>
      <c r="B66" s="34" t="s">
        <v>76</v>
      </c>
      <c r="C66" s="35" t="s">
        <v>194</v>
      </c>
      <c r="D66" s="22">
        <v>8</v>
      </c>
      <c r="E66" s="22">
        <v>6</v>
      </c>
      <c r="F66" s="22">
        <v>2</v>
      </c>
      <c r="G66" s="22">
        <v>0</v>
      </c>
      <c r="H66" s="22">
        <v>2</v>
      </c>
      <c r="I66" s="22">
        <v>2</v>
      </c>
      <c r="J66" s="22">
        <v>2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1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2">
        <v>0</v>
      </c>
      <c r="AZ66" s="22">
        <v>1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</row>
    <row r="67" spans="1:57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135</v>
      </c>
      <c r="E67" s="31">
        <v>76</v>
      </c>
      <c r="F67" s="31">
        <v>59</v>
      </c>
      <c r="G67" s="31">
        <v>0</v>
      </c>
      <c r="H67" s="31">
        <v>43</v>
      </c>
      <c r="I67" s="31">
        <v>49</v>
      </c>
      <c r="J67" s="31">
        <v>3</v>
      </c>
      <c r="K67" s="31">
        <v>0</v>
      </c>
      <c r="L67" s="31">
        <v>0</v>
      </c>
      <c r="M67" s="31">
        <v>2</v>
      </c>
      <c r="N67" s="31">
        <v>4</v>
      </c>
      <c r="O67" s="31">
        <v>0</v>
      </c>
      <c r="P67" s="31">
        <v>5</v>
      </c>
      <c r="Q67" s="31">
        <v>3</v>
      </c>
      <c r="R67" s="31">
        <v>0</v>
      </c>
      <c r="S67" s="31">
        <v>5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1</v>
      </c>
      <c r="AJ67" s="31">
        <v>0</v>
      </c>
      <c r="AK67" s="31">
        <v>0</v>
      </c>
      <c r="AL67" s="31">
        <v>1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11</v>
      </c>
      <c r="BA67" s="31">
        <v>0</v>
      </c>
      <c r="BB67" s="31">
        <v>0</v>
      </c>
      <c r="BC67" s="31">
        <v>7</v>
      </c>
      <c r="BD67" s="31">
        <v>1</v>
      </c>
      <c r="BE67" s="31">
        <v>0</v>
      </c>
    </row>
    <row r="68" spans="1:57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133</v>
      </c>
      <c r="E68" s="22">
        <v>74</v>
      </c>
      <c r="F68" s="22">
        <v>59</v>
      </c>
      <c r="G68" s="22">
        <v>0</v>
      </c>
      <c r="H68" s="22">
        <v>41</v>
      </c>
      <c r="I68" s="22">
        <v>49</v>
      </c>
      <c r="J68" s="22">
        <v>3</v>
      </c>
      <c r="K68" s="22">
        <v>0</v>
      </c>
      <c r="L68" s="22">
        <v>0</v>
      </c>
      <c r="M68" s="22">
        <v>2</v>
      </c>
      <c r="N68" s="22">
        <v>4</v>
      </c>
      <c r="O68" s="22">
        <v>0</v>
      </c>
      <c r="P68" s="22">
        <v>5</v>
      </c>
      <c r="Q68" s="22">
        <v>3</v>
      </c>
      <c r="R68" s="22">
        <v>0</v>
      </c>
      <c r="S68" s="22">
        <v>5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1</v>
      </c>
      <c r="AJ68" s="22">
        <v>0</v>
      </c>
      <c r="AK68" s="22">
        <v>0</v>
      </c>
      <c r="AL68" s="22">
        <v>1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11</v>
      </c>
      <c r="BA68" s="22">
        <v>0</v>
      </c>
      <c r="BB68" s="22">
        <v>0</v>
      </c>
      <c r="BC68" s="22">
        <v>7</v>
      </c>
      <c r="BD68" s="22">
        <v>1</v>
      </c>
      <c r="BE68" s="22">
        <v>0</v>
      </c>
    </row>
    <row r="69" spans="1:57" s="23" customFormat="1" ht="15" customHeight="1" x14ac:dyDescent="0.2">
      <c r="A69" s="111"/>
      <c r="B69" s="34" t="s">
        <v>76</v>
      </c>
      <c r="C69" s="35" t="s">
        <v>194</v>
      </c>
      <c r="D69" s="22">
        <v>2</v>
      </c>
      <c r="E69" s="22">
        <v>2</v>
      </c>
      <c r="F69" s="22">
        <v>0</v>
      </c>
      <c r="G69" s="22">
        <v>0</v>
      </c>
      <c r="H69" s="22">
        <v>2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</row>
    <row r="70" spans="1:57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41</v>
      </c>
      <c r="E70" s="31">
        <v>18</v>
      </c>
      <c r="F70" s="31">
        <v>23</v>
      </c>
      <c r="G70" s="31">
        <v>0</v>
      </c>
      <c r="H70" s="31">
        <v>7</v>
      </c>
      <c r="I70" s="31">
        <v>22</v>
      </c>
      <c r="J70" s="31">
        <v>0</v>
      </c>
      <c r="K70" s="31">
        <v>0</v>
      </c>
      <c r="L70" s="31">
        <v>0</v>
      </c>
      <c r="M70" s="31">
        <v>0</v>
      </c>
      <c r="N70" s="31">
        <v>1</v>
      </c>
      <c r="O70" s="31">
        <v>0</v>
      </c>
      <c r="P70" s="31">
        <v>5</v>
      </c>
      <c r="Q70" s="31">
        <v>0</v>
      </c>
      <c r="R70" s="31">
        <v>0</v>
      </c>
      <c r="S70" s="31">
        <v>1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1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2</v>
      </c>
      <c r="AX70" s="31">
        <v>0</v>
      </c>
      <c r="AY70" s="31">
        <v>0</v>
      </c>
      <c r="AZ70" s="31">
        <v>2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</row>
    <row r="71" spans="1:57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38</v>
      </c>
      <c r="E71" s="22">
        <v>15</v>
      </c>
      <c r="F71" s="22">
        <v>23</v>
      </c>
      <c r="G71" s="22">
        <v>0</v>
      </c>
      <c r="H71" s="22">
        <v>5</v>
      </c>
      <c r="I71" s="22">
        <v>22</v>
      </c>
      <c r="J71" s="22">
        <v>0</v>
      </c>
      <c r="K71" s="22">
        <v>0</v>
      </c>
      <c r="L71" s="22">
        <v>0</v>
      </c>
      <c r="M71" s="22">
        <v>0</v>
      </c>
      <c r="N71" s="22">
        <v>1</v>
      </c>
      <c r="O71" s="22">
        <v>0</v>
      </c>
      <c r="P71" s="22">
        <v>5</v>
      </c>
      <c r="Q71" s="22">
        <v>0</v>
      </c>
      <c r="R71" s="22">
        <v>0</v>
      </c>
      <c r="S71" s="22">
        <v>1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1</v>
      </c>
      <c r="AR71" s="22">
        <v>0</v>
      </c>
      <c r="AS71" s="22">
        <v>0</v>
      </c>
      <c r="AT71" s="22">
        <v>0</v>
      </c>
      <c r="AU71" s="22">
        <v>0</v>
      </c>
      <c r="AV71" s="22">
        <v>0</v>
      </c>
      <c r="AW71" s="22">
        <v>2</v>
      </c>
      <c r="AX71" s="22">
        <v>0</v>
      </c>
      <c r="AY71" s="22">
        <v>0</v>
      </c>
      <c r="AZ71" s="22">
        <v>1</v>
      </c>
      <c r="BA71" s="22">
        <v>0</v>
      </c>
      <c r="BB71" s="22">
        <v>0</v>
      </c>
      <c r="BC71" s="22">
        <v>0</v>
      </c>
      <c r="BD71" s="22">
        <v>0</v>
      </c>
      <c r="BE71" s="22">
        <v>0</v>
      </c>
    </row>
    <row r="72" spans="1:57" s="23" customFormat="1" ht="15" customHeight="1" x14ac:dyDescent="0.2">
      <c r="A72" s="111"/>
      <c r="B72" s="34" t="s">
        <v>76</v>
      </c>
      <c r="C72" s="35" t="s">
        <v>194</v>
      </c>
      <c r="D72" s="22">
        <v>3</v>
      </c>
      <c r="E72" s="22">
        <v>3</v>
      </c>
      <c r="F72" s="22">
        <v>0</v>
      </c>
      <c r="G72" s="22">
        <v>0</v>
      </c>
      <c r="H72" s="22">
        <v>2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0</v>
      </c>
      <c r="AY72" s="22">
        <v>0</v>
      </c>
      <c r="AZ72" s="22">
        <v>1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</row>
    <row r="73" spans="1:57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3</v>
      </c>
      <c r="E73" s="31">
        <v>3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2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  <c r="BC73" s="31">
        <v>1</v>
      </c>
      <c r="BD73" s="31">
        <v>0</v>
      </c>
      <c r="BE73" s="31">
        <v>0</v>
      </c>
    </row>
    <row r="74" spans="1:57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3</v>
      </c>
      <c r="E74" s="22">
        <v>3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2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v>0</v>
      </c>
      <c r="BB74" s="22">
        <v>0</v>
      </c>
      <c r="BC74" s="22">
        <v>1</v>
      </c>
      <c r="BD74" s="22">
        <v>0</v>
      </c>
      <c r="BE74" s="22">
        <v>0</v>
      </c>
    </row>
    <row r="75" spans="1:57" s="23" customFormat="1" ht="15" customHeight="1" x14ac:dyDescent="0.2">
      <c r="A75" s="111"/>
      <c r="B75" s="34" t="s">
        <v>76</v>
      </c>
      <c r="C75" s="35" t="s">
        <v>194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0</v>
      </c>
      <c r="AX75" s="27">
        <v>0</v>
      </c>
      <c r="AY75" s="27">
        <v>0</v>
      </c>
      <c r="AZ75" s="27">
        <v>0</v>
      </c>
      <c r="BA75" s="27">
        <v>0</v>
      </c>
      <c r="BB75" s="27">
        <v>0</v>
      </c>
      <c r="BC75" s="27">
        <v>0</v>
      </c>
      <c r="BD75" s="27">
        <v>0</v>
      </c>
      <c r="BE75" s="27">
        <v>0</v>
      </c>
    </row>
    <row r="76" spans="1:57" ht="15.75" customHeight="1" x14ac:dyDescent="0.2">
      <c r="A76" s="50" t="s">
        <v>114</v>
      </c>
    </row>
    <row r="77" spans="1:57" ht="15.75" customHeight="1" x14ac:dyDescent="0.2">
      <c r="A77" s="51" t="s">
        <v>24</v>
      </c>
      <c r="B77" s="1"/>
      <c r="C77" s="1"/>
    </row>
    <row r="78" spans="1:57" ht="15.75" customHeight="1" x14ac:dyDescent="0.2"/>
    <row r="79" spans="1:57" ht="15.75" customHeight="1" x14ac:dyDescent="0.2">
      <c r="A79" s="64" t="s">
        <v>221</v>
      </c>
    </row>
  </sheetData>
  <mergeCells count="95">
    <mergeCell ref="A68:A69"/>
    <mergeCell ref="A71:A72"/>
    <mergeCell ref="A74:A75"/>
    <mergeCell ref="A50:A51"/>
    <mergeCell ref="A53:A54"/>
    <mergeCell ref="A56:A57"/>
    <mergeCell ref="A59:A60"/>
    <mergeCell ref="A62:A63"/>
    <mergeCell ref="A65:A66"/>
    <mergeCell ref="BC5:BC6"/>
    <mergeCell ref="BD5:BD6"/>
    <mergeCell ref="BE5:BE6"/>
    <mergeCell ref="A47:A48"/>
    <mergeCell ref="A11:A12"/>
    <mergeCell ref="A14:A15"/>
    <mergeCell ref="A17:A18"/>
    <mergeCell ref="A20:A21"/>
    <mergeCell ref="A23:A24"/>
    <mergeCell ref="A26:A27"/>
    <mergeCell ref="A32:A33"/>
    <mergeCell ref="A35:A36"/>
    <mergeCell ref="A38:A39"/>
    <mergeCell ref="A41:A42"/>
    <mergeCell ref="A44:A45"/>
    <mergeCell ref="R5:R6"/>
    <mergeCell ref="S5:S6"/>
    <mergeCell ref="H5:H6"/>
    <mergeCell ref="I5:I6"/>
    <mergeCell ref="J5:J6"/>
    <mergeCell ref="K5:K6"/>
    <mergeCell ref="L5:L6"/>
    <mergeCell ref="A8:A9"/>
    <mergeCell ref="N5:N6"/>
    <mergeCell ref="O5:O6"/>
    <mergeCell ref="P5:P6"/>
    <mergeCell ref="Q5:Q6"/>
    <mergeCell ref="U5:U6"/>
    <mergeCell ref="BA5:BA6"/>
    <mergeCell ref="BB5:BB6"/>
    <mergeCell ref="AZ4:BB4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BC4:BE4"/>
    <mergeCell ref="A4:C6"/>
    <mergeCell ref="D4:G4"/>
    <mergeCell ref="H4:I4"/>
    <mergeCell ref="J4:L4"/>
    <mergeCell ref="M4:O4"/>
    <mergeCell ref="P4:R4"/>
    <mergeCell ref="D5:D6"/>
    <mergeCell ref="E5:E6"/>
    <mergeCell ref="F5:F6"/>
    <mergeCell ref="G5:G6"/>
    <mergeCell ref="M5:M6"/>
    <mergeCell ref="S4:U4"/>
    <mergeCell ref="V5:V6"/>
    <mergeCell ref="AZ5:AZ6"/>
    <mergeCell ref="T5:T6"/>
    <mergeCell ref="AI5:AI6"/>
    <mergeCell ref="AJ5:AJ6"/>
    <mergeCell ref="AK5:AK6"/>
    <mergeCell ref="AL5:AL6"/>
    <mergeCell ref="AU5:AU6"/>
    <mergeCell ref="AV5:AV6"/>
    <mergeCell ref="AM5:AM6"/>
    <mergeCell ref="AN5:AN6"/>
    <mergeCell ref="AO5:AO6"/>
    <mergeCell ref="AP5:AP6"/>
    <mergeCell ref="AQ5:AQ6"/>
    <mergeCell ref="AW5:AW6"/>
    <mergeCell ref="AX5:AX6"/>
    <mergeCell ref="AY5:AY6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R5:AR6"/>
    <mergeCell ref="AS5:AS6"/>
    <mergeCell ref="AT5:AT6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79"/>
  <sheetViews>
    <sheetView zoomScaleNormal="100" zoomScaleSheetLayoutView="100" workbookViewId="0">
      <pane xSplit="4" ySplit="7" topLeftCell="E8" activePane="bottomRight" state="frozen"/>
      <selection activeCell="A79" sqref="A79"/>
      <selection pane="topRight" activeCell="A79" sqref="A79"/>
      <selection pane="bottomLeft" activeCell="A79" sqref="A79"/>
      <selection pane="bottomRight" activeCell="AN7" sqref="AN7:BE75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57" width="11.5" style="5" customWidth="1"/>
    <col min="58" max="16384" width="5.5" style="5"/>
  </cols>
  <sheetData>
    <row r="1" spans="1:57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57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57" ht="12.75" customHeight="1" x14ac:dyDescent="0.2">
      <c r="A3" s="61" t="s">
        <v>217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BE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  <c r="AK3" s="5" t="str">
        <f t="shared" si="0"/>
        <v/>
      </c>
      <c r="AL3" s="5" t="str">
        <f t="shared" si="0"/>
        <v/>
      </c>
      <c r="AM3" s="5" t="str">
        <f t="shared" si="0"/>
        <v/>
      </c>
      <c r="AN3" s="5" t="str">
        <f t="shared" si="0"/>
        <v/>
      </c>
      <c r="AO3" s="5" t="str">
        <f t="shared" si="0"/>
        <v/>
      </c>
      <c r="AP3" s="5" t="str">
        <f t="shared" si="0"/>
        <v/>
      </c>
      <c r="AQ3" s="5" t="str">
        <f t="shared" si="0"/>
        <v/>
      </c>
      <c r="AR3" s="5" t="str">
        <f t="shared" si="0"/>
        <v/>
      </c>
      <c r="AS3" s="5" t="str">
        <f t="shared" si="0"/>
        <v/>
      </c>
      <c r="AT3" s="5" t="str">
        <f t="shared" si="0"/>
        <v/>
      </c>
      <c r="AU3" s="5" t="str">
        <f t="shared" si="0"/>
        <v/>
      </c>
      <c r="AV3" s="5" t="str">
        <f t="shared" si="0"/>
        <v/>
      </c>
      <c r="AW3" s="5" t="str">
        <f t="shared" si="0"/>
        <v/>
      </c>
      <c r="AX3" s="5" t="str">
        <f t="shared" si="0"/>
        <v/>
      </c>
      <c r="AY3" s="5" t="str">
        <f t="shared" si="0"/>
        <v/>
      </c>
      <c r="AZ3" s="5" t="str">
        <f t="shared" si="0"/>
        <v/>
      </c>
      <c r="BA3" s="5" t="str">
        <f t="shared" si="0"/>
        <v/>
      </c>
      <c r="BB3" s="5" t="str">
        <f t="shared" si="0"/>
        <v/>
      </c>
      <c r="BC3" s="5" t="str">
        <f t="shared" si="0"/>
        <v/>
      </c>
      <c r="BD3" s="5" t="str">
        <f t="shared" si="0"/>
        <v/>
      </c>
      <c r="BE3" s="5" t="str">
        <f t="shared" si="0"/>
        <v/>
      </c>
    </row>
    <row r="4" spans="1:57" s="36" customFormat="1" ht="56.25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198</v>
      </c>
      <c r="T4" s="88"/>
      <c r="U4" s="97"/>
      <c r="V4" s="89" t="s">
        <v>201</v>
      </c>
      <c r="W4" s="90"/>
      <c r="X4" s="91"/>
      <c r="Y4" s="89" t="s">
        <v>202</v>
      </c>
      <c r="Z4" s="90"/>
      <c r="AA4" s="91"/>
      <c r="AB4" s="89" t="s">
        <v>203</v>
      </c>
      <c r="AC4" s="90"/>
      <c r="AD4" s="91"/>
      <c r="AE4" s="89" t="s">
        <v>204</v>
      </c>
      <c r="AF4" s="90"/>
      <c r="AG4" s="91"/>
      <c r="AH4" s="89" t="s">
        <v>205</v>
      </c>
      <c r="AI4" s="90"/>
      <c r="AJ4" s="91"/>
      <c r="AK4" s="89" t="s">
        <v>206</v>
      </c>
      <c r="AL4" s="90"/>
      <c r="AM4" s="91"/>
      <c r="AN4" s="89" t="s">
        <v>207</v>
      </c>
      <c r="AO4" s="90"/>
      <c r="AP4" s="91"/>
      <c r="AQ4" s="89" t="s">
        <v>208</v>
      </c>
      <c r="AR4" s="90"/>
      <c r="AS4" s="91"/>
      <c r="AT4" s="89" t="s">
        <v>209</v>
      </c>
      <c r="AU4" s="90"/>
      <c r="AV4" s="91"/>
      <c r="AW4" s="90" t="s">
        <v>210</v>
      </c>
      <c r="AX4" s="90"/>
      <c r="AY4" s="90"/>
      <c r="AZ4" s="87" t="s">
        <v>85</v>
      </c>
      <c r="BA4" s="88"/>
      <c r="BB4" s="88"/>
      <c r="BC4" s="87" t="s">
        <v>218</v>
      </c>
      <c r="BD4" s="88"/>
      <c r="BE4" s="88"/>
    </row>
    <row r="5" spans="1:57" s="36" customFormat="1" ht="16.5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83" t="s">
        <v>155</v>
      </c>
      <c r="AK5" s="85" t="s">
        <v>87</v>
      </c>
      <c r="AL5" s="85" t="s">
        <v>88</v>
      </c>
      <c r="AM5" s="83" t="s">
        <v>155</v>
      </c>
      <c r="AN5" s="85" t="s">
        <v>87</v>
      </c>
      <c r="AO5" s="85" t="s">
        <v>88</v>
      </c>
      <c r="AP5" s="83" t="s">
        <v>155</v>
      </c>
      <c r="AQ5" s="85" t="s">
        <v>87</v>
      </c>
      <c r="AR5" s="85" t="s">
        <v>88</v>
      </c>
      <c r="AS5" s="83" t="s">
        <v>155</v>
      </c>
      <c r="AT5" s="85" t="s">
        <v>87</v>
      </c>
      <c r="AU5" s="85" t="s">
        <v>88</v>
      </c>
      <c r="AV5" s="83" t="s">
        <v>155</v>
      </c>
      <c r="AW5" s="85" t="s">
        <v>87</v>
      </c>
      <c r="AX5" s="85" t="s">
        <v>88</v>
      </c>
      <c r="AY5" s="83" t="s">
        <v>155</v>
      </c>
      <c r="AZ5" s="85" t="s">
        <v>87</v>
      </c>
      <c r="BA5" s="85" t="s">
        <v>88</v>
      </c>
      <c r="BB5" s="83" t="s">
        <v>155</v>
      </c>
      <c r="BC5" s="85" t="s">
        <v>87</v>
      </c>
      <c r="BD5" s="85" t="s">
        <v>88</v>
      </c>
      <c r="BE5" s="83" t="s">
        <v>155</v>
      </c>
    </row>
    <row r="6" spans="1:57" s="37" customFormat="1" ht="16.5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  <c r="AK6" s="86"/>
      <c r="AL6" s="86"/>
      <c r="AM6" s="84"/>
      <c r="AN6" s="86"/>
      <c r="AO6" s="86"/>
      <c r="AP6" s="84"/>
      <c r="AQ6" s="86"/>
      <c r="AR6" s="86"/>
      <c r="AS6" s="84"/>
      <c r="AT6" s="86"/>
      <c r="AU6" s="86"/>
      <c r="AV6" s="84"/>
      <c r="AW6" s="86"/>
      <c r="AX6" s="86"/>
      <c r="AY6" s="84"/>
      <c r="AZ6" s="86"/>
      <c r="BA6" s="86"/>
      <c r="BB6" s="84"/>
      <c r="BC6" s="86"/>
      <c r="BD6" s="86"/>
      <c r="BE6" s="84"/>
    </row>
    <row r="7" spans="1:57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4474</v>
      </c>
      <c r="E7" s="68">
        <v>2852</v>
      </c>
      <c r="F7" s="68">
        <v>1578</v>
      </c>
      <c r="G7" s="68">
        <v>44</v>
      </c>
      <c r="H7" s="68">
        <v>1315</v>
      </c>
      <c r="I7" s="68">
        <v>1079</v>
      </c>
      <c r="J7" s="68">
        <v>77</v>
      </c>
      <c r="K7" s="68">
        <v>15</v>
      </c>
      <c r="L7" s="68">
        <v>0</v>
      </c>
      <c r="M7" s="68">
        <v>66</v>
      </c>
      <c r="N7" s="68">
        <v>98</v>
      </c>
      <c r="O7" s="68">
        <v>0</v>
      </c>
      <c r="P7" s="68">
        <v>113</v>
      </c>
      <c r="Q7" s="68">
        <v>32</v>
      </c>
      <c r="R7" s="68">
        <v>0</v>
      </c>
      <c r="S7" s="68">
        <v>125</v>
      </c>
      <c r="T7" s="68">
        <v>37</v>
      </c>
      <c r="U7" s="68">
        <v>1</v>
      </c>
      <c r="V7" s="68">
        <v>11</v>
      </c>
      <c r="W7" s="68">
        <v>0</v>
      </c>
      <c r="X7" s="68">
        <v>0</v>
      </c>
      <c r="Y7" s="68">
        <v>1</v>
      </c>
      <c r="Z7" s="68">
        <v>3</v>
      </c>
      <c r="AA7" s="68">
        <v>0</v>
      </c>
      <c r="AB7" s="68">
        <v>3</v>
      </c>
      <c r="AC7" s="68">
        <v>4</v>
      </c>
      <c r="AD7" s="68">
        <v>0</v>
      </c>
      <c r="AE7" s="68">
        <v>9</v>
      </c>
      <c r="AF7" s="68">
        <v>0</v>
      </c>
      <c r="AG7" s="68">
        <v>0</v>
      </c>
      <c r="AH7" s="68">
        <v>18</v>
      </c>
      <c r="AI7" s="68">
        <v>1</v>
      </c>
      <c r="AJ7" s="68">
        <v>0</v>
      </c>
      <c r="AK7" s="68">
        <v>11</v>
      </c>
      <c r="AL7" s="68">
        <v>3</v>
      </c>
      <c r="AM7" s="68">
        <v>0</v>
      </c>
      <c r="AN7" s="68">
        <v>1</v>
      </c>
      <c r="AO7" s="68">
        <v>0</v>
      </c>
      <c r="AP7" s="68">
        <v>0</v>
      </c>
      <c r="AQ7" s="68">
        <v>320</v>
      </c>
      <c r="AR7" s="68">
        <v>34</v>
      </c>
      <c r="AS7" s="68">
        <v>0</v>
      </c>
      <c r="AT7" s="68">
        <v>3</v>
      </c>
      <c r="AU7" s="68">
        <v>0</v>
      </c>
      <c r="AV7" s="68">
        <v>0</v>
      </c>
      <c r="AW7" s="68">
        <v>47</v>
      </c>
      <c r="AX7" s="68">
        <v>2</v>
      </c>
      <c r="AY7" s="68">
        <v>0</v>
      </c>
      <c r="AZ7" s="68">
        <v>308</v>
      </c>
      <c r="BA7" s="68">
        <v>58</v>
      </c>
      <c r="BB7" s="68">
        <v>0</v>
      </c>
      <c r="BC7" s="68">
        <v>424</v>
      </c>
      <c r="BD7" s="68">
        <v>212</v>
      </c>
      <c r="BE7" s="68">
        <v>43</v>
      </c>
    </row>
    <row r="8" spans="1:57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4159</v>
      </c>
      <c r="E8" s="72">
        <v>2661</v>
      </c>
      <c r="F8" s="72">
        <v>1454</v>
      </c>
      <c r="G8" s="72">
        <v>44</v>
      </c>
      <c r="H8" s="72">
        <v>1234</v>
      </c>
      <c r="I8" s="72">
        <v>981</v>
      </c>
      <c r="J8" s="72">
        <v>67</v>
      </c>
      <c r="K8" s="72">
        <v>12</v>
      </c>
      <c r="L8" s="72">
        <v>0</v>
      </c>
      <c r="M8" s="72">
        <v>61</v>
      </c>
      <c r="N8" s="72">
        <v>96</v>
      </c>
      <c r="O8" s="72">
        <v>0</v>
      </c>
      <c r="P8" s="72">
        <v>100</v>
      </c>
      <c r="Q8" s="72">
        <v>27</v>
      </c>
      <c r="R8" s="72">
        <v>0</v>
      </c>
      <c r="S8" s="72">
        <v>101</v>
      </c>
      <c r="T8" s="72">
        <v>37</v>
      </c>
      <c r="U8" s="72">
        <v>1</v>
      </c>
      <c r="V8" s="72">
        <v>11</v>
      </c>
      <c r="W8" s="72">
        <v>0</v>
      </c>
      <c r="X8" s="72">
        <v>0</v>
      </c>
      <c r="Y8" s="72">
        <v>1</v>
      </c>
      <c r="Z8" s="72">
        <v>3</v>
      </c>
      <c r="AA8" s="72">
        <v>0</v>
      </c>
      <c r="AB8" s="72">
        <v>3</v>
      </c>
      <c r="AC8" s="72">
        <v>4</v>
      </c>
      <c r="AD8" s="72">
        <v>0</v>
      </c>
      <c r="AE8" s="72">
        <v>9</v>
      </c>
      <c r="AF8" s="72">
        <v>0</v>
      </c>
      <c r="AG8" s="72">
        <v>0</v>
      </c>
      <c r="AH8" s="72">
        <v>18</v>
      </c>
      <c r="AI8" s="72">
        <v>1</v>
      </c>
      <c r="AJ8" s="72">
        <v>0</v>
      </c>
      <c r="AK8" s="72">
        <v>11</v>
      </c>
      <c r="AL8" s="72">
        <v>3</v>
      </c>
      <c r="AM8" s="72">
        <v>0</v>
      </c>
      <c r="AN8" s="72">
        <v>1</v>
      </c>
      <c r="AO8" s="72">
        <v>0</v>
      </c>
      <c r="AP8" s="72">
        <v>0</v>
      </c>
      <c r="AQ8" s="72">
        <v>302</v>
      </c>
      <c r="AR8" s="72">
        <v>33</v>
      </c>
      <c r="AS8" s="72">
        <v>0</v>
      </c>
      <c r="AT8" s="72">
        <v>3</v>
      </c>
      <c r="AU8" s="72">
        <v>0</v>
      </c>
      <c r="AV8" s="72">
        <v>0</v>
      </c>
      <c r="AW8" s="72">
        <v>44</v>
      </c>
      <c r="AX8" s="72">
        <v>2</v>
      </c>
      <c r="AY8" s="72">
        <v>0</v>
      </c>
      <c r="AZ8" s="72">
        <v>297</v>
      </c>
      <c r="BA8" s="72">
        <v>54</v>
      </c>
      <c r="BB8" s="72">
        <v>0</v>
      </c>
      <c r="BC8" s="72">
        <v>398</v>
      </c>
      <c r="BD8" s="72">
        <v>201</v>
      </c>
      <c r="BE8" s="72">
        <v>43</v>
      </c>
    </row>
    <row r="9" spans="1:57" s="69" customFormat="1" ht="15" customHeight="1" x14ac:dyDescent="0.2">
      <c r="A9" s="109"/>
      <c r="B9" s="70" t="s">
        <v>177</v>
      </c>
      <c r="C9" s="71" t="s">
        <v>194</v>
      </c>
      <c r="D9" s="72">
        <v>315</v>
      </c>
      <c r="E9" s="72">
        <v>191</v>
      </c>
      <c r="F9" s="72">
        <v>124</v>
      </c>
      <c r="G9" s="72">
        <v>0</v>
      </c>
      <c r="H9" s="72">
        <v>81</v>
      </c>
      <c r="I9" s="72">
        <v>98</v>
      </c>
      <c r="J9" s="72">
        <v>10</v>
      </c>
      <c r="K9" s="72">
        <v>3</v>
      </c>
      <c r="L9" s="72">
        <v>0</v>
      </c>
      <c r="M9" s="72">
        <v>5</v>
      </c>
      <c r="N9" s="72">
        <v>2</v>
      </c>
      <c r="O9" s="72">
        <v>0</v>
      </c>
      <c r="P9" s="72">
        <v>13</v>
      </c>
      <c r="Q9" s="72">
        <v>5</v>
      </c>
      <c r="R9" s="72">
        <v>0</v>
      </c>
      <c r="S9" s="72">
        <v>24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>
        <v>0</v>
      </c>
      <c r="AI9" s="72">
        <v>0</v>
      </c>
      <c r="AJ9" s="72">
        <v>0</v>
      </c>
      <c r="AK9" s="72">
        <v>0</v>
      </c>
      <c r="AL9" s="72">
        <v>0</v>
      </c>
      <c r="AM9" s="72">
        <v>0</v>
      </c>
      <c r="AN9" s="72">
        <v>0</v>
      </c>
      <c r="AO9" s="72">
        <v>0</v>
      </c>
      <c r="AP9" s="72">
        <v>0</v>
      </c>
      <c r="AQ9" s="72">
        <v>18</v>
      </c>
      <c r="AR9" s="72">
        <v>1</v>
      </c>
      <c r="AS9" s="72">
        <v>0</v>
      </c>
      <c r="AT9" s="72">
        <v>0</v>
      </c>
      <c r="AU9" s="72">
        <v>0</v>
      </c>
      <c r="AV9" s="72">
        <v>0</v>
      </c>
      <c r="AW9" s="72">
        <v>3</v>
      </c>
      <c r="AX9" s="72">
        <v>0</v>
      </c>
      <c r="AY9" s="72">
        <v>0</v>
      </c>
      <c r="AZ9" s="72">
        <v>11</v>
      </c>
      <c r="BA9" s="72">
        <v>4</v>
      </c>
      <c r="BB9" s="72">
        <v>0</v>
      </c>
      <c r="BC9" s="72">
        <v>26</v>
      </c>
      <c r="BD9" s="72">
        <v>11</v>
      </c>
      <c r="BE9" s="72">
        <v>0</v>
      </c>
    </row>
    <row r="10" spans="1:57" s="23" customFormat="1" ht="15" customHeight="1" x14ac:dyDescent="0.2">
      <c r="A10" s="81" t="s">
        <v>211</v>
      </c>
      <c r="B10" s="29" t="s">
        <v>74</v>
      </c>
      <c r="C10" s="30" t="s">
        <v>0</v>
      </c>
      <c r="D10" s="31">
        <v>987</v>
      </c>
      <c r="E10" s="31">
        <v>666</v>
      </c>
      <c r="F10" s="31">
        <v>307</v>
      </c>
      <c r="G10" s="31">
        <v>14</v>
      </c>
      <c r="H10" s="31">
        <v>261</v>
      </c>
      <c r="I10" s="31">
        <v>182</v>
      </c>
      <c r="J10" s="31">
        <v>15</v>
      </c>
      <c r="K10" s="31">
        <v>2</v>
      </c>
      <c r="L10" s="31">
        <v>0</v>
      </c>
      <c r="M10" s="31">
        <v>10</v>
      </c>
      <c r="N10" s="31">
        <v>19</v>
      </c>
      <c r="O10" s="31">
        <v>0</v>
      </c>
      <c r="P10" s="31">
        <v>21</v>
      </c>
      <c r="Q10" s="31">
        <v>5</v>
      </c>
      <c r="R10" s="31">
        <v>0</v>
      </c>
      <c r="S10" s="31">
        <v>25</v>
      </c>
      <c r="T10" s="31">
        <v>5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1</v>
      </c>
      <c r="AD10" s="31">
        <v>0</v>
      </c>
      <c r="AE10" s="31">
        <v>0</v>
      </c>
      <c r="AF10" s="31">
        <v>0</v>
      </c>
      <c r="AG10" s="31">
        <v>0</v>
      </c>
      <c r="AH10" s="31">
        <v>5</v>
      </c>
      <c r="AI10" s="31">
        <v>0</v>
      </c>
      <c r="AJ10" s="31">
        <v>0</v>
      </c>
      <c r="AK10" s="31">
        <v>2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104</v>
      </c>
      <c r="AR10" s="31">
        <v>5</v>
      </c>
      <c r="AS10" s="31">
        <v>0</v>
      </c>
      <c r="AT10" s="31">
        <v>0</v>
      </c>
      <c r="AU10" s="31">
        <v>0</v>
      </c>
      <c r="AV10" s="31">
        <v>0</v>
      </c>
      <c r="AW10" s="31">
        <v>14</v>
      </c>
      <c r="AX10" s="31">
        <v>1</v>
      </c>
      <c r="AY10" s="31">
        <v>0</v>
      </c>
      <c r="AZ10" s="31">
        <v>72</v>
      </c>
      <c r="BA10" s="31">
        <v>9</v>
      </c>
      <c r="BB10" s="31">
        <v>0</v>
      </c>
      <c r="BC10" s="31">
        <v>137</v>
      </c>
      <c r="BD10" s="31">
        <v>78</v>
      </c>
      <c r="BE10" s="31">
        <v>14</v>
      </c>
    </row>
    <row r="11" spans="1:57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936</v>
      </c>
      <c r="E11" s="22">
        <v>637</v>
      </c>
      <c r="F11" s="22">
        <v>285</v>
      </c>
      <c r="G11" s="22">
        <v>14</v>
      </c>
      <c r="H11" s="22">
        <v>251</v>
      </c>
      <c r="I11" s="22">
        <v>169</v>
      </c>
      <c r="J11" s="22">
        <v>14</v>
      </c>
      <c r="K11" s="22">
        <v>2</v>
      </c>
      <c r="L11" s="22">
        <v>0</v>
      </c>
      <c r="M11" s="22">
        <v>8</v>
      </c>
      <c r="N11" s="22">
        <v>18</v>
      </c>
      <c r="O11" s="22">
        <v>0</v>
      </c>
      <c r="P11" s="22">
        <v>18</v>
      </c>
      <c r="Q11" s="22">
        <v>5</v>
      </c>
      <c r="R11" s="22">
        <v>0</v>
      </c>
      <c r="S11" s="22">
        <v>18</v>
      </c>
      <c r="T11" s="22">
        <v>5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2">
        <v>5</v>
      </c>
      <c r="AI11" s="22">
        <v>0</v>
      </c>
      <c r="AJ11" s="22">
        <v>0</v>
      </c>
      <c r="AK11" s="22">
        <v>2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102</v>
      </c>
      <c r="AR11" s="22">
        <v>5</v>
      </c>
      <c r="AS11" s="22">
        <v>0</v>
      </c>
      <c r="AT11" s="22">
        <v>0</v>
      </c>
      <c r="AU11" s="22">
        <v>0</v>
      </c>
      <c r="AV11" s="22">
        <v>0</v>
      </c>
      <c r="AW11" s="22">
        <v>14</v>
      </c>
      <c r="AX11" s="22">
        <v>1</v>
      </c>
      <c r="AY11" s="22">
        <v>0</v>
      </c>
      <c r="AZ11" s="22">
        <v>72</v>
      </c>
      <c r="BA11" s="22">
        <v>6</v>
      </c>
      <c r="BB11" s="22">
        <v>0</v>
      </c>
      <c r="BC11" s="22">
        <v>133</v>
      </c>
      <c r="BD11" s="22">
        <v>73</v>
      </c>
      <c r="BE11" s="22">
        <v>14</v>
      </c>
    </row>
    <row r="12" spans="1:57" s="23" customFormat="1" ht="15" customHeight="1" x14ac:dyDescent="0.2">
      <c r="A12" s="111"/>
      <c r="B12" s="32" t="s">
        <v>76</v>
      </c>
      <c r="C12" s="33" t="s">
        <v>194</v>
      </c>
      <c r="D12" s="22">
        <v>51</v>
      </c>
      <c r="E12" s="22">
        <v>29</v>
      </c>
      <c r="F12" s="22">
        <v>22</v>
      </c>
      <c r="G12" s="22">
        <v>0</v>
      </c>
      <c r="H12" s="22">
        <v>10</v>
      </c>
      <c r="I12" s="22">
        <v>13</v>
      </c>
      <c r="J12" s="22">
        <v>1</v>
      </c>
      <c r="K12" s="22">
        <v>0</v>
      </c>
      <c r="L12" s="22">
        <v>0</v>
      </c>
      <c r="M12" s="22">
        <v>2</v>
      </c>
      <c r="N12" s="22">
        <v>1</v>
      </c>
      <c r="O12" s="22">
        <v>0</v>
      </c>
      <c r="P12" s="22">
        <v>3</v>
      </c>
      <c r="Q12" s="22">
        <v>0</v>
      </c>
      <c r="R12" s="22">
        <v>0</v>
      </c>
      <c r="S12" s="22">
        <v>7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3</v>
      </c>
      <c r="BB12" s="22">
        <v>0</v>
      </c>
      <c r="BC12" s="22">
        <v>4</v>
      </c>
      <c r="BD12" s="22">
        <v>5</v>
      </c>
      <c r="BE12" s="22">
        <v>0</v>
      </c>
    </row>
    <row r="13" spans="1:57" s="23" customFormat="1" ht="15" customHeight="1" x14ac:dyDescent="0.2">
      <c r="A13" s="81" t="s">
        <v>212</v>
      </c>
      <c r="B13" s="29" t="s">
        <v>74</v>
      </c>
      <c r="C13" s="30" t="s">
        <v>0</v>
      </c>
      <c r="D13" s="31">
        <v>374</v>
      </c>
      <c r="E13" s="31">
        <v>239</v>
      </c>
      <c r="F13" s="31">
        <v>134</v>
      </c>
      <c r="G13" s="31">
        <v>1</v>
      </c>
      <c r="H13" s="31">
        <v>106</v>
      </c>
      <c r="I13" s="31">
        <v>91</v>
      </c>
      <c r="J13" s="31">
        <v>4</v>
      </c>
      <c r="K13" s="31">
        <v>0</v>
      </c>
      <c r="L13" s="31">
        <v>0</v>
      </c>
      <c r="M13" s="31">
        <v>3</v>
      </c>
      <c r="N13" s="31">
        <v>4</v>
      </c>
      <c r="O13" s="31">
        <v>0</v>
      </c>
      <c r="P13" s="31">
        <v>4</v>
      </c>
      <c r="Q13" s="31">
        <v>3</v>
      </c>
      <c r="R13" s="31">
        <v>0</v>
      </c>
      <c r="S13" s="31">
        <v>10</v>
      </c>
      <c r="T13" s="31">
        <v>2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3</v>
      </c>
      <c r="AF13" s="31">
        <v>0</v>
      </c>
      <c r="AG13" s="31">
        <v>0</v>
      </c>
      <c r="AH13" s="31">
        <v>3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32</v>
      </c>
      <c r="AR13" s="31">
        <v>4</v>
      </c>
      <c r="AS13" s="31">
        <v>0</v>
      </c>
      <c r="AT13" s="31">
        <v>0</v>
      </c>
      <c r="AU13" s="31">
        <v>0</v>
      </c>
      <c r="AV13" s="31">
        <v>0</v>
      </c>
      <c r="AW13" s="31">
        <v>3</v>
      </c>
      <c r="AX13" s="31">
        <v>0</v>
      </c>
      <c r="AY13" s="31">
        <v>0</v>
      </c>
      <c r="AZ13" s="31">
        <v>32</v>
      </c>
      <c r="BA13" s="31">
        <v>0</v>
      </c>
      <c r="BB13" s="31">
        <v>0</v>
      </c>
      <c r="BC13" s="31">
        <v>38</v>
      </c>
      <c r="BD13" s="31">
        <v>30</v>
      </c>
      <c r="BE13" s="31">
        <v>1</v>
      </c>
    </row>
    <row r="14" spans="1:57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368</v>
      </c>
      <c r="E14" s="22">
        <v>238</v>
      </c>
      <c r="F14" s="22">
        <v>129</v>
      </c>
      <c r="G14" s="22">
        <v>1</v>
      </c>
      <c r="H14" s="22">
        <v>106</v>
      </c>
      <c r="I14" s="22">
        <v>87</v>
      </c>
      <c r="J14" s="22">
        <v>4</v>
      </c>
      <c r="K14" s="22">
        <v>0</v>
      </c>
      <c r="L14" s="22">
        <v>0</v>
      </c>
      <c r="M14" s="22">
        <v>3</v>
      </c>
      <c r="N14" s="22">
        <v>4</v>
      </c>
      <c r="O14" s="22">
        <v>0</v>
      </c>
      <c r="P14" s="22">
        <v>4</v>
      </c>
      <c r="Q14" s="22">
        <v>3</v>
      </c>
      <c r="R14" s="22">
        <v>0</v>
      </c>
      <c r="S14" s="22">
        <v>10</v>
      </c>
      <c r="T14" s="22">
        <v>2</v>
      </c>
      <c r="U14" s="22">
        <v>0</v>
      </c>
      <c r="V14" s="22">
        <v>0</v>
      </c>
      <c r="W14" s="22">
        <v>0</v>
      </c>
      <c r="X14" s="22">
        <v>0</v>
      </c>
      <c r="Y14" s="22">
        <v>1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3</v>
      </c>
      <c r="AF14" s="22">
        <v>0</v>
      </c>
      <c r="AG14" s="22">
        <v>0</v>
      </c>
      <c r="AH14" s="22">
        <v>3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31</v>
      </c>
      <c r="AR14" s="22">
        <v>4</v>
      </c>
      <c r="AS14" s="22">
        <v>0</v>
      </c>
      <c r="AT14" s="22">
        <v>0</v>
      </c>
      <c r="AU14" s="22">
        <v>0</v>
      </c>
      <c r="AV14" s="22">
        <v>0</v>
      </c>
      <c r="AW14" s="22">
        <v>3</v>
      </c>
      <c r="AX14" s="22">
        <v>0</v>
      </c>
      <c r="AY14" s="22">
        <v>0</v>
      </c>
      <c r="AZ14" s="22">
        <v>32</v>
      </c>
      <c r="BA14" s="22">
        <v>0</v>
      </c>
      <c r="BB14" s="22">
        <v>0</v>
      </c>
      <c r="BC14" s="22">
        <v>38</v>
      </c>
      <c r="BD14" s="22">
        <v>29</v>
      </c>
      <c r="BE14" s="22">
        <v>1</v>
      </c>
    </row>
    <row r="15" spans="1:57" s="23" customFormat="1" ht="15" customHeight="1" x14ac:dyDescent="0.2">
      <c r="A15" s="111"/>
      <c r="B15" s="34" t="s">
        <v>76</v>
      </c>
      <c r="C15" s="35" t="s">
        <v>194</v>
      </c>
      <c r="D15" s="22">
        <v>6</v>
      </c>
      <c r="E15" s="22">
        <v>1</v>
      </c>
      <c r="F15" s="22">
        <v>5</v>
      </c>
      <c r="G15" s="22">
        <v>0</v>
      </c>
      <c r="H15" s="22">
        <v>0</v>
      </c>
      <c r="I15" s="22">
        <v>4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1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1</v>
      </c>
      <c r="BE15" s="22">
        <v>0</v>
      </c>
    </row>
    <row r="16" spans="1:57" s="23" customFormat="1" ht="15" customHeight="1" x14ac:dyDescent="0.2">
      <c r="A16" s="81" t="s">
        <v>213</v>
      </c>
      <c r="B16" s="29" t="s">
        <v>74</v>
      </c>
      <c r="C16" s="30" t="s">
        <v>0</v>
      </c>
      <c r="D16" s="31">
        <v>352</v>
      </c>
      <c r="E16" s="31">
        <v>251</v>
      </c>
      <c r="F16" s="31">
        <v>92</v>
      </c>
      <c r="G16" s="31">
        <v>9</v>
      </c>
      <c r="H16" s="31">
        <v>120</v>
      </c>
      <c r="I16" s="31">
        <v>75</v>
      </c>
      <c r="J16" s="31">
        <v>4</v>
      </c>
      <c r="K16" s="31">
        <v>0</v>
      </c>
      <c r="L16" s="31">
        <v>0</v>
      </c>
      <c r="M16" s="31">
        <v>7</v>
      </c>
      <c r="N16" s="31">
        <v>7</v>
      </c>
      <c r="O16" s="31">
        <v>0</v>
      </c>
      <c r="P16" s="31">
        <v>14</v>
      </c>
      <c r="Q16" s="31">
        <v>1</v>
      </c>
      <c r="R16" s="31">
        <v>0</v>
      </c>
      <c r="S16" s="31">
        <v>10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1</v>
      </c>
      <c r="AD16" s="31">
        <v>0</v>
      </c>
      <c r="AE16" s="31">
        <v>1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26</v>
      </c>
      <c r="AR16" s="31">
        <v>5</v>
      </c>
      <c r="AS16" s="31">
        <v>0</v>
      </c>
      <c r="AT16" s="31">
        <v>2</v>
      </c>
      <c r="AU16" s="31">
        <v>0</v>
      </c>
      <c r="AV16" s="31">
        <v>0</v>
      </c>
      <c r="AW16" s="31">
        <v>6</v>
      </c>
      <c r="AX16" s="31">
        <v>0</v>
      </c>
      <c r="AY16" s="31">
        <v>0</v>
      </c>
      <c r="AZ16" s="31">
        <v>39</v>
      </c>
      <c r="BA16" s="31">
        <v>1</v>
      </c>
      <c r="BB16" s="31">
        <v>0</v>
      </c>
      <c r="BC16" s="31">
        <v>22</v>
      </c>
      <c r="BD16" s="31">
        <v>2</v>
      </c>
      <c r="BE16" s="31">
        <v>9</v>
      </c>
    </row>
    <row r="17" spans="1:57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311</v>
      </c>
      <c r="E17" s="22">
        <v>227</v>
      </c>
      <c r="F17" s="22">
        <v>75</v>
      </c>
      <c r="G17" s="22">
        <v>9</v>
      </c>
      <c r="H17" s="22">
        <v>106</v>
      </c>
      <c r="I17" s="22">
        <v>60</v>
      </c>
      <c r="J17" s="22">
        <v>3</v>
      </c>
      <c r="K17" s="22">
        <v>0</v>
      </c>
      <c r="L17" s="22">
        <v>0</v>
      </c>
      <c r="M17" s="22">
        <v>6</v>
      </c>
      <c r="N17" s="22">
        <v>7</v>
      </c>
      <c r="O17" s="22">
        <v>0</v>
      </c>
      <c r="P17" s="22">
        <v>14</v>
      </c>
      <c r="Q17" s="22">
        <v>0</v>
      </c>
      <c r="R17" s="22">
        <v>0</v>
      </c>
      <c r="S17" s="22">
        <v>6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1</v>
      </c>
      <c r="AD17" s="22">
        <v>0</v>
      </c>
      <c r="AE17" s="22">
        <v>1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24</v>
      </c>
      <c r="AR17" s="22">
        <v>4</v>
      </c>
      <c r="AS17" s="22">
        <v>0</v>
      </c>
      <c r="AT17" s="22">
        <v>2</v>
      </c>
      <c r="AU17" s="22">
        <v>0</v>
      </c>
      <c r="AV17" s="22">
        <v>0</v>
      </c>
      <c r="AW17" s="22">
        <v>5</v>
      </c>
      <c r="AX17" s="22">
        <v>0</v>
      </c>
      <c r="AY17" s="22">
        <v>0</v>
      </c>
      <c r="AZ17" s="22">
        <v>38</v>
      </c>
      <c r="BA17" s="22">
        <v>1</v>
      </c>
      <c r="BB17" s="22">
        <v>0</v>
      </c>
      <c r="BC17" s="22">
        <v>22</v>
      </c>
      <c r="BD17" s="22">
        <v>2</v>
      </c>
      <c r="BE17" s="22">
        <v>9</v>
      </c>
    </row>
    <row r="18" spans="1:57" s="23" customFormat="1" ht="15" customHeight="1" x14ac:dyDescent="0.2">
      <c r="A18" s="111"/>
      <c r="B18" s="34" t="s">
        <v>76</v>
      </c>
      <c r="C18" s="35" t="s">
        <v>194</v>
      </c>
      <c r="D18" s="22">
        <v>41</v>
      </c>
      <c r="E18" s="22">
        <v>24</v>
      </c>
      <c r="F18" s="22">
        <v>17</v>
      </c>
      <c r="G18" s="22">
        <v>0</v>
      </c>
      <c r="H18" s="22">
        <v>14</v>
      </c>
      <c r="I18" s="22">
        <v>15</v>
      </c>
      <c r="J18" s="22">
        <v>1</v>
      </c>
      <c r="K18" s="22">
        <v>0</v>
      </c>
      <c r="L18" s="22">
        <v>0</v>
      </c>
      <c r="M18" s="22">
        <v>1</v>
      </c>
      <c r="N18" s="22">
        <v>0</v>
      </c>
      <c r="O18" s="22">
        <v>0</v>
      </c>
      <c r="P18" s="22">
        <v>0</v>
      </c>
      <c r="Q18" s="22">
        <v>1</v>
      </c>
      <c r="R18" s="22">
        <v>0</v>
      </c>
      <c r="S18" s="22">
        <v>4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2</v>
      </c>
      <c r="AR18" s="22">
        <v>1</v>
      </c>
      <c r="AS18" s="22">
        <v>0</v>
      </c>
      <c r="AT18" s="22">
        <v>0</v>
      </c>
      <c r="AU18" s="22">
        <v>0</v>
      </c>
      <c r="AV18" s="22">
        <v>0</v>
      </c>
      <c r="AW18" s="22">
        <v>1</v>
      </c>
      <c r="AX18" s="22">
        <v>0</v>
      </c>
      <c r="AY18" s="22">
        <v>0</v>
      </c>
      <c r="AZ18" s="22">
        <v>1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</row>
    <row r="19" spans="1:57" s="23" customFormat="1" ht="15" customHeight="1" x14ac:dyDescent="0.2">
      <c r="A19" s="81" t="s">
        <v>214</v>
      </c>
      <c r="B19" s="29" t="s">
        <v>74</v>
      </c>
      <c r="C19" s="30" t="s">
        <v>0</v>
      </c>
      <c r="D19" s="31">
        <v>613</v>
      </c>
      <c r="E19" s="31">
        <v>398</v>
      </c>
      <c r="F19" s="31">
        <v>209</v>
      </c>
      <c r="G19" s="31">
        <v>6</v>
      </c>
      <c r="H19" s="31">
        <v>230</v>
      </c>
      <c r="I19" s="31">
        <v>153</v>
      </c>
      <c r="J19" s="31">
        <v>15</v>
      </c>
      <c r="K19" s="31">
        <v>5</v>
      </c>
      <c r="L19" s="31">
        <v>0</v>
      </c>
      <c r="M19" s="31">
        <v>14</v>
      </c>
      <c r="N19" s="31">
        <v>16</v>
      </c>
      <c r="O19" s="31">
        <v>0</v>
      </c>
      <c r="P19" s="31">
        <v>9</v>
      </c>
      <c r="Q19" s="31">
        <v>5</v>
      </c>
      <c r="R19" s="31">
        <v>0</v>
      </c>
      <c r="S19" s="31">
        <v>12</v>
      </c>
      <c r="T19" s="31">
        <v>7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2</v>
      </c>
      <c r="AI19" s="31">
        <v>0</v>
      </c>
      <c r="AJ19" s="31">
        <v>0</v>
      </c>
      <c r="AK19" s="31">
        <v>5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46</v>
      </c>
      <c r="AR19" s="31">
        <v>2</v>
      </c>
      <c r="AS19" s="31">
        <v>0</v>
      </c>
      <c r="AT19" s="31">
        <v>0</v>
      </c>
      <c r="AU19" s="31">
        <v>0</v>
      </c>
      <c r="AV19" s="31">
        <v>0</v>
      </c>
      <c r="AW19" s="31">
        <v>2</v>
      </c>
      <c r="AX19" s="31">
        <v>0</v>
      </c>
      <c r="AY19" s="31">
        <v>0</v>
      </c>
      <c r="AZ19" s="31">
        <v>43</v>
      </c>
      <c r="BA19" s="31">
        <v>2</v>
      </c>
      <c r="BB19" s="31">
        <v>0</v>
      </c>
      <c r="BC19" s="31">
        <v>20</v>
      </c>
      <c r="BD19" s="31">
        <v>19</v>
      </c>
      <c r="BE19" s="31">
        <v>6</v>
      </c>
    </row>
    <row r="20" spans="1:57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590</v>
      </c>
      <c r="E20" s="22">
        <v>384</v>
      </c>
      <c r="F20" s="22">
        <v>200</v>
      </c>
      <c r="G20" s="22">
        <v>6</v>
      </c>
      <c r="H20" s="22">
        <v>222</v>
      </c>
      <c r="I20" s="22">
        <v>146</v>
      </c>
      <c r="J20" s="22">
        <v>12</v>
      </c>
      <c r="K20" s="22">
        <v>4</v>
      </c>
      <c r="L20" s="22">
        <v>0</v>
      </c>
      <c r="M20" s="22">
        <v>13</v>
      </c>
      <c r="N20" s="22">
        <v>15</v>
      </c>
      <c r="O20" s="22">
        <v>0</v>
      </c>
      <c r="P20" s="22">
        <v>9</v>
      </c>
      <c r="Q20" s="22">
        <v>5</v>
      </c>
      <c r="R20" s="22">
        <v>0</v>
      </c>
      <c r="S20" s="22">
        <v>12</v>
      </c>
      <c r="T20" s="22">
        <v>7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2</v>
      </c>
      <c r="AI20" s="22">
        <v>0</v>
      </c>
      <c r="AJ20" s="22">
        <v>0</v>
      </c>
      <c r="AK20" s="22">
        <v>5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45</v>
      </c>
      <c r="AR20" s="22">
        <v>2</v>
      </c>
      <c r="AS20" s="22">
        <v>0</v>
      </c>
      <c r="AT20" s="22">
        <v>0</v>
      </c>
      <c r="AU20" s="22">
        <v>0</v>
      </c>
      <c r="AV20" s="22">
        <v>0</v>
      </c>
      <c r="AW20" s="22">
        <v>1</v>
      </c>
      <c r="AX20" s="22">
        <v>0</v>
      </c>
      <c r="AY20" s="22">
        <v>0</v>
      </c>
      <c r="AZ20" s="22">
        <v>43</v>
      </c>
      <c r="BA20" s="22">
        <v>2</v>
      </c>
      <c r="BB20" s="22">
        <v>0</v>
      </c>
      <c r="BC20" s="22">
        <v>20</v>
      </c>
      <c r="BD20" s="22">
        <v>19</v>
      </c>
      <c r="BE20" s="22">
        <v>6</v>
      </c>
    </row>
    <row r="21" spans="1:57" s="23" customFormat="1" ht="15" customHeight="1" x14ac:dyDescent="0.2">
      <c r="A21" s="111"/>
      <c r="B21" s="34" t="s">
        <v>76</v>
      </c>
      <c r="C21" s="35" t="s">
        <v>194</v>
      </c>
      <c r="D21" s="22">
        <v>23</v>
      </c>
      <c r="E21" s="22">
        <v>14</v>
      </c>
      <c r="F21" s="22">
        <v>9</v>
      </c>
      <c r="G21" s="22">
        <v>0</v>
      </c>
      <c r="H21" s="22">
        <v>8</v>
      </c>
      <c r="I21" s="22">
        <v>7</v>
      </c>
      <c r="J21" s="22">
        <v>3</v>
      </c>
      <c r="K21" s="22">
        <v>1</v>
      </c>
      <c r="L21" s="22">
        <v>0</v>
      </c>
      <c r="M21" s="22">
        <v>1</v>
      </c>
      <c r="N21" s="22">
        <v>1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1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</row>
    <row r="22" spans="1:57" s="23" customFormat="1" ht="15" customHeight="1" x14ac:dyDescent="0.2">
      <c r="A22" s="81" t="s">
        <v>215</v>
      </c>
      <c r="B22" s="29" t="s">
        <v>74</v>
      </c>
      <c r="C22" s="30" t="s">
        <v>0</v>
      </c>
      <c r="D22" s="31">
        <v>214</v>
      </c>
      <c r="E22" s="31">
        <v>135</v>
      </c>
      <c r="F22" s="31">
        <v>77</v>
      </c>
      <c r="G22" s="31">
        <v>2</v>
      </c>
      <c r="H22" s="31">
        <v>55</v>
      </c>
      <c r="I22" s="31">
        <v>57</v>
      </c>
      <c r="J22" s="31">
        <v>6</v>
      </c>
      <c r="K22" s="31">
        <v>1</v>
      </c>
      <c r="L22" s="31">
        <v>0</v>
      </c>
      <c r="M22" s="31">
        <v>5</v>
      </c>
      <c r="N22" s="31">
        <v>6</v>
      </c>
      <c r="O22" s="31">
        <v>0</v>
      </c>
      <c r="P22" s="31">
        <v>4</v>
      </c>
      <c r="Q22" s="31">
        <v>3</v>
      </c>
      <c r="R22" s="31">
        <v>0</v>
      </c>
      <c r="S22" s="31">
        <v>9</v>
      </c>
      <c r="T22" s="31">
        <v>4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3</v>
      </c>
      <c r="AF22" s="31">
        <v>0</v>
      </c>
      <c r="AG22" s="31">
        <v>0</v>
      </c>
      <c r="AH22" s="31">
        <v>2</v>
      </c>
      <c r="AI22" s="31">
        <v>0</v>
      </c>
      <c r="AJ22" s="31">
        <v>0</v>
      </c>
      <c r="AK22" s="31">
        <v>2</v>
      </c>
      <c r="AL22" s="31">
        <v>1</v>
      </c>
      <c r="AM22" s="31">
        <v>0</v>
      </c>
      <c r="AN22" s="31">
        <v>0</v>
      </c>
      <c r="AO22" s="31">
        <v>0</v>
      </c>
      <c r="AP22" s="31">
        <v>0</v>
      </c>
      <c r="AQ22" s="31">
        <v>14</v>
      </c>
      <c r="AR22" s="31">
        <v>3</v>
      </c>
      <c r="AS22" s="31">
        <v>0</v>
      </c>
      <c r="AT22" s="31">
        <v>0</v>
      </c>
      <c r="AU22" s="31">
        <v>0</v>
      </c>
      <c r="AV22" s="31">
        <v>0</v>
      </c>
      <c r="AW22" s="31">
        <v>7</v>
      </c>
      <c r="AX22" s="31">
        <v>0</v>
      </c>
      <c r="AY22" s="31">
        <v>0</v>
      </c>
      <c r="AZ22" s="31">
        <v>24</v>
      </c>
      <c r="BA22" s="31">
        <v>1</v>
      </c>
      <c r="BB22" s="31">
        <v>0</v>
      </c>
      <c r="BC22" s="31">
        <v>4</v>
      </c>
      <c r="BD22" s="31">
        <v>1</v>
      </c>
      <c r="BE22" s="31">
        <v>2</v>
      </c>
    </row>
    <row r="23" spans="1:57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210</v>
      </c>
      <c r="E23" s="22">
        <v>134</v>
      </c>
      <c r="F23" s="22">
        <v>74</v>
      </c>
      <c r="G23" s="22">
        <v>2</v>
      </c>
      <c r="H23" s="22">
        <v>55</v>
      </c>
      <c r="I23" s="22">
        <v>55</v>
      </c>
      <c r="J23" s="22">
        <v>5</v>
      </c>
      <c r="K23" s="22">
        <v>0</v>
      </c>
      <c r="L23" s="22">
        <v>0</v>
      </c>
      <c r="M23" s="22">
        <v>5</v>
      </c>
      <c r="N23" s="22">
        <v>6</v>
      </c>
      <c r="O23" s="22">
        <v>0</v>
      </c>
      <c r="P23" s="22">
        <v>4</v>
      </c>
      <c r="Q23" s="22">
        <v>3</v>
      </c>
      <c r="R23" s="22">
        <v>0</v>
      </c>
      <c r="S23" s="22">
        <v>9</v>
      </c>
      <c r="T23" s="22">
        <v>4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3</v>
      </c>
      <c r="AF23" s="22">
        <v>0</v>
      </c>
      <c r="AG23" s="22">
        <v>0</v>
      </c>
      <c r="AH23" s="22">
        <v>2</v>
      </c>
      <c r="AI23" s="22">
        <v>0</v>
      </c>
      <c r="AJ23" s="22">
        <v>0</v>
      </c>
      <c r="AK23" s="22">
        <v>2</v>
      </c>
      <c r="AL23" s="22">
        <v>1</v>
      </c>
      <c r="AM23" s="22">
        <v>0</v>
      </c>
      <c r="AN23" s="22">
        <v>0</v>
      </c>
      <c r="AO23" s="22">
        <v>0</v>
      </c>
      <c r="AP23" s="22">
        <v>0</v>
      </c>
      <c r="AQ23" s="22">
        <v>14</v>
      </c>
      <c r="AR23" s="22">
        <v>3</v>
      </c>
      <c r="AS23" s="22">
        <v>0</v>
      </c>
      <c r="AT23" s="22">
        <v>0</v>
      </c>
      <c r="AU23" s="22">
        <v>0</v>
      </c>
      <c r="AV23" s="22">
        <v>0</v>
      </c>
      <c r="AW23" s="22">
        <v>7</v>
      </c>
      <c r="AX23" s="22">
        <v>0</v>
      </c>
      <c r="AY23" s="22">
        <v>0</v>
      </c>
      <c r="AZ23" s="22">
        <v>24</v>
      </c>
      <c r="BA23" s="22">
        <v>1</v>
      </c>
      <c r="BB23" s="22">
        <v>0</v>
      </c>
      <c r="BC23" s="22">
        <v>4</v>
      </c>
      <c r="BD23" s="22">
        <v>1</v>
      </c>
      <c r="BE23" s="22">
        <v>2</v>
      </c>
    </row>
    <row r="24" spans="1:57" s="23" customFormat="1" ht="15" customHeight="1" x14ac:dyDescent="0.2">
      <c r="A24" s="111"/>
      <c r="B24" s="34" t="s">
        <v>76</v>
      </c>
      <c r="C24" s="35" t="s">
        <v>194</v>
      </c>
      <c r="D24" s="22">
        <v>4</v>
      </c>
      <c r="E24" s="22">
        <v>1</v>
      </c>
      <c r="F24" s="22">
        <v>3</v>
      </c>
      <c r="G24" s="22">
        <v>0</v>
      </c>
      <c r="H24" s="22">
        <v>0</v>
      </c>
      <c r="I24" s="22">
        <v>2</v>
      </c>
      <c r="J24" s="22">
        <v>1</v>
      </c>
      <c r="K24" s="22">
        <v>1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</row>
    <row r="25" spans="1:57" s="23" customFormat="1" ht="15" customHeight="1" x14ac:dyDescent="0.2">
      <c r="A25" s="81" t="s">
        <v>216</v>
      </c>
      <c r="B25" s="29" t="s">
        <v>74</v>
      </c>
      <c r="C25" s="30" t="s">
        <v>0</v>
      </c>
      <c r="D25" s="31">
        <v>627</v>
      </c>
      <c r="E25" s="31">
        <v>349</v>
      </c>
      <c r="F25" s="31">
        <v>272</v>
      </c>
      <c r="G25" s="31">
        <v>6</v>
      </c>
      <c r="H25" s="31">
        <v>166</v>
      </c>
      <c r="I25" s="31">
        <v>149</v>
      </c>
      <c r="J25" s="31">
        <v>7</v>
      </c>
      <c r="K25" s="31">
        <v>2</v>
      </c>
      <c r="L25" s="31">
        <v>0</v>
      </c>
      <c r="M25" s="31">
        <v>8</v>
      </c>
      <c r="N25" s="31">
        <v>23</v>
      </c>
      <c r="O25" s="31">
        <v>0</v>
      </c>
      <c r="P25" s="31">
        <v>9</v>
      </c>
      <c r="Q25" s="31">
        <v>6</v>
      </c>
      <c r="R25" s="31">
        <v>0</v>
      </c>
      <c r="S25" s="31">
        <v>20</v>
      </c>
      <c r="T25" s="31">
        <v>5</v>
      </c>
      <c r="U25" s="31">
        <v>1</v>
      </c>
      <c r="V25" s="31">
        <v>0</v>
      </c>
      <c r="W25" s="31">
        <v>0</v>
      </c>
      <c r="X25" s="31">
        <v>0</v>
      </c>
      <c r="Y25" s="31">
        <v>0</v>
      </c>
      <c r="Z25" s="31">
        <v>3</v>
      </c>
      <c r="AA25" s="31">
        <v>0</v>
      </c>
      <c r="AB25" s="31">
        <v>1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2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28</v>
      </c>
      <c r="AR25" s="31">
        <v>1</v>
      </c>
      <c r="AS25" s="31">
        <v>0</v>
      </c>
      <c r="AT25" s="31">
        <v>0</v>
      </c>
      <c r="AU25" s="31">
        <v>0</v>
      </c>
      <c r="AV25" s="31">
        <v>0</v>
      </c>
      <c r="AW25" s="31">
        <v>3</v>
      </c>
      <c r="AX25" s="31">
        <v>0</v>
      </c>
      <c r="AY25" s="31">
        <v>0</v>
      </c>
      <c r="AZ25" s="31">
        <v>15</v>
      </c>
      <c r="BA25" s="31">
        <v>27</v>
      </c>
      <c r="BB25" s="31">
        <v>0</v>
      </c>
      <c r="BC25" s="31">
        <v>90</v>
      </c>
      <c r="BD25" s="31">
        <v>56</v>
      </c>
      <c r="BE25" s="31">
        <v>5</v>
      </c>
    </row>
    <row r="26" spans="1:57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607</v>
      </c>
      <c r="E26" s="22">
        <v>341</v>
      </c>
      <c r="F26" s="22">
        <v>260</v>
      </c>
      <c r="G26" s="22">
        <v>6</v>
      </c>
      <c r="H26" s="22">
        <v>162</v>
      </c>
      <c r="I26" s="22">
        <v>141</v>
      </c>
      <c r="J26" s="22">
        <v>7</v>
      </c>
      <c r="K26" s="22">
        <v>2</v>
      </c>
      <c r="L26" s="22">
        <v>0</v>
      </c>
      <c r="M26" s="22">
        <v>8</v>
      </c>
      <c r="N26" s="22">
        <v>23</v>
      </c>
      <c r="O26" s="22">
        <v>0</v>
      </c>
      <c r="P26" s="22">
        <v>9</v>
      </c>
      <c r="Q26" s="22">
        <v>4</v>
      </c>
      <c r="R26" s="22">
        <v>0</v>
      </c>
      <c r="S26" s="22">
        <v>20</v>
      </c>
      <c r="T26" s="22">
        <v>5</v>
      </c>
      <c r="U26" s="22">
        <v>1</v>
      </c>
      <c r="V26" s="22">
        <v>0</v>
      </c>
      <c r="W26" s="22">
        <v>0</v>
      </c>
      <c r="X26" s="22">
        <v>0</v>
      </c>
      <c r="Y26" s="22">
        <v>0</v>
      </c>
      <c r="Z26" s="22">
        <v>3</v>
      </c>
      <c r="AA26" s="22">
        <v>0</v>
      </c>
      <c r="AB26" s="22">
        <v>1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2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27</v>
      </c>
      <c r="AR26" s="22">
        <v>1</v>
      </c>
      <c r="AS26" s="22">
        <v>0</v>
      </c>
      <c r="AT26" s="22">
        <v>0</v>
      </c>
      <c r="AU26" s="22">
        <v>0</v>
      </c>
      <c r="AV26" s="22">
        <v>0</v>
      </c>
      <c r="AW26" s="22">
        <v>3</v>
      </c>
      <c r="AX26" s="22">
        <v>0</v>
      </c>
      <c r="AY26" s="22">
        <v>0</v>
      </c>
      <c r="AZ26" s="22">
        <v>15</v>
      </c>
      <c r="BA26" s="22">
        <v>27</v>
      </c>
      <c r="BB26" s="22">
        <v>0</v>
      </c>
      <c r="BC26" s="22">
        <v>87</v>
      </c>
      <c r="BD26" s="22">
        <v>54</v>
      </c>
      <c r="BE26" s="22">
        <v>5</v>
      </c>
    </row>
    <row r="27" spans="1:57" s="23" customFormat="1" ht="15" customHeight="1" x14ac:dyDescent="0.2">
      <c r="A27" s="111"/>
      <c r="B27" s="34" t="s">
        <v>76</v>
      </c>
      <c r="C27" s="35" t="s">
        <v>194</v>
      </c>
      <c r="D27" s="22">
        <v>20</v>
      </c>
      <c r="E27" s="22">
        <v>8</v>
      </c>
      <c r="F27" s="22">
        <v>12</v>
      </c>
      <c r="G27" s="22">
        <v>0</v>
      </c>
      <c r="H27" s="22">
        <v>4</v>
      </c>
      <c r="I27" s="22">
        <v>8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2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3</v>
      </c>
      <c r="BD27" s="22">
        <v>2</v>
      </c>
      <c r="BE27" s="22">
        <v>0</v>
      </c>
    </row>
    <row r="28" spans="1:57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30</v>
      </c>
      <c r="E28" s="31">
        <v>17</v>
      </c>
      <c r="F28" s="31">
        <v>13</v>
      </c>
      <c r="G28" s="31">
        <v>0</v>
      </c>
      <c r="H28" s="31">
        <v>10</v>
      </c>
      <c r="I28" s="31">
        <v>8</v>
      </c>
      <c r="J28" s="31">
        <v>0</v>
      </c>
      <c r="K28" s="31">
        <v>1</v>
      </c>
      <c r="L28" s="31">
        <v>0</v>
      </c>
      <c r="M28" s="31">
        <v>1</v>
      </c>
      <c r="N28" s="31">
        <v>1</v>
      </c>
      <c r="O28" s="31">
        <v>0</v>
      </c>
      <c r="P28" s="31">
        <v>2</v>
      </c>
      <c r="Q28" s="31">
        <v>1</v>
      </c>
      <c r="R28" s="31">
        <v>0</v>
      </c>
      <c r="S28" s="31">
        <v>4</v>
      </c>
      <c r="T28" s="31">
        <v>2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</row>
    <row r="29" spans="1:57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28</v>
      </c>
      <c r="E29" s="22">
        <v>15</v>
      </c>
      <c r="F29" s="22">
        <v>13</v>
      </c>
      <c r="G29" s="22">
        <v>0</v>
      </c>
      <c r="H29" s="22">
        <v>10</v>
      </c>
      <c r="I29" s="22">
        <v>8</v>
      </c>
      <c r="J29" s="22">
        <v>0</v>
      </c>
      <c r="K29" s="22">
        <v>1</v>
      </c>
      <c r="L29" s="22">
        <v>0</v>
      </c>
      <c r="M29" s="22">
        <v>1</v>
      </c>
      <c r="N29" s="22">
        <v>1</v>
      </c>
      <c r="O29" s="22">
        <v>0</v>
      </c>
      <c r="P29" s="22">
        <v>1</v>
      </c>
      <c r="Q29" s="22">
        <v>1</v>
      </c>
      <c r="R29" s="22">
        <v>0</v>
      </c>
      <c r="S29" s="22">
        <v>3</v>
      </c>
      <c r="T29" s="22">
        <v>2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</row>
    <row r="30" spans="1:57" s="23" customFormat="1" ht="15" customHeight="1" x14ac:dyDescent="0.2">
      <c r="A30" s="24"/>
      <c r="B30" s="34" t="s">
        <v>76</v>
      </c>
      <c r="C30" s="35" t="s">
        <v>194</v>
      </c>
      <c r="D30" s="22">
        <v>2</v>
      </c>
      <c r="E30" s="22">
        <v>2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1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</row>
    <row r="31" spans="1:57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168</v>
      </c>
      <c r="E31" s="31">
        <v>103</v>
      </c>
      <c r="F31" s="31">
        <v>64</v>
      </c>
      <c r="G31" s="31">
        <v>1</v>
      </c>
      <c r="H31" s="31">
        <v>59</v>
      </c>
      <c r="I31" s="31">
        <v>57</v>
      </c>
      <c r="J31" s="31">
        <v>5</v>
      </c>
      <c r="K31" s="31">
        <v>0</v>
      </c>
      <c r="L31" s="31">
        <v>0</v>
      </c>
      <c r="M31" s="31">
        <v>3</v>
      </c>
      <c r="N31" s="31">
        <v>1</v>
      </c>
      <c r="O31" s="31">
        <v>0</v>
      </c>
      <c r="P31" s="31">
        <v>2</v>
      </c>
      <c r="Q31" s="31">
        <v>1</v>
      </c>
      <c r="R31" s="31">
        <v>0</v>
      </c>
      <c r="S31" s="31">
        <v>8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2</v>
      </c>
      <c r="AL31" s="31">
        <v>1</v>
      </c>
      <c r="AM31" s="31">
        <v>0</v>
      </c>
      <c r="AN31" s="31">
        <v>0</v>
      </c>
      <c r="AO31" s="31">
        <v>0</v>
      </c>
      <c r="AP31" s="31">
        <v>0</v>
      </c>
      <c r="AQ31" s="31">
        <v>1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3</v>
      </c>
      <c r="AX31" s="31">
        <v>0</v>
      </c>
      <c r="AY31" s="31">
        <v>0</v>
      </c>
      <c r="AZ31" s="31">
        <v>15</v>
      </c>
      <c r="BA31" s="31">
        <v>4</v>
      </c>
      <c r="BB31" s="31">
        <v>0</v>
      </c>
      <c r="BC31" s="31">
        <v>5</v>
      </c>
      <c r="BD31" s="31">
        <v>0</v>
      </c>
      <c r="BE31" s="31">
        <v>1</v>
      </c>
    </row>
    <row r="32" spans="1:57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141</v>
      </c>
      <c r="E32" s="22">
        <v>89</v>
      </c>
      <c r="F32" s="22">
        <v>51</v>
      </c>
      <c r="G32" s="22">
        <v>1</v>
      </c>
      <c r="H32" s="22">
        <v>54</v>
      </c>
      <c r="I32" s="22">
        <v>45</v>
      </c>
      <c r="J32" s="22">
        <v>4</v>
      </c>
      <c r="K32" s="22">
        <v>0</v>
      </c>
      <c r="L32" s="22">
        <v>0</v>
      </c>
      <c r="M32" s="22">
        <v>3</v>
      </c>
      <c r="N32" s="22">
        <v>1</v>
      </c>
      <c r="O32" s="22">
        <v>0</v>
      </c>
      <c r="P32" s="22">
        <v>2</v>
      </c>
      <c r="Q32" s="22">
        <v>1</v>
      </c>
      <c r="R32" s="22">
        <v>0</v>
      </c>
      <c r="S32" s="22">
        <v>3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2</v>
      </c>
      <c r="AL32" s="22">
        <v>1</v>
      </c>
      <c r="AM32" s="22">
        <v>0</v>
      </c>
      <c r="AN32" s="22">
        <v>0</v>
      </c>
      <c r="AO32" s="22">
        <v>0</v>
      </c>
      <c r="AP32" s="22">
        <v>0</v>
      </c>
      <c r="AQ32" s="22">
        <v>1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3</v>
      </c>
      <c r="AX32" s="22">
        <v>0</v>
      </c>
      <c r="AY32" s="22">
        <v>0</v>
      </c>
      <c r="AZ32" s="22">
        <v>12</v>
      </c>
      <c r="BA32" s="22">
        <v>3</v>
      </c>
      <c r="BB32" s="22">
        <v>0</v>
      </c>
      <c r="BC32" s="22">
        <v>5</v>
      </c>
      <c r="BD32" s="22">
        <v>0</v>
      </c>
      <c r="BE32" s="22">
        <v>1</v>
      </c>
    </row>
    <row r="33" spans="1:57" s="23" customFormat="1" ht="15" customHeight="1" x14ac:dyDescent="0.2">
      <c r="A33" s="111"/>
      <c r="B33" s="34" t="s">
        <v>76</v>
      </c>
      <c r="C33" s="35" t="s">
        <v>194</v>
      </c>
      <c r="D33" s="22">
        <v>27</v>
      </c>
      <c r="E33" s="22">
        <v>14</v>
      </c>
      <c r="F33" s="22">
        <v>13</v>
      </c>
      <c r="G33" s="22">
        <v>0</v>
      </c>
      <c r="H33" s="22">
        <v>5</v>
      </c>
      <c r="I33" s="22">
        <v>12</v>
      </c>
      <c r="J33" s="22">
        <v>1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5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3</v>
      </c>
      <c r="BA33" s="22">
        <v>1</v>
      </c>
      <c r="BB33" s="22">
        <v>0</v>
      </c>
      <c r="BC33" s="22">
        <v>0</v>
      </c>
      <c r="BD33" s="22">
        <v>0</v>
      </c>
      <c r="BE33" s="22">
        <v>0</v>
      </c>
    </row>
    <row r="34" spans="1:57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99</v>
      </c>
      <c r="E34" s="31">
        <v>71</v>
      </c>
      <c r="F34" s="31">
        <v>26</v>
      </c>
      <c r="G34" s="31">
        <v>2</v>
      </c>
      <c r="H34" s="31">
        <v>30</v>
      </c>
      <c r="I34" s="31">
        <v>19</v>
      </c>
      <c r="J34" s="31">
        <v>0</v>
      </c>
      <c r="K34" s="31">
        <v>0</v>
      </c>
      <c r="L34" s="31">
        <v>0</v>
      </c>
      <c r="M34" s="31">
        <v>0</v>
      </c>
      <c r="N34" s="31">
        <v>2</v>
      </c>
      <c r="O34" s="31">
        <v>0</v>
      </c>
      <c r="P34" s="31">
        <v>7</v>
      </c>
      <c r="Q34" s="31">
        <v>0</v>
      </c>
      <c r="R34" s="31">
        <v>0</v>
      </c>
      <c r="S34" s="31">
        <v>0</v>
      </c>
      <c r="T34" s="31">
        <v>2</v>
      </c>
      <c r="U34" s="31">
        <v>0</v>
      </c>
      <c r="V34" s="31">
        <v>11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1</v>
      </c>
      <c r="AF34" s="31">
        <v>0</v>
      </c>
      <c r="AG34" s="31">
        <v>0</v>
      </c>
      <c r="AH34" s="31">
        <v>1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1</v>
      </c>
      <c r="AO34" s="31">
        <v>0</v>
      </c>
      <c r="AP34" s="31">
        <v>0</v>
      </c>
      <c r="AQ34" s="31">
        <v>5</v>
      </c>
      <c r="AR34" s="31">
        <v>1</v>
      </c>
      <c r="AS34" s="31">
        <v>0</v>
      </c>
      <c r="AT34" s="31">
        <v>0</v>
      </c>
      <c r="AU34" s="31">
        <v>0</v>
      </c>
      <c r="AV34" s="31">
        <v>0</v>
      </c>
      <c r="AW34" s="31">
        <v>5</v>
      </c>
      <c r="AX34" s="31">
        <v>0</v>
      </c>
      <c r="AY34" s="31">
        <v>0</v>
      </c>
      <c r="AZ34" s="31">
        <v>10</v>
      </c>
      <c r="BA34" s="31">
        <v>2</v>
      </c>
      <c r="BB34" s="31">
        <v>0</v>
      </c>
      <c r="BC34" s="31">
        <v>0</v>
      </c>
      <c r="BD34" s="31">
        <v>0</v>
      </c>
      <c r="BE34" s="31">
        <v>2</v>
      </c>
    </row>
    <row r="35" spans="1:57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94</v>
      </c>
      <c r="E35" s="22">
        <v>67</v>
      </c>
      <c r="F35" s="22">
        <v>25</v>
      </c>
      <c r="G35" s="22">
        <v>2</v>
      </c>
      <c r="H35" s="22">
        <v>26</v>
      </c>
      <c r="I35" s="22">
        <v>18</v>
      </c>
      <c r="J35" s="22">
        <v>0</v>
      </c>
      <c r="K35" s="22">
        <v>0</v>
      </c>
      <c r="L35" s="22">
        <v>0</v>
      </c>
      <c r="M35" s="22">
        <v>0</v>
      </c>
      <c r="N35" s="22">
        <v>2</v>
      </c>
      <c r="O35" s="22">
        <v>0</v>
      </c>
      <c r="P35" s="22">
        <v>7</v>
      </c>
      <c r="Q35" s="22">
        <v>0</v>
      </c>
      <c r="R35" s="22">
        <v>0</v>
      </c>
      <c r="S35" s="22">
        <v>0</v>
      </c>
      <c r="T35" s="22">
        <v>2</v>
      </c>
      <c r="U35" s="22">
        <v>0</v>
      </c>
      <c r="V35" s="22">
        <v>11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1</v>
      </c>
      <c r="AF35" s="22">
        <v>0</v>
      </c>
      <c r="AG35" s="22">
        <v>0</v>
      </c>
      <c r="AH35" s="22">
        <v>1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1</v>
      </c>
      <c r="AO35" s="22">
        <v>0</v>
      </c>
      <c r="AP35" s="22">
        <v>0</v>
      </c>
      <c r="AQ35" s="22">
        <v>5</v>
      </c>
      <c r="AR35" s="22">
        <v>1</v>
      </c>
      <c r="AS35" s="22">
        <v>0</v>
      </c>
      <c r="AT35" s="22">
        <v>0</v>
      </c>
      <c r="AU35" s="22">
        <v>0</v>
      </c>
      <c r="AV35" s="22">
        <v>0</v>
      </c>
      <c r="AW35" s="22">
        <v>5</v>
      </c>
      <c r="AX35" s="22">
        <v>0</v>
      </c>
      <c r="AY35" s="22">
        <v>0</v>
      </c>
      <c r="AZ35" s="22">
        <v>10</v>
      </c>
      <c r="BA35" s="22">
        <v>2</v>
      </c>
      <c r="BB35" s="22">
        <v>0</v>
      </c>
      <c r="BC35" s="22">
        <v>0</v>
      </c>
      <c r="BD35" s="22">
        <v>0</v>
      </c>
      <c r="BE35" s="22">
        <v>2</v>
      </c>
    </row>
    <row r="36" spans="1:57" s="23" customFormat="1" ht="15" customHeight="1" x14ac:dyDescent="0.2">
      <c r="A36" s="111"/>
      <c r="B36" s="34" t="s">
        <v>76</v>
      </c>
      <c r="C36" s="35" t="s">
        <v>194</v>
      </c>
      <c r="D36" s="22">
        <v>5</v>
      </c>
      <c r="E36" s="22">
        <v>4</v>
      </c>
      <c r="F36" s="22">
        <v>1</v>
      </c>
      <c r="G36" s="22">
        <v>0</v>
      </c>
      <c r="H36" s="22">
        <v>4</v>
      </c>
      <c r="I36" s="22">
        <v>1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</row>
    <row r="37" spans="1:57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150</v>
      </c>
      <c r="E37" s="31">
        <v>61</v>
      </c>
      <c r="F37" s="31">
        <v>89</v>
      </c>
      <c r="G37" s="31">
        <v>0</v>
      </c>
      <c r="H37" s="31">
        <v>52</v>
      </c>
      <c r="I37" s="31">
        <v>74</v>
      </c>
      <c r="J37" s="31">
        <v>3</v>
      </c>
      <c r="K37" s="31">
        <v>1</v>
      </c>
      <c r="L37" s="31">
        <v>0</v>
      </c>
      <c r="M37" s="31">
        <v>0</v>
      </c>
      <c r="N37" s="31">
        <v>6</v>
      </c>
      <c r="O37" s="31">
        <v>0</v>
      </c>
      <c r="P37" s="31">
        <v>2</v>
      </c>
      <c r="Q37" s="31">
        <v>2</v>
      </c>
      <c r="R37" s="31">
        <v>0</v>
      </c>
      <c r="S37" s="31">
        <v>2</v>
      </c>
      <c r="T37" s="31">
        <v>6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2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</row>
    <row r="38" spans="1:57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140</v>
      </c>
      <c r="E38" s="22">
        <v>57</v>
      </c>
      <c r="F38" s="22">
        <v>83</v>
      </c>
      <c r="G38" s="22">
        <v>0</v>
      </c>
      <c r="H38" s="22">
        <v>48</v>
      </c>
      <c r="I38" s="22">
        <v>68</v>
      </c>
      <c r="J38" s="22">
        <v>3</v>
      </c>
      <c r="K38" s="22">
        <v>1</v>
      </c>
      <c r="L38" s="22">
        <v>0</v>
      </c>
      <c r="M38" s="22">
        <v>0</v>
      </c>
      <c r="N38" s="22">
        <v>6</v>
      </c>
      <c r="O38" s="22">
        <v>0</v>
      </c>
      <c r="P38" s="22">
        <v>2</v>
      </c>
      <c r="Q38" s="22">
        <v>2</v>
      </c>
      <c r="R38" s="22">
        <v>0</v>
      </c>
      <c r="S38" s="22">
        <v>2</v>
      </c>
      <c r="T38" s="22">
        <v>6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2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</row>
    <row r="39" spans="1:57" s="23" customFormat="1" ht="15" customHeight="1" x14ac:dyDescent="0.2">
      <c r="A39" s="111"/>
      <c r="B39" s="34" t="s">
        <v>76</v>
      </c>
      <c r="C39" s="35" t="s">
        <v>194</v>
      </c>
      <c r="D39" s="22">
        <v>10</v>
      </c>
      <c r="E39" s="22">
        <v>4</v>
      </c>
      <c r="F39" s="22">
        <v>6</v>
      </c>
      <c r="G39" s="22">
        <v>0</v>
      </c>
      <c r="H39" s="22">
        <v>4</v>
      </c>
      <c r="I39" s="22">
        <v>6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</row>
    <row r="40" spans="1:57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76</v>
      </c>
      <c r="E40" s="31">
        <v>60</v>
      </c>
      <c r="F40" s="31">
        <v>16</v>
      </c>
      <c r="G40" s="31">
        <v>0</v>
      </c>
      <c r="H40" s="31">
        <v>20</v>
      </c>
      <c r="I40" s="31">
        <v>11</v>
      </c>
      <c r="J40" s="31">
        <v>2</v>
      </c>
      <c r="K40" s="31">
        <v>0</v>
      </c>
      <c r="L40" s="31">
        <v>0</v>
      </c>
      <c r="M40" s="31">
        <v>1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1</v>
      </c>
      <c r="AR40" s="31">
        <v>1</v>
      </c>
      <c r="AS40" s="31">
        <v>0</v>
      </c>
      <c r="AT40" s="31">
        <v>1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6</v>
      </c>
      <c r="BA40" s="31">
        <v>0</v>
      </c>
      <c r="BB40" s="31">
        <v>0</v>
      </c>
      <c r="BC40" s="31">
        <v>29</v>
      </c>
      <c r="BD40" s="31">
        <v>4</v>
      </c>
      <c r="BE40" s="31">
        <v>0</v>
      </c>
    </row>
    <row r="41" spans="1:57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60</v>
      </c>
      <c r="E41" s="22">
        <v>47</v>
      </c>
      <c r="F41" s="22">
        <v>13</v>
      </c>
      <c r="G41" s="22">
        <v>0</v>
      </c>
      <c r="H41" s="22">
        <v>13</v>
      </c>
      <c r="I41" s="22">
        <v>9</v>
      </c>
      <c r="J41" s="22">
        <v>1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1</v>
      </c>
      <c r="AR41" s="22">
        <v>1</v>
      </c>
      <c r="AS41" s="22">
        <v>0</v>
      </c>
      <c r="AT41" s="22">
        <v>1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5</v>
      </c>
      <c r="BA41" s="22">
        <v>0</v>
      </c>
      <c r="BB41" s="22">
        <v>0</v>
      </c>
      <c r="BC41" s="22">
        <v>25</v>
      </c>
      <c r="BD41" s="22">
        <v>3</v>
      </c>
      <c r="BE41" s="22">
        <v>0</v>
      </c>
    </row>
    <row r="42" spans="1:57" s="23" customFormat="1" ht="15" customHeight="1" x14ac:dyDescent="0.2">
      <c r="A42" s="111"/>
      <c r="B42" s="34" t="s">
        <v>76</v>
      </c>
      <c r="C42" s="35" t="s">
        <v>194</v>
      </c>
      <c r="D42" s="22">
        <v>16</v>
      </c>
      <c r="E42" s="22">
        <v>13</v>
      </c>
      <c r="F42" s="22">
        <v>3</v>
      </c>
      <c r="G42" s="22">
        <v>0</v>
      </c>
      <c r="H42" s="22">
        <v>7</v>
      </c>
      <c r="I42" s="22">
        <v>2</v>
      </c>
      <c r="J42" s="22">
        <v>1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1</v>
      </c>
      <c r="BA42" s="22">
        <v>0</v>
      </c>
      <c r="BB42" s="22">
        <v>0</v>
      </c>
      <c r="BC42" s="22">
        <v>4</v>
      </c>
      <c r="BD42" s="22">
        <v>1</v>
      </c>
      <c r="BE42" s="22">
        <v>0</v>
      </c>
    </row>
    <row r="43" spans="1:57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141</v>
      </c>
      <c r="E43" s="31">
        <v>106</v>
      </c>
      <c r="F43" s="31">
        <v>34</v>
      </c>
      <c r="G43" s="31">
        <v>1</v>
      </c>
      <c r="H43" s="31">
        <v>50</v>
      </c>
      <c r="I43" s="31">
        <v>25</v>
      </c>
      <c r="J43" s="31">
        <v>2</v>
      </c>
      <c r="K43" s="31">
        <v>0</v>
      </c>
      <c r="L43" s="31">
        <v>0</v>
      </c>
      <c r="M43" s="31">
        <v>6</v>
      </c>
      <c r="N43" s="31">
        <v>3</v>
      </c>
      <c r="O43" s="31">
        <v>0</v>
      </c>
      <c r="P43" s="31">
        <v>4</v>
      </c>
      <c r="Q43" s="31">
        <v>0</v>
      </c>
      <c r="R43" s="31">
        <v>0</v>
      </c>
      <c r="S43" s="31">
        <v>4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2</v>
      </c>
      <c r="AC43" s="31">
        <v>1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17</v>
      </c>
      <c r="AR43" s="31">
        <v>2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11</v>
      </c>
      <c r="BA43" s="31">
        <v>2</v>
      </c>
      <c r="BB43" s="31">
        <v>0</v>
      </c>
      <c r="BC43" s="31">
        <v>10</v>
      </c>
      <c r="BD43" s="31">
        <v>1</v>
      </c>
      <c r="BE43" s="31">
        <v>1</v>
      </c>
    </row>
    <row r="44" spans="1:57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140</v>
      </c>
      <c r="E44" s="22">
        <v>106</v>
      </c>
      <c r="F44" s="22">
        <v>33</v>
      </c>
      <c r="G44" s="22">
        <v>1</v>
      </c>
      <c r="H44" s="22">
        <v>50</v>
      </c>
      <c r="I44" s="22">
        <v>24</v>
      </c>
      <c r="J44" s="22">
        <v>2</v>
      </c>
      <c r="K44" s="22">
        <v>0</v>
      </c>
      <c r="L44" s="22">
        <v>0</v>
      </c>
      <c r="M44" s="22">
        <v>6</v>
      </c>
      <c r="N44" s="22">
        <v>3</v>
      </c>
      <c r="O44" s="22">
        <v>0</v>
      </c>
      <c r="P44" s="22">
        <v>4</v>
      </c>
      <c r="Q44" s="22">
        <v>0</v>
      </c>
      <c r="R44" s="22">
        <v>0</v>
      </c>
      <c r="S44" s="22">
        <v>4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2</v>
      </c>
      <c r="AC44" s="22">
        <v>1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17</v>
      </c>
      <c r="AR44" s="22">
        <v>2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11</v>
      </c>
      <c r="BA44" s="22">
        <v>2</v>
      </c>
      <c r="BB44" s="22">
        <v>0</v>
      </c>
      <c r="BC44" s="22">
        <v>10</v>
      </c>
      <c r="BD44" s="22">
        <v>1</v>
      </c>
      <c r="BE44" s="22">
        <v>1</v>
      </c>
    </row>
    <row r="45" spans="1:57" s="23" customFormat="1" ht="15" customHeight="1" x14ac:dyDescent="0.2">
      <c r="A45" s="111"/>
      <c r="B45" s="34" t="s">
        <v>76</v>
      </c>
      <c r="C45" s="35" t="s">
        <v>194</v>
      </c>
      <c r="D45" s="22">
        <v>1</v>
      </c>
      <c r="E45" s="22">
        <v>0</v>
      </c>
      <c r="F45" s="22">
        <v>1</v>
      </c>
      <c r="G45" s="22">
        <v>0</v>
      </c>
      <c r="H45" s="22">
        <v>0</v>
      </c>
      <c r="I45" s="22">
        <v>1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</row>
    <row r="46" spans="1:57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38</v>
      </c>
      <c r="E46" s="31">
        <v>26</v>
      </c>
      <c r="F46" s="31">
        <v>12</v>
      </c>
      <c r="G46" s="31">
        <v>0</v>
      </c>
      <c r="H46" s="31">
        <v>19</v>
      </c>
      <c r="I46" s="31">
        <v>9</v>
      </c>
      <c r="J46" s="31">
        <v>0</v>
      </c>
      <c r="K46" s="31">
        <v>0</v>
      </c>
      <c r="L46" s="31">
        <v>0</v>
      </c>
      <c r="M46" s="31">
        <v>1</v>
      </c>
      <c r="N46" s="31">
        <v>1</v>
      </c>
      <c r="O46" s="31">
        <v>0</v>
      </c>
      <c r="P46" s="31">
        <v>0</v>
      </c>
      <c r="Q46" s="31">
        <v>1</v>
      </c>
      <c r="R46" s="31">
        <v>0</v>
      </c>
      <c r="S46" s="31">
        <v>0</v>
      </c>
      <c r="T46" s="31">
        <v>1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1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3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1</v>
      </c>
      <c r="BA46" s="31">
        <v>0</v>
      </c>
      <c r="BB46" s="31">
        <v>0</v>
      </c>
      <c r="BC46" s="31">
        <v>1</v>
      </c>
      <c r="BD46" s="31">
        <v>0</v>
      </c>
      <c r="BE46" s="31">
        <v>0</v>
      </c>
    </row>
    <row r="47" spans="1:57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38</v>
      </c>
      <c r="E47" s="22">
        <v>26</v>
      </c>
      <c r="F47" s="22">
        <v>12</v>
      </c>
      <c r="G47" s="22">
        <v>0</v>
      </c>
      <c r="H47" s="22">
        <v>19</v>
      </c>
      <c r="I47" s="22">
        <v>9</v>
      </c>
      <c r="J47" s="22">
        <v>0</v>
      </c>
      <c r="K47" s="22">
        <v>0</v>
      </c>
      <c r="L47" s="22">
        <v>0</v>
      </c>
      <c r="M47" s="22">
        <v>1</v>
      </c>
      <c r="N47" s="22">
        <v>1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1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1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3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1</v>
      </c>
      <c r="BA47" s="22">
        <v>0</v>
      </c>
      <c r="BB47" s="22">
        <v>0</v>
      </c>
      <c r="BC47" s="22">
        <v>1</v>
      </c>
      <c r="BD47" s="22">
        <v>0</v>
      </c>
      <c r="BE47" s="22">
        <v>0</v>
      </c>
    </row>
    <row r="48" spans="1:57" s="23" customFormat="1" ht="15" customHeight="1" x14ac:dyDescent="0.2">
      <c r="A48" s="111"/>
      <c r="B48" s="34" t="s">
        <v>76</v>
      </c>
      <c r="C48" s="35" t="s">
        <v>194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</row>
    <row r="49" spans="1:57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166</v>
      </c>
      <c r="E49" s="31">
        <v>117</v>
      </c>
      <c r="F49" s="31">
        <v>48</v>
      </c>
      <c r="G49" s="31">
        <v>1</v>
      </c>
      <c r="H49" s="31">
        <v>42</v>
      </c>
      <c r="I49" s="31">
        <v>26</v>
      </c>
      <c r="J49" s="31">
        <v>5</v>
      </c>
      <c r="K49" s="31">
        <v>1</v>
      </c>
      <c r="L49" s="31">
        <v>0</v>
      </c>
      <c r="M49" s="31">
        <v>3</v>
      </c>
      <c r="N49" s="31">
        <v>3</v>
      </c>
      <c r="O49" s="31">
        <v>0</v>
      </c>
      <c r="P49" s="31">
        <v>11</v>
      </c>
      <c r="Q49" s="31">
        <v>0</v>
      </c>
      <c r="R49" s="31">
        <v>0</v>
      </c>
      <c r="S49" s="31">
        <v>5</v>
      </c>
      <c r="T49" s="31">
        <v>2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10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7</v>
      </c>
      <c r="BA49" s="31">
        <v>3</v>
      </c>
      <c r="BB49" s="31">
        <v>0</v>
      </c>
      <c r="BC49" s="31">
        <v>34</v>
      </c>
      <c r="BD49" s="31">
        <v>13</v>
      </c>
      <c r="BE49" s="31">
        <v>1</v>
      </c>
    </row>
    <row r="50" spans="1:57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147</v>
      </c>
      <c r="E50" s="22">
        <v>98</v>
      </c>
      <c r="F50" s="22">
        <v>48</v>
      </c>
      <c r="G50" s="22">
        <v>1</v>
      </c>
      <c r="H50" s="22">
        <v>37</v>
      </c>
      <c r="I50" s="22">
        <v>26</v>
      </c>
      <c r="J50" s="22">
        <v>4</v>
      </c>
      <c r="K50" s="22">
        <v>1</v>
      </c>
      <c r="L50" s="22">
        <v>0</v>
      </c>
      <c r="M50" s="22">
        <v>3</v>
      </c>
      <c r="N50" s="22">
        <v>3</v>
      </c>
      <c r="O50" s="22">
        <v>0</v>
      </c>
      <c r="P50" s="22">
        <v>7</v>
      </c>
      <c r="Q50" s="22">
        <v>0</v>
      </c>
      <c r="R50" s="22">
        <v>0</v>
      </c>
      <c r="S50" s="22">
        <v>5</v>
      </c>
      <c r="T50" s="22">
        <v>2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7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7</v>
      </c>
      <c r="BA50" s="22">
        <v>3</v>
      </c>
      <c r="BB50" s="22">
        <v>0</v>
      </c>
      <c r="BC50" s="22">
        <v>28</v>
      </c>
      <c r="BD50" s="22">
        <v>13</v>
      </c>
      <c r="BE50" s="22">
        <v>1</v>
      </c>
    </row>
    <row r="51" spans="1:57" s="23" customFormat="1" ht="15" customHeight="1" x14ac:dyDescent="0.2">
      <c r="A51" s="111"/>
      <c r="B51" s="34" t="s">
        <v>76</v>
      </c>
      <c r="C51" s="35" t="s">
        <v>194</v>
      </c>
      <c r="D51" s="22">
        <v>19</v>
      </c>
      <c r="E51" s="22">
        <v>19</v>
      </c>
      <c r="F51" s="22">
        <v>0</v>
      </c>
      <c r="G51" s="22">
        <v>0</v>
      </c>
      <c r="H51" s="22">
        <v>5</v>
      </c>
      <c r="I51" s="22">
        <v>0</v>
      </c>
      <c r="J51" s="22">
        <v>1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4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3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6</v>
      </c>
      <c r="BD51" s="22">
        <v>0</v>
      </c>
      <c r="BE51" s="22">
        <v>0</v>
      </c>
    </row>
    <row r="52" spans="1:57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49</v>
      </c>
      <c r="E52" s="31">
        <v>38</v>
      </c>
      <c r="F52" s="31">
        <v>10</v>
      </c>
      <c r="G52" s="31">
        <v>1</v>
      </c>
      <c r="H52" s="31">
        <v>6</v>
      </c>
      <c r="I52" s="31">
        <v>4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1</v>
      </c>
      <c r="Q52" s="31">
        <v>0</v>
      </c>
      <c r="R52" s="31">
        <v>0</v>
      </c>
      <c r="S52" s="31">
        <v>1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5</v>
      </c>
      <c r="AR52" s="31">
        <v>1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3</v>
      </c>
      <c r="BA52" s="31">
        <v>0</v>
      </c>
      <c r="BB52" s="31">
        <v>0</v>
      </c>
      <c r="BC52" s="31">
        <v>22</v>
      </c>
      <c r="BD52" s="31">
        <v>5</v>
      </c>
      <c r="BE52" s="31">
        <v>1</v>
      </c>
    </row>
    <row r="53" spans="1:57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28</v>
      </c>
      <c r="E53" s="22">
        <v>22</v>
      </c>
      <c r="F53" s="22">
        <v>5</v>
      </c>
      <c r="G53" s="22">
        <v>1</v>
      </c>
      <c r="H53" s="22">
        <v>3</v>
      </c>
      <c r="I53" s="22">
        <v>1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1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4</v>
      </c>
      <c r="AR53" s="22">
        <v>1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1</v>
      </c>
      <c r="BA53" s="22">
        <v>0</v>
      </c>
      <c r="BB53" s="22">
        <v>0</v>
      </c>
      <c r="BC53" s="22">
        <v>13</v>
      </c>
      <c r="BD53" s="22">
        <v>3</v>
      </c>
      <c r="BE53" s="22">
        <v>1</v>
      </c>
    </row>
    <row r="54" spans="1:57" s="23" customFormat="1" ht="15" customHeight="1" x14ac:dyDescent="0.2">
      <c r="A54" s="111"/>
      <c r="B54" s="34" t="s">
        <v>76</v>
      </c>
      <c r="C54" s="35" t="s">
        <v>194</v>
      </c>
      <c r="D54" s="22">
        <v>21</v>
      </c>
      <c r="E54" s="22">
        <v>16</v>
      </c>
      <c r="F54" s="22">
        <v>5</v>
      </c>
      <c r="G54" s="22">
        <v>0</v>
      </c>
      <c r="H54" s="22">
        <v>3</v>
      </c>
      <c r="I54" s="22">
        <v>3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1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2</v>
      </c>
      <c r="BA54" s="22">
        <v>0</v>
      </c>
      <c r="BB54" s="22">
        <v>0</v>
      </c>
      <c r="BC54" s="22">
        <v>9</v>
      </c>
      <c r="BD54" s="22">
        <v>2</v>
      </c>
      <c r="BE54" s="22">
        <v>0</v>
      </c>
    </row>
    <row r="55" spans="1:57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120</v>
      </c>
      <c r="E55" s="31">
        <v>77</v>
      </c>
      <c r="F55" s="31">
        <v>43</v>
      </c>
      <c r="G55" s="31">
        <v>0</v>
      </c>
      <c r="H55" s="31">
        <v>26</v>
      </c>
      <c r="I55" s="31">
        <v>35</v>
      </c>
      <c r="J55" s="31">
        <v>1</v>
      </c>
      <c r="K55" s="31">
        <v>2</v>
      </c>
      <c r="L55" s="31">
        <v>0</v>
      </c>
      <c r="M55" s="31">
        <v>0</v>
      </c>
      <c r="N55" s="31">
        <v>2</v>
      </c>
      <c r="O55" s="31">
        <v>0</v>
      </c>
      <c r="P55" s="31">
        <v>13</v>
      </c>
      <c r="Q55" s="31">
        <v>2</v>
      </c>
      <c r="R55" s="31">
        <v>0</v>
      </c>
      <c r="S55" s="31">
        <v>8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16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2</v>
      </c>
      <c r="AX55" s="31">
        <v>0</v>
      </c>
      <c r="AY55" s="31">
        <v>0</v>
      </c>
      <c r="AZ55" s="31">
        <v>9</v>
      </c>
      <c r="BA55" s="31">
        <v>2</v>
      </c>
      <c r="BB55" s="31">
        <v>0</v>
      </c>
      <c r="BC55" s="31">
        <v>2</v>
      </c>
      <c r="BD55" s="31">
        <v>0</v>
      </c>
      <c r="BE55" s="31">
        <v>0</v>
      </c>
    </row>
    <row r="56" spans="1:57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66</v>
      </c>
      <c r="E56" s="22">
        <v>43</v>
      </c>
      <c r="F56" s="22">
        <v>23</v>
      </c>
      <c r="G56" s="22">
        <v>0</v>
      </c>
      <c r="H56" s="22">
        <v>13</v>
      </c>
      <c r="I56" s="22">
        <v>18</v>
      </c>
      <c r="J56" s="22">
        <v>0</v>
      </c>
      <c r="K56" s="22">
        <v>1</v>
      </c>
      <c r="L56" s="22">
        <v>0</v>
      </c>
      <c r="M56" s="22">
        <v>0</v>
      </c>
      <c r="N56" s="22">
        <v>2</v>
      </c>
      <c r="O56" s="22">
        <v>0</v>
      </c>
      <c r="P56" s="22">
        <v>9</v>
      </c>
      <c r="Q56" s="22">
        <v>0</v>
      </c>
      <c r="R56" s="22">
        <v>0</v>
      </c>
      <c r="S56" s="22">
        <v>2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1</v>
      </c>
      <c r="AX56" s="22">
        <v>0</v>
      </c>
      <c r="AY56" s="22">
        <v>0</v>
      </c>
      <c r="AZ56" s="22">
        <v>6</v>
      </c>
      <c r="BA56" s="22">
        <v>2</v>
      </c>
      <c r="BB56" s="22">
        <v>0</v>
      </c>
      <c r="BC56" s="22">
        <v>2</v>
      </c>
      <c r="BD56" s="22">
        <v>0</v>
      </c>
      <c r="BE56" s="22">
        <v>0</v>
      </c>
    </row>
    <row r="57" spans="1:57" s="23" customFormat="1" ht="15" customHeight="1" x14ac:dyDescent="0.2">
      <c r="A57" s="111"/>
      <c r="B57" s="34" t="s">
        <v>76</v>
      </c>
      <c r="C57" s="35" t="s">
        <v>194</v>
      </c>
      <c r="D57" s="22">
        <v>54</v>
      </c>
      <c r="E57" s="22">
        <v>34</v>
      </c>
      <c r="F57" s="22">
        <v>20</v>
      </c>
      <c r="G57" s="22">
        <v>0</v>
      </c>
      <c r="H57" s="22">
        <v>13</v>
      </c>
      <c r="I57" s="22">
        <v>17</v>
      </c>
      <c r="J57" s="22">
        <v>1</v>
      </c>
      <c r="K57" s="22">
        <v>1</v>
      </c>
      <c r="L57" s="22">
        <v>0</v>
      </c>
      <c r="M57" s="22">
        <v>0</v>
      </c>
      <c r="N57" s="22">
        <v>0</v>
      </c>
      <c r="O57" s="22">
        <v>0</v>
      </c>
      <c r="P57" s="22">
        <v>4</v>
      </c>
      <c r="Q57" s="22">
        <v>2</v>
      </c>
      <c r="R57" s="22">
        <v>0</v>
      </c>
      <c r="S57" s="22">
        <v>6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6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</v>
      </c>
      <c r="AX57" s="22">
        <v>0</v>
      </c>
      <c r="AY57" s="22">
        <v>0</v>
      </c>
      <c r="AZ57" s="22">
        <v>3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</row>
    <row r="58" spans="1:57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7</v>
      </c>
      <c r="E58" s="31">
        <v>4</v>
      </c>
      <c r="F58" s="31">
        <v>3</v>
      </c>
      <c r="G58" s="31">
        <v>0</v>
      </c>
      <c r="H58" s="31">
        <v>4</v>
      </c>
      <c r="I58" s="31">
        <v>3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</row>
    <row r="59" spans="1:57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7</v>
      </c>
      <c r="E59" s="22">
        <v>4</v>
      </c>
      <c r="F59" s="22">
        <v>3</v>
      </c>
      <c r="G59" s="22">
        <v>0</v>
      </c>
      <c r="H59" s="22">
        <v>4</v>
      </c>
      <c r="I59" s="22">
        <v>3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</row>
    <row r="60" spans="1:57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0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</row>
    <row r="61" spans="1:57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96</v>
      </c>
      <c r="E61" s="31">
        <v>39</v>
      </c>
      <c r="F61" s="31">
        <v>57</v>
      </c>
      <c r="G61" s="31">
        <v>0</v>
      </c>
      <c r="H61" s="31">
        <v>18</v>
      </c>
      <c r="I61" s="31">
        <v>50</v>
      </c>
      <c r="J61" s="31">
        <v>2</v>
      </c>
      <c r="K61" s="31">
        <v>0</v>
      </c>
      <c r="L61" s="31">
        <v>0</v>
      </c>
      <c r="M61" s="31">
        <v>1</v>
      </c>
      <c r="N61" s="31">
        <v>0</v>
      </c>
      <c r="O61" s="31">
        <v>0</v>
      </c>
      <c r="P61" s="31">
        <v>2</v>
      </c>
      <c r="Q61" s="31">
        <v>0</v>
      </c>
      <c r="R61" s="31">
        <v>0</v>
      </c>
      <c r="S61" s="31">
        <v>1</v>
      </c>
      <c r="T61" s="31">
        <v>1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1</v>
      </c>
      <c r="AM61" s="31">
        <v>0</v>
      </c>
      <c r="AN61" s="31">
        <v>0</v>
      </c>
      <c r="AO61" s="31">
        <v>0</v>
      </c>
      <c r="AP61" s="31">
        <v>0</v>
      </c>
      <c r="AQ61" s="31">
        <v>5</v>
      </c>
      <c r="AR61" s="31">
        <v>2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10</v>
      </c>
      <c r="BA61" s="31">
        <v>3</v>
      </c>
      <c r="BB61" s="31">
        <v>0</v>
      </c>
      <c r="BC61" s="31">
        <v>0</v>
      </c>
      <c r="BD61" s="31">
        <v>0</v>
      </c>
      <c r="BE61" s="31">
        <v>0</v>
      </c>
    </row>
    <row r="62" spans="1:57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88</v>
      </c>
      <c r="E62" s="22">
        <v>36</v>
      </c>
      <c r="F62" s="22">
        <v>52</v>
      </c>
      <c r="G62" s="22">
        <v>0</v>
      </c>
      <c r="H62" s="22">
        <v>17</v>
      </c>
      <c r="I62" s="22">
        <v>45</v>
      </c>
      <c r="J62" s="22">
        <v>2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2</v>
      </c>
      <c r="Q62" s="22">
        <v>0</v>
      </c>
      <c r="R62" s="22">
        <v>0</v>
      </c>
      <c r="S62" s="22">
        <v>1</v>
      </c>
      <c r="T62" s="22">
        <v>1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1</v>
      </c>
      <c r="AM62" s="22">
        <v>0</v>
      </c>
      <c r="AN62" s="22">
        <v>0</v>
      </c>
      <c r="AO62" s="22">
        <v>0</v>
      </c>
      <c r="AP62" s="22">
        <v>0</v>
      </c>
      <c r="AQ62" s="22">
        <v>4</v>
      </c>
      <c r="AR62" s="22">
        <v>2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10</v>
      </c>
      <c r="BA62" s="22">
        <v>3</v>
      </c>
      <c r="BB62" s="22">
        <v>0</v>
      </c>
      <c r="BC62" s="22">
        <v>0</v>
      </c>
      <c r="BD62" s="22">
        <v>0</v>
      </c>
      <c r="BE62" s="22">
        <v>0</v>
      </c>
    </row>
    <row r="63" spans="1:57" s="23" customFormat="1" ht="15" customHeight="1" x14ac:dyDescent="0.2">
      <c r="A63" s="111"/>
      <c r="B63" s="34" t="s">
        <v>76</v>
      </c>
      <c r="C63" s="35" t="s">
        <v>194</v>
      </c>
      <c r="D63" s="22">
        <v>8</v>
      </c>
      <c r="E63" s="22">
        <v>3</v>
      </c>
      <c r="F63" s="22">
        <v>5</v>
      </c>
      <c r="G63" s="22">
        <v>0</v>
      </c>
      <c r="H63" s="22">
        <v>1</v>
      </c>
      <c r="I63" s="22">
        <v>5</v>
      </c>
      <c r="J63" s="22">
        <v>0</v>
      </c>
      <c r="K63" s="22">
        <v>0</v>
      </c>
      <c r="L63" s="22">
        <v>0</v>
      </c>
      <c r="M63" s="22">
        <v>1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</row>
    <row r="64" spans="1:57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67</v>
      </c>
      <c r="E64" s="31">
        <v>39</v>
      </c>
      <c r="F64" s="31">
        <v>28</v>
      </c>
      <c r="G64" s="31">
        <v>0</v>
      </c>
      <c r="H64" s="31">
        <v>8</v>
      </c>
      <c r="I64" s="31">
        <v>14</v>
      </c>
      <c r="J64" s="31">
        <v>4</v>
      </c>
      <c r="K64" s="31">
        <v>0</v>
      </c>
      <c r="L64" s="31">
        <v>0</v>
      </c>
      <c r="M64" s="31">
        <v>1</v>
      </c>
      <c r="N64" s="31">
        <v>0</v>
      </c>
      <c r="O64" s="31">
        <v>0</v>
      </c>
      <c r="P64" s="31">
        <v>3</v>
      </c>
      <c r="Q64" s="31">
        <v>0</v>
      </c>
      <c r="R64" s="31">
        <v>0</v>
      </c>
      <c r="S64" s="31">
        <v>2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1</v>
      </c>
      <c r="AD64" s="31">
        <v>0</v>
      </c>
      <c r="AE64" s="31">
        <v>1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7</v>
      </c>
      <c r="AR64" s="31">
        <v>7</v>
      </c>
      <c r="AS64" s="31">
        <v>0</v>
      </c>
      <c r="AT64" s="31">
        <v>0</v>
      </c>
      <c r="AU64" s="31">
        <v>0</v>
      </c>
      <c r="AV64" s="31">
        <v>0</v>
      </c>
      <c r="AW64" s="31">
        <v>1</v>
      </c>
      <c r="AX64" s="31">
        <v>1</v>
      </c>
      <c r="AY64" s="31">
        <v>0</v>
      </c>
      <c r="AZ64" s="31">
        <v>6</v>
      </c>
      <c r="BA64" s="31">
        <v>2</v>
      </c>
      <c r="BB64" s="31">
        <v>0</v>
      </c>
      <c r="BC64" s="31">
        <v>6</v>
      </c>
      <c r="BD64" s="31">
        <v>3</v>
      </c>
      <c r="BE64" s="31">
        <v>0</v>
      </c>
    </row>
    <row r="65" spans="1:57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64</v>
      </c>
      <c r="E65" s="22">
        <v>38</v>
      </c>
      <c r="F65" s="22">
        <v>26</v>
      </c>
      <c r="G65" s="22">
        <v>0</v>
      </c>
      <c r="H65" s="22">
        <v>8</v>
      </c>
      <c r="I65" s="22">
        <v>12</v>
      </c>
      <c r="J65" s="22">
        <v>4</v>
      </c>
      <c r="K65" s="22">
        <v>0</v>
      </c>
      <c r="L65" s="22">
        <v>0</v>
      </c>
      <c r="M65" s="22">
        <v>1</v>
      </c>
      <c r="N65" s="22">
        <v>0</v>
      </c>
      <c r="O65" s="22">
        <v>0</v>
      </c>
      <c r="P65" s="22">
        <v>3</v>
      </c>
      <c r="Q65" s="22">
        <v>0</v>
      </c>
      <c r="R65" s="22">
        <v>0</v>
      </c>
      <c r="S65" s="22">
        <v>1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1</v>
      </c>
      <c r="AD65" s="22">
        <v>0</v>
      </c>
      <c r="AE65" s="22">
        <v>1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7</v>
      </c>
      <c r="AR65" s="22">
        <v>7</v>
      </c>
      <c r="AS65" s="22">
        <v>0</v>
      </c>
      <c r="AT65" s="22">
        <v>0</v>
      </c>
      <c r="AU65" s="22">
        <v>0</v>
      </c>
      <c r="AV65" s="22">
        <v>0</v>
      </c>
      <c r="AW65" s="22">
        <v>1</v>
      </c>
      <c r="AX65" s="22">
        <v>1</v>
      </c>
      <c r="AY65" s="22">
        <v>0</v>
      </c>
      <c r="AZ65" s="22">
        <v>6</v>
      </c>
      <c r="BA65" s="22">
        <v>2</v>
      </c>
      <c r="BB65" s="22">
        <v>0</v>
      </c>
      <c r="BC65" s="22">
        <v>6</v>
      </c>
      <c r="BD65" s="22">
        <v>3</v>
      </c>
      <c r="BE65" s="22">
        <v>0</v>
      </c>
    </row>
    <row r="66" spans="1:57" s="23" customFormat="1" ht="15" customHeight="1" x14ac:dyDescent="0.2">
      <c r="A66" s="111"/>
      <c r="B66" s="34" t="s">
        <v>76</v>
      </c>
      <c r="C66" s="35" t="s">
        <v>194</v>
      </c>
      <c r="D66" s="22">
        <v>3</v>
      </c>
      <c r="E66" s="22">
        <v>1</v>
      </c>
      <c r="F66" s="22">
        <v>2</v>
      </c>
      <c r="G66" s="22">
        <v>0</v>
      </c>
      <c r="H66" s="22">
        <v>0</v>
      </c>
      <c r="I66" s="22">
        <v>2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1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</row>
    <row r="67" spans="1:57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77</v>
      </c>
      <c r="E67" s="31">
        <v>43</v>
      </c>
      <c r="F67" s="31">
        <v>34</v>
      </c>
      <c r="G67" s="31">
        <v>0</v>
      </c>
      <c r="H67" s="31">
        <v>26</v>
      </c>
      <c r="I67" s="31">
        <v>27</v>
      </c>
      <c r="J67" s="31">
        <v>2</v>
      </c>
      <c r="K67" s="31">
        <v>0</v>
      </c>
      <c r="L67" s="31">
        <v>0</v>
      </c>
      <c r="M67" s="31">
        <v>2</v>
      </c>
      <c r="N67" s="31">
        <v>4</v>
      </c>
      <c r="O67" s="31">
        <v>0</v>
      </c>
      <c r="P67" s="31">
        <v>3</v>
      </c>
      <c r="Q67" s="31">
        <v>2</v>
      </c>
      <c r="R67" s="31">
        <v>0</v>
      </c>
      <c r="S67" s="31">
        <v>4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1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3</v>
      </c>
      <c r="BA67" s="31">
        <v>0</v>
      </c>
      <c r="BB67" s="31">
        <v>0</v>
      </c>
      <c r="BC67" s="31">
        <v>3</v>
      </c>
      <c r="BD67" s="31">
        <v>0</v>
      </c>
      <c r="BE67" s="31">
        <v>0</v>
      </c>
    </row>
    <row r="68" spans="1:57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76</v>
      </c>
      <c r="E68" s="22">
        <v>42</v>
      </c>
      <c r="F68" s="22">
        <v>34</v>
      </c>
      <c r="G68" s="22">
        <v>0</v>
      </c>
      <c r="H68" s="22">
        <v>25</v>
      </c>
      <c r="I68" s="22">
        <v>27</v>
      </c>
      <c r="J68" s="22">
        <v>2</v>
      </c>
      <c r="K68" s="22">
        <v>0</v>
      </c>
      <c r="L68" s="22">
        <v>0</v>
      </c>
      <c r="M68" s="22">
        <v>2</v>
      </c>
      <c r="N68" s="22">
        <v>4</v>
      </c>
      <c r="O68" s="22">
        <v>0</v>
      </c>
      <c r="P68" s="22">
        <v>3</v>
      </c>
      <c r="Q68" s="22">
        <v>2</v>
      </c>
      <c r="R68" s="22">
        <v>0</v>
      </c>
      <c r="S68" s="22">
        <v>4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1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3</v>
      </c>
      <c r="BA68" s="22">
        <v>0</v>
      </c>
      <c r="BB68" s="22">
        <v>0</v>
      </c>
      <c r="BC68" s="22">
        <v>3</v>
      </c>
      <c r="BD68" s="22">
        <v>0</v>
      </c>
      <c r="BE68" s="22">
        <v>0</v>
      </c>
    </row>
    <row r="69" spans="1:57" s="23" customFormat="1" ht="15" customHeight="1" x14ac:dyDescent="0.2">
      <c r="A69" s="111"/>
      <c r="B69" s="34" t="s">
        <v>76</v>
      </c>
      <c r="C69" s="35" t="s">
        <v>194</v>
      </c>
      <c r="D69" s="22">
        <v>1</v>
      </c>
      <c r="E69" s="22">
        <v>1</v>
      </c>
      <c r="F69" s="22">
        <v>0</v>
      </c>
      <c r="G69" s="22">
        <v>0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</row>
    <row r="70" spans="1:57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22</v>
      </c>
      <c r="E70" s="31">
        <v>12</v>
      </c>
      <c r="F70" s="31">
        <v>10</v>
      </c>
      <c r="G70" s="31">
        <v>0</v>
      </c>
      <c r="H70" s="31">
        <v>7</v>
      </c>
      <c r="I70" s="31">
        <v>10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1</v>
      </c>
      <c r="AX70" s="31">
        <v>0</v>
      </c>
      <c r="AY70" s="31">
        <v>0</v>
      </c>
      <c r="AZ70" s="31">
        <v>2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</row>
    <row r="71" spans="1:57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19</v>
      </c>
      <c r="E71" s="22">
        <v>9</v>
      </c>
      <c r="F71" s="22">
        <v>10</v>
      </c>
      <c r="G71" s="22">
        <v>0</v>
      </c>
      <c r="H71" s="22">
        <v>5</v>
      </c>
      <c r="I71" s="22">
        <v>10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2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0</v>
      </c>
      <c r="AU71" s="22">
        <v>0</v>
      </c>
      <c r="AV71" s="22">
        <v>0</v>
      </c>
      <c r="AW71" s="22">
        <v>1</v>
      </c>
      <c r="AX71" s="22">
        <v>0</v>
      </c>
      <c r="AY71" s="22">
        <v>0</v>
      </c>
      <c r="AZ71" s="22">
        <v>1</v>
      </c>
      <c r="BA71" s="22">
        <v>0</v>
      </c>
      <c r="BB71" s="22">
        <v>0</v>
      </c>
      <c r="BC71" s="22">
        <v>0</v>
      </c>
      <c r="BD71" s="22">
        <v>0</v>
      </c>
      <c r="BE71" s="22">
        <v>0</v>
      </c>
    </row>
    <row r="72" spans="1:57" s="23" customFormat="1" ht="15" customHeight="1" x14ac:dyDescent="0.2">
      <c r="A72" s="111"/>
      <c r="B72" s="34" t="s">
        <v>76</v>
      </c>
      <c r="C72" s="35" t="s">
        <v>194</v>
      </c>
      <c r="D72" s="22">
        <v>3</v>
      </c>
      <c r="E72" s="22">
        <v>3</v>
      </c>
      <c r="F72" s="22">
        <v>0</v>
      </c>
      <c r="G72" s="22">
        <v>0</v>
      </c>
      <c r="H72" s="22">
        <v>2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0</v>
      </c>
      <c r="AY72" s="22">
        <v>0</v>
      </c>
      <c r="AZ72" s="22">
        <v>1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</row>
    <row r="73" spans="1:57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1</v>
      </c>
      <c r="E73" s="31">
        <v>1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  <c r="BC73" s="31">
        <v>1</v>
      </c>
      <c r="BD73" s="31">
        <v>0</v>
      </c>
      <c r="BE73" s="31">
        <v>0</v>
      </c>
    </row>
    <row r="74" spans="1:57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1</v>
      </c>
      <c r="E74" s="22">
        <v>1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v>0</v>
      </c>
      <c r="BB74" s="22">
        <v>0</v>
      </c>
      <c r="BC74" s="22">
        <v>1</v>
      </c>
      <c r="BD74" s="22">
        <v>0</v>
      </c>
      <c r="BE74" s="22">
        <v>0</v>
      </c>
    </row>
    <row r="75" spans="1:57" s="23" customFormat="1" ht="15" customHeight="1" x14ac:dyDescent="0.2">
      <c r="A75" s="111"/>
      <c r="B75" s="34" t="s">
        <v>76</v>
      </c>
      <c r="C75" s="35" t="s">
        <v>194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0</v>
      </c>
      <c r="AX75" s="27">
        <v>0</v>
      </c>
      <c r="AY75" s="27">
        <v>0</v>
      </c>
      <c r="AZ75" s="27">
        <v>0</v>
      </c>
      <c r="BA75" s="27">
        <v>0</v>
      </c>
      <c r="BB75" s="27">
        <v>0</v>
      </c>
      <c r="BC75" s="27">
        <v>0</v>
      </c>
      <c r="BD75" s="27">
        <v>0</v>
      </c>
      <c r="BE75" s="27">
        <v>0</v>
      </c>
    </row>
    <row r="76" spans="1:57" ht="15.75" customHeight="1" x14ac:dyDescent="0.2">
      <c r="A76" s="50" t="s">
        <v>114</v>
      </c>
    </row>
    <row r="77" spans="1:57" ht="15.75" customHeight="1" x14ac:dyDescent="0.2">
      <c r="A77" s="51" t="s">
        <v>115</v>
      </c>
      <c r="B77" s="1"/>
      <c r="C77" s="1"/>
    </row>
    <row r="78" spans="1:57" ht="15.75" customHeight="1" x14ac:dyDescent="0.2"/>
    <row r="79" spans="1:57" ht="15.75" customHeight="1" x14ac:dyDescent="0.2">
      <c r="A79" s="64" t="s">
        <v>221</v>
      </c>
    </row>
  </sheetData>
  <mergeCells count="95">
    <mergeCell ref="D5:D6"/>
    <mergeCell ref="A4:C6"/>
    <mergeCell ref="O5:O6"/>
    <mergeCell ref="E5:E6"/>
    <mergeCell ref="F5:F6"/>
    <mergeCell ref="G5:G6"/>
    <mergeCell ref="H5:H6"/>
    <mergeCell ref="H4:I4"/>
    <mergeCell ref="L5:L6"/>
    <mergeCell ref="M5:M6"/>
    <mergeCell ref="N5:N6"/>
    <mergeCell ref="A71:A72"/>
    <mergeCell ref="A74:A75"/>
    <mergeCell ref="A47:A48"/>
    <mergeCell ref="A50:A51"/>
    <mergeCell ref="A53:A54"/>
    <mergeCell ref="A56:A57"/>
    <mergeCell ref="A59:A60"/>
    <mergeCell ref="A62:A63"/>
    <mergeCell ref="A65:A66"/>
    <mergeCell ref="A68:A69"/>
    <mergeCell ref="A44:A45"/>
    <mergeCell ref="A23:A24"/>
    <mergeCell ref="A26:A27"/>
    <mergeCell ref="A8:A9"/>
    <mergeCell ref="A11:A12"/>
    <mergeCell ref="A14:A15"/>
    <mergeCell ref="A17:A18"/>
    <mergeCell ref="A20:A21"/>
    <mergeCell ref="A32:A33"/>
    <mergeCell ref="A35:A36"/>
    <mergeCell ref="A38:A39"/>
    <mergeCell ref="A41:A42"/>
    <mergeCell ref="AZ4:BB4"/>
    <mergeCell ref="T5:T6"/>
    <mergeCell ref="U5:U6"/>
    <mergeCell ref="BD5:BD6"/>
    <mergeCell ref="D4:G4"/>
    <mergeCell ref="J4:L4"/>
    <mergeCell ref="M4:O4"/>
    <mergeCell ref="P4:R4"/>
    <mergeCell ref="S4:U4"/>
    <mergeCell ref="BC4:BE4"/>
    <mergeCell ref="P5:P6"/>
    <mergeCell ref="BE5:BE6"/>
    <mergeCell ref="Q5:Q6"/>
    <mergeCell ref="J5:J6"/>
    <mergeCell ref="K5:K6"/>
    <mergeCell ref="I5:I6"/>
    <mergeCell ref="R5:R6"/>
    <mergeCell ref="S5:S6"/>
    <mergeCell ref="BC5:BC6"/>
    <mergeCell ref="AZ5:AZ6"/>
    <mergeCell ref="BA5:BA6"/>
    <mergeCell ref="BB5:BB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19"/>
  <sheetViews>
    <sheetView zoomScaleNormal="100" zoomScaleSheetLayoutView="100" workbookViewId="0">
      <pane xSplit="4" ySplit="7" topLeftCell="E8" activePane="bottomRight" state="frozen"/>
      <selection activeCell="BC4" sqref="D4:BE4"/>
      <selection pane="topRight" activeCell="BC4" sqref="D4:BE4"/>
      <selection pane="bottomLeft" activeCell="BC4" sqref="D4:BE4"/>
      <selection pane="bottomRight" activeCell="B219" sqref="A81:XFD219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57" width="11.5" style="5" customWidth="1"/>
    <col min="58" max="16384" width="5.5" style="5"/>
  </cols>
  <sheetData>
    <row r="1" spans="1:57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57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57" ht="12.75" customHeight="1" x14ac:dyDescent="0.2">
      <c r="A3" s="61" t="s">
        <v>200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BE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  <c r="AK3" s="5" t="str">
        <f t="shared" si="0"/>
        <v/>
      </c>
      <c r="AL3" s="5" t="str">
        <f t="shared" si="0"/>
        <v/>
      </c>
      <c r="AM3" s="5" t="str">
        <f t="shared" si="0"/>
        <v/>
      </c>
      <c r="AN3" s="5" t="str">
        <f t="shared" si="0"/>
        <v/>
      </c>
      <c r="AO3" s="5" t="str">
        <f t="shared" si="0"/>
        <v/>
      </c>
      <c r="AP3" s="5" t="str">
        <f t="shared" si="0"/>
        <v/>
      </c>
      <c r="AQ3" s="5" t="str">
        <f t="shared" si="0"/>
        <v/>
      </c>
      <c r="AR3" s="5" t="str">
        <f t="shared" si="0"/>
        <v/>
      </c>
      <c r="AS3" s="5" t="str">
        <f t="shared" si="0"/>
        <v/>
      </c>
      <c r="AT3" s="5" t="str">
        <f t="shared" si="0"/>
        <v/>
      </c>
      <c r="AU3" s="5" t="str">
        <f t="shared" si="0"/>
        <v/>
      </c>
      <c r="AV3" s="5" t="str">
        <f t="shared" si="0"/>
        <v/>
      </c>
      <c r="AW3" s="5" t="str">
        <f t="shared" si="0"/>
        <v/>
      </c>
      <c r="AX3" s="5" t="str">
        <f t="shared" si="0"/>
        <v/>
      </c>
      <c r="AY3" s="5" t="str">
        <f t="shared" si="0"/>
        <v/>
      </c>
      <c r="AZ3" s="5" t="str">
        <f t="shared" si="0"/>
        <v/>
      </c>
      <c r="BA3" s="5" t="str">
        <f t="shared" si="0"/>
        <v/>
      </c>
      <c r="BB3" s="5" t="str">
        <f t="shared" si="0"/>
        <v/>
      </c>
      <c r="BC3" s="5" t="str">
        <f t="shared" si="0"/>
        <v/>
      </c>
      <c r="BD3" s="5" t="str">
        <f t="shared" si="0"/>
        <v/>
      </c>
      <c r="BE3" s="5" t="str">
        <f t="shared" si="0"/>
        <v/>
      </c>
    </row>
    <row r="4" spans="1:57" s="36" customFormat="1" ht="56.25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198</v>
      </c>
      <c r="T4" s="88"/>
      <c r="U4" s="97"/>
      <c r="V4" s="89" t="s">
        <v>201</v>
      </c>
      <c r="W4" s="90"/>
      <c r="X4" s="91"/>
      <c r="Y4" s="89" t="s">
        <v>202</v>
      </c>
      <c r="Z4" s="90"/>
      <c r="AA4" s="91"/>
      <c r="AB4" s="89" t="s">
        <v>203</v>
      </c>
      <c r="AC4" s="90"/>
      <c r="AD4" s="91"/>
      <c r="AE4" s="89" t="s">
        <v>204</v>
      </c>
      <c r="AF4" s="90"/>
      <c r="AG4" s="91"/>
      <c r="AH4" s="89" t="s">
        <v>205</v>
      </c>
      <c r="AI4" s="90"/>
      <c r="AJ4" s="91"/>
      <c r="AK4" s="89" t="s">
        <v>206</v>
      </c>
      <c r="AL4" s="90"/>
      <c r="AM4" s="91"/>
      <c r="AN4" s="89" t="s">
        <v>207</v>
      </c>
      <c r="AO4" s="90"/>
      <c r="AP4" s="91"/>
      <c r="AQ4" s="89" t="s">
        <v>208</v>
      </c>
      <c r="AR4" s="90"/>
      <c r="AS4" s="91"/>
      <c r="AT4" s="89" t="s">
        <v>209</v>
      </c>
      <c r="AU4" s="90"/>
      <c r="AV4" s="91"/>
      <c r="AW4" s="90" t="s">
        <v>210</v>
      </c>
      <c r="AX4" s="90"/>
      <c r="AY4" s="90"/>
      <c r="AZ4" s="87" t="s">
        <v>85</v>
      </c>
      <c r="BA4" s="88"/>
      <c r="BB4" s="88"/>
      <c r="BC4" s="87" t="s">
        <v>155</v>
      </c>
      <c r="BD4" s="88"/>
      <c r="BE4" s="88"/>
    </row>
    <row r="5" spans="1:57" s="36" customFormat="1" ht="16.5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83" t="s">
        <v>155</v>
      </c>
      <c r="AK5" s="85" t="s">
        <v>87</v>
      </c>
      <c r="AL5" s="85" t="s">
        <v>88</v>
      </c>
      <c r="AM5" s="83" t="s">
        <v>155</v>
      </c>
      <c r="AN5" s="85" t="s">
        <v>87</v>
      </c>
      <c r="AO5" s="85" t="s">
        <v>88</v>
      </c>
      <c r="AP5" s="83" t="s">
        <v>155</v>
      </c>
      <c r="AQ5" s="85" t="s">
        <v>87</v>
      </c>
      <c r="AR5" s="85" t="s">
        <v>88</v>
      </c>
      <c r="AS5" s="83" t="s">
        <v>155</v>
      </c>
      <c r="AT5" s="85" t="s">
        <v>87</v>
      </c>
      <c r="AU5" s="85" t="s">
        <v>88</v>
      </c>
      <c r="AV5" s="83" t="s">
        <v>155</v>
      </c>
      <c r="AW5" s="85" t="s">
        <v>87</v>
      </c>
      <c r="AX5" s="85" t="s">
        <v>88</v>
      </c>
      <c r="AY5" s="83" t="s">
        <v>155</v>
      </c>
      <c r="AZ5" s="85" t="s">
        <v>87</v>
      </c>
      <c r="BA5" s="85" t="s">
        <v>88</v>
      </c>
      <c r="BB5" s="83" t="s">
        <v>155</v>
      </c>
      <c r="BC5" s="85" t="s">
        <v>87</v>
      </c>
      <c r="BD5" s="85" t="s">
        <v>88</v>
      </c>
      <c r="BE5" s="83" t="s">
        <v>155</v>
      </c>
    </row>
    <row r="6" spans="1:57" s="37" customFormat="1" ht="16.5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  <c r="AK6" s="86"/>
      <c r="AL6" s="86"/>
      <c r="AM6" s="84"/>
      <c r="AN6" s="86"/>
      <c r="AO6" s="86"/>
      <c r="AP6" s="84"/>
      <c r="AQ6" s="86"/>
      <c r="AR6" s="86"/>
      <c r="AS6" s="84"/>
      <c r="AT6" s="86"/>
      <c r="AU6" s="86"/>
      <c r="AV6" s="84"/>
      <c r="AW6" s="86"/>
      <c r="AX6" s="86"/>
      <c r="AY6" s="84"/>
      <c r="AZ6" s="86"/>
      <c r="BA6" s="86"/>
      <c r="BB6" s="84"/>
      <c r="BC6" s="86"/>
      <c r="BD6" s="86"/>
      <c r="BE6" s="84"/>
    </row>
    <row r="7" spans="1:57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5307</v>
      </c>
      <c r="E7" s="68">
        <v>3489</v>
      </c>
      <c r="F7" s="68">
        <v>1730</v>
      </c>
      <c r="G7" s="68">
        <v>88</v>
      </c>
      <c r="H7" s="68">
        <v>1755</v>
      </c>
      <c r="I7" s="68">
        <v>1288</v>
      </c>
      <c r="J7" s="68">
        <v>125</v>
      </c>
      <c r="K7" s="68">
        <v>28</v>
      </c>
      <c r="L7" s="68">
        <v>0</v>
      </c>
      <c r="M7" s="68">
        <v>74</v>
      </c>
      <c r="N7" s="68">
        <v>81</v>
      </c>
      <c r="O7" s="68">
        <v>0</v>
      </c>
      <c r="P7" s="68">
        <v>153</v>
      </c>
      <c r="Q7" s="68">
        <v>39</v>
      </c>
      <c r="R7" s="68">
        <v>0</v>
      </c>
      <c r="S7" s="68">
        <v>136</v>
      </c>
      <c r="T7" s="68">
        <v>42</v>
      </c>
      <c r="U7" s="68">
        <v>0</v>
      </c>
      <c r="V7" s="68">
        <v>91</v>
      </c>
      <c r="W7" s="68">
        <v>6</v>
      </c>
      <c r="X7" s="68">
        <v>0</v>
      </c>
      <c r="Y7" s="68">
        <v>0</v>
      </c>
      <c r="Z7" s="68">
        <v>2</v>
      </c>
      <c r="AA7" s="68">
        <v>0</v>
      </c>
      <c r="AB7" s="68">
        <v>2</v>
      </c>
      <c r="AC7" s="68">
        <v>5</v>
      </c>
      <c r="AD7" s="68">
        <v>0</v>
      </c>
      <c r="AE7" s="68">
        <v>8</v>
      </c>
      <c r="AF7" s="68">
        <v>1</v>
      </c>
      <c r="AG7" s="68">
        <v>0</v>
      </c>
      <c r="AH7" s="68">
        <v>34</v>
      </c>
      <c r="AI7" s="68">
        <v>8</v>
      </c>
      <c r="AJ7" s="68">
        <v>0</v>
      </c>
      <c r="AK7" s="68">
        <v>16</v>
      </c>
      <c r="AL7" s="68">
        <v>2</v>
      </c>
      <c r="AM7" s="68">
        <v>0</v>
      </c>
      <c r="AN7" s="68">
        <v>2</v>
      </c>
      <c r="AO7" s="68">
        <v>0</v>
      </c>
      <c r="AP7" s="68">
        <v>0</v>
      </c>
      <c r="AQ7" s="68">
        <v>134</v>
      </c>
      <c r="AR7" s="68">
        <v>6</v>
      </c>
      <c r="AS7" s="68">
        <v>0</v>
      </c>
      <c r="AT7" s="68">
        <v>25</v>
      </c>
      <c r="AU7" s="68">
        <v>0</v>
      </c>
      <c r="AV7" s="68">
        <v>0</v>
      </c>
      <c r="AW7" s="68">
        <v>54</v>
      </c>
      <c r="AX7" s="68">
        <v>3</v>
      </c>
      <c r="AY7" s="68">
        <v>0</v>
      </c>
      <c r="AZ7" s="68">
        <v>614</v>
      </c>
      <c r="BA7" s="68">
        <v>72</v>
      </c>
      <c r="BB7" s="68">
        <v>0</v>
      </c>
      <c r="BC7" s="68">
        <v>266</v>
      </c>
      <c r="BD7" s="68">
        <v>147</v>
      </c>
      <c r="BE7" s="68">
        <v>88</v>
      </c>
    </row>
    <row r="8" spans="1:57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4977</v>
      </c>
      <c r="E8" s="72">
        <v>3286</v>
      </c>
      <c r="F8" s="72">
        <v>1603</v>
      </c>
      <c r="G8" s="72">
        <v>88</v>
      </c>
      <c r="H8" s="72">
        <v>1650</v>
      </c>
      <c r="I8" s="72">
        <v>1188</v>
      </c>
      <c r="J8" s="72">
        <v>115</v>
      </c>
      <c r="K8" s="72">
        <v>24</v>
      </c>
      <c r="L8" s="72">
        <v>0</v>
      </c>
      <c r="M8" s="72">
        <v>74</v>
      </c>
      <c r="N8" s="72">
        <v>79</v>
      </c>
      <c r="O8" s="72">
        <v>0</v>
      </c>
      <c r="P8" s="72">
        <v>136</v>
      </c>
      <c r="Q8" s="72">
        <v>37</v>
      </c>
      <c r="R8" s="72">
        <v>0</v>
      </c>
      <c r="S8" s="72">
        <v>124</v>
      </c>
      <c r="T8" s="72">
        <v>41</v>
      </c>
      <c r="U8" s="72">
        <v>0</v>
      </c>
      <c r="V8" s="72">
        <v>86</v>
      </c>
      <c r="W8" s="72">
        <v>6</v>
      </c>
      <c r="X8" s="72">
        <v>0</v>
      </c>
      <c r="Y8" s="72">
        <v>0</v>
      </c>
      <c r="Z8" s="72">
        <v>1</v>
      </c>
      <c r="AA8" s="72">
        <v>0</v>
      </c>
      <c r="AB8" s="72">
        <v>2</v>
      </c>
      <c r="AC8" s="72">
        <v>5</v>
      </c>
      <c r="AD8" s="72">
        <v>0</v>
      </c>
      <c r="AE8" s="72">
        <v>8</v>
      </c>
      <c r="AF8" s="72">
        <v>1</v>
      </c>
      <c r="AG8" s="72">
        <v>0</v>
      </c>
      <c r="AH8" s="72">
        <v>33</v>
      </c>
      <c r="AI8" s="72">
        <v>8</v>
      </c>
      <c r="AJ8" s="72">
        <v>0</v>
      </c>
      <c r="AK8" s="72">
        <v>15</v>
      </c>
      <c r="AL8" s="72">
        <v>2</v>
      </c>
      <c r="AM8" s="72">
        <v>0</v>
      </c>
      <c r="AN8" s="72">
        <v>2</v>
      </c>
      <c r="AO8" s="72">
        <v>0</v>
      </c>
      <c r="AP8" s="72">
        <v>0</v>
      </c>
      <c r="AQ8" s="72">
        <v>132</v>
      </c>
      <c r="AR8" s="72">
        <v>6</v>
      </c>
      <c r="AS8" s="72">
        <v>0</v>
      </c>
      <c r="AT8" s="72">
        <v>25</v>
      </c>
      <c r="AU8" s="72">
        <v>0</v>
      </c>
      <c r="AV8" s="72">
        <v>0</v>
      </c>
      <c r="AW8" s="72">
        <v>52</v>
      </c>
      <c r="AX8" s="72">
        <v>3</v>
      </c>
      <c r="AY8" s="72">
        <v>0</v>
      </c>
      <c r="AZ8" s="72">
        <v>578</v>
      </c>
      <c r="BA8" s="72">
        <v>61</v>
      </c>
      <c r="BB8" s="72">
        <v>0</v>
      </c>
      <c r="BC8" s="72">
        <v>254</v>
      </c>
      <c r="BD8" s="72">
        <v>141</v>
      </c>
      <c r="BE8" s="72">
        <v>88</v>
      </c>
    </row>
    <row r="9" spans="1:57" s="69" customFormat="1" ht="15" customHeight="1" x14ac:dyDescent="0.2">
      <c r="A9" s="109"/>
      <c r="B9" s="70" t="s">
        <v>177</v>
      </c>
      <c r="C9" s="71" t="s">
        <v>194</v>
      </c>
      <c r="D9" s="72">
        <v>330</v>
      </c>
      <c r="E9" s="72">
        <v>203</v>
      </c>
      <c r="F9" s="72">
        <v>127</v>
      </c>
      <c r="G9" s="72">
        <v>0</v>
      </c>
      <c r="H9" s="72">
        <v>105</v>
      </c>
      <c r="I9" s="72">
        <v>100</v>
      </c>
      <c r="J9" s="72">
        <v>10</v>
      </c>
      <c r="K9" s="72">
        <v>4</v>
      </c>
      <c r="L9" s="72">
        <v>0</v>
      </c>
      <c r="M9" s="72">
        <v>0</v>
      </c>
      <c r="N9" s="72">
        <v>2</v>
      </c>
      <c r="O9" s="72">
        <v>0</v>
      </c>
      <c r="P9" s="72">
        <v>17</v>
      </c>
      <c r="Q9" s="72">
        <v>2</v>
      </c>
      <c r="R9" s="72">
        <v>0</v>
      </c>
      <c r="S9" s="72">
        <v>12</v>
      </c>
      <c r="T9" s="72">
        <v>1</v>
      </c>
      <c r="U9" s="72">
        <v>0</v>
      </c>
      <c r="V9" s="72">
        <v>5</v>
      </c>
      <c r="W9" s="72">
        <v>0</v>
      </c>
      <c r="X9" s="72">
        <v>0</v>
      </c>
      <c r="Y9" s="72">
        <v>0</v>
      </c>
      <c r="Z9" s="72">
        <v>1</v>
      </c>
      <c r="AA9" s="72">
        <v>0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>
        <v>1</v>
      </c>
      <c r="AI9" s="72">
        <v>0</v>
      </c>
      <c r="AJ9" s="72">
        <v>0</v>
      </c>
      <c r="AK9" s="72">
        <v>1</v>
      </c>
      <c r="AL9" s="72">
        <v>0</v>
      </c>
      <c r="AM9" s="72">
        <v>0</v>
      </c>
      <c r="AN9" s="72">
        <v>0</v>
      </c>
      <c r="AO9" s="72">
        <v>0</v>
      </c>
      <c r="AP9" s="72">
        <v>0</v>
      </c>
      <c r="AQ9" s="72">
        <v>2</v>
      </c>
      <c r="AR9" s="72">
        <v>0</v>
      </c>
      <c r="AS9" s="72">
        <v>0</v>
      </c>
      <c r="AT9" s="72">
        <v>0</v>
      </c>
      <c r="AU9" s="72">
        <v>0</v>
      </c>
      <c r="AV9" s="72">
        <v>0</v>
      </c>
      <c r="AW9" s="72">
        <v>2</v>
      </c>
      <c r="AX9" s="72">
        <v>0</v>
      </c>
      <c r="AY9" s="72">
        <v>0</v>
      </c>
      <c r="AZ9" s="72">
        <v>36</v>
      </c>
      <c r="BA9" s="72">
        <v>11</v>
      </c>
      <c r="BB9" s="72">
        <v>0</v>
      </c>
      <c r="BC9" s="72">
        <v>12</v>
      </c>
      <c r="BD9" s="72">
        <v>6</v>
      </c>
      <c r="BE9" s="72">
        <v>0</v>
      </c>
    </row>
    <row r="10" spans="1:57" s="23" customFormat="1" ht="15" customHeight="1" x14ac:dyDescent="0.2">
      <c r="A10" s="81" t="s">
        <v>211</v>
      </c>
      <c r="B10" s="29" t="s">
        <v>74</v>
      </c>
      <c r="C10" s="30" t="s">
        <v>0</v>
      </c>
      <c r="D10" s="31">
        <v>1132</v>
      </c>
      <c r="E10" s="31">
        <v>772</v>
      </c>
      <c r="F10" s="31">
        <v>344</v>
      </c>
      <c r="G10" s="31">
        <v>16</v>
      </c>
      <c r="H10" s="31">
        <v>374</v>
      </c>
      <c r="I10" s="31">
        <v>277</v>
      </c>
      <c r="J10" s="31">
        <v>28</v>
      </c>
      <c r="K10" s="31">
        <v>8</v>
      </c>
      <c r="L10" s="31">
        <v>0</v>
      </c>
      <c r="M10" s="31">
        <v>24</v>
      </c>
      <c r="N10" s="31">
        <v>14</v>
      </c>
      <c r="O10" s="31">
        <v>0</v>
      </c>
      <c r="P10" s="31">
        <v>34</v>
      </c>
      <c r="Q10" s="31">
        <v>5</v>
      </c>
      <c r="R10" s="31">
        <v>0</v>
      </c>
      <c r="S10" s="31">
        <v>16</v>
      </c>
      <c r="T10" s="31">
        <v>6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2</v>
      </c>
      <c r="AA10" s="31">
        <v>0</v>
      </c>
      <c r="AB10" s="31">
        <v>0</v>
      </c>
      <c r="AC10" s="31">
        <v>3</v>
      </c>
      <c r="AD10" s="31">
        <v>0</v>
      </c>
      <c r="AE10" s="31">
        <v>1</v>
      </c>
      <c r="AF10" s="31">
        <v>0</v>
      </c>
      <c r="AG10" s="31">
        <v>0</v>
      </c>
      <c r="AH10" s="31">
        <v>12</v>
      </c>
      <c r="AI10" s="31">
        <v>0</v>
      </c>
      <c r="AJ10" s="31">
        <v>0</v>
      </c>
      <c r="AK10" s="31">
        <v>2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106</v>
      </c>
      <c r="AR10" s="31">
        <v>3</v>
      </c>
      <c r="AS10" s="31">
        <v>0</v>
      </c>
      <c r="AT10" s="31">
        <v>0</v>
      </c>
      <c r="AU10" s="31">
        <v>0</v>
      </c>
      <c r="AV10" s="31">
        <v>0</v>
      </c>
      <c r="AW10" s="31">
        <v>18</v>
      </c>
      <c r="AX10" s="31">
        <v>1</v>
      </c>
      <c r="AY10" s="31">
        <v>0</v>
      </c>
      <c r="AZ10" s="31">
        <v>96</v>
      </c>
      <c r="BA10" s="31">
        <v>7</v>
      </c>
      <c r="BB10" s="31">
        <v>0</v>
      </c>
      <c r="BC10" s="31">
        <v>61</v>
      </c>
      <c r="BD10" s="31">
        <v>18</v>
      </c>
      <c r="BE10" s="31">
        <v>16</v>
      </c>
    </row>
    <row r="11" spans="1:57" s="23" customFormat="1" ht="15" customHeight="1" x14ac:dyDescent="0.2">
      <c r="A11" s="110" t="s">
        <v>120</v>
      </c>
      <c r="B11" s="32" t="s">
        <v>75</v>
      </c>
      <c r="C11" s="33" t="s">
        <v>2</v>
      </c>
      <c r="D11" s="22">
        <v>1088</v>
      </c>
      <c r="E11" s="22">
        <v>750</v>
      </c>
      <c r="F11" s="22">
        <v>322</v>
      </c>
      <c r="G11" s="22">
        <v>16</v>
      </c>
      <c r="H11" s="22">
        <v>363</v>
      </c>
      <c r="I11" s="22">
        <v>259</v>
      </c>
      <c r="J11" s="22">
        <v>26</v>
      </c>
      <c r="K11" s="22">
        <v>6</v>
      </c>
      <c r="L11" s="22">
        <v>0</v>
      </c>
      <c r="M11" s="22">
        <v>24</v>
      </c>
      <c r="N11" s="22">
        <v>14</v>
      </c>
      <c r="O11" s="22">
        <v>0</v>
      </c>
      <c r="P11" s="22">
        <v>31</v>
      </c>
      <c r="Q11" s="22">
        <v>4</v>
      </c>
      <c r="R11" s="22">
        <v>0</v>
      </c>
      <c r="S11" s="22">
        <v>16</v>
      </c>
      <c r="T11" s="22">
        <v>6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1</v>
      </c>
      <c r="AA11" s="22">
        <v>0</v>
      </c>
      <c r="AB11" s="22">
        <v>0</v>
      </c>
      <c r="AC11" s="22">
        <v>3</v>
      </c>
      <c r="AD11" s="22">
        <v>0</v>
      </c>
      <c r="AE11" s="22">
        <v>1</v>
      </c>
      <c r="AF11" s="22">
        <v>0</v>
      </c>
      <c r="AG11" s="22">
        <v>0</v>
      </c>
      <c r="AH11" s="22">
        <v>12</v>
      </c>
      <c r="AI11" s="22">
        <v>0</v>
      </c>
      <c r="AJ11" s="22">
        <v>0</v>
      </c>
      <c r="AK11" s="22">
        <v>2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106</v>
      </c>
      <c r="AR11" s="22">
        <v>3</v>
      </c>
      <c r="AS11" s="22">
        <v>0</v>
      </c>
      <c r="AT11" s="22">
        <v>0</v>
      </c>
      <c r="AU11" s="22">
        <v>0</v>
      </c>
      <c r="AV11" s="22">
        <v>0</v>
      </c>
      <c r="AW11" s="22">
        <v>17</v>
      </c>
      <c r="AX11" s="22">
        <v>1</v>
      </c>
      <c r="AY11" s="22">
        <v>0</v>
      </c>
      <c r="AZ11" s="22">
        <v>92</v>
      </c>
      <c r="BA11" s="22">
        <v>7</v>
      </c>
      <c r="BB11" s="22">
        <v>0</v>
      </c>
      <c r="BC11" s="22">
        <v>60</v>
      </c>
      <c r="BD11" s="22">
        <v>18</v>
      </c>
      <c r="BE11" s="22">
        <v>16</v>
      </c>
    </row>
    <row r="12" spans="1:57" s="23" customFormat="1" ht="15" customHeight="1" x14ac:dyDescent="0.2">
      <c r="A12" s="111"/>
      <c r="B12" s="32" t="s">
        <v>76</v>
      </c>
      <c r="C12" s="33" t="s">
        <v>194</v>
      </c>
      <c r="D12" s="22">
        <v>44</v>
      </c>
      <c r="E12" s="22">
        <v>22</v>
      </c>
      <c r="F12" s="22">
        <v>22</v>
      </c>
      <c r="G12" s="22">
        <v>0</v>
      </c>
      <c r="H12" s="22">
        <v>11</v>
      </c>
      <c r="I12" s="22">
        <v>18</v>
      </c>
      <c r="J12" s="22">
        <v>2</v>
      </c>
      <c r="K12" s="22">
        <v>2</v>
      </c>
      <c r="L12" s="22">
        <v>0</v>
      </c>
      <c r="M12" s="22">
        <v>0</v>
      </c>
      <c r="N12" s="22">
        <v>0</v>
      </c>
      <c r="O12" s="22">
        <v>0</v>
      </c>
      <c r="P12" s="22">
        <v>3</v>
      </c>
      <c r="Q12" s="22">
        <v>1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</v>
      </c>
      <c r="AX12" s="22">
        <v>0</v>
      </c>
      <c r="AY12" s="22">
        <v>0</v>
      </c>
      <c r="AZ12" s="22">
        <v>4</v>
      </c>
      <c r="BA12" s="22">
        <v>0</v>
      </c>
      <c r="BB12" s="22">
        <v>0</v>
      </c>
      <c r="BC12" s="22">
        <v>1</v>
      </c>
      <c r="BD12" s="22">
        <v>0</v>
      </c>
      <c r="BE12" s="22">
        <v>0</v>
      </c>
    </row>
    <row r="13" spans="1:57" s="23" customFormat="1" ht="15" customHeight="1" x14ac:dyDescent="0.2">
      <c r="A13" s="81" t="s">
        <v>212</v>
      </c>
      <c r="B13" s="29" t="s">
        <v>74</v>
      </c>
      <c r="C13" s="30" t="s">
        <v>0</v>
      </c>
      <c r="D13" s="31">
        <v>533</v>
      </c>
      <c r="E13" s="31">
        <v>307</v>
      </c>
      <c r="F13" s="31">
        <v>190</v>
      </c>
      <c r="G13" s="31">
        <v>36</v>
      </c>
      <c r="H13" s="31">
        <v>168</v>
      </c>
      <c r="I13" s="31">
        <v>136</v>
      </c>
      <c r="J13" s="31">
        <v>10</v>
      </c>
      <c r="K13" s="31">
        <v>4</v>
      </c>
      <c r="L13" s="31">
        <v>0</v>
      </c>
      <c r="M13" s="31">
        <v>5</v>
      </c>
      <c r="N13" s="31">
        <v>10</v>
      </c>
      <c r="O13" s="31">
        <v>0</v>
      </c>
      <c r="P13" s="31">
        <v>6</v>
      </c>
      <c r="Q13" s="31">
        <v>2</v>
      </c>
      <c r="R13" s="31">
        <v>0</v>
      </c>
      <c r="S13" s="31">
        <v>15</v>
      </c>
      <c r="T13" s="31">
        <v>2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1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1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8</v>
      </c>
      <c r="AX13" s="31">
        <v>0</v>
      </c>
      <c r="AY13" s="31">
        <v>0</v>
      </c>
      <c r="AZ13" s="31">
        <v>84</v>
      </c>
      <c r="BA13" s="31">
        <v>20</v>
      </c>
      <c r="BB13" s="31">
        <v>0</v>
      </c>
      <c r="BC13" s="31">
        <v>9</v>
      </c>
      <c r="BD13" s="31">
        <v>16</v>
      </c>
      <c r="BE13" s="31">
        <v>36</v>
      </c>
    </row>
    <row r="14" spans="1:57" s="23" customFormat="1" ht="15" customHeight="1" x14ac:dyDescent="0.2">
      <c r="A14" s="110" t="s">
        <v>123</v>
      </c>
      <c r="B14" s="32" t="s">
        <v>75</v>
      </c>
      <c r="C14" s="33" t="s">
        <v>2</v>
      </c>
      <c r="D14" s="22">
        <v>527</v>
      </c>
      <c r="E14" s="22">
        <v>305</v>
      </c>
      <c r="F14" s="22">
        <v>186</v>
      </c>
      <c r="G14" s="22">
        <v>36</v>
      </c>
      <c r="H14" s="22">
        <v>166</v>
      </c>
      <c r="I14" s="22">
        <v>132</v>
      </c>
      <c r="J14" s="22">
        <v>10</v>
      </c>
      <c r="K14" s="22">
        <v>4</v>
      </c>
      <c r="L14" s="22">
        <v>0</v>
      </c>
      <c r="M14" s="22">
        <v>5</v>
      </c>
      <c r="N14" s="22">
        <v>10</v>
      </c>
      <c r="O14" s="22">
        <v>0</v>
      </c>
      <c r="P14" s="22">
        <v>6</v>
      </c>
      <c r="Q14" s="22">
        <v>2</v>
      </c>
      <c r="R14" s="22">
        <v>0</v>
      </c>
      <c r="S14" s="22">
        <v>15</v>
      </c>
      <c r="T14" s="22">
        <v>2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1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1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8</v>
      </c>
      <c r="AX14" s="22">
        <v>0</v>
      </c>
      <c r="AY14" s="22">
        <v>0</v>
      </c>
      <c r="AZ14" s="22">
        <v>84</v>
      </c>
      <c r="BA14" s="22">
        <v>20</v>
      </c>
      <c r="BB14" s="22">
        <v>0</v>
      </c>
      <c r="BC14" s="22">
        <v>9</v>
      </c>
      <c r="BD14" s="22">
        <v>16</v>
      </c>
      <c r="BE14" s="22">
        <v>36</v>
      </c>
    </row>
    <row r="15" spans="1:57" s="23" customFormat="1" ht="15" customHeight="1" x14ac:dyDescent="0.2">
      <c r="A15" s="111"/>
      <c r="B15" s="34" t="s">
        <v>76</v>
      </c>
      <c r="C15" s="35" t="s">
        <v>194</v>
      </c>
      <c r="D15" s="22">
        <v>6</v>
      </c>
      <c r="E15" s="22">
        <v>2</v>
      </c>
      <c r="F15" s="22">
        <v>4</v>
      </c>
      <c r="G15" s="22">
        <v>0</v>
      </c>
      <c r="H15" s="22">
        <v>2</v>
      </c>
      <c r="I15" s="22">
        <v>4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</row>
    <row r="16" spans="1:57" s="23" customFormat="1" ht="15" customHeight="1" x14ac:dyDescent="0.2">
      <c r="A16" s="81" t="s">
        <v>213</v>
      </c>
      <c r="B16" s="29" t="s">
        <v>74</v>
      </c>
      <c r="C16" s="30" t="s">
        <v>0</v>
      </c>
      <c r="D16" s="31">
        <v>438</v>
      </c>
      <c r="E16" s="31">
        <v>312</v>
      </c>
      <c r="F16" s="31">
        <v>124</v>
      </c>
      <c r="G16" s="31">
        <v>2</v>
      </c>
      <c r="H16" s="31">
        <v>150</v>
      </c>
      <c r="I16" s="31">
        <v>94</v>
      </c>
      <c r="J16" s="31">
        <v>4</v>
      </c>
      <c r="K16" s="31">
        <v>3</v>
      </c>
      <c r="L16" s="31">
        <v>0</v>
      </c>
      <c r="M16" s="31">
        <v>5</v>
      </c>
      <c r="N16" s="31">
        <v>4</v>
      </c>
      <c r="O16" s="31">
        <v>0</v>
      </c>
      <c r="P16" s="31">
        <v>9</v>
      </c>
      <c r="Q16" s="31">
        <v>4</v>
      </c>
      <c r="R16" s="31">
        <v>0</v>
      </c>
      <c r="S16" s="31">
        <v>5</v>
      </c>
      <c r="T16" s="31">
        <v>5</v>
      </c>
      <c r="U16" s="31">
        <v>0</v>
      </c>
      <c r="V16" s="31">
        <v>3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2</v>
      </c>
      <c r="AD16" s="31">
        <v>0</v>
      </c>
      <c r="AE16" s="31">
        <v>1</v>
      </c>
      <c r="AF16" s="31">
        <v>0</v>
      </c>
      <c r="AG16" s="31">
        <v>0</v>
      </c>
      <c r="AH16" s="31">
        <v>11</v>
      </c>
      <c r="AI16" s="31">
        <v>1</v>
      </c>
      <c r="AJ16" s="31">
        <v>0</v>
      </c>
      <c r="AK16" s="31">
        <v>2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3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2</v>
      </c>
      <c r="AX16" s="31">
        <v>1</v>
      </c>
      <c r="AY16" s="31">
        <v>0</v>
      </c>
      <c r="AZ16" s="31">
        <v>95</v>
      </c>
      <c r="BA16" s="31">
        <v>10</v>
      </c>
      <c r="BB16" s="31">
        <v>0</v>
      </c>
      <c r="BC16" s="31">
        <v>22</v>
      </c>
      <c r="BD16" s="31">
        <v>0</v>
      </c>
      <c r="BE16" s="31">
        <v>2</v>
      </c>
    </row>
    <row r="17" spans="1:57" s="23" customFormat="1" ht="15" customHeight="1" x14ac:dyDescent="0.2">
      <c r="A17" s="110" t="s">
        <v>125</v>
      </c>
      <c r="B17" s="32" t="s">
        <v>75</v>
      </c>
      <c r="C17" s="33" t="s">
        <v>2</v>
      </c>
      <c r="D17" s="22">
        <v>398</v>
      </c>
      <c r="E17" s="22">
        <v>291</v>
      </c>
      <c r="F17" s="22">
        <v>105</v>
      </c>
      <c r="G17" s="22">
        <v>2</v>
      </c>
      <c r="H17" s="22">
        <v>138</v>
      </c>
      <c r="I17" s="22">
        <v>78</v>
      </c>
      <c r="J17" s="22">
        <v>4</v>
      </c>
      <c r="K17" s="22">
        <v>2</v>
      </c>
      <c r="L17" s="22">
        <v>0</v>
      </c>
      <c r="M17" s="22">
        <v>5</v>
      </c>
      <c r="N17" s="22">
        <v>4</v>
      </c>
      <c r="O17" s="22">
        <v>0</v>
      </c>
      <c r="P17" s="22">
        <v>9</v>
      </c>
      <c r="Q17" s="22">
        <v>4</v>
      </c>
      <c r="R17" s="22">
        <v>0</v>
      </c>
      <c r="S17" s="22">
        <v>5</v>
      </c>
      <c r="T17" s="22">
        <v>5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2</v>
      </c>
      <c r="AD17" s="22">
        <v>0</v>
      </c>
      <c r="AE17" s="22">
        <v>1</v>
      </c>
      <c r="AF17" s="22">
        <v>0</v>
      </c>
      <c r="AG17" s="22">
        <v>0</v>
      </c>
      <c r="AH17" s="22">
        <v>11</v>
      </c>
      <c r="AI17" s="22">
        <v>1</v>
      </c>
      <c r="AJ17" s="22">
        <v>0</v>
      </c>
      <c r="AK17" s="22">
        <v>2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2</v>
      </c>
      <c r="AX17" s="22">
        <v>1</v>
      </c>
      <c r="AY17" s="22">
        <v>0</v>
      </c>
      <c r="AZ17" s="22">
        <v>91</v>
      </c>
      <c r="BA17" s="22">
        <v>8</v>
      </c>
      <c r="BB17" s="22">
        <v>0</v>
      </c>
      <c r="BC17" s="22">
        <v>21</v>
      </c>
      <c r="BD17" s="22">
        <v>0</v>
      </c>
      <c r="BE17" s="22">
        <v>2</v>
      </c>
    </row>
    <row r="18" spans="1:57" s="23" customFormat="1" ht="15" customHeight="1" x14ac:dyDescent="0.2">
      <c r="A18" s="111"/>
      <c r="B18" s="34" t="s">
        <v>76</v>
      </c>
      <c r="C18" s="35" t="s">
        <v>194</v>
      </c>
      <c r="D18" s="22">
        <v>40</v>
      </c>
      <c r="E18" s="22">
        <v>21</v>
      </c>
      <c r="F18" s="22">
        <v>19</v>
      </c>
      <c r="G18" s="22">
        <v>0</v>
      </c>
      <c r="H18" s="22">
        <v>12</v>
      </c>
      <c r="I18" s="22">
        <v>16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3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1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4</v>
      </c>
      <c r="BA18" s="22">
        <v>2</v>
      </c>
      <c r="BB18" s="22">
        <v>0</v>
      </c>
      <c r="BC18" s="22">
        <v>1</v>
      </c>
      <c r="BD18" s="22">
        <v>0</v>
      </c>
      <c r="BE18" s="22">
        <v>0</v>
      </c>
    </row>
    <row r="19" spans="1:57" s="23" customFormat="1" ht="15" customHeight="1" x14ac:dyDescent="0.2">
      <c r="A19" s="81" t="s">
        <v>214</v>
      </c>
      <c r="B19" s="29" t="s">
        <v>74</v>
      </c>
      <c r="C19" s="30" t="s">
        <v>0</v>
      </c>
      <c r="D19" s="31">
        <v>682</v>
      </c>
      <c r="E19" s="31">
        <v>433</v>
      </c>
      <c r="F19" s="31">
        <v>234</v>
      </c>
      <c r="G19" s="31">
        <v>15</v>
      </c>
      <c r="H19" s="31">
        <v>242</v>
      </c>
      <c r="I19" s="31">
        <v>130</v>
      </c>
      <c r="J19" s="31">
        <v>12</v>
      </c>
      <c r="K19" s="31">
        <v>2</v>
      </c>
      <c r="L19" s="31">
        <v>0</v>
      </c>
      <c r="M19" s="31">
        <v>8</v>
      </c>
      <c r="N19" s="31">
        <v>11</v>
      </c>
      <c r="O19" s="31">
        <v>0</v>
      </c>
      <c r="P19" s="31">
        <v>18</v>
      </c>
      <c r="Q19" s="31">
        <v>6</v>
      </c>
      <c r="R19" s="31">
        <v>0</v>
      </c>
      <c r="S19" s="31">
        <v>17</v>
      </c>
      <c r="T19" s="31">
        <v>6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1</v>
      </c>
      <c r="AF19" s="31">
        <v>0</v>
      </c>
      <c r="AG19" s="31">
        <v>0</v>
      </c>
      <c r="AH19" s="31">
        <v>2</v>
      </c>
      <c r="AI19" s="31">
        <v>0</v>
      </c>
      <c r="AJ19" s="31">
        <v>0</v>
      </c>
      <c r="AK19" s="31">
        <v>3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1</v>
      </c>
      <c r="AR19" s="31">
        <v>0</v>
      </c>
      <c r="AS19" s="31">
        <v>0</v>
      </c>
      <c r="AT19" s="31">
        <v>1</v>
      </c>
      <c r="AU19" s="31">
        <v>0</v>
      </c>
      <c r="AV19" s="31">
        <v>0</v>
      </c>
      <c r="AW19" s="31">
        <v>6</v>
      </c>
      <c r="AX19" s="31">
        <v>1</v>
      </c>
      <c r="AY19" s="31">
        <v>0</v>
      </c>
      <c r="AZ19" s="31">
        <v>90</v>
      </c>
      <c r="BA19" s="31">
        <v>6</v>
      </c>
      <c r="BB19" s="31">
        <v>0</v>
      </c>
      <c r="BC19" s="31">
        <v>32</v>
      </c>
      <c r="BD19" s="31">
        <v>72</v>
      </c>
      <c r="BE19" s="31">
        <v>15</v>
      </c>
    </row>
    <row r="20" spans="1:57" s="23" customFormat="1" ht="15" customHeight="1" x14ac:dyDescent="0.2">
      <c r="A20" s="110" t="s">
        <v>127</v>
      </c>
      <c r="B20" s="32" t="s">
        <v>75</v>
      </c>
      <c r="C20" s="33" t="s">
        <v>2</v>
      </c>
      <c r="D20" s="22">
        <v>650</v>
      </c>
      <c r="E20" s="22">
        <v>410</v>
      </c>
      <c r="F20" s="22">
        <v>225</v>
      </c>
      <c r="G20" s="22">
        <v>15</v>
      </c>
      <c r="H20" s="22">
        <v>225</v>
      </c>
      <c r="I20" s="22">
        <v>123</v>
      </c>
      <c r="J20" s="22">
        <v>12</v>
      </c>
      <c r="K20" s="22">
        <v>2</v>
      </c>
      <c r="L20" s="22">
        <v>0</v>
      </c>
      <c r="M20" s="22">
        <v>8</v>
      </c>
      <c r="N20" s="22">
        <v>9</v>
      </c>
      <c r="O20" s="22">
        <v>0</v>
      </c>
      <c r="P20" s="22">
        <v>17</v>
      </c>
      <c r="Q20" s="22">
        <v>6</v>
      </c>
      <c r="R20" s="22">
        <v>0</v>
      </c>
      <c r="S20" s="22">
        <v>15</v>
      </c>
      <c r="T20" s="22">
        <v>6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1</v>
      </c>
      <c r="AF20" s="22">
        <v>0</v>
      </c>
      <c r="AG20" s="22">
        <v>0</v>
      </c>
      <c r="AH20" s="22">
        <v>1</v>
      </c>
      <c r="AI20" s="22">
        <v>0</v>
      </c>
      <c r="AJ20" s="22">
        <v>0</v>
      </c>
      <c r="AK20" s="22">
        <v>3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</v>
      </c>
      <c r="AR20" s="22">
        <v>0</v>
      </c>
      <c r="AS20" s="22">
        <v>0</v>
      </c>
      <c r="AT20" s="22">
        <v>1</v>
      </c>
      <c r="AU20" s="22">
        <v>0</v>
      </c>
      <c r="AV20" s="22">
        <v>0</v>
      </c>
      <c r="AW20" s="22">
        <v>6</v>
      </c>
      <c r="AX20" s="22">
        <v>1</v>
      </c>
      <c r="AY20" s="22">
        <v>0</v>
      </c>
      <c r="AZ20" s="22">
        <v>89</v>
      </c>
      <c r="BA20" s="22">
        <v>6</v>
      </c>
      <c r="BB20" s="22">
        <v>0</v>
      </c>
      <c r="BC20" s="22">
        <v>31</v>
      </c>
      <c r="BD20" s="22">
        <v>72</v>
      </c>
      <c r="BE20" s="22">
        <v>15</v>
      </c>
    </row>
    <row r="21" spans="1:57" s="23" customFormat="1" ht="15" customHeight="1" x14ac:dyDescent="0.2">
      <c r="A21" s="111"/>
      <c r="B21" s="34" t="s">
        <v>76</v>
      </c>
      <c r="C21" s="35" t="s">
        <v>194</v>
      </c>
      <c r="D21" s="22">
        <v>32</v>
      </c>
      <c r="E21" s="22">
        <v>23</v>
      </c>
      <c r="F21" s="22">
        <v>9</v>
      </c>
      <c r="G21" s="22">
        <v>0</v>
      </c>
      <c r="H21" s="22">
        <v>17</v>
      </c>
      <c r="I21" s="22">
        <v>7</v>
      </c>
      <c r="J21" s="22">
        <v>0</v>
      </c>
      <c r="K21" s="22">
        <v>0</v>
      </c>
      <c r="L21" s="22">
        <v>0</v>
      </c>
      <c r="M21" s="22">
        <v>0</v>
      </c>
      <c r="N21" s="22">
        <v>2</v>
      </c>
      <c r="O21" s="22">
        <v>0</v>
      </c>
      <c r="P21" s="22">
        <v>1</v>
      </c>
      <c r="Q21" s="22">
        <v>0</v>
      </c>
      <c r="R21" s="22">
        <v>0</v>
      </c>
      <c r="S21" s="22">
        <v>2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1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1</v>
      </c>
      <c r="BA21" s="22">
        <v>0</v>
      </c>
      <c r="BB21" s="22">
        <v>0</v>
      </c>
      <c r="BC21" s="22">
        <v>1</v>
      </c>
      <c r="BD21" s="22">
        <v>0</v>
      </c>
      <c r="BE21" s="22">
        <v>0</v>
      </c>
    </row>
    <row r="22" spans="1:57" s="23" customFormat="1" ht="15" customHeight="1" x14ac:dyDescent="0.2">
      <c r="A22" s="81" t="s">
        <v>215</v>
      </c>
      <c r="B22" s="29" t="s">
        <v>74</v>
      </c>
      <c r="C22" s="30" t="s">
        <v>0</v>
      </c>
      <c r="D22" s="31">
        <v>329</v>
      </c>
      <c r="E22" s="31">
        <v>205</v>
      </c>
      <c r="F22" s="31">
        <v>124</v>
      </c>
      <c r="G22" s="31">
        <v>0</v>
      </c>
      <c r="H22" s="31">
        <v>119</v>
      </c>
      <c r="I22" s="31">
        <v>100</v>
      </c>
      <c r="J22" s="31">
        <v>20</v>
      </c>
      <c r="K22" s="31">
        <v>1</v>
      </c>
      <c r="L22" s="31">
        <v>0</v>
      </c>
      <c r="M22" s="31">
        <v>2</v>
      </c>
      <c r="N22" s="31">
        <v>3</v>
      </c>
      <c r="O22" s="31">
        <v>0</v>
      </c>
      <c r="P22" s="31">
        <v>5</v>
      </c>
      <c r="Q22" s="31">
        <v>4</v>
      </c>
      <c r="R22" s="31">
        <v>0</v>
      </c>
      <c r="S22" s="31">
        <v>15</v>
      </c>
      <c r="T22" s="31">
        <v>11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1</v>
      </c>
      <c r="AF22" s="31">
        <v>0</v>
      </c>
      <c r="AG22" s="31">
        <v>0</v>
      </c>
      <c r="AH22" s="31">
        <v>1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2</v>
      </c>
      <c r="AX22" s="31">
        <v>0</v>
      </c>
      <c r="AY22" s="31">
        <v>0</v>
      </c>
      <c r="AZ22" s="31">
        <v>37</v>
      </c>
      <c r="BA22" s="31">
        <v>3</v>
      </c>
      <c r="BB22" s="31">
        <v>0</v>
      </c>
      <c r="BC22" s="31">
        <v>3</v>
      </c>
      <c r="BD22" s="31">
        <v>2</v>
      </c>
      <c r="BE22" s="31">
        <v>0</v>
      </c>
    </row>
    <row r="23" spans="1:57" s="23" customFormat="1" ht="15" customHeight="1" x14ac:dyDescent="0.2">
      <c r="A23" s="110" t="s">
        <v>129</v>
      </c>
      <c r="B23" s="32" t="s">
        <v>75</v>
      </c>
      <c r="C23" s="33" t="s">
        <v>2</v>
      </c>
      <c r="D23" s="22">
        <v>319</v>
      </c>
      <c r="E23" s="22">
        <v>200</v>
      </c>
      <c r="F23" s="22">
        <v>119</v>
      </c>
      <c r="G23" s="22">
        <v>0</v>
      </c>
      <c r="H23" s="22">
        <v>116</v>
      </c>
      <c r="I23" s="22">
        <v>95</v>
      </c>
      <c r="J23" s="22">
        <v>19</v>
      </c>
      <c r="K23" s="22">
        <v>1</v>
      </c>
      <c r="L23" s="22">
        <v>0</v>
      </c>
      <c r="M23" s="22">
        <v>2</v>
      </c>
      <c r="N23" s="22">
        <v>3</v>
      </c>
      <c r="O23" s="22">
        <v>0</v>
      </c>
      <c r="P23" s="22">
        <v>5</v>
      </c>
      <c r="Q23" s="22">
        <v>4</v>
      </c>
      <c r="R23" s="22">
        <v>0</v>
      </c>
      <c r="S23" s="22">
        <v>15</v>
      </c>
      <c r="T23" s="22">
        <v>11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1</v>
      </c>
      <c r="AF23" s="22">
        <v>0</v>
      </c>
      <c r="AG23" s="22">
        <v>0</v>
      </c>
      <c r="AH23" s="22">
        <v>1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2</v>
      </c>
      <c r="AX23" s="22">
        <v>0</v>
      </c>
      <c r="AY23" s="22">
        <v>0</v>
      </c>
      <c r="AZ23" s="22">
        <v>37</v>
      </c>
      <c r="BA23" s="22">
        <v>3</v>
      </c>
      <c r="BB23" s="22">
        <v>0</v>
      </c>
      <c r="BC23" s="22">
        <v>2</v>
      </c>
      <c r="BD23" s="22">
        <v>2</v>
      </c>
      <c r="BE23" s="22">
        <v>0</v>
      </c>
    </row>
    <row r="24" spans="1:57" s="23" customFormat="1" ht="15" customHeight="1" x14ac:dyDescent="0.2">
      <c r="A24" s="111"/>
      <c r="B24" s="34" t="s">
        <v>76</v>
      </c>
      <c r="C24" s="35" t="s">
        <v>194</v>
      </c>
      <c r="D24" s="22">
        <v>10</v>
      </c>
      <c r="E24" s="22">
        <v>5</v>
      </c>
      <c r="F24" s="22">
        <v>5</v>
      </c>
      <c r="G24" s="22">
        <v>0</v>
      </c>
      <c r="H24" s="22">
        <v>3</v>
      </c>
      <c r="I24" s="22">
        <v>5</v>
      </c>
      <c r="J24" s="22">
        <v>1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1</v>
      </c>
      <c r="BD24" s="22">
        <v>0</v>
      </c>
      <c r="BE24" s="22">
        <v>0</v>
      </c>
    </row>
    <row r="25" spans="1:57" s="23" customFormat="1" ht="15" customHeight="1" x14ac:dyDescent="0.2">
      <c r="A25" s="81" t="s">
        <v>216</v>
      </c>
      <c r="B25" s="29" t="s">
        <v>74</v>
      </c>
      <c r="C25" s="30" t="s">
        <v>0</v>
      </c>
      <c r="D25" s="31">
        <v>670</v>
      </c>
      <c r="E25" s="31">
        <v>439</v>
      </c>
      <c r="F25" s="31">
        <v>224</v>
      </c>
      <c r="G25" s="31">
        <v>7</v>
      </c>
      <c r="H25" s="31">
        <v>229</v>
      </c>
      <c r="I25" s="31">
        <v>177</v>
      </c>
      <c r="J25" s="31">
        <v>13</v>
      </c>
      <c r="K25" s="31">
        <v>2</v>
      </c>
      <c r="L25" s="31">
        <v>0</v>
      </c>
      <c r="M25" s="31">
        <v>9</v>
      </c>
      <c r="N25" s="31">
        <v>19</v>
      </c>
      <c r="O25" s="31">
        <v>0</v>
      </c>
      <c r="P25" s="31">
        <v>11</v>
      </c>
      <c r="Q25" s="31">
        <v>4</v>
      </c>
      <c r="R25" s="31">
        <v>0</v>
      </c>
      <c r="S25" s="31">
        <v>22</v>
      </c>
      <c r="T25" s="31">
        <v>1</v>
      </c>
      <c r="U25" s="31">
        <v>0</v>
      </c>
      <c r="V25" s="31">
        <v>73</v>
      </c>
      <c r="W25" s="31">
        <v>5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1</v>
      </c>
      <c r="AF25" s="31">
        <v>0</v>
      </c>
      <c r="AG25" s="31">
        <v>0</v>
      </c>
      <c r="AH25" s="31">
        <v>1</v>
      </c>
      <c r="AI25" s="31">
        <v>1</v>
      </c>
      <c r="AJ25" s="31">
        <v>0</v>
      </c>
      <c r="AK25" s="31">
        <v>1</v>
      </c>
      <c r="AL25" s="31">
        <v>0</v>
      </c>
      <c r="AM25" s="31">
        <v>0</v>
      </c>
      <c r="AN25" s="31">
        <v>2</v>
      </c>
      <c r="AO25" s="31">
        <v>0</v>
      </c>
      <c r="AP25" s="31">
        <v>0</v>
      </c>
      <c r="AQ25" s="31">
        <v>13</v>
      </c>
      <c r="AR25" s="31">
        <v>3</v>
      </c>
      <c r="AS25" s="31">
        <v>0</v>
      </c>
      <c r="AT25" s="31">
        <v>18</v>
      </c>
      <c r="AU25" s="31">
        <v>0</v>
      </c>
      <c r="AV25" s="31">
        <v>0</v>
      </c>
      <c r="AW25" s="31">
        <v>9</v>
      </c>
      <c r="AX25" s="31">
        <v>0</v>
      </c>
      <c r="AY25" s="31">
        <v>0</v>
      </c>
      <c r="AZ25" s="31">
        <v>5</v>
      </c>
      <c r="BA25" s="31">
        <v>2</v>
      </c>
      <c r="BB25" s="31">
        <v>0</v>
      </c>
      <c r="BC25" s="31">
        <v>32</v>
      </c>
      <c r="BD25" s="31">
        <v>10</v>
      </c>
      <c r="BE25" s="31">
        <v>7</v>
      </c>
    </row>
    <row r="26" spans="1:57" s="23" customFormat="1" ht="15" customHeight="1" x14ac:dyDescent="0.2">
      <c r="A26" s="110" t="s">
        <v>132</v>
      </c>
      <c r="B26" s="32" t="s">
        <v>75</v>
      </c>
      <c r="C26" s="33" t="s">
        <v>2</v>
      </c>
      <c r="D26" s="22">
        <v>646</v>
      </c>
      <c r="E26" s="22">
        <v>427</v>
      </c>
      <c r="F26" s="22">
        <v>212</v>
      </c>
      <c r="G26" s="22">
        <v>7</v>
      </c>
      <c r="H26" s="22">
        <v>221</v>
      </c>
      <c r="I26" s="22">
        <v>166</v>
      </c>
      <c r="J26" s="22">
        <v>12</v>
      </c>
      <c r="K26" s="22">
        <v>2</v>
      </c>
      <c r="L26" s="22">
        <v>0</v>
      </c>
      <c r="M26" s="22">
        <v>9</v>
      </c>
      <c r="N26" s="22">
        <v>19</v>
      </c>
      <c r="O26" s="22">
        <v>0</v>
      </c>
      <c r="P26" s="22">
        <v>10</v>
      </c>
      <c r="Q26" s="22">
        <v>4</v>
      </c>
      <c r="R26" s="22">
        <v>0</v>
      </c>
      <c r="S26" s="22">
        <v>22</v>
      </c>
      <c r="T26" s="22">
        <v>1</v>
      </c>
      <c r="U26" s="22">
        <v>0</v>
      </c>
      <c r="V26" s="22">
        <v>71</v>
      </c>
      <c r="W26" s="22">
        <v>5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1</v>
      </c>
      <c r="AF26" s="22">
        <v>0</v>
      </c>
      <c r="AG26" s="22">
        <v>0</v>
      </c>
      <c r="AH26" s="22">
        <v>1</v>
      </c>
      <c r="AI26" s="22">
        <v>1</v>
      </c>
      <c r="AJ26" s="22">
        <v>0</v>
      </c>
      <c r="AK26" s="22">
        <v>1</v>
      </c>
      <c r="AL26" s="22">
        <v>0</v>
      </c>
      <c r="AM26" s="22">
        <v>0</v>
      </c>
      <c r="AN26" s="22">
        <v>2</v>
      </c>
      <c r="AO26" s="22">
        <v>0</v>
      </c>
      <c r="AP26" s="22">
        <v>0</v>
      </c>
      <c r="AQ26" s="22">
        <v>13</v>
      </c>
      <c r="AR26" s="22">
        <v>3</v>
      </c>
      <c r="AS26" s="22">
        <v>0</v>
      </c>
      <c r="AT26" s="22">
        <v>18</v>
      </c>
      <c r="AU26" s="22">
        <v>0</v>
      </c>
      <c r="AV26" s="22">
        <v>0</v>
      </c>
      <c r="AW26" s="22">
        <v>9</v>
      </c>
      <c r="AX26" s="22">
        <v>0</v>
      </c>
      <c r="AY26" s="22">
        <v>0</v>
      </c>
      <c r="AZ26" s="22">
        <v>5</v>
      </c>
      <c r="BA26" s="22">
        <v>1</v>
      </c>
      <c r="BB26" s="22">
        <v>0</v>
      </c>
      <c r="BC26" s="22">
        <v>32</v>
      </c>
      <c r="BD26" s="22">
        <v>10</v>
      </c>
      <c r="BE26" s="22">
        <v>7</v>
      </c>
    </row>
    <row r="27" spans="1:57" s="23" customFormat="1" ht="15" customHeight="1" x14ac:dyDescent="0.2">
      <c r="A27" s="111"/>
      <c r="B27" s="34" t="s">
        <v>76</v>
      </c>
      <c r="C27" s="35" t="s">
        <v>194</v>
      </c>
      <c r="D27" s="22">
        <v>24</v>
      </c>
      <c r="E27" s="22">
        <v>12</v>
      </c>
      <c r="F27" s="22">
        <v>12</v>
      </c>
      <c r="G27" s="22">
        <v>0</v>
      </c>
      <c r="H27" s="22">
        <v>8</v>
      </c>
      <c r="I27" s="22">
        <v>11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1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2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1</v>
      </c>
      <c r="BB27" s="22">
        <v>0</v>
      </c>
      <c r="BC27" s="22">
        <v>0</v>
      </c>
      <c r="BD27" s="22">
        <v>0</v>
      </c>
      <c r="BE27" s="22">
        <v>0</v>
      </c>
    </row>
    <row r="28" spans="1:57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30</v>
      </c>
      <c r="E28" s="31">
        <v>22</v>
      </c>
      <c r="F28" s="31">
        <v>8</v>
      </c>
      <c r="G28" s="31">
        <v>0</v>
      </c>
      <c r="H28" s="31">
        <v>10</v>
      </c>
      <c r="I28" s="31">
        <v>7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1</v>
      </c>
      <c r="Q28" s="31">
        <v>0</v>
      </c>
      <c r="R28" s="31">
        <v>0</v>
      </c>
      <c r="S28" s="31">
        <v>1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1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8</v>
      </c>
      <c r="BA28" s="31">
        <v>1</v>
      </c>
      <c r="BB28" s="31">
        <v>0</v>
      </c>
      <c r="BC28" s="31">
        <v>0</v>
      </c>
      <c r="BD28" s="31">
        <v>0</v>
      </c>
      <c r="BE28" s="31">
        <v>0</v>
      </c>
    </row>
    <row r="29" spans="1:57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26</v>
      </c>
      <c r="E29" s="22">
        <v>19</v>
      </c>
      <c r="F29" s="22">
        <v>7</v>
      </c>
      <c r="G29" s="22">
        <v>0</v>
      </c>
      <c r="H29" s="22">
        <v>10</v>
      </c>
      <c r="I29" s="22">
        <v>7</v>
      </c>
      <c r="J29" s="22">
        <v>1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</v>
      </c>
      <c r="Q29" s="22">
        <v>0</v>
      </c>
      <c r="R29" s="22">
        <v>0</v>
      </c>
      <c r="S29" s="22">
        <v>1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1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5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</row>
    <row r="30" spans="1:57" s="23" customFormat="1" ht="15" customHeight="1" x14ac:dyDescent="0.2">
      <c r="A30" s="24"/>
      <c r="B30" s="34" t="s">
        <v>76</v>
      </c>
      <c r="C30" s="35" t="s">
        <v>194</v>
      </c>
      <c r="D30" s="22">
        <v>4</v>
      </c>
      <c r="E30" s="22">
        <v>3</v>
      </c>
      <c r="F30" s="22">
        <v>1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3</v>
      </c>
      <c r="BA30" s="22">
        <v>1</v>
      </c>
      <c r="BB30" s="22">
        <v>0</v>
      </c>
      <c r="BC30" s="22">
        <v>0</v>
      </c>
      <c r="BD30" s="22">
        <v>0</v>
      </c>
      <c r="BE30" s="22">
        <v>0</v>
      </c>
    </row>
    <row r="31" spans="1:57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168</v>
      </c>
      <c r="E31" s="31">
        <v>103</v>
      </c>
      <c r="F31" s="31">
        <v>64</v>
      </c>
      <c r="G31" s="31">
        <v>1</v>
      </c>
      <c r="H31" s="31">
        <v>59</v>
      </c>
      <c r="I31" s="31">
        <v>57</v>
      </c>
      <c r="J31" s="31">
        <v>5</v>
      </c>
      <c r="K31" s="31">
        <v>0</v>
      </c>
      <c r="L31" s="31">
        <v>0</v>
      </c>
      <c r="M31" s="31">
        <v>3</v>
      </c>
      <c r="N31" s="31">
        <v>1</v>
      </c>
      <c r="O31" s="31">
        <v>0</v>
      </c>
      <c r="P31" s="31">
        <v>2</v>
      </c>
      <c r="Q31" s="31">
        <v>1</v>
      </c>
      <c r="R31" s="31">
        <v>0</v>
      </c>
      <c r="S31" s="31">
        <v>8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2</v>
      </c>
      <c r="AL31" s="31">
        <v>1</v>
      </c>
      <c r="AM31" s="31">
        <v>0</v>
      </c>
      <c r="AN31" s="31">
        <v>0</v>
      </c>
      <c r="AO31" s="31">
        <v>0</v>
      </c>
      <c r="AP31" s="31">
        <v>0</v>
      </c>
      <c r="AQ31" s="31">
        <v>1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3</v>
      </c>
      <c r="AX31" s="31">
        <v>0</v>
      </c>
      <c r="AY31" s="31">
        <v>0</v>
      </c>
      <c r="AZ31" s="31">
        <v>15</v>
      </c>
      <c r="BA31" s="31">
        <v>4</v>
      </c>
      <c r="BB31" s="31">
        <v>0</v>
      </c>
      <c r="BC31" s="31">
        <v>5</v>
      </c>
      <c r="BD31" s="31">
        <v>0</v>
      </c>
      <c r="BE31" s="31">
        <v>1</v>
      </c>
    </row>
    <row r="32" spans="1:57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141</v>
      </c>
      <c r="E32" s="22">
        <v>89</v>
      </c>
      <c r="F32" s="22">
        <v>51</v>
      </c>
      <c r="G32" s="22">
        <v>1</v>
      </c>
      <c r="H32" s="22">
        <v>54</v>
      </c>
      <c r="I32" s="22">
        <v>45</v>
      </c>
      <c r="J32" s="22">
        <v>4</v>
      </c>
      <c r="K32" s="22">
        <v>0</v>
      </c>
      <c r="L32" s="22">
        <v>0</v>
      </c>
      <c r="M32" s="22">
        <v>3</v>
      </c>
      <c r="N32" s="22">
        <v>1</v>
      </c>
      <c r="O32" s="22">
        <v>0</v>
      </c>
      <c r="P32" s="22">
        <v>2</v>
      </c>
      <c r="Q32" s="22">
        <v>1</v>
      </c>
      <c r="R32" s="22">
        <v>0</v>
      </c>
      <c r="S32" s="22">
        <v>3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2</v>
      </c>
      <c r="AL32" s="22">
        <v>1</v>
      </c>
      <c r="AM32" s="22">
        <v>0</v>
      </c>
      <c r="AN32" s="22">
        <v>0</v>
      </c>
      <c r="AO32" s="22">
        <v>0</v>
      </c>
      <c r="AP32" s="22">
        <v>0</v>
      </c>
      <c r="AQ32" s="22">
        <v>1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3</v>
      </c>
      <c r="AX32" s="22">
        <v>0</v>
      </c>
      <c r="AY32" s="22">
        <v>0</v>
      </c>
      <c r="AZ32" s="22">
        <v>12</v>
      </c>
      <c r="BA32" s="22">
        <v>3</v>
      </c>
      <c r="BB32" s="22">
        <v>0</v>
      </c>
      <c r="BC32" s="22">
        <v>5</v>
      </c>
      <c r="BD32" s="22">
        <v>0</v>
      </c>
      <c r="BE32" s="22">
        <v>1</v>
      </c>
    </row>
    <row r="33" spans="1:57" s="23" customFormat="1" ht="15" customHeight="1" x14ac:dyDescent="0.2">
      <c r="A33" s="111"/>
      <c r="B33" s="34" t="s">
        <v>76</v>
      </c>
      <c r="C33" s="35" t="s">
        <v>194</v>
      </c>
      <c r="D33" s="22">
        <v>27</v>
      </c>
      <c r="E33" s="22">
        <v>14</v>
      </c>
      <c r="F33" s="22">
        <v>13</v>
      </c>
      <c r="G33" s="22">
        <v>0</v>
      </c>
      <c r="H33" s="22">
        <v>5</v>
      </c>
      <c r="I33" s="22">
        <v>12</v>
      </c>
      <c r="J33" s="22">
        <v>1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5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3</v>
      </c>
      <c r="BA33" s="22">
        <v>1</v>
      </c>
      <c r="BB33" s="22">
        <v>0</v>
      </c>
      <c r="BC33" s="22">
        <v>0</v>
      </c>
      <c r="BD33" s="22">
        <v>0</v>
      </c>
      <c r="BE33" s="22">
        <v>0</v>
      </c>
    </row>
    <row r="34" spans="1:57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102</v>
      </c>
      <c r="E34" s="31">
        <v>79</v>
      </c>
      <c r="F34" s="31">
        <v>23</v>
      </c>
      <c r="G34" s="31">
        <v>0</v>
      </c>
      <c r="H34" s="31">
        <v>26</v>
      </c>
      <c r="I34" s="31">
        <v>19</v>
      </c>
      <c r="J34" s="31">
        <v>1</v>
      </c>
      <c r="K34" s="31">
        <v>0</v>
      </c>
      <c r="L34" s="31">
        <v>0</v>
      </c>
      <c r="M34" s="31">
        <v>1</v>
      </c>
      <c r="N34" s="31">
        <v>1</v>
      </c>
      <c r="O34" s="31">
        <v>0</v>
      </c>
      <c r="P34" s="31">
        <v>6</v>
      </c>
      <c r="Q34" s="31">
        <v>0</v>
      </c>
      <c r="R34" s="31">
        <v>0</v>
      </c>
      <c r="S34" s="31">
        <v>4</v>
      </c>
      <c r="T34" s="31">
        <v>1</v>
      </c>
      <c r="U34" s="31">
        <v>0</v>
      </c>
      <c r="V34" s="31">
        <v>14</v>
      </c>
      <c r="W34" s="31">
        <v>1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1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5</v>
      </c>
      <c r="AR34" s="31">
        <v>0</v>
      </c>
      <c r="AS34" s="31">
        <v>0</v>
      </c>
      <c r="AT34" s="31">
        <v>6</v>
      </c>
      <c r="AU34" s="31">
        <v>0</v>
      </c>
      <c r="AV34" s="31">
        <v>0</v>
      </c>
      <c r="AW34" s="31">
        <v>1</v>
      </c>
      <c r="AX34" s="31">
        <v>0</v>
      </c>
      <c r="AY34" s="31">
        <v>0</v>
      </c>
      <c r="AZ34" s="31">
        <v>14</v>
      </c>
      <c r="BA34" s="31">
        <v>1</v>
      </c>
      <c r="BB34" s="31">
        <v>0</v>
      </c>
      <c r="BC34" s="31">
        <v>0</v>
      </c>
      <c r="BD34" s="31">
        <v>0</v>
      </c>
      <c r="BE34" s="31">
        <v>0</v>
      </c>
    </row>
    <row r="35" spans="1:57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100</v>
      </c>
      <c r="E35" s="22">
        <v>77</v>
      </c>
      <c r="F35" s="22">
        <v>23</v>
      </c>
      <c r="G35" s="22">
        <v>0</v>
      </c>
      <c r="H35" s="22">
        <v>25</v>
      </c>
      <c r="I35" s="22">
        <v>19</v>
      </c>
      <c r="J35" s="22">
        <v>1</v>
      </c>
      <c r="K35" s="22">
        <v>0</v>
      </c>
      <c r="L35" s="22">
        <v>0</v>
      </c>
      <c r="M35" s="22">
        <v>1</v>
      </c>
      <c r="N35" s="22">
        <v>1</v>
      </c>
      <c r="O35" s="22">
        <v>0</v>
      </c>
      <c r="P35" s="22">
        <v>6</v>
      </c>
      <c r="Q35" s="22">
        <v>0</v>
      </c>
      <c r="R35" s="22">
        <v>0</v>
      </c>
      <c r="S35" s="22">
        <v>4</v>
      </c>
      <c r="T35" s="22">
        <v>1</v>
      </c>
      <c r="U35" s="22">
        <v>0</v>
      </c>
      <c r="V35" s="22">
        <v>14</v>
      </c>
      <c r="W35" s="22">
        <v>1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1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5</v>
      </c>
      <c r="AR35" s="22">
        <v>0</v>
      </c>
      <c r="AS35" s="22">
        <v>0</v>
      </c>
      <c r="AT35" s="22">
        <v>6</v>
      </c>
      <c r="AU35" s="22">
        <v>0</v>
      </c>
      <c r="AV35" s="22">
        <v>0</v>
      </c>
      <c r="AW35" s="22">
        <v>1</v>
      </c>
      <c r="AX35" s="22">
        <v>0</v>
      </c>
      <c r="AY35" s="22">
        <v>0</v>
      </c>
      <c r="AZ35" s="22">
        <v>13</v>
      </c>
      <c r="BA35" s="22">
        <v>1</v>
      </c>
      <c r="BB35" s="22">
        <v>0</v>
      </c>
      <c r="BC35" s="22">
        <v>0</v>
      </c>
      <c r="BD35" s="22">
        <v>0</v>
      </c>
      <c r="BE35" s="22">
        <v>0</v>
      </c>
    </row>
    <row r="36" spans="1:57" s="23" customFormat="1" ht="15" customHeight="1" x14ac:dyDescent="0.2">
      <c r="A36" s="111"/>
      <c r="B36" s="34" t="s">
        <v>76</v>
      </c>
      <c r="C36" s="35" t="s">
        <v>194</v>
      </c>
      <c r="D36" s="22">
        <v>2</v>
      </c>
      <c r="E36" s="22">
        <v>2</v>
      </c>
      <c r="F36" s="22">
        <v>0</v>
      </c>
      <c r="G36" s="22">
        <v>0</v>
      </c>
      <c r="H36" s="22">
        <v>1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1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</row>
    <row r="37" spans="1:57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223</v>
      </c>
      <c r="E37" s="31">
        <v>133</v>
      </c>
      <c r="F37" s="31">
        <v>88</v>
      </c>
      <c r="G37" s="31">
        <v>2</v>
      </c>
      <c r="H37" s="31">
        <v>79</v>
      </c>
      <c r="I37" s="31">
        <v>61</v>
      </c>
      <c r="J37" s="31">
        <v>7</v>
      </c>
      <c r="K37" s="31">
        <v>3</v>
      </c>
      <c r="L37" s="31">
        <v>0</v>
      </c>
      <c r="M37" s="31">
        <v>4</v>
      </c>
      <c r="N37" s="31">
        <v>4</v>
      </c>
      <c r="O37" s="31">
        <v>0</v>
      </c>
      <c r="P37" s="31">
        <v>8</v>
      </c>
      <c r="Q37" s="31">
        <v>3</v>
      </c>
      <c r="R37" s="31">
        <v>0</v>
      </c>
      <c r="S37" s="31">
        <v>2</v>
      </c>
      <c r="T37" s="31">
        <v>1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1</v>
      </c>
      <c r="AF37" s="31">
        <v>1</v>
      </c>
      <c r="AG37" s="31">
        <v>0</v>
      </c>
      <c r="AH37" s="31">
        <v>1</v>
      </c>
      <c r="AI37" s="31">
        <v>6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31</v>
      </c>
      <c r="BD37" s="31">
        <v>9</v>
      </c>
      <c r="BE37" s="31">
        <v>2</v>
      </c>
    </row>
    <row r="38" spans="1:57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220</v>
      </c>
      <c r="E38" s="22">
        <v>131</v>
      </c>
      <c r="F38" s="22">
        <v>87</v>
      </c>
      <c r="G38" s="22">
        <v>2</v>
      </c>
      <c r="H38" s="22">
        <v>77</v>
      </c>
      <c r="I38" s="22">
        <v>60</v>
      </c>
      <c r="J38" s="22">
        <v>7</v>
      </c>
      <c r="K38" s="22">
        <v>3</v>
      </c>
      <c r="L38" s="22">
        <v>0</v>
      </c>
      <c r="M38" s="22">
        <v>4</v>
      </c>
      <c r="N38" s="22">
        <v>4</v>
      </c>
      <c r="O38" s="22">
        <v>0</v>
      </c>
      <c r="P38" s="22">
        <v>8</v>
      </c>
      <c r="Q38" s="22">
        <v>3</v>
      </c>
      <c r="R38" s="22">
        <v>0</v>
      </c>
      <c r="S38" s="22">
        <v>2</v>
      </c>
      <c r="T38" s="22">
        <v>1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1</v>
      </c>
      <c r="AF38" s="22">
        <v>1</v>
      </c>
      <c r="AG38" s="22">
        <v>0</v>
      </c>
      <c r="AH38" s="22">
        <v>1</v>
      </c>
      <c r="AI38" s="22">
        <v>6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31</v>
      </c>
      <c r="BD38" s="22">
        <v>9</v>
      </c>
      <c r="BE38" s="22">
        <v>2</v>
      </c>
    </row>
    <row r="39" spans="1:57" s="23" customFormat="1" ht="15" customHeight="1" x14ac:dyDescent="0.2">
      <c r="A39" s="111"/>
      <c r="B39" s="34" t="s">
        <v>76</v>
      </c>
      <c r="C39" s="35" t="s">
        <v>194</v>
      </c>
      <c r="D39" s="22">
        <v>3</v>
      </c>
      <c r="E39" s="22">
        <v>2</v>
      </c>
      <c r="F39" s="22">
        <v>1</v>
      </c>
      <c r="G39" s="22">
        <v>0</v>
      </c>
      <c r="H39" s="22">
        <v>2</v>
      </c>
      <c r="I39" s="22">
        <v>1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</row>
    <row r="40" spans="1:57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114</v>
      </c>
      <c r="E40" s="31">
        <v>78</v>
      </c>
      <c r="F40" s="31">
        <v>33</v>
      </c>
      <c r="G40" s="31">
        <v>3</v>
      </c>
      <c r="H40" s="31">
        <v>31</v>
      </c>
      <c r="I40" s="31">
        <v>29</v>
      </c>
      <c r="J40" s="31">
        <v>5</v>
      </c>
      <c r="K40" s="31">
        <v>1</v>
      </c>
      <c r="L40" s="31">
        <v>0</v>
      </c>
      <c r="M40" s="31">
        <v>6</v>
      </c>
      <c r="N40" s="31">
        <v>2</v>
      </c>
      <c r="O40" s="31">
        <v>0</v>
      </c>
      <c r="P40" s="31">
        <v>6</v>
      </c>
      <c r="Q40" s="31">
        <v>0</v>
      </c>
      <c r="R40" s="31">
        <v>0</v>
      </c>
      <c r="S40" s="31">
        <v>2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1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10</v>
      </c>
      <c r="BA40" s="31">
        <v>0</v>
      </c>
      <c r="BB40" s="31">
        <v>0</v>
      </c>
      <c r="BC40" s="31">
        <v>17</v>
      </c>
      <c r="BD40" s="31">
        <v>1</v>
      </c>
      <c r="BE40" s="31">
        <v>3</v>
      </c>
    </row>
    <row r="41" spans="1:57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90</v>
      </c>
      <c r="E41" s="22">
        <v>64</v>
      </c>
      <c r="F41" s="22">
        <v>23</v>
      </c>
      <c r="G41" s="22">
        <v>3</v>
      </c>
      <c r="H41" s="22">
        <v>24</v>
      </c>
      <c r="I41" s="22">
        <v>21</v>
      </c>
      <c r="J41" s="22">
        <v>4</v>
      </c>
      <c r="K41" s="22">
        <v>0</v>
      </c>
      <c r="L41" s="22">
        <v>0</v>
      </c>
      <c r="M41" s="22">
        <v>6</v>
      </c>
      <c r="N41" s="22">
        <v>2</v>
      </c>
      <c r="O41" s="22">
        <v>0</v>
      </c>
      <c r="P41" s="22">
        <v>3</v>
      </c>
      <c r="Q41" s="22">
        <v>0</v>
      </c>
      <c r="R41" s="22">
        <v>0</v>
      </c>
      <c r="S41" s="22">
        <v>1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1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9</v>
      </c>
      <c r="BA41" s="22">
        <v>0</v>
      </c>
      <c r="BB41" s="22">
        <v>0</v>
      </c>
      <c r="BC41" s="22">
        <v>16</v>
      </c>
      <c r="BD41" s="22">
        <v>0</v>
      </c>
      <c r="BE41" s="22">
        <v>3</v>
      </c>
    </row>
    <row r="42" spans="1:57" s="23" customFormat="1" ht="15" customHeight="1" x14ac:dyDescent="0.2">
      <c r="A42" s="111"/>
      <c r="B42" s="34" t="s">
        <v>76</v>
      </c>
      <c r="C42" s="35" t="s">
        <v>194</v>
      </c>
      <c r="D42" s="22">
        <v>24</v>
      </c>
      <c r="E42" s="22">
        <v>14</v>
      </c>
      <c r="F42" s="22">
        <v>10</v>
      </c>
      <c r="G42" s="22">
        <v>0</v>
      </c>
      <c r="H42" s="22">
        <v>7</v>
      </c>
      <c r="I42" s="22">
        <v>8</v>
      </c>
      <c r="J42" s="22">
        <v>1</v>
      </c>
      <c r="K42" s="22">
        <v>1</v>
      </c>
      <c r="L42" s="22">
        <v>0</v>
      </c>
      <c r="M42" s="22">
        <v>0</v>
      </c>
      <c r="N42" s="22">
        <v>0</v>
      </c>
      <c r="O42" s="22">
        <v>0</v>
      </c>
      <c r="P42" s="22">
        <v>3</v>
      </c>
      <c r="Q42" s="22">
        <v>0</v>
      </c>
      <c r="R42" s="22">
        <v>0</v>
      </c>
      <c r="S42" s="22">
        <v>1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1</v>
      </c>
      <c r="BA42" s="22">
        <v>0</v>
      </c>
      <c r="BB42" s="22">
        <v>0</v>
      </c>
      <c r="BC42" s="22">
        <v>1</v>
      </c>
      <c r="BD42" s="22">
        <v>1</v>
      </c>
      <c r="BE42" s="22">
        <v>0</v>
      </c>
    </row>
    <row r="43" spans="1:57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136</v>
      </c>
      <c r="E43" s="31">
        <v>89</v>
      </c>
      <c r="F43" s="31">
        <v>44</v>
      </c>
      <c r="G43" s="31">
        <v>3</v>
      </c>
      <c r="H43" s="31">
        <v>35</v>
      </c>
      <c r="I43" s="31">
        <v>27</v>
      </c>
      <c r="J43" s="31">
        <v>2</v>
      </c>
      <c r="K43" s="31">
        <v>0</v>
      </c>
      <c r="L43" s="31">
        <v>0</v>
      </c>
      <c r="M43" s="31">
        <v>3</v>
      </c>
      <c r="N43" s="31">
        <v>2</v>
      </c>
      <c r="O43" s="31">
        <v>0</v>
      </c>
      <c r="P43" s="31">
        <v>6</v>
      </c>
      <c r="Q43" s="31">
        <v>5</v>
      </c>
      <c r="R43" s="31">
        <v>0</v>
      </c>
      <c r="S43" s="31">
        <v>3</v>
      </c>
      <c r="T43" s="31">
        <v>1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2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34</v>
      </c>
      <c r="BA43" s="31">
        <v>5</v>
      </c>
      <c r="BB43" s="31">
        <v>0</v>
      </c>
      <c r="BC43" s="31">
        <v>4</v>
      </c>
      <c r="BD43" s="31">
        <v>4</v>
      </c>
      <c r="BE43" s="31">
        <v>3</v>
      </c>
    </row>
    <row r="44" spans="1:57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134</v>
      </c>
      <c r="E44" s="22">
        <v>88</v>
      </c>
      <c r="F44" s="22">
        <v>43</v>
      </c>
      <c r="G44" s="22">
        <v>3</v>
      </c>
      <c r="H44" s="22">
        <v>35</v>
      </c>
      <c r="I44" s="22">
        <v>26</v>
      </c>
      <c r="J44" s="22">
        <v>2</v>
      </c>
      <c r="K44" s="22">
        <v>0</v>
      </c>
      <c r="L44" s="22">
        <v>0</v>
      </c>
      <c r="M44" s="22">
        <v>3</v>
      </c>
      <c r="N44" s="22">
        <v>2</v>
      </c>
      <c r="O44" s="22">
        <v>0</v>
      </c>
      <c r="P44" s="22">
        <v>5</v>
      </c>
      <c r="Q44" s="22">
        <v>5</v>
      </c>
      <c r="R44" s="22">
        <v>0</v>
      </c>
      <c r="S44" s="22">
        <v>3</v>
      </c>
      <c r="T44" s="22">
        <v>1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2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34</v>
      </c>
      <c r="BA44" s="22">
        <v>5</v>
      </c>
      <c r="BB44" s="22">
        <v>0</v>
      </c>
      <c r="BC44" s="22">
        <v>4</v>
      </c>
      <c r="BD44" s="22">
        <v>4</v>
      </c>
      <c r="BE44" s="22">
        <v>3</v>
      </c>
    </row>
    <row r="45" spans="1:57" s="23" customFormat="1" ht="15" customHeight="1" x14ac:dyDescent="0.2">
      <c r="A45" s="111"/>
      <c r="B45" s="34" t="s">
        <v>76</v>
      </c>
      <c r="C45" s="35" t="s">
        <v>194</v>
      </c>
      <c r="D45" s="22">
        <v>2</v>
      </c>
      <c r="E45" s="22">
        <v>1</v>
      </c>
      <c r="F45" s="22">
        <v>1</v>
      </c>
      <c r="G45" s="22">
        <v>0</v>
      </c>
      <c r="H45" s="22">
        <v>0</v>
      </c>
      <c r="I45" s="22">
        <v>1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1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</row>
    <row r="46" spans="1:57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98</v>
      </c>
      <c r="E46" s="31">
        <v>66</v>
      </c>
      <c r="F46" s="31">
        <v>32</v>
      </c>
      <c r="G46" s="31">
        <v>0</v>
      </c>
      <c r="H46" s="31">
        <v>29</v>
      </c>
      <c r="I46" s="31">
        <v>29</v>
      </c>
      <c r="J46" s="31">
        <v>0</v>
      </c>
      <c r="K46" s="31">
        <v>0</v>
      </c>
      <c r="L46" s="31">
        <v>0</v>
      </c>
      <c r="M46" s="31">
        <v>0</v>
      </c>
      <c r="N46" s="31">
        <v>2</v>
      </c>
      <c r="O46" s="31">
        <v>0</v>
      </c>
      <c r="P46" s="31">
        <v>4</v>
      </c>
      <c r="Q46" s="31">
        <v>1</v>
      </c>
      <c r="R46" s="31">
        <v>0</v>
      </c>
      <c r="S46" s="31">
        <v>4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3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1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24</v>
      </c>
      <c r="BA46" s="31">
        <v>0</v>
      </c>
      <c r="BB46" s="31">
        <v>0</v>
      </c>
      <c r="BC46" s="31">
        <v>1</v>
      </c>
      <c r="BD46" s="31">
        <v>0</v>
      </c>
      <c r="BE46" s="31">
        <v>0</v>
      </c>
    </row>
    <row r="47" spans="1:57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96</v>
      </c>
      <c r="E47" s="22">
        <v>65</v>
      </c>
      <c r="F47" s="22">
        <v>31</v>
      </c>
      <c r="G47" s="22">
        <v>0</v>
      </c>
      <c r="H47" s="22">
        <v>29</v>
      </c>
      <c r="I47" s="22">
        <v>28</v>
      </c>
      <c r="J47" s="22">
        <v>0</v>
      </c>
      <c r="K47" s="22">
        <v>0</v>
      </c>
      <c r="L47" s="22">
        <v>0</v>
      </c>
      <c r="M47" s="22">
        <v>0</v>
      </c>
      <c r="N47" s="22">
        <v>2</v>
      </c>
      <c r="O47" s="22">
        <v>0</v>
      </c>
      <c r="P47" s="22">
        <v>4</v>
      </c>
      <c r="Q47" s="22">
        <v>1</v>
      </c>
      <c r="R47" s="22">
        <v>0</v>
      </c>
      <c r="S47" s="22">
        <v>4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3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1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23</v>
      </c>
      <c r="BA47" s="22">
        <v>0</v>
      </c>
      <c r="BB47" s="22">
        <v>0</v>
      </c>
      <c r="BC47" s="22">
        <v>1</v>
      </c>
      <c r="BD47" s="22">
        <v>0</v>
      </c>
      <c r="BE47" s="22">
        <v>0</v>
      </c>
    </row>
    <row r="48" spans="1:57" s="23" customFormat="1" ht="15" customHeight="1" x14ac:dyDescent="0.2">
      <c r="A48" s="111"/>
      <c r="B48" s="34" t="s">
        <v>76</v>
      </c>
      <c r="C48" s="35" t="s">
        <v>194</v>
      </c>
      <c r="D48" s="22">
        <v>2</v>
      </c>
      <c r="E48" s="22">
        <v>1</v>
      </c>
      <c r="F48" s="22">
        <v>1</v>
      </c>
      <c r="G48" s="22">
        <v>0</v>
      </c>
      <c r="H48" s="22">
        <v>0</v>
      </c>
      <c r="I48" s="22">
        <v>1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1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</row>
    <row r="49" spans="1:57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164</v>
      </c>
      <c r="E49" s="31">
        <v>117</v>
      </c>
      <c r="F49" s="31">
        <v>47</v>
      </c>
      <c r="G49" s="31">
        <v>0</v>
      </c>
      <c r="H49" s="31">
        <v>35</v>
      </c>
      <c r="I49" s="31">
        <v>28</v>
      </c>
      <c r="J49" s="31">
        <v>7</v>
      </c>
      <c r="K49" s="31">
        <v>3</v>
      </c>
      <c r="L49" s="31">
        <v>0</v>
      </c>
      <c r="M49" s="31">
        <v>1</v>
      </c>
      <c r="N49" s="31">
        <v>2</v>
      </c>
      <c r="O49" s="31">
        <v>0</v>
      </c>
      <c r="P49" s="31">
        <v>7</v>
      </c>
      <c r="Q49" s="31">
        <v>0</v>
      </c>
      <c r="R49" s="31">
        <v>0</v>
      </c>
      <c r="S49" s="31">
        <v>5</v>
      </c>
      <c r="T49" s="31">
        <v>1</v>
      </c>
      <c r="U49" s="31">
        <v>0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1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33</v>
      </c>
      <c r="BA49" s="31">
        <v>7</v>
      </c>
      <c r="BB49" s="31">
        <v>0</v>
      </c>
      <c r="BC49" s="31">
        <v>27</v>
      </c>
      <c r="BD49" s="31">
        <v>6</v>
      </c>
      <c r="BE49" s="31">
        <v>0</v>
      </c>
    </row>
    <row r="50" spans="1:57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139</v>
      </c>
      <c r="E50" s="22">
        <v>99</v>
      </c>
      <c r="F50" s="22">
        <v>40</v>
      </c>
      <c r="G50" s="22">
        <v>0</v>
      </c>
      <c r="H50" s="22">
        <v>29</v>
      </c>
      <c r="I50" s="22">
        <v>28</v>
      </c>
      <c r="J50" s="22">
        <v>7</v>
      </c>
      <c r="K50" s="22">
        <v>3</v>
      </c>
      <c r="L50" s="22">
        <v>0</v>
      </c>
      <c r="M50" s="22">
        <v>1</v>
      </c>
      <c r="N50" s="22">
        <v>2</v>
      </c>
      <c r="O50" s="22">
        <v>0</v>
      </c>
      <c r="P50" s="22">
        <v>4</v>
      </c>
      <c r="Q50" s="22">
        <v>0</v>
      </c>
      <c r="R50" s="22">
        <v>0</v>
      </c>
      <c r="S50" s="22">
        <v>5</v>
      </c>
      <c r="T50" s="22">
        <v>1</v>
      </c>
      <c r="U50" s="22">
        <v>0</v>
      </c>
      <c r="V50" s="22">
        <v>1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1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28</v>
      </c>
      <c r="BA50" s="22">
        <v>2</v>
      </c>
      <c r="BB50" s="22">
        <v>0</v>
      </c>
      <c r="BC50" s="22">
        <v>23</v>
      </c>
      <c r="BD50" s="22">
        <v>4</v>
      </c>
      <c r="BE50" s="22">
        <v>0</v>
      </c>
    </row>
    <row r="51" spans="1:57" s="23" customFormat="1" ht="15" customHeight="1" x14ac:dyDescent="0.2">
      <c r="A51" s="111"/>
      <c r="B51" s="34" t="s">
        <v>76</v>
      </c>
      <c r="C51" s="35" t="s">
        <v>194</v>
      </c>
      <c r="D51" s="22">
        <v>25</v>
      </c>
      <c r="E51" s="22">
        <v>18</v>
      </c>
      <c r="F51" s="22">
        <v>7</v>
      </c>
      <c r="G51" s="22">
        <v>0</v>
      </c>
      <c r="H51" s="22">
        <v>6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3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5</v>
      </c>
      <c r="BA51" s="22">
        <v>5</v>
      </c>
      <c r="BB51" s="22">
        <v>0</v>
      </c>
      <c r="BC51" s="22">
        <v>4</v>
      </c>
      <c r="BD51" s="22">
        <v>2</v>
      </c>
      <c r="BE51" s="22">
        <v>0</v>
      </c>
    </row>
    <row r="52" spans="1:57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34</v>
      </c>
      <c r="E52" s="31">
        <v>29</v>
      </c>
      <c r="F52" s="31">
        <v>4</v>
      </c>
      <c r="G52" s="31">
        <v>1</v>
      </c>
      <c r="H52" s="31">
        <v>9</v>
      </c>
      <c r="I52" s="31">
        <v>1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5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1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1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7</v>
      </c>
      <c r="BA52" s="31">
        <v>0</v>
      </c>
      <c r="BB52" s="31">
        <v>0</v>
      </c>
      <c r="BC52" s="31">
        <v>6</v>
      </c>
      <c r="BD52" s="31">
        <v>3</v>
      </c>
      <c r="BE52" s="31">
        <v>1</v>
      </c>
    </row>
    <row r="53" spans="1:57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13</v>
      </c>
      <c r="E53" s="22">
        <v>12</v>
      </c>
      <c r="F53" s="22">
        <v>0</v>
      </c>
      <c r="G53" s="22">
        <v>1</v>
      </c>
      <c r="H53" s="22">
        <v>4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1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1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3</v>
      </c>
      <c r="BA53" s="22">
        <v>0</v>
      </c>
      <c r="BB53" s="22">
        <v>0</v>
      </c>
      <c r="BC53" s="22">
        <v>3</v>
      </c>
      <c r="BD53" s="22">
        <v>0</v>
      </c>
      <c r="BE53" s="22">
        <v>1</v>
      </c>
    </row>
    <row r="54" spans="1:57" s="23" customFormat="1" ht="15" customHeight="1" x14ac:dyDescent="0.2">
      <c r="A54" s="111"/>
      <c r="B54" s="34" t="s">
        <v>76</v>
      </c>
      <c r="C54" s="35" t="s">
        <v>194</v>
      </c>
      <c r="D54" s="22">
        <v>21</v>
      </c>
      <c r="E54" s="22">
        <v>17</v>
      </c>
      <c r="F54" s="22">
        <v>4</v>
      </c>
      <c r="G54" s="22">
        <v>0</v>
      </c>
      <c r="H54" s="22">
        <v>5</v>
      </c>
      <c r="I54" s="22">
        <v>1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4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4</v>
      </c>
      <c r="BA54" s="22">
        <v>0</v>
      </c>
      <c r="BB54" s="22">
        <v>0</v>
      </c>
      <c r="BC54" s="22">
        <v>3</v>
      </c>
      <c r="BD54" s="22">
        <v>3</v>
      </c>
      <c r="BE54" s="22">
        <v>0</v>
      </c>
    </row>
    <row r="55" spans="1:57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142</v>
      </c>
      <c r="E55" s="31">
        <v>104</v>
      </c>
      <c r="F55" s="31">
        <v>37</v>
      </c>
      <c r="G55" s="31">
        <v>1</v>
      </c>
      <c r="H55" s="31">
        <v>49</v>
      </c>
      <c r="I55" s="31">
        <v>30</v>
      </c>
      <c r="J55" s="31">
        <v>3</v>
      </c>
      <c r="K55" s="31">
        <v>1</v>
      </c>
      <c r="L55" s="31">
        <v>0</v>
      </c>
      <c r="M55" s="31">
        <v>0</v>
      </c>
      <c r="N55" s="31">
        <v>2</v>
      </c>
      <c r="O55" s="31">
        <v>0</v>
      </c>
      <c r="P55" s="31">
        <v>4</v>
      </c>
      <c r="Q55" s="31">
        <v>1</v>
      </c>
      <c r="R55" s="31">
        <v>0</v>
      </c>
      <c r="S55" s="31">
        <v>6</v>
      </c>
      <c r="T55" s="31">
        <v>1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2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4</v>
      </c>
      <c r="AX55" s="31">
        <v>0</v>
      </c>
      <c r="AY55" s="31">
        <v>0</v>
      </c>
      <c r="AZ55" s="31">
        <v>35</v>
      </c>
      <c r="BA55" s="31">
        <v>2</v>
      </c>
      <c r="BB55" s="31">
        <v>0</v>
      </c>
      <c r="BC55" s="31">
        <v>1</v>
      </c>
      <c r="BD55" s="31">
        <v>0</v>
      </c>
      <c r="BE55" s="31">
        <v>1</v>
      </c>
    </row>
    <row r="56" spans="1:57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90</v>
      </c>
      <c r="E56" s="22">
        <v>68</v>
      </c>
      <c r="F56" s="22">
        <v>21</v>
      </c>
      <c r="G56" s="22">
        <v>1</v>
      </c>
      <c r="H56" s="22">
        <v>30</v>
      </c>
      <c r="I56" s="22">
        <v>16</v>
      </c>
      <c r="J56" s="22">
        <v>1</v>
      </c>
      <c r="K56" s="22">
        <v>1</v>
      </c>
      <c r="L56" s="22">
        <v>0</v>
      </c>
      <c r="M56" s="22">
        <v>0</v>
      </c>
      <c r="N56" s="22">
        <v>2</v>
      </c>
      <c r="O56" s="22">
        <v>0</v>
      </c>
      <c r="P56" s="22">
        <v>3</v>
      </c>
      <c r="Q56" s="22">
        <v>1</v>
      </c>
      <c r="R56" s="22">
        <v>0</v>
      </c>
      <c r="S56" s="22">
        <v>2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1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3</v>
      </c>
      <c r="AX56" s="22">
        <v>0</v>
      </c>
      <c r="AY56" s="22">
        <v>0</v>
      </c>
      <c r="AZ56" s="22">
        <v>27</v>
      </c>
      <c r="BA56" s="22">
        <v>1</v>
      </c>
      <c r="BB56" s="22">
        <v>0</v>
      </c>
      <c r="BC56" s="22">
        <v>1</v>
      </c>
      <c r="BD56" s="22">
        <v>0</v>
      </c>
      <c r="BE56" s="22">
        <v>1</v>
      </c>
    </row>
    <row r="57" spans="1:57" s="23" customFormat="1" ht="15" customHeight="1" x14ac:dyDescent="0.2">
      <c r="A57" s="111"/>
      <c r="B57" s="34" t="s">
        <v>76</v>
      </c>
      <c r="C57" s="35" t="s">
        <v>194</v>
      </c>
      <c r="D57" s="22">
        <v>52</v>
      </c>
      <c r="E57" s="22">
        <v>36</v>
      </c>
      <c r="F57" s="22">
        <v>16</v>
      </c>
      <c r="G57" s="22">
        <v>0</v>
      </c>
      <c r="H57" s="22">
        <v>19</v>
      </c>
      <c r="I57" s="22">
        <v>14</v>
      </c>
      <c r="J57" s="22">
        <v>2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1</v>
      </c>
      <c r="Q57" s="22">
        <v>0</v>
      </c>
      <c r="R57" s="22">
        <v>0</v>
      </c>
      <c r="S57" s="22">
        <v>4</v>
      </c>
      <c r="T57" s="22">
        <v>1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1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</v>
      </c>
      <c r="AX57" s="22">
        <v>0</v>
      </c>
      <c r="AY57" s="22">
        <v>0</v>
      </c>
      <c r="AZ57" s="22">
        <v>8</v>
      </c>
      <c r="BA57" s="22">
        <v>1</v>
      </c>
      <c r="BB57" s="22">
        <v>0</v>
      </c>
      <c r="BC57" s="22">
        <v>0</v>
      </c>
      <c r="BD57" s="22">
        <v>0</v>
      </c>
      <c r="BE57" s="22">
        <v>0</v>
      </c>
    </row>
    <row r="58" spans="1:57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10</v>
      </c>
      <c r="E58" s="31">
        <v>5</v>
      </c>
      <c r="F58" s="31">
        <v>5</v>
      </c>
      <c r="G58" s="31">
        <v>0</v>
      </c>
      <c r="H58" s="31">
        <v>3</v>
      </c>
      <c r="I58" s="31">
        <v>3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2</v>
      </c>
      <c r="BA58" s="31">
        <v>2</v>
      </c>
      <c r="BB58" s="31">
        <v>0</v>
      </c>
      <c r="BC58" s="31">
        <v>0</v>
      </c>
      <c r="BD58" s="31">
        <v>0</v>
      </c>
      <c r="BE58" s="31">
        <v>0</v>
      </c>
    </row>
    <row r="59" spans="1:57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10</v>
      </c>
      <c r="E59" s="22">
        <v>5</v>
      </c>
      <c r="F59" s="22">
        <v>5</v>
      </c>
      <c r="G59" s="22">
        <v>0</v>
      </c>
      <c r="H59" s="22">
        <v>3</v>
      </c>
      <c r="I59" s="22">
        <v>3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2</v>
      </c>
      <c r="BA59" s="22">
        <v>2</v>
      </c>
      <c r="BB59" s="22">
        <v>0</v>
      </c>
      <c r="BC59" s="22">
        <v>0</v>
      </c>
      <c r="BD59" s="22">
        <v>0</v>
      </c>
      <c r="BE59" s="22">
        <v>0</v>
      </c>
    </row>
    <row r="60" spans="1:57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0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</row>
    <row r="61" spans="1:57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112</v>
      </c>
      <c r="E61" s="31">
        <v>84</v>
      </c>
      <c r="F61" s="31">
        <v>28</v>
      </c>
      <c r="G61" s="31">
        <v>0</v>
      </c>
      <c r="H61" s="31">
        <v>63</v>
      </c>
      <c r="I61" s="31">
        <v>22</v>
      </c>
      <c r="J61" s="31">
        <v>0</v>
      </c>
      <c r="K61" s="31">
        <v>0</v>
      </c>
      <c r="L61" s="31">
        <v>0</v>
      </c>
      <c r="M61" s="31">
        <v>2</v>
      </c>
      <c r="N61" s="31">
        <v>1</v>
      </c>
      <c r="O61" s="31">
        <v>0</v>
      </c>
      <c r="P61" s="31">
        <v>15</v>
      </c>
      <c r="Q61" s="31">
        <v>2</v>
      </c>
      <c r="R61" s="31">
        <v>0</v>
      </c>
      <c r="S61" s="31">
        <v>4</v>
      </c>
      <c r="T61" s="31">
        <v>3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</row>
    <row r="62" spans="1:57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106</v>
      </c>
      <c r="E62" s="22">
        <v>80</v>
      </c>
      <c r="F62" s="22">
        <v>26</v>
      </c>
      <c r="G62" s="22">
        <v>0</v>
      </c>
      <c r="H62" s="22">
        <v>59</v>
      </c>
      <c r="I62" s="22">
        <v>21</v>
      </c>
      <c r="J62" s="22">
        <v>0</v>
      </c>
      <c r="K62" s="22">
        <v>0</v>
      </c>
      <c r="L62" s="22">
        <v>0</v>
      </c>
      <c r="M62" s="22">
        <v>2</v>
      </c>
      <c r="N62" s="22">
        <v>1</v>
      </c>
      <c r="O62" s="22">
        <v>0</v>
      </c>
      <c r="P62" s="22">
        <v>15</v>
      </c>
      <c r="Q62" s="22">
        <v>1</v>
      </c>
      <c r="R62" s="22">
        <v>0</v>
      </c>
      <c r="S62" s="22">
        <v>4</v>
      </c>
      <c r="T62" s="22">
        <v>3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</row>
    <row r="63" spans="1:57" s="23" customFormat="1" ht="15" customHeight="1" x14ac:dyDescent="0.2">
      <c r="A63" s="111"/>
      <c r="B63" s="34" t="s">
        <v>76</v>
      </c>
      <c r="C63" s="35" t="s">
        <v>194</v>
      </c>
      <c r="D63" s="22">
        <v>6</v>
      </c>
      <c r="E63" s="22">
        <v>4</v>
      </c>
      <c r="F63" s="22">
        <v>2</v>
      </c>
      <c r="G63" s="22">
        <v>0</v>
      </c>
      <c r="H63" s="22">
        <v>4</v>
      </c>
      <c r="I63" s="22">
        <v>1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1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</row>
    <row r="64" spans="1:57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111</v>
      </c>
      <c r="E64" s="31">
        <v>71</v>
      </c>
      <c r="F64" s="31">
        <v>39</v>
      </c>
      <c r="G64" s="31">
        <v>1</v>
      </c>
      <c r="H64" s="31">
        <v>28</v>
      </c>
      <c r="I64" s="31">
        <v>27</v>
      </c>
      <c r="J64" s="31">
        <v>6</v>
      </c>
      <c r="K64" s="31">
        <v>0</v>
      </c>
      <c r="L64" s="31">
        <v>0</v>
      </c>
      <c r="M64" s="31">
        <v>1</v>
      </c>
      <c r="N64" s="31">
        <v>2</v>
      </c>
      <c r="O64" s="31">
        <v>0</v>
      </c>
      <c r="P64" s="31">
        <v>1</v>
      </c>
      <c r="Q64" s="31">
        <v>0</v>
      </c>
      <c r="R64" s="31">
        <v>0</v>
      </c>
      <c r="S64" s="31">
        <v>3</v>
      </c>
      <c r="T64" s="31">
        <v>3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1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3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17</v>
      </c>
      <c r="BA64" s="31">
        <v>2</v>
      </c>
      <c r="BB64" s="31">
        <v>0</v>
      </c>
      <c r="BC64" s="31">
        <v>11</v>
      </c>
      <c r="BD64" s="31">
        <v>5</v>
      </c>
      <c r="BE64" s="31">
        <v>1</v>
      </c>
    </row>
    <row r="65" spans="1:57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106</v>
      </c>
      <c r="E65" s="22">
        <v>66</v>
      </c>
      <c r="F65" s="22">
        <v>39</v>
      </c>
      <c r="G65" s="22">
        <v>1</v>
      </c>
      <c r="H65" s="22">
        <v>26</v>
      </c>
      <c r="I65" s="22">
        <v>27</v>
      </c>
      <c r="J65" s="22">
        <v>4</v>
      </c>
      <c r="K65" s="22">
        <v>0</v>
      </c>
      <c r="L65" s="22">
        <v>0</v>
      </c>
      <c r="M65" s="22">
        <v>1</v>
      </c>
      <c r="N65" s="22">
        <v>2</v>
      </c>
      <c r="O65" s="22">
        <v>0</v>
      </c>
      <c r="P65" s="22">
        <v>1</v>
      </c>
      <c r="Q65" s="22">
        <v>0</v>
      </c>
      <c r="R65" s="22">
        <v>0</v>
      </c>
      <c r="S65" s="22">
        <v>3</v>
      </c>
      <c r="T65" s="22">
        <v>3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1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3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16</v>
      </c>
      <c r="BA65" s="22">
        <v>2</v>
      </c>
      <c r="BB65" s="22">
        <v>0</v>
      </c>
      <c r="BC65" s="22">
        <v>11</v>
      </c>
      <c r="BD65" s="22">
        <v>5</v>
      </c>
      <c r="BE65" s="22">
        <v>1</v>
      </c>
    </row>
    <row r="66" spans="1:57" s="23" customFormat="1" ht="15" customHeight="1" x14ac:dyDescent="0.2">
      <c r="A66" s="111"/>
      <c r="B66" s="34" t="s">
        <v>76</v>
      </c>
      <c r="C66" s="35" t="s">
        <v>194</v>
      </c>
      <c r="D66" s="22">
        <v>5</v>
      </c>
      <c r="E66" s="22">
        <v>5</v>
      </c>
      <c r="F66" s="22">
        <v>0</v>
      </c>
      <c r="G66" s="22">
        <v>0</v>
      </c>
      <c r="H66" s="22">
        <v>2</v>
      </c>
      <c r="I66" s="22">
        <v>0</v>
      </c>
      <c r="J66" s="22">
        <v>2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2">
        <v>0</v>
      </c>
      <c r="AZ66" s="22">
        <v>1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</row>
    <row r="67" spans="1:57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58</v>
      </c>
      <c r="E67" s="31">
        <v>33</v>
      </c>
      <c r="F67" s="31">
        <v>25</v>
      </c>
      <c r="G67" s="31">
        <v>0</v>
      </c>
      <c r="H67" s="31">
        <v>17</v>
      </c>
      <c r="I67" s="31">
        <v>22</v>
      </c>
      <c r="J67" s="31">
        <v>1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2</v>
      </c>
      <c r="Q67" s="31">
        <v>1</v>
      </c>
      <c r="R67" s="31">
        <v>0</v>
      </c>
      <c r="S67" s="31">
        <v>1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1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8</v>
      </c>
      <c r="BA67" s="31">
        <v>0</v>
      </c>
      <c r="BB67" s="31">
        <v>0</v>
      </c>
      <c r="BC67" s="31">
        <v>4</v>
      </c>
      <c r="BD67" s="31">
        <v>1</v>
      </c>
      <c r="BE67" s="31">
        <v>0</v>
      </c>
    </row>
    <row r="68" spans="1:57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57</v>
      </c>
      <c r="E68" s="22">
        <v>32</v>
      </c>
      <c r="F68" s="22">
        <v>25</v>
      </c>
      <c r="G68" s="22">
        <v>0</v>
      </c>
      <c r="H68" s="22">
        <v>16</v>
      </c>
      <c r="I68" s="22">
        <v>22</v>
      </c>
      <c r="J68" s="22">
        <v>1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2</v>
      </c>
      <c r="Q68" s="22">
        <v>1</v>
      </c>
      <c r="R68" s="22">
        <v>0</v>
      </c>
      <c r="S68" s="22">
        <v>1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1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8</v>
      </c>
      <c r="BA68" s="22">
        <v>0</v>
      </c>
      <c r="BB68" s="22">
        <v>0</v>
      </c>
      <c r="BC68" s="22">
        <v>4</v>
      </c>
      <c r="BD68" s="22">
        <v>1</v>
      </c>
      <c r="BE68" s="22">
        <v>0</v>
      </c>
    </row>
    <row r="69" spans="1:57" s="23" customFormat="1" ht="15" customHeight="1" x14ac:dyDescent="0.2">
      <c r="A69" s="111"/>
      <c r="B69" s="34" t="s">
        <v>76</v>
      </c>
      <c r="C69" s="35" t="s">
        <v>194</v>
      </c>
      <c r="D69" s="22">
        <v>1</v>
      </c>
      <c r="E69" s="22">
        <v>1</v>
      </c>
      <c r="F69" s="22">
        <v>0</v>
      </c>
      <c r="G69" s="22">
        <v>0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</row>
    <row r="70" spans="1:57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19</v>
      </c>
      <c r="E70" s="31">
        <v>6</v>
      </c>
      <c r="F70" s="31">
        <v>13</v>
      </c>
      <c r="G70" s="31">
        <v>0</v>
      </c>
      <c r="H70" s="31">
        <v>0</v>
      </c>
      <c r="I70" s="31">
        <v>12</v>
      </c>
      <c r="J70" s="31">
        <v>0</v>
      </c>
      <c r="K70" s="31">
        <v>0</v>
      </c>
      <c r="L70" s="31">
        <v>0</v>
      </c>
      <c r="M70" s="31">
        <v>0</v>
      </c>
      <c r="N70" s="31">
        <v>1</v>
      </c>
      <c r="O70" s="31">
        <v>0</v>
      </c>
      <c r="P70" s="31">
        <v>3</v>
      </c>
      <c r="Q70" s="31">
        <v>0</v>
      </c>
      <c r="R70" s="31">
        <v>0</v>
      </c>
      <c r="S70" s="31">
        <v>1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1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1</v>
      </c>
      <c r="AX70" s="31">
        <v>0</v>
      </c>
      <c r="AY70" s="3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</row>
    <row r="71" spans="1:57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19</v>
      </c>
      <c r="E71" s="22">
        <v>6</v>
      </c>
      <c r="F71" s="22">
        <v>13</v>
      </c>
      <c r="G71" s="22">
        <v>0</v>
      </c>
      <c r="H71" s="22">
        <v>0</v>
      </c>
      <c r="I71" s="22">
        <v>12</v>
      </c>
      <c r="J71" s="22">
        <v>0</v>
      </c>
      <c r="K71" s="22">
        <v>0</v>
      </c>
      <c r="L71" s="22">
        <v>0</v>
      </c>
      <c r="M71" s="22">
        <v>0</v>
      </c>
      <c r="N71" s="22">
        <v>1</v>
      </c>
      <c r="O71" s="22">
        <v>0</v>
      </c>
      <c r="P71" s="22">
        <v>3</v>
      </c>
      <c r="Q71" s="22">
        <v>0</v>
      </c>
      <c r="R71" s="22">
        <v>0</v>
      </c>
      <c r="S71" s="22">
        <v>1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1</v>
      </c>
      <c r="AR71" s="22">
        <v>0</v>
      </c>
      <c r="AS71" s="22">
        <v>0</v>
      </c>
      <c r="AT71" s="22">
        <v>0</v>
      </c>
      <c r="AU71" s="22">
        <v>0</v>
      </c>
      <c r="AV71" s="22">
        <v>0</v>
      </c>
      <c r="AW71" s="22">
        <v>1</v>
      </c>
      <c r="AX71" s="22">
        <v>0</v>
      </c>
      <c r="AY71" s="22">
        <v>0</v>
      </c>
      <c r="AZ71" s="22">
        <v>0</v>
      </c>
      <c r="BA71" s="22">
        <v>0</v>
      </c>
      <c r="BB71" s="22">
        <v>0</v>
      </c>
      <c r="BC71" s="22">
        <v>0</v>
      </c>
      <c r="BD71" s="22">
        <v>0</v>
      </c>
      <c r="BE71" s="22">
        <v>0</v>
      </c>
    </row>
    <row r="72" spans="1:57" s="23" customFormat="1" ht="15" customHeight="1" x14ac:dyDescent="0.2">
      <c r="A72" s="111"/>
      <c r="B72" s="34" t="s">
        <v>76</v>
      </c>
      <c r="C72" s="35" t="s">
        <v>194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0</v>
      </c>
      <c r="AY72" s="22">
        <v>0</v>
      </c>
      <c r="AZ72" s="22">
        <v>0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</row>
    <row r="73" spans="1:57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2</v>
      </c>
      <c r="E73" s="31">
        <v>2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2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  <c r="BC73" s="31">
        <v>0</v>
      </c>
      <c r="BD73" s="31">
        <v>0</v>
      </c>
      <c r="BE73" s="31">
        <v>0</v>
      </c>
    </row>
    <row r="74" spans="1:57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2</v>
      </c>
      <c r="E74" s="22">
        <v>2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2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v>0</v>
      </c>
      <c r="BB74" s="22">
        <v>0</v>
      </c>
      <c r="BC74" s="22">
        <v>0</v>
      </c>
      <c r="BD74" s="22">
        <v>0</v>
      </c>
      <c r="BE74" s="22">
        <v>0</v>
      </c>
    </row>
    <row r="75" spans="1:57" s="23" customFormat="1" ht="15" customHeight="1" x14ac:dyDescent="0.2">
      <c r="A75" s="111"/>
      <c r="B75" s="34" t="s">
        <v>76</v>
      </c>
      <c r="C75" s="35" t="s">
        <v>194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0</v>
      </c>
      <c r="AX75" s="27">
        <v>0</v>
      </c>
      <c r="AY75" s="27">
        <v>0</v>
      </c>
      <c r="AZ75" s="27">
        <v>0</v>
      </c>
      <c r="BA75" s="27">
        <v>0</v>
      </c>
      <c r="BB75" s="27">
        <v>0</v>
      </c>
      <c r="BC75" s="27">
        <v>0</v>
      </c>
      <c r="BD75" s="27">
        <v>0</v>
      </c>
      <c r="BE75" s="27">
        <v>0</v>
      </c>
    </row>
    <row r="76" spans="1:57" ht="15.75" customHeight="1" x14ac:dyDescent="0.2">
      <c r="A76" s="50" t="s">
        <v>114</v>
      </c>
    </row>
    <row r="77" spans="1:57" ht="15.75" customHeight="1" x14ac:dyDescent="0.2">
      <c r="A77" s="51" t="s">
        <v>24</v>
      </c>
      <c r="B77" s="1"/>
      <c r="C77" s="1"/>
    </row>
    <row r="78" spans="1:57" ht="15.75" customHeight="1" x14ac:dyDescent="0.2">
      <c r="A78" s="50"/>
    </row>
    <row r="79" spans="1:57" ht="15.75" customHeight="1" x14ac:dyDescent="0.2">
      <c r="A79" s="50" t="s">
        <v>199</v>
      </c>
    </row>
    <row r="81" spans="1:57" s="69" customFormat="1" ht="16.5" hidden="1" customHeight="1" x14ac:dyDescent="0.2">
      <c r="A81" s="65" t="s">
        <v>174</v>
      </c>
      <c r="B81" s="66" t="s">
        <v>175</v>
      </c>
      <c r="C81" s="67" t="s">
        <v>0</v>
      </c>
      <c r="D81" s="68">
        <v>5305</v>
      </c>
      <c r="E81" s="68">
        <v>3488</v>
      </c>
      <c r="F81" s="68">
        <v>1729</v>
      </c>
      <c r="G81" s="68">
        <v>88</v>
      </c>
      <c r="H81" s="68">
        <v>1755</v>
      </c>
      <c r="I81" s="68">
        <v>1288</v>
      </c>
      <c r="J81" s="68">
        <v>125</v>
      </c>
      <c r="K81" s="68">
        <v>28</v>
      </c>
      <c r="L81" s="68">
        <v>0</v>
      </c>
      <c r="M81" s="68">
        <v>74</v>
      </c>
      <c r="N81" s="68">
        <v>81</v>
      </c>
      <c r="O81" s="68">
        <v>0</v>
      </c>
      <c r="P81" s="68">
        <v>153</v>
      </c>
      <c r="Q81" s="68">
        <v>39</v>
      </c>
      <c r="R81" s="68">
        <v>0</v>
      </c>
      <c r="S81" s="68">
        <v>136</v>
      </c>
      <c r="T81" s="68">
        <v>42</v>
      </c>
      <c r="U81" s="68">
        <v>0</v>
      </c>
      <c r="V81" s="68">
        <v>77</v>
      </c>
      <c r="W81" s="68">
        <v>5</v>
      </c>
      <c r="X81" s="68">
        <v>0</v>
      </c>
      <c r="Y81" s="68">
        <v>0</v>
      </c>
      <c r="Z81" s="68">
        <v>2</v>
      </c>
      <c r="AA81" s="68">
        <v>0</v>
      </c>
      <c r="AB81" s="68">
        <v>2</v>
      </c>
      <c r="AC81" s="68">
        <v>5</v>
      </c>
      <c r="AD81" s="68">
        <v>0</v>
      </c>
      <c r="AE81" s="68">
        <v>8</v>
      </c>
      <c r="AF81" s="68">
        <v>1</v>
      </c>
      <c r="AG81" s="68">
        <v>0</v>
      </c>
      <c r="AH81" s="68">
        <v>34</v>
      </c>
      <c r="AI81" s="68">
        <v>8</v>
      </c>
      <c r="AJ81" s="68">
        <v>0</v>
      </c>
      <c r="AK81" s="68">
        <v>16</v>
      </c>
      <c r="AL81" s="68">
        <v>2</v>
      </c>
      <c r="AM81" s="68">
        <v>0</v>
      </c>
      <c r="AN81" s="68">
        <v>2</v>
      </c>
      <c r="AO81" s="68">
        <v>0</v>
      </c>
      <c r="AP81" s="68">
        <v>0</v>
      </c>
      <c r="AQ81" s="68">
        <v>24</v>
      </c>
      <c r="AR81" s="68">
        <v>3</v>
      </c>
      <c r="AS81" s="68">
        <v>0</v>
      </c>
      <c r="AT81" s="68">
        <v>19</v>
      </c>
      <c r="AU81" s="68">
        <v>0</v>
      </c>
      <c r="AV81" s="68">
        <v>0</v>
      </c>
      <c r="AW81" s="68">
        <v>52</v>
      </c>
      <c r="AX81" s="68">
        <v>3</v>
      </c>
      <c r="AY81" s="68">
        <v>0</v>
      </c>
      <c r="AZ81" s="68">
        <v>743</v>
      </c>
      <c r="BA81" s="68">
        <v>76</v>
      </c>
      <c r="BB81" s="68">
        <v>0</v>
      </c>
      <c r="BC81" s="68">
        <v>268</v>
      </c>
      <c r="BD81" s="68">
        <v>146</v>
      </c>
      <c r="BE81" s="68">
        <v>88</v>
      </c>
    </row>
    <row r="82" spans="1:57" s="69" customFormat="1" ht="15" hidden="1" customHeight="1" x14ac:dyDescent="0.2">
      <c r="A82" s="108" t="s">
        <v>1</v>
      </c>
      <c r="B82" s="70" t="s">
        <v>176</v>
      </c>
      <c r="C82" s="71" t="s">
        <v>2</v>
      </c>
      <c r="D82" s="72">
        <v>4975</v>
      </c>
      <c r="E82" s="72">
        <v>3285</v>
      </c>
      <c r="F82" s="72">
        <v>1602</v>
      </c>
      <c r="G82" s="72">
        <v>88</v>
      </c>
      <c r="H82" s="72">
        <v>1650</v>
      </c>
      <c r="I82" s="72">
        <v>1188</v>
      </c>
      <c r="J82" s="72">
        <v>115</v>
      </c>
      <c r="K82" s="72">
        <v>24</v>
      </c>
      <c r="L82" s="72">
        <v>0</v>
      </c>
      <c r="M82" s="72">
        <v>74</v>
      </c>
      <c r="N82" s="72">
        <v>79</v>
      </c>
      <c r="O82" s="72">
        <v>0</v>
      </c>
      <c r="P82" s="72">
        <v>136</v>
      </c>
      <c r="Q82" s="72">
        <v>37</v>
      </c>
      <c r="R82" s="72">
        <v>0</v>
      </c>
      <c r="S82" s="72">
        <v>124</v>
      </c>
      <c r="T82" s="72">
        <v>41</v>
      </c>
      <c r="U82" s="72">
        <v>0</v>
      </c>
      <c r="V82" s="72">
        <v>72</v>
      </c>
      <c r="W82" s="72">
        <v>5</v>
      </c>
      <c r="X82" s="72">
        <v>0</v>
      </c>
      <c r="Y82" s="72">
        <v>0</v>
      </c>
      <c r="Z82" s="72">
        <v>1</v>
      </c>
      <c r="AA82" s="72">
        <v>0</v>
      </c>
      <c r="AB82" s="72">
        <v>2</v>
      </c>
      <c r="AC82" s="72">
        <v>5</v>
      </c>
      <c r="AD82" s="72">
        <v>0</v>
      </c>
      <c r="AE82" s="72">
        <v>8</v>
      </c>
      <c r="AF82" s="72">
        <v>1</v>
      </c>
      <c r="AG82" s="72">
        <v>0</v>
      </c>
      <c r="AH82" s="72">
        <v>33</v>
      </c>
      <c r="AI82" s="72">
        <v>8</v>
      </c>
      <c r="AJ82" s="72">
        <v>0</v>
      </c>
      <c r="AK82" s="72">
        <v>15</v>
      </c>
      <c r="AL82" s="72">
        <v>2</v>
      </c>
      <c r="AM82" s="72">
        <v>0</v>
      </c>
      <c r="AN82" s="72">
        <v>2</v>
      </c>
      <c r="AO82" s="72">
        <v>0</v>
      </c>
      <c r="AP82" s="72">
        <v>0</v>
      </c>
      <c r="AQ82" s="72">
        <v>22</v>
      </c>
      <c r="AR82" s="72">
        <v>3</v>
      </c>
      <c r="AS82" s="72">
        <v>0</v>
      </c>
      <c r="AT82" s="72">
        <v>19</v>
      </c>
      <c r="AU82" s="72">
        <v>0</v>
      </c>
      <c r="AV82" s="72">
        <v>0</v>
      </c>
      <c r="AW82" s="72">
        <v>50</v>
      </c>
      <c r="AX82" s="72">
        <v>3</v>
      </c>
      <c r="AY82" s="72">
        <v>0</v>
      </c>
      <c r="AZ82" s="72">
        <v>707</v>
      </c>
      <c r="BA82" s="72">
        <v>65</v>
      </c>
      <c r="BB82" s="72">
        <v>0</v>
      </c>
      <c r="BC82" s="72">
        <v>256</v>
      </c>
      <c r="BD82" s="72">
        <v>140</v>
      </c>
      <c r="BE82" s="72">
        <v>88</v>
      </c>
    </row>
    <row r="83" spans="1:57" s="69" customFormat="1" ht="15" hidden="1" customHeight="1" x14ac:dyDescent="0.2">
      <c r="A83" s="109"/>
      <c r="B83" s="70" t="s">
        <v>177</v>
      </c>
      <c r="C83" s="71" t="s">
        <v>194</v>
      </c>
      <c r="D83" s="72">
        <v>330</v>
      </c>
      <c r="E83" s="72">
        <v>203</v>
      </c>
      <c r="F83" s="72">
        <v>127</v>
      </c>
      <c r="G83" s="72">
        <v>0</v>
      </c>
      <c r="H83" s="72">
        <v>105</v>
      </c>
      <c r="I83" s="72">
        <v>100</v>
      </c>
      <c r="J83" s="72">
        <v>10</v>
      </c>
      <c r="K83" s="72">
        <v>4</v>
      </c>
      <c r="L83" s="72">
        <v>0</v>
      </c>
      <c r="M83" s="72">
        <v>0</v>
      </c>
      <c r="N83" s="72">
        <v>2</v>
      </c>
      <c r="O83" s="72">
        <v>0</v>
      </c>
      <c r="P83" s="72">
        <v>17</v>
      </c>
      <c r="Q83" s="72">
        <v>2</v>
      </c>
      <c r="R83" s="72">
        <v>0</v>
      </c>
      <c r="S83" s="72">
        <v>12</v>
      </c>
      <c r="T83" s="72">
        <v>1</v>
      </c>
      <c r="U83" s="72">
        <v>0</v>
      </c>
      <c r="V83" s="72">
        <v>5</v>
      </c>
      <c r="W83" s="72">
        <v>0</v>
      </c>
      <c r="X83" s="72">
        <v>0</v>
      </c>
      <c r="Y83" s="72">
        <v>0</v>
      </c>
      <c r="Z83" s="72">
        <v>1</v>
      </c>
      <c r="AA83" s="72">
        <v>0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1</v>
      </c>
      <c r="AI83" s="72">
        <v>0</v>
      </c>
      <c r="AJ83" s="72">
        <v>0</v>
      </c>
      <c r="AK83" s="72">
        <v>1</v>
      </c>
      <c r="AL83" s="72">
        <v>0</v>
      </c>
      <c r="AM83" s="72">
        <v>0</v>
      </c>
      <c r="AN83" s="72">
        <v>0</v>
      </c>
      <c r="AO83" s="72">
        <v>0</v>
      </c>
      <c r="AP83" s="72">
        <v>0</v>
      </c>
      <c r="AQ83" s="72">
        <v>2</v>
      </c>
      <c r="AR83" s="72">
        <v>0</v>
      </c>
      <c r="AS83" s="72">
        <v>0</v>
      </c>
      <c r="AT83" s="72">
        <v>0</v>
      </c>
      <c r="AU83" s="72">
        <v>0</v>
      </c>
      <c r="AV83" s="72">
        <v>0</v>
      </c>
      <c r="AW83" s="72">
        <v>2</v>
      </c>
      <c r="AX83" s="72">
        <v>0</v>
      </c>
      <c r="AY83" s="72">
        <v>0</v>
      </c>
      <c r="AZ83" s="72">
        <v>36</v>
      </c>
      <c r="BA83" s="72">
        <v>11</v>
      </c>
      <c r="BB83" s="72">
        <v>0</v>
      </c>
      <c r="BC83" s="72">
        <v>12</v>
      </c>
      <c r="BD83" s="72">
        <v>6</v>
      </c>
      <c r="BE83" s="72">
        <v>0</v>
      </c>
    </row>
    <row r="84" spans="1:57" s="23" customFormat="1" ht="15" hidden="1" customHeight="1" x14ac:dyDescent="0.2">
      <c r="A84" s="81" t="s">
        <v>211</v>
      </c>
      <c r="B84" s="29" t="s">
        <v>74</v>
      </c>
      <c r="C84" s="30" t="s">
        <v>0</v>
      </c>
      <c r="D84" s="31">
        <v>1130</v>
      </c>
      <c r="E84" s="31">
        <v>771</v>
      </c>
      <c r="F84" s="31">
        <v>343</v>
      </c>
      <c r="G84" s="31">
        <v>16</v>
      </c>
      <c r="H84" s="31">
        <v>374</v>
      </c>
      <c r="I84" s="31">
        <v>277</v>
      </c>
      <c r="J84" s="31">
        <v>28</v>
      </c>
      <c r="K84" s="31">
        <v>8</v>
      </c>
      <c r="L84" s="31">
        <v>0</v>
      </c>
      <c r="M84" s="31">
        <v>24</v>
      </c>
      <c r="N84" s="31">
        <v>14</v>
      </c>
      <c r="O84" s="31">
        <v>0</v>
      </c>
      <c r="P84" s="31">
        <v>34</v>
      </c>
      <c r="Q84" s="31">
        <v>5</v>
      </c>
      <c r="R84" s="31">
        <v>0</v>
      </c>
      <c r="S84" s="31">
        <v>16</v>
      </c>
      <c r="T84" s="31">
        <v>6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2</v>
      </c>
      <c r="AA84" s="31">
        <v>0</v>
      </c>
      <c r="AB84" s="31">
        <v>0</v>
      </c>
      <c r="AC84" s="31">
        <v>3</v>
      </c>
      <c r="AD84" s="31">
        <v>0</v>
      </c>
      <c r="AE84" s="31">
        <v>1</v>
      </c>
      <c r="AF84" s="31">
        <v>0</v>
      </c>
      <c r="AG84" s="31">
        <v>0</v>
      </c>
      <c r="AH84" s="31">
        <v>12</v>
      </c>
      <c r="AI84" s="31">
        <v>0</v>
      </c>
      <c r="AJ84" s="31">
        <v>0</v>
      </c>
      <c r="AK84" s="31">
        <v>2</v>
      </c>
      <c r="AL84" s="31">
        <v>0</v>
      </c>
      <c r="AM84" s="31">
        <v>0</v>
      </c>
      <c r="AN84" s="31">
        <v>0</v>
      </c>
      <c r="AO84" s="31">
        <v>0</v>
      </c>
      <c r="AP84" s="31">
        <v>0</v>
      </c>
      <c r="AQ84" s="31">
        <v>2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18</v>
      </c>
      <c r="AX84" s="31">
        <v>1</v>
      </c>
      <c r="AY84" s="31">
        <v>0</v>
      </c>
      <c r="AZ84" s="31">
        <v>199</v>
      </c>
      <c r="BA84" s="31">
        <v>10</v>
      </c>
      <c r="BB84" s="31">
        <v>0</v>
      </c>
      <c r="BC84" s="31">
        <v>61</v>
      </c>
      <c r="BD84" s="31">
        <v>17</v>
      </c>
      <c r="BE84" s="31">
        <v>16</v>
      </c>
    </row>
    <row r="85" spans="1:57" s="23" customFormat="1" ht="15" hidden="1" customHeight="1" x14ac:dyDescent="0.2">
      <c r="A85" s="110" t="s">
        <v>3</v>
      </c>
      <c r="B85" s="32" t="s">
        <v>75</v>
      </c>
      <c r="C85" s="33" t="s">
        <v>2</v>
      </c>
      <c r="D85" s="22">
        <v>1086</v>
      </c>
      <c r="E85" s="22">
        <v>749</v>
      </c>
      <c r="F85" s="22">
        <v>321</v>
      </c>
      <c r="G85" s="22">
        <v>16</v>
      </c>
      <c r="H85" s="22">
        <v>363</v>
      </c>
      <c r="I85" s="22">
        <v>259</v>
      </c>
      <c r="J85" s="22">
        <v>26</v>
      </c>
      <c r="K85" s="22">
        <v>6</v>
      </c>
      <c r="L85" s="22">
        <v>0</v>
      </c>
      <c r="M85" s="22">
        <v>24</v>
      </c>
      <c r="N85" s="22">
        <v>14</v>
      </c>
      <c r="O85" s="22">
        <v>0</v>
      </c>
      <c r="P85" s="22">
        <v>31</v>
      </c>
      <c r="Q85" s="22">
        <v>4</v>
      </c>
      <c r="R85" s="22">
        <v>0</v>
      </c>
      <c r="S85" s="22">
        <v>16</v>
      </c>
      <c r="T85" s="22">
        <v>6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1</v>
      </c>
      <c r="AA85" s="22">
        <v>0</v>
      </c>
      <c r="AB85" s="22">
        <v>0</v>
      </c>
      <c r="AC85" s="22">
        <v>3</v>
      </c>
      <c r="AD85" s="22">
        <v>0</v>
      </c>
      <c r="AE85" s="22">
        <v>1</v>
      </c>
      <c r="AF85" s="22">
        <v>0</v>
      </c>
      <c r="AG85" s="22">
        <v>0</v>
      </c>
      <c r="AH85" s="22">
        <v>12</v>
      </c>
      <c r="AI85" s="22">
        <v>0</v>
      </c>
      <c r="AJ85" s="22">
        <v>0</v>
      </c>
      <c r="AK85" s="22">
        <v>2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2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17</v>
      </c>
      <c r="AX85" s="22">
        <v>1</v>
      </c>
      <c r="AY85" s="22">
        <v>0</v>
      </c>
      <c r="AZ85" s="22">
        <v>195</v>
      </c>
      <c r="BA85" s="22">
        <v>10</v>
      </c>
      <c r="BB85" s="22">
        <v>0</v>
      </c>
      <c r="BC85" s="22">
        <v>60</v>
      </c>
      <c r="BD85" s="22">
        <v>17</v>
      </c>
      <c r="BE85" s="22">
        <v>16</v>
      </c>
    </row>
    <row r="86" spans="1:57" s="23" customFormat="1" ht="15" hidden="1" customHeight="1" x14ac:dyDescent="0.2">
      <c r="A86" s="111"/>
      <c r="B86" s="32" t="s">
        <v>76</v>
      </c>
      <c r="C86" s="33" t="s">
        <v>194</v>
      </c>
      <c r="D86" s="22">
        <v>44</v>
      </c>
      <c r="E86" s="22">
        <v>22</v>
      </c>
      <c r="F86" s="22">
        <v>22</v>
      </c>
      <c r="G86" s="22">
        <v>0</v>
      </c>
      <c r="H86" s="22">
        <v>11</v>
      </c>
      <c r="I86" s="22">
        <v>18</v>
      </c>
      <c r="J86" s="22">
        <v>2</v>
      </c>
      <c r="K86" s="22">
        <v>2</v>
      </c>
      <c r="L86" s="22">
        <v>0</v>
      </c>
      <c r="M86" s="22">
        <v>0</v>
      </c>
      <c r="N86" s="22">
        <v>0</v>
      </c>
      <c r="O86" s="22">
        <v>0</v>
      </c>
      <c r="P86" s="22">
        <v>3</v>
      </c>
      <c r="Q86" s="22">
        <v>1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1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1</v>
      </c>
      <c r="AX86" s="22">
        <v>0</v>
      </c>
      <c r="AY86" s="22">
        <v>0</v>
      </c>
      <c r="AZ86" s="22">
        <v>4</v>
      </c>
      <c r="BA86" s="22">
        <v>0</v>
      </c>
      <c r="BB86" s="22">
        <v>0</v>
      </c>
      <c r="BC86" s="22">
        <v>1</v>
      </c>
      <c r="BD86" s="22">
        <v>0</v>
      </c>
      <c r="BE86" s="22">
        <v>0</v>
      </c>
    </row>
    <row r="87" spans="1:57" s="23" customFormat="1" ht="15" hidden="1" customHeight="1" x14ac:dyDescent="0.2">
      <c r="A87" s="81" t="s">
        <v>212</v>
      </c>
      <c r="B87" s="29" t="s">
        <v>74</v>
      </c>
      <c r="C87" s="30" t="s">
        <v>0</v>
      </c>
      <c r="D87" s="31">
        <v>533</v>
      </c>
      <c r="E87" s="31">
        <v>307</v>
      </c>
      <c r="F87" s="31">
        <v>190</v>
      </c>
      <c r="G87" s="31">
        <v>36</v>
      </c>
      <c r="H87" s="31">
        <v>168</v>
      </c>
      <c r="I87" s="31">
        <v>136</v>
      </c>
      <c r="J87" s="31">
        <v>10</v>
      </c>
      <c r="K87" s="31">
        <v>4</v>
      </c>
      <c r="L87" s="31">
        <v>0</v>
      </c>
      <c r="M87" s="31">
        <v>5</v>
      </c>
      <c r="N87" s="31">
        <v>10</v>
      </c>
      <c r="O87" s="31">
        <v>0</v>
      </c>
      <c r="P87" s="31">
        <v>6</v>
      </c>
      <c r="Q87" s="31">
        <v>2</v>
      </c>
      <c r="R87" s="31">
        <v>0</v>
      </c>
      <c r="S87" s="31">
        <v>15</v>
      </c>
      <c r="T87" s="31">
        <v>2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  <c r="AE87" s="31">
        <v>1</v>
      </c>
      <c r="AF87" s="31">
        <v>0</v>
      </c>
      <c r="AG87" s="31">
        <v>0</v>
      </c>
      <c r="AH87" s="31">
        <v>0</v>
      </c>
      <c r="AI87" s="31">
        <v>0</v>
      </c>
      <c r="AJ87" s="31">
        <v>0</v>
      </c>
      <c r="AK87" s="31">
        <v>1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0</v>
      </c>
      <c r="AV87" s="31">
        <v>0</v>
      </c>
      <c r="AW87" s="31">
        <v>8</v>
      </c>
      <c r="AX87" s="31">
        <v>0</v>
      </c>
      <c r="AY87" s="31">
        <v>0</v>
      </c>
      <c r="AZ87" s="31">
        <v>84</v>
      </c>
      <c r="BA87" s="31">
        <v>20</v>
      </c>
      <c r="BB87" s="31">
        <v>0</v>
      </c>
      <c r="BC87" s="31">
        <v>9</v>
      </c>
      <c r="BD87" s="31">
        <v>16</v>
      </c>
      <c r="BE87" s="31">
        <v>36</v>
      </c>
    </row>
    <row r="88" spans="1:57" s="23" customFormat="1" ht="15" hidden="1" customHeight="1" x14ac:dyDescent="0.2">
      <c r="A88" s="110" t="s">
        <v>4</v>
      </c>
      <c r="B88" s="32" t="s">
        <v>75</v>
      </c>
      <c r="C88" s="33" t="s">
        <v>2</v>
      </c>
      <c r="D88" s="22">
        <v>527</v>
      </c>
      <c r="E88" s="22">
        <v>305</v>
      </c>
      <c r="F88" s="22">
        <v>186</v>
      </c>
      <c r="G88" s="22">
        <v>36</v>
      </c>
      <c r="H88" s="22">
        <v>166</v>
      </c>
      <c r="I88" s="22">
        <v>132</v>
      </c>
      <c r="J88" s="22">
        <v>10</v>
      </c>
      <c r="K88" s="22">
        <v>4</v>
      </c>
      <c r="L88" s="22">
        <v>0</v>
      </c>
      <c r="M88" s="22">
        <v>5</v>
      </c>
      <c r="N88" s="22">
        <v>10</v>
      </c>
      <c r="O88" s="22">
        <v>0</v>
      </c>
      <c r="P88" s="22">
        <v>6</v>
      </c>
      <c r="Q88" s="22">
        <v>2</v>
      </c>
      <c r="R88" s="22">
        <v>0</v>
      </c>
      <c r="S88" s="22">
        <v>15</v>
      </c>
      <c r="T88" s="22">
        <v>2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1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1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8</v>
      </c>
      <c r="AX88" s="22">
        <v>0</v>
      </c>
      <c r="AY88" s="22">
        <v>0</v>
      </c>
      <c r="AZ88" s="22">
        <v>84</v>
      </c>
      <c r="BA88" s="22">
        <v>20</v>
      </c>
      <c r="BB88" s="22">
        <v>0</v>
      </c>
      <c r="BC88" s="22">
        <v>9</v>
      </c>
      <c r="BD88" s="22">
        <v>16</v>
      </c>
      <c r="BE88" s="22">
        <v>36</v>
      </c>
    </row>
    <row r="89" spans="1:57" s="23" customFormat="1" ht="15" hidden="1" customHeight="1" x14ac:dyDescent="0.2">
      <c r="A89" s="111"/>
      <c r="B89" s="34" t="s">
        <v>76</v>
      </c>
      <c r="C89" s="35" t="s">
        <v>194</v>
      </c>
      <c r="D89" s="22">
        <v>6</v>
      </c>
      <c r="E89" s="22">
        <v>2</v>
      </c>
      <c r="F89" s="22">
        <v>4</v>
      </c>
      <c r="G89" s="22">
        <v>0</v>
      </c>
      <c r="H89" s="22">
        <v>2</v>
      </c>
      <c r="I89" s="22">
        <v>4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0</v>
      </c>
      <c r="AY89" s="22">
        <v>0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</row>
    <row r="90" spans="1:57" s="23" customFormat="1" ht="15" hidden="1" customHeight="1" x14ac:dyDescent="0.2">
      <c r="A90" s="81" t="s">
        <v>213</v>
      </c>
      <c r="B90" s="29" t="s">
        <v>74</v>
      </c>
      <c r="C90" s="30" t="s">
        <v>0</v>
      </c>
      <c r="D90" s="31">
        <v>438</v>
      </c>
      <c r="E90" s="31">
        <v>312</v>
      </c>
      <c r="F90" s="31">
        <v>124</v>
      </c>
      <c r="G90" s="31">
        <v>2</v>
      </c>
      <c r="H90" s="31">
        <v>150</v>
      </c>
      <c r="I90" s="31">
        <v>94</v>
      </c>
      <c r="J90" s="31">
        <v>4</v>
      </c>
      <c r="K90" s="31">
        <v>3</v>
      </c>
      <c r="L90" s="31">
        <v>0</v>
      </c>
      <c r="M90" s="31">
        <v>5</v>
      </c>
      <c r="N90" s="31">
        <v>4</v>
      </c>
      <c r="O90" s="31">
        <v>0</v>
      </c>
      <c r="P90" s="31">
        <v>9</v>
      </c>
      <c r="Q90" s="31">
        <v>4</v>
      </c>
      <c r="R90" s="31">
        <v>0</v>
      </c>
      <c r="S90" s="31">
        <v>5</v>
      </c>
      <c r="T90" s="31">
        <v>5</v>
      </c>
      <c r="U90" s="31">
        <v>0</v>
      </c>
      <c r="V90" s="31">
        <v>3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  <c r="AC90" s="31">
        <v>2</v>
      </c>
      <c r="AD90" s="31">
        <v>0</v>
      </c>
      <c r="AE90" s="31">
        <v>1</v>
      </c>
      <c r="AF90" s="31">
        <v>0</v>
      </c>
      <c r="AG90" s="31">
        <v>0</v>
      </c>
      <c r="AH90" s="31">
        <v>11</v>
      </c>
      <c r="AI90" s="31">
        <v>1</v>
      </c>
      <c r="AJ90" s="31">
        <v>0</v>
      </c>
      <c r="AK90" s="31">
        <v>2</v>
      </c>
      <c r="AL90" s="31">
        <v>0</v>
      </c>
      <c r="AM90" s="31">
        <v>0</v>
      </c>
      <c r="AN90" s="31">
        <v>0</v>
      </c>
      <c r="AO90" s="31">
        <v>0</v>
      </c>
      <c r="AP90" s="31">
        <v>0</v>
      </c>
      <c r="AQ90" s="31">
        <v>3</v>
      </c>
      <c r="AR90" s="31">
        <v>0</v>
      </c>
      <c r="AS90" s="31">
        <v>0</v>
      </c>
      <c r="AT90" s="31">
        <v>0</v>
      </c>
      <c r="AU90" s="31">
        <v>0</v>
      </c>
      <c r="AV90" s="31">
        <v>0</v>
      </c>
      <c r="AW90" s="31">
        <v>2</v>
      </c>
      <c r="AX90" s="31">
        <v>1</v>
      </c>
      <c r="AY90" s="31">
        <v>0</v>
      </c>
      <c r="AZ90" s="31">
        <v>95</v>
      </c>
      <c r="BA90" s="31">
        <v>10</v>
      </c>
      <c r="BB90" s="31">
        <v>0</v>
      </c>
      <c r="BC90" s="31">
        <v>22</v>
      </c>
      <c r="BD90" s="31">
        <v>0</v>
      </c>
      <c r="BE90" s="31">
        <v>2</v>
      </c>
    </row>
    <row r="91" spans="1:57" s="23" customFormat="1" ht="15" hidden="1" customHeight="1" x14ac:dyDescent="0.2">
      <c r="A91" s="110" t="s">
        <v>25</v>
      </c>
      <c r="B91" s="32" t="s">
        <v>75</v>
      </c>
      <c r="C91" s="33" t="s">
        <v>2</v>
      </c>
      <c r="D91" s="22">
        <v>398</v>
      </c>
      <c r="E91" s="22">
        <v>291</v>
      </c>
      <c r="F91" s="22">
        <v>105</v>
      </c>
      <c r="G91" s="22">
        <v>2</v>
      </c>
      <c r="H91" s="22">
        <v>138</v>
      </c>
      <c r="I91" s="22">
        <v>78</v>
      </c>
      <c r="J91" s="22">
        <v>4</v>
      </c>
      <c r="K91" s="22">
        <v>2</v>
      </c>
      <c r="L91" s="22">
        <v>0</v>
      </c>
      <c r="M91" s="22">
        <v>5</v>
      </c>
      <c r="N91" s="22">
        <v>4</v>
      </c>
      <c r="O91" s="22">
        <v>0</v>
      </c>
      <c r="P91" s="22">
        <v>9</v>
      </c>
      <c r="Q91" s="22">
        <v>4</v>
      </c>
      <c r="R91" s="22">
        <v>0</v>
      </c>
      <c r="S91" s="22">
        <v>5</v>
      </c>
      <c r="T91" s="22">
        <v>5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2</v>
      </c>
      <c r="AD91" s="22">
        <v>0</v>
      </c>
      <c r="AE91" s="22">
        <v>1</v>
      </c>
      <c r="AF91" s="22">
        <v>0</v>
      </c>
      <c r="AG91" s="22">
        <v>0</v>
      </c>
      <c r="AH91" s="22">
        <v>11</v>
      </c>
      <c r="AI91" s="22">
        <v>1</v>
      </c>
      <c r="AJ91" s="22">
        <v>0</v>
      </c>
      <c r="AK91" s="22">
        <v>2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2</v>
      </c>
      <c r="AX91" s="22">
        <v>1</v>
      </c>
      <c r="AY91" s="22">
        <v>0</v>
      </c>
      <c r="AZ91" s="22">
        <v>91</v>
      </c>
      <c r="BA91" s="22">
        <v>8</v>
      </c>
      <c r="BB91" s="22">
        <v>0</v>
      </c>
      <c r="BC91" s="22">
        <v>21</v>
      </c>
      <c r="BD91" s="22">
        <v>0</v>
      </c>
      <c r="BE91" s="22">
        <v>2</v>
      </c>
    </row>
    <row r="92" spans="1:57" s="23" customFormat="1" ht="15" hidden="1" customHeight="1" x14ac:dyDescent="0.2">
      <c r="A92" s="111"/>
      <c r="B92" s="34" t="s">
        <v>76</v>
      </c>
      <c r="C92" s="35" t="s">
        <v>194</v>
      </c>
      <c r="D92" s="22">
        <v>40</v>
      </c>
      <c r="E92" s="22">
        <v>21</v>
      </c>
      <c r="F92" s="22">
        <v>19</v>
      </c>
      <c r="G92" s="22">
        <v>0</v>
      </c>
      <c r="H92" s="22">
        <v>12</v>
      </c>
      <c r="I92" s="22">
        <v>16</v>
      </c>
      <c r="J92" s="22">
        <v>0</v>
      </c>
      <c r="K92" s="22">
        <v>1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3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2">
        <v>4</v>
      </c>
      <c r="BA92" s="22">
        <v>2</v>
      </c>
      <c r="BB92" s="22">
        <v>0</v>
      </c>
      <c r="BC92" s="22">
        <v>1</v>
      </c>
      <c r="BD92" s="22">
        <v>0</v>
      </c>
      <c r="BE92" s="22">
        <v>0</v>
      </c>
    </row>
    <row r="93" spans="1:57" s="23" customFormat="1" ht="15" hidden="1" customHeight="1" x14ac:dyDescent="0.2">
      <c r="A93" s="81" t="s">
        <v>214</v>
      </c>
      <c r="B93" s="29" t="s">
        <v>74</v>
      </c>
      <c r="C93" s="30" t="s">
        <v>0</v>
      </c>
      <c r="D93" s="31">
        <v>682</v>
      </c>
      <c r="E93" s="31">
        <v>433</v>
      </c>
      <c r="F93" s="31">
        <v>234</v>
      </c>
      <c r="G93" s="31">
        <v>15</v>
      </c>
      <c r="H93" s="31">
        <v>242</v>
      </c>
      <c r="I93" s="31">
        <v>130</v>
      </c>
      <c r="J93" s="31">
        <v>12</v>
      </c>
      <c r="K93" s="31">
        <v>2</v>
      </c>
      <c r="L93" s="31">
        <v>0</v>
      </c>
      <c r="M93" s="31">
        <v>8</v>
      </c>
      <c r="N93" s="31">
        <v>11</v>
      </c>
      <c r="O93" s="31">
        <v>0</v>
      </c>
      <c r="P93" s="31">
        <v>18</v>
      </c>
      <c r="Q93" s="31">
        <v>6</v>
      </c>
      <c r="R93" s="31">
        <v>0</v>
      </c>
      <c r="S93" s="31">
        <v>17</v>
      </c>
      <c r="T93" s="31">
        <v>6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  <c r="AC93" s="31">
        <v>0</v>
      </c>
      <c r="AD93" s="31">
        <v>0</v>
      </c>
      <c r="AE93" s="31">
        <v>1</v>
      </c>
      <c r="AF93" s="31">
        <v>0</v>
      </c>
      <c r="AG93" s="31">
        <v>0</v>
      </c>
      <c r="AH93" s="31">
        <v>2</v>
      </c>
      <c r="AI93" s="31">
        <v>0</v>
      </c>
      <c r="AJ93" s="31">
        <v>0</v>
      </c>
      <c r="AK93" s="31">
        <v>3</v>
      </c>
      <c r="AL93" s="31">
        <v>0</v>
      </c>
      <c r="AM93" s="31">
        <v>0</v>
      </c>
      <c r="AN93" s="31">
        <v>0</v>
      </c>
      <c r="AO93" s="31">
        <v>0</v>
      </c>
      <c r="AP93" s="31">
        <v>0</v>
      </c>
      <c r="AQ93" s="31">
        <v>1</v>
      </c>
      <c r="AR93" s="31">
        <v>0</v>
      </c>
      <c r="AS93" s="31">
        <v>0</v>
      </c>
      <c r="AT93" s="31">
        <v>1</v>
      </c>
      <c r="AU93" s="31">
        <v>0</v>
      </c>
      <c r="AV93" s="31">
        <v>0</v>
      </c>
      <c r="AW93" s="31">
        <v>6</v>
      </c>
      <c r="AX93" s="31">
        <v>1</v>
      </c>
      <c r="AY93" s="31">
        <v>0</v>
      </c>
      <c r="AZ93" s="31">
        <v>90</v>
      </c>
      <c r="BA93" s="31">
        <v>6</v>
      </c>
      <c r="BB93" s="31">
        <v>0</v>
      </c>
      <c r="BC93" s="31">
        <v>32</v>
      </c>
      <c r="BD93" s="31">
        <v>72</v>
      </c>
      <c r="BE93" s="31">
        <v>15</v>
      </c>
    </row>
    <row r="94" spans="1:57" s="23" customFormat="1" ht="15" hidden="1" customHeight="1" x14ac:dyDescent="0.2">
      <c r="A94" s="110" t="s">
        <v>5</v>
      </c>
      <c r="B94" s="32" t="s">
        <v>75</v>
      </c>
      <c r="C94" s="33" t="s">
        <v>2</v>
      </c>
      <c r="D94" s="22">
        <v>650</v>
      </c>
      <c r="E94" s="22">
        <v>410</v>
      </c>
      <c r="F94" s="22">
        <v>225</v>
      </c>
      <c r="G94" s="22">
        <v>15</v>
      </c>
      <c r="H94" s="22">
        <v>225</v>
      </c>
      <c r="I94" s="22">
        <v>123</v>
      </c>
      <c r="J94" s="22">
        <v>12</v>
      </c>
      <c r="K94" s="22">
        <v>2</v>
      </c>
      <c r="L94" s="22">
        <v>0</v>
      </c>
      <c r="M94" s="22">
        <v>8</v>
      </c>
      <c r="N94" s="22">
        <v>9</v>
      </c>
      <c r="O94" s="22">
        <v>0</v>
      </c>
      <c r="P94" s="22">
        <v>17</v>
      </c>
      <c r="Q94" s="22">
        <v>6</v>
      </c>
      <c r="R94" s="22">
        <v>0</v>
      </c>
      <c r="S94" s="22">
        <v>15</v>
      </c>
      <c r="T94" s="22">
        <v>6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1</v>
      </c>
      <c r="AF94" s="22">
        <v>0</v>
      </c>
      <c r="AG94" s="22">
        <v>0</v>
      </c>
      <c r="AH94" s="22">
        <v>1</v>
      </c>
      <c r="AI94" s="22">
        <v>0</v>
      </c>
      <c r="AJ94" s="22">
        <v>0</v>
      </c>
      <c r="AK94" s="22">
        <v>3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1</v>
      </c>
      <c r="AR94" s="22">
        <v>0</v>
      </c>
      <c r="AS94" s="22">
        <v>0</v>
      </c>
      <c r="AT94" s="22">
        <v>1</v>
      </c>
      <c r="AU94" s="22">
        <v>0</v>
      </c>
      <c r="AV94" s="22">
        <v>0</v>
      </c>
      <c r="AW94" s="22">
        <v>6</v>
      </c>
      <c r="AX94" s="22">
        <v>1</v>
      </c>
      <c r="AY94" s="22">
        <v>0</v>
      </c>
      <c r="AZ94" s="22">
        <v>89</v>
      </c>
      <c r="BA94" s="22">
        <v>6</v>
      </c>
      <c r="BB94" s="22">
        <v>0</v>
      </c>
      <c r="BC94" s="22">
        <v>31</v>
      </c>
      <c r="BD94" s="22">
        <v>72</v>
      </c>
      <c r="BE94" s="22">
        <v>15</v>
      </c>
    </row>
    <row r="95" spans="1:57" s="23" customFormat="1" ht="15" hidden="1" customHeight="1" x14ac:dyDescent="0.2">
      <c r="A95" s="111"/>
      <c r="B95" s="34" t="s">
        <v>76</v>
      </c>
      <c r="C95" s="35" t="s">
        <v>194</v>
      </c>
      <c r="D95" s="22">
        <v>32</v>
      </c>
      <c r="E95" s="22">
        <v>23</v>
      </c>
      <c r="F95" s="22">
        <v>9</v>
      </c>
      <c r="G95" s="22">
        <v>0</v>
      </c>
      <c r="H95" s="22">
        <v>17</v>
      </c>
      <c r="I95" s="22">
        <v>7</v>
      </c>
      <c r="J95" s="22">
        <v>0</v>
      </c>
      <c r="K95" s="22">
        <v>0</v>
      </c>
      <c r="L95" s="22">
        <v>0</v>
      </c>
      <c r="M95" s="22">
        <v>0</v>
      </c>
      <c r="N95" s="22">
        <v>2</v>
      </c>
      <c r="O95" s="22">
        <v>0</v>
      </c>
      <c r="P95" s="22">
        <v>1</v>
      </c>
      <c r="Q95" s="22">
        <v>0</v>
      </c>
      <c r="R95" s="22">
        <v>0</v>
      </c>
      <c r="S95" s="22">
        <v>2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1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0</v>
      </c>
      <c r="AY95" s="22">
        <v>0</v>
      </c>
      <c r="AZ95" s="22">
        <v>1</v>
      </c>
      <c r="BA95" s="22">
        <v>0</v>
      </c>
      <c r="BB95" s="22">
        <v>0</v>
      </c>
      <c r="BC95" s="22">
        <v>1</v>
      </c>
      <c r="BD95" s="22">
        <v>0</v>
      </c>
      <c r="BE95" s="22">
        <v>0</v>
      </c>
    </row>
    <row r="96" spans="1:57" s="23" customFormat="1" ht="15" hidden="1" customHeight="1" x14ac:dyDescent="0.2">
      <c r="A96" s="81" t="s">
        <v>215</v>
      </c>
      <c r="B96" s="29" t="s">
        <v>74</v>
      </c>
      <c r="C96" s="30" t="s">
        <v>0</v>
      </c>
      <c r="D96" s="31">
        <v>329</v>
      </c>
      <c r="E96" s="31">
        <v>205</v>
      </c>
      <c r="F96" s="31">
        <v>124</v>
      </c>
      <c r="G96" s="31">
        <v>0</v>
      </c>
      <c r="H96" s="31">
        <v>119</v>
      </c>
      <c r="I96" s="31">
        <v>100</v>
      </c>
      <c r="J96" s="31">
        <v>20</v>
      </c>
      <c r="K96" s="31">
        <v>1</v>
      </c>
      <c r="L96" s="31">
        <v>0</v>
      </c>
      <c r="M96" s="31">
        <v>2</v>
      </c>
      <c r="N96" s="31">
        <v>3</v>
      </c>
      <c r="O96" s="31">
        <v>0</v>
      </c>
      <c r="P96" s="31">
        <v>5</v>
      </c>
      <c r="Q96" s="31">
        <v>4</v>
      </c>
      <c r="R96" s="31">
        <v>0</v>
      </c>
      <c r="S96" s="31">
        <v>15</v>
      </c>
      <c r="T96" s="31">
        <v>11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1</v>
      </c>
      <c r="AF96" s="31">
        <v>0</v>
      </c>
      <c r="AG96" s="31">
        <v>0</v>
      </c>
      <c r="AH96" s="31">
        <v>1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2</v>
      </c>
      <c r="AX96" s="31">
        <v>0</v>
      </c>
      <c r="AY96" s="31">
        <v>0</v>
      </c>
      <c r="AZ96" s="31">
        <v>37</v>
      </c>
      <c r="BA96" s="31">
        <v>3</v>
      </c>
      <c r="BB96" s="31">
        <v>0</v>
      </c>
      <c r="BC96" s="31">
        <v>3</v>
      </c>
      <c r="BD96" s="31">
        <v>2</v>
      </c>
      <c r="BE96" s="31">
        <v>0</v>
      </c>
    </row>
    <row r="97" spans="1:57" s="23" customFormat="1" ht="15" hidden="1" customHeight="1" x14ac:dyDescent="0.2">
      <c r="A97" s="110" t="s">
        <v>6</v>
      </c>
      <c r="B97" s="32" t="s">
        <v>75</v>
      </c>
      <c r="C97" s="33" t="s">
        <v>2</v>
      </c>
      <c r="D97" s="22">
        <v>319</v>
      </c>
      <c r="E97" s="22">
        <v>200</v>
      </c>
      <c r="F97" s="22">
        <v>119</v>
      </c>
      <c r="G97" s="22">
        <v>0</v>
      </c>
      <c r="H97" s="22">
        <v>116</v>
      </c>
      <c r="I97" s="22">
        <v>95</v>
      </c>
      <c r="J97" s="22">
        <v>19</v>
      </c>
      <c r="K97" s="22">
        <v>1</v>
      </c>
      <c r="L97" s="22">
        <v>0</v>
      </c>
      <c r="M97" s="22">
        <v>2</v>
      </c>
      <c r="N97" s="22">
        <v>3</v>
      </c>
      <c r="O97" s="22">
        <v>0</v>
      </c>
      <c r="P97" s="22">
        <v>5</v>
      </c>
      <c r="Q97" s="22">
        <v>4</v>
      </c>
      <c r="R97" s="22">
        <v>0</v>
      </c>
      <c r="S97" s="22">
        <v>15</v>
      </c>
      <c r="T97" s="22">
        <v>11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1</v>
      </c>
      <c r="AF97" s="22">
        <v>0</v>
      </c>
      <c r="AG97" s="22">
        <v>0</v>
      </c>
      <c r="AH97" s="22">
        <v>1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2</v>
      </c>
      <c r="AX97" s="22">
        <v>0</v>
      </c>
      <c r="AY97" s="22">
        <v>0</v>
      </c>
      <c r="AZ97" s="22">
        <v>37</v>
      </c>
      <c r="BA97" s="22">
        <v>3</v>
      </c>
      <c r="BB97" s="22">
        <v>0</v>
      </c>
      <c r="BC97" s="22">
        <v>2</v>
      </c>
      <c r="BD97" s="22">
        <v>2</v>
      </c>
      <c r="BE97" s="22">
        <v>0</v>
      </c>
    </row>
    <row r="98" spans="1:57" s="23" customFormat="1" ht="15" hidden="1" customHeight="1" x14ac:dyDescent="0.2">
      <c r="A98" s="111"/>
      <c r="B98" s="34" t="s">
        <v>76</v>
      </c>
      <c r="C98" s="35" t="s">
        <v>194</v>
      </c>
      <c r="D98" s="22">
        <v>10</v>
      </c>
      <c r="E98" s="22">
        <v>5</v>
      </c>
      <c r="F98" s="22">
        <v>5</v>
      </c>
      <c r="G98" s="22">
        <v>0</v>
      </c>
      <c r="H98" s="22">
        <v>3</v>
      </c>
      <c r="I98" s="22">
        <v>5</v>
      </c>
      <c r="J98" s="22">
        <v>1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1</v>
      </c>
      <c r="BD98" s="22">
        <v>0</v>
      </c>
      <c r="BE98" s="22">
        <v>0</v>
      </c>
    </row>
    <row r="99" spans="1:57" s="23" customFormat="1" ht="15" hidden="1" customHeight="1" x14ac:dyDescent="0.2">
      <c r="A99" s="81" t="s">
        <v>216</v>
      </c>
      <c r="B99" s="29" t="s">
        <v>74</v>
      </c>
      <c r="C99" s="30" t="s">
        <v>0</v>
      </c>
      <c r="D99" s="31">
        <v>670</v>
      </c>
      <c r="E99" s="31">
        <v>439</v>
      </c>
      <c r="F99" s="31">
        <v>224</v>
      </c>
      <c r="G99" s="31">
        <v>7</v>
      </c>
      <c r="H99" s="31">
        <v>229</v>
      </c>
      <c r="I99" s="31">
        <v>177</v>
      </c>
      <c r="J99" s="31">
        <v>13</v>
      </c>
      <c r="K99" s="31">
        <v>2</v>
      </c>
      <c r="L99" s="31">
        <v>0</v>
      </c>
      <c r="M99" s="31">
        <v>9</v>
      </c>
      <c r="N99" s="31">
        <v>19</v>
      </c>
      <c r="O99" s="31">
        <v>0</v>
      </c>
      <c r="P99" s="31">
        <v>11</v>
      </c>
      <c r="Q99" s="31">
        <v>4</v>
      </c>
      <c r="R99" s="31">
        <v>0</v>
      </c>
      <c r="S99" s="31">
        <v>22</v>
      </c>
      <c r="T99" s="31">
        <v>1</v>
      </c>
      <c r="U99" s="31">
        <v>0</v>
      </c>
      <c r="V99" s="31">
        <v>73</v>
      </c>
      <c r="W99" s="31">
        <v>5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1</v>
      </c>
      <c r="AF99" s="31">
        <v>0</v>
      </c>
      <c r="AG99" s="31">
        <v>0</v>
      </c>
      <c r="AH99" s="31">
        <v>1</v>
      </c>
      <c r="AI99" s="31">
        <v>1</v>
      </c>
      <c r="AJ99" s="31">
        <v>0</v>
      </c>
      <c r="AK99" s="31">
        <v>1</v>
      </c>
      <c r="AL99" s="31">
        <v>0</v>
      </c>
      <c r="AM99" s="31">
        <v>0</v>
      </c>
      <c r="AN99" s="31">
        <v>2</v>
      </c>
      <c r="AO99" s="31">
        <v>0</v>
      </c>
      <c r="AP99" s="31">
        <v>0</v>
      </c>
      <c r="AQ99" s="31">
        <v>13</v>
      </c>
      <c r="AR99" s="31">
        <v>3</v>
      </c>
      <c r="AS99" s="31">
        <v>0</v>
      </c>
      <c r="AT99" s="31">
        <v>18</v>
      </c>
      <c r="AU99" s="31">
        <v>0</v>
      </c>
      <c r="AV99" s="31">
        <v>0</v>
      </c>
      <c r="AW99" s="31">
        <v>9</v>
      </c>
      <c r="AX99" s="31">
        <v>0</v>
      </c>
      <c r="AY99" s="31">
        <v>0</v>
      </c>
      <c r="AZ99" s="31">
        <v>5</v>
      </c>
      <c r="BA99" s="31">
        <v>2</v>
      </c>
      <c r="BB99" s="31">
        <v>0</v>
      </c>
      <c r="BC99" s="31">
        <v>32</v>
      </c>
      <c r="BD99" s="31">
        <v>10</v>
      </c>
      <c r="BE99" s="31">
        <v>7</v>
      </c>
    </row>
    <row r="100" spans="1:57" s="23" customFormat="1" ht="15" hidden="1" customHeight="1" x14ac:dyDescent="0.2">
      <c r="A100" s="110" t="s">
        <v>7</v>
      </c>
      <c r="B100" s="32" t="s">
        <v>75</v>
      </c>
      <c r="C100" s="33" t="s">
        <v>2</v>
      </c>
      <c r="D100" s="22">
        <v>646</v>
      </c>
      <c r="E100" s="22">
        <v>427</v>
      </c>
      <c r="F100" s="22">
        <v>212</v>
      </c>
      <c r="G100" s="22">
        <v>7</v>
      </c>
      <c r="H100" s="22">
        <v>221</v>
      </c>
      <c r="I100" s="22">
        <v>166</v>
      </c>
      <c r="J100" s="22">
        <v>12</v>
      </c>
      <c r="K100" s="22">
        <v>2</v>
      </c>
      <c r="L100" s="22">
        <v>0</v>
      </c>
      <c r="M100" s="22">
        <v>9</v>
      </c>
      <c r="N100" s="22">
        <v>19</v>
      </c>
      <c r="O100" s="22">
        <v>0</v>
      </c>
      <c r="P100" s="22">
        <v>10</v>
      </c>
      <c r="Q100" s="22">
        <v>4</v>
      </c>
      <c r="R100" s="22">
        <v>0</v>
      </c>
      <c r="S100" s="22">
        <v>22</v>
      </c>
      <c r="T100" s="22">
        <v>1</v>
      </c>
      <c r="U100" s="22">
        <v>0</v>
      </c>
      <c r="V100" s="22">
        <v>71</v>
      </c>
      <c r="W100" s="22">
        <v>5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1</v>
      </c>
      <c r="AF100" s="22">
        <v>0</v>
      </c>
      <c r="AG100" s="22">
        <v>0</v>
      </c>
      <c r="AH100" s="22">
        <v>1</v>
      </c>
      <c r="AI100" s="22">
        <v>1</v>
      </c>
      <c r="AJ100" s="22">
        <v>0</v>
      </c>
      <c r="AK100" s="22">
        <v>1</v>
      </c>
      <c r="AL100" s="22">
        <v>0</v>
      </c>
      <c r="AM100" s="22">
        <v>0</v>
      </c>
      <c r="AN100" s="22">
        <v>2</v>
      </c>
      <c r="AO100" s="22">
        <v>0</v>
      </c>
      <c r="AP100" s="22">
        <v>0</v>
      </c>
      <c r="AQ100" s="22">
        <v>13</v>
      </c>
      <c r="AR100" s="22">
        <v>3</v>
      </c>
      <c r="AS100" s="22">
        <v>0</v>
      </c>
      <c r="AT100" s="22">
        <v>18</v>
      </c>
      <c r="AU100" s="22">
        <v>0</v>
      </c>
      <c r="AV100" s="22">
        <v>0</v>
      </c>
      <c r="AW100" s="22">
        <v>9</v>
      </c>
      <c r="AX100" s="22">
        <v>0</v>
      </c>
      <c r="AY100" s="22">
        <v>0</v>
      </c>
      <c r="AZ100" s="22">
        <v>5</v>
      </c>
      <c r="BA100" s="22">
        <v>1</v>
      </c>
      <c r="BB100" s="22">
        <v>0</v>
      </c>
      <c r="BC100" s="22">
        <v>32</v>
      </c>
      <c r="BD100" s="22">
        <v>10</v>
      </c>
      <c r="BE100" s="22">
        <v>7</v>
      </c>
    </row>
    <row r="101" spans="1:57" s="23" customFormat="1" ht="15" hidden="1" customHeight="1" x14ac:dyDescent="0.2">
      <c r="A101" s="111"/>
      <c r="B101" s="34" t="s">
        <v>76</v>
      </c>
      <c r="C101" s="35" t="s">
        <v>194</v>
      </c>
      <c r="D101" s="22">
        <v>24</v>
      </c>
      <c r="E101" s="22">
        <v>12</v>
      </c>
      <c r="F101" s="22">
        <v>12</v>
      </c>
      <c r="G101" s="22">
        <v>0</v>
      </c>
      <c r="H101" s="22">
        <v>8</v>
      </c>
      <c r="I101" s="22">
        <v>11</v>
      </c>
      <c r="J101" s="22">
        <v>1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1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2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2">
        <v>0</v>
      </c>
      <c r="AU101" s="22">
        <v>0</v>
      </c>
      <c r="AV101" s="22">
        <v>0</v>
      </c>
      <c r="AW101" s="22">
        <v>0</v>
      </c>
      <c r="AX101" s="22">
        <v>0</v>
      </c>
      <c r="AY101" s="22">
        <v>0</v>
      </c>
      <c r="AZ101" s="22">
        <v>0</v>
      </c>
      <c r="BA101" s="22">
        <v>1</v>
      </c>
      <c r="BB101" s="22">
        <v>0</v>
      </c>
      <c r="BC101" s="22">
        <v>0</v>
      </c>
      <c r="BD101" s="22">
        <v>0</v>
      </c>
      <c r="BE101" s="22">
        <v>0</v>
      </c>
    </row>
    <row r="102" spans="1:57" s="23" customFormat="1" ht="15" hidden="1" customHeight="1" x14ac:dyDescent="0.2">
      <c r="A102" s="26" t="s">
        <v>57</v>
      </c>
      <c r="B102" s="29" t="s">
        <v>74</v>
      </c>
      <c r="C102" s="30" t="s">
        <v>0</v>
      </c>
      <c r="D102" s="31">
        <v>30</v>
      </c>
      <c r="E102" s="31">
        <v>22</v>
      </c>
      <c r="F102" s="31">
        <v>8</v>
      </c>
      <c r="G102" s="31">
        <v>0</v>
      </c>
      <c r="H102" s="31">
        <v>10</v>
      </c>
      <c r="I102" s="31">
        <v>7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1</v>
      </c>
      <c r="Q102" s="31">
        <v>0</v>
      </c>
      <c r="R102" s="31">
        <v>0</v>
      </c>
      <c r="S102" s="31">
        <v>1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1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8</v>
      </c>
      <c r="BA102" s="31">
        <v>1</v>
      </c>
      <c r="BB102" s="31">
        <v>0</v>
      </c>
      <c r="BC102" s="31">
        <v>0</v>
      </c>
      <c r="BD102" s="31">
        <v>0</v>
      </c>
      <c r="BE102" s="31">
        <v>0</v>
      </c>
    </row>
    <row r="103" spans="1:57" s="23" customFormat="1" ht="15" hidden="1" customHeight="1" x14ac:dyDescent="0.2">
      <c r="A103" s="25" t="s">
        <v>8</v>
      </c>
      <c r="B103" s="32" t="s">
        <v>75</v>
      </c>
      <c r="C103" s="33" t="s">
        <v>2</v>
      </c>
      <c r="D103" s="22">
        <v>26</v>
      </c>
      <c r="E103" s="22">
        <v>19</v>
      </c>
      <c r="F103" s="22">
        <v>7</v>
      </c>
      <c r="G103" s="22">
        <v>0</v>
      </c>
      <c r="H103" s="22">
        <v>10</v>
      </c>
      <c r="I103" s="22">
        <v>7</v>
      </c>
      <c r="J103" s="22">
        <v>1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1</v>
      </c>
      <c r="Q103" s="22">
        <v>0</v>
      </c>
      <c r="R103" s="22">
        <v>0</v>
      </c>
      <c r="S103" s="22">
        <v>1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1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2">
        <v>0</v>
      </c>
      <c r="AU103" s="22">
        <v>0</v>
      </c>
      <c r="AV103" s="22">
        <v>0</v>
      </c>
      <c r="AW103" s="22">
        <v>0</v>
      </c>
      <c r="AX103" s="22">
        <v>0</v>
      </c>
      <c r="AY103" s="22">
        <v>0</v>
      </c>
      <c r="AZ103" s="22">
        <v>5</v>
      </c>
      <c r="BA103" s="22">
        <v>0</v>
      </c>
      <c r="BB103" s="22">
        <v>0</v>
      </c>
      <c r="BC103" s="22">
        <v>0</v>
      </c>
      <c r="BD103" s="22">
        <v>0</v>
      </c>
      <c r="BE103" s="22">
        <v>0</v>
      </c>
    </row>
    <row r="104" spans="1:57" s="23" customFormat="1" ht="15" hidden="1" customHeight="1" x14ac:dyDescent="0.2">
      <c r="A104" s="24"/>
      <c r="B104" s="34" t="s">
        <v>76</v>
      </c>
      <c r="C104" s="35" t="s">
        <v>194</v>
      </c>
      <c r="D104" s="22">
        <v>4</v>
      </c>
      <c r="E104" s="22">
        <v>3</v>
      </c>
      <c r="F104" s="22">
        <v>1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3</v>
      </c>
      <c r="BA104" s="22">
        <v>1</v>
      </c>
      <c r="BB104" s="22">
        <v>0</v>
      </c>
      <c r="BC104" s="22">
        <v>0</v>
      </c>
      <c r="BD104" s="22">
        <v>0</v>
      </c>
      <c r="BE104" s="22">
        <v>0</v>
      </c>
    </row>
    <row r="105" spans="1:57" s="23" customFormat="1" ht="15" hidden="1" customHeight="1" x14ac:dyDescent="0.2">
      <c r="A105" s="26" t="s">
        <v>58</v>
      </c>
      <c r="B105" s="29" t="s">
        <v>74</v>
      </c>
      <c r="C105" s="30" t="s">
        <v>0</v>
      </c>
      <c r="D105" s="31">
        <v>168</v>
      </c>
      <c r="E105" s="31">
        <v>103</v>
      </c>
      <c r="F105" s="31">
        <v>64</v>
      </c>
      <c r="G105" s="31">
        <v>1</v>
      </c>
      <c r="H105" s="31">
        <v>59</v>
      </c>
      <c r="I105" s="31">
        <v>57</v>
      </c>
      <c r="J105" s="31">
        <v>5</v>
      </c>
      <c r="K105" s="31">
        <v>0</v>
      </c>
      <c r="L105" s="31">
        <v>0</v>
      </c>
      <c r="M105" s="31">
        <v>3</v>
      </c>
      <c r="N105" s="31">
        <v>1</v>
      </c>
      <c r="O105" s="31">
        <v>0</v>
      </c>
      <c r="P105" s="31">
        <v>2</v>
      </c>
      <c r="Q105" s="31">
        <v>1</v>
      </c>
      <c r="R105" s="31">
        <v>0</v>
      </c>
      <c r="S105" s="31">
        <v>8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2</v>
      </c>
      <c r="AL105" s="31">
        <v>1</v>
      </c>
      <c r="AM105" s="31">
        <v>0</v>
      </c>
      <c r="AN105" s="31">
        <v>0</v>
      </c>
      <c r="AO105" s="31">
        <v>0</v>
      </c>
      <c r="AP105" s="31">
        <v>0</v>
      </c>
      <c r="AQ105" s="31">
        <v>1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3</v>
      </c>
      <c r="AX105" s="31">
        <v>0</v>
      </c>
      <c r="AY105" s="31">
        <v>0</v>
      </c>
      <c r="AZ105" s="31">
        <v>15</v>
      </c>
      <c r="BA105" s="31">
        <v>4</v>
      </c>
      <c r="BB105" s="31">
        <v>0</v>
      </c>
      <c r="BC105" s="31">
        <v>5</v>
      </c>
      <c r="BD105" s="31">
        <v>0</v>
      </c>
      <c r="BE105" s="31">
        <v>1</v>
      </c>
    </row>
    <row r="106" spans="1:57" s="23" customFormat="1" ht="15" hidden="1" customHeight="1" x14ac:dyDescent="0.2">
      <c r="A106" s="110" t="s">
        <v>9</v>
      </c>
      <c r="B106" s="32" t="s">
        <v>75</v>
      </c>
      <c r="C106" s="33" t="s">
        <v>2</v>
      </c>
      <c r="D106" s="22">
        <v>141</v>
      </c>
      <c r="E106" s="22">
        <v>89</v>
      </c>
      <c r="F106" s="22">
        <v>51</v>
      </c>
      <c r="G106" s="22">
        <v>1</v>
      </c>
      <c r="H106" s="22">
        <v>54</v>
      </c>
      <c r="I106" s="22">
        <v>45</v>
      </c>
      <c r="J106" s="22">
        <v>4</v>
      </c>
      <c r="K106" s="22">
        <v>0</v>
      </c>
      <c r="L106" s="22">
        <v>0</v>
      </c>
      <c r="M106" s="22">
        <v>3</v>
      </c>
      <c r="N106" s="22">
        <v>1</v>
      </c>
      <c r="O106" s="22">
        <v>0</v>
      </c>
      <c r="P106" s="22">
        <v>2</v>
      </c>
      <c r="Q106" s="22">
        <v>1</v>
      </c>
      <c r="R106" s="22">
        <v>0</v>
      </c>
      <c r="S106" s="22">
        <v>3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2</v>
      </c>
      <c r="AL106" s="22">
        <v>1</v>
      </c>
      <c r="AM106" s="22">
        <v>0</v>
      </c>
      <c r="AN106" s="22">
        <v>0</v>
      </c>
      <c r="AO106" s="22">
        <v>0</v>
      </c>
      <c r="AP106" s="22">
        <v>0</v>
      </c>
      <c r="AQ106" s="22">
        <v>1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3</v>
      </c>
      <c r="AX106" s="22">
        <v>0</v>
      </c>
      <c r="AY106" s="22">
        <v>0</v>
      </c>
      <c r="AZ106" s="22">
        <v>12</v>
      </c>
      <c r="BA106" s="22">
        <v>3</v>
      </c>
      <c r="BB106" s="22">
        <v>0</v>
      </c>
      <c r="BC106" s="22">
        <v>5</v>
      </c>
      <c r="BD106" s="22">
        <v>0</v>
      </c>
      <c r="BE106" s="22">
        <v>1</v>
      </c>
    </row>
    <row r="107" spans="1:57" s="23" customFormat="1" ht="15" hidden="1" customHeight="1" x14ac:dyDescent="0.2">
      <c r="A107" s="111"/>
      <c r="B107" s="34" t="s">
        <v>76</v>
      </c>
      <c r="C107" s="35" t="s">
        <v>194</v>
      </c>
      <c r="D107" s="22">
        <v>27</v>
      </c>
      <c r="E107" s="22">
        <v>14</v>
      </c>
      <c r="F107" s="22">
        <v>13</v>
      </c>
      <c r="G107" s="22">
        <v>0</v>
      </c>
      <c r="H107" s="22">
        <v>5</v>
      </c>
      <c r="I107" s="22">
        <v>12</v>
      </c>
      <c r="J107" s="22">
        <v>1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5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  <c r="AV107" s="22">
        <v>0</v>
      </c>
      <c r="AW107" s="22">
        <v>0</v>
      </c>
      <c r="AX107" s="22">
        <v>0</v>
      </c>
      <c r="AY107" s="22">
        <v>0</v>
      </c>
      <c r="AZ107" s="22">
        <v>3</v>
      </c>
      <c r="BA107" s="22">
        <v>1</v>
      </c>
      <c r="BB107" s="22">
        <v>0</v>
      </c>
      <c r="BC107" s="22">
        <v>0</v>
      </c>
      <c r="BD107" s="22">
        <v>0</v>
      </c>
      <c r="BE107" s="22">
        <v>0</v>
      </c>
    </row>
    <row r="108" spans="1:57" s="23" customFormat="1" ht="15" hidden="1" customHeight="1" x14ac:dyDescent="0.2">
      <c r="A108" s="26" t="s">
        <v>59</v>
      </c>
      <c r="B108" s="29" t="s">
        <v>74</v>
      </c>
      <c r="C108" s="30" t="s">
        <v>0</v>
      </c>
      <c r="D108" s="31">
        <v>102</v>
      </c>
      <c r="E108" s="31">
        <v>79</v>
      </c>
      <c r="F108" s="31">
        <v>23</v>
      </c>
      <c r="G108" s="31">
        <v>0</v>
      </c>
      <c r="H108" s="31">
        <v>26</v>
      </c>
      <c r="I108" s="31">
        <v>19</v>
      </c>
      <c r="J108" s="31">
        <v>1</v>
      </c>
      <c r="K108" s="31">
        <v>0</v>
      </c>
      <c r="L108" s="31">
        <v>0</v>
      </c>
      <c r="M108" s="31">
        <v>1</v>
      </c>
      <c r="N108" s="31">
        <v>1</v>
      </c>
      <c r="O108" s="31">
        <v>0</v>
      </c>
      <c r="P108" s="31">
        <v>6</v>
      </c>
      <c r="Q108" s="31">
        <v>0</v>
      </c>
      <c r="R108" s="31">
        <v>0</v>
      </c>
      <c r="S108" s="31">
        <v>4</v>
      </c>
      <c r="T108" s="31">
        <v>1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>
        <v>0</v>
      </c>
      <c r="AG108" s="31">
        <v>0</v>
      </c>
      <c r="AH108" s="31">
        <v>1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0</v>
      </c>
      <c r="AO108" s="31">
        <v>0</v>
      </c>
      <c r="AP108" s="31">
        <v>0</v>
      </c>
      <c r="AQ108" s="31">
        <v>0</v>
      </c>
      <c r="AR108" s="31">
        <v>0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0</v>
      </c>
      <c r="AY108" s="31">
        <v>0</v>
      </c>
      <c r="AZ108" s="31">
        <v>39</v>
      </c>
      <c r="BA108" s="31">
        <v>2</v>
      </c>
      <c r="BB108" s="31">
        <v>0</v>
      </c>
      <c r="BC108" s="31">
        <v>1</v>
      </c>
      <c r="BD108" s="31">
        <v>0</v>
      </c>
      <c r="BE108" s="31">
        <v>0</v>
      </c>
    </row>
    <row r="109" spans="1:57" s="23" customFormat="1" ht="15" hidden="1" customHeight="1" x14ac:dyDescent="0.2">
      <c r="A109" s="110" t="s">
        <v>10</v>
      </c>
      <c r="B109" s="32" t="s">
        <v>75</v>
      </c>
      <c r="C109" s="33" t="s">
        <v>2</v>
      </c>
      <c r="D109" s="22">
        <v>100</v>
      </c>
      <c r="E109" s="22">
        <v>77</v>
      </c>
      <c r="F109" s="22">
        <v>23</v>
      </c>
      <c r="G109" s="22">
        <v>0</v>
      </c>
      <c r="H109" s="22">
        <v>25</v>
      </c>
      <c r="I109" s="22">
        <v>19</v>
      </c>
      <c r="J109" s="22">
        <v>1</v>
      </c>
      <c r="K109" s="22">
        <v>0</v>
      </c>
      <c r="L109" s="22">
        <v>0</v>
      </c>
      <c r="M109" s="22">
        <v>1</v>
      </c>
      <c r="N109" s="22">
        <v>1</v>
      </c>
      <c r="O109" s="22">
        <v>0</v>
      </c>
      <c r="P109" s="22">
        <v>6</v>
      </c>
      <c r="Q109" s="22">
        <v>0</v>
      </c>
      <c r="R109" s="22">
        <v>0</v>
      </c>
      <c r="S109" s="22">
        <v>4</v>
      </c>
      <c r="T109" s="22">
        <v>1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1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0</v>
      </c>
      <c r="AW109" s="22">
        <v>0</v>
      </c>
      <c r="AX109" s="22">
        <v>0</v>
      </c>
      <c r="AY109" s="22">
        <v>0</v>
      </c>
      <c r="AZ109" s="22">
        <v>38</v>
      </c>
      <c r="BA109" s="22">
        <v>2</v>
      </c>
      <c r="BB109" s="22">
        <v>0</v>
      </c>
      <c r="BC109" s="22">
        <v>1</v>
      </c>
      <c r="BD109" s="22">
        <v>0</v>
      </c>
      <c r="BE109" s="22">
        <v>0</v>
      </c>
    </row>
    <row r="110" spans="1:57" s="23" customFormat="1" ht="15" hidden="1" customHeight="1" x14ac:dyDescent="0.2">
      <c r="A110" s="111"/>
      <c r="B110" s="34" t="s">
        <v>76</v>
      </c>
      <c r="C110" s="35" t="s">
        <v>194</v>
      </c>
      <c r="D110" s="22">
        <v>2</v>
      </c>
      <c r="E110" s="22">
        <v>2</v>
      </c>
      <c r="F110" s="22">
        <v>0</v>
      </c>
      <c r="G110" s="22">
        <v>0</v>
      </c>
      <c r="H110" s="22">
        <v>1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1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</row>
    <row r="111" spans="1:57" s="23" customFormat="1" ht="15" hidden="1" customHeight="1" x14ac:dyDescent="0.2">
      <c r="A111" s="26" t="s">
        <v>60</v>
      </c>
      <c r="B111" s="29" t="s">
        <v>74</v>
      </c>
      <c r="C111" s="30" t="s">
        <v>0</v>
      </c>
      <c r="D111" s="31">
        <v>223</v>
      </c>
      <c r="E111" s="31">
        <v>133</v>
      </c>
      <c r="F111" s="31">
        <v>88</v>
      </c>
      <c r="G111" s="31">
        <v>2</v>
      </c>
      <c r="H111" s="31">
        <v>79</v>
      </c>
      <c r="I111" s="31">
        <v>61</v>
      </c>
      <c r="J111" s="31">
        <v>7</v>
      </c>
      <c r="K111" s="31">
        <v>3</v>
      </c>
      <c r="L111" s="31">
        <v>0</v>
      </c>
      <c r="M111" s="31">
        <v>4</v>
      </c>
      <c r="N111" s="31">
        <v>4</v>
      </c>
      <c r="O111" s="31">
        <v>0</v>
      </c>
      <c r="P111" s="31">
        <v>8</v>
      </c>
      <c r="Q111" s="31">
        <v>3</v>
      </c>
      <c r="R111" s="31">
        <v>0</v>
      </c>
      <c r="S111" s="31">
        <v>2</v>
      </c>
      <c r="T111" s="31">
        <v>1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1</v>
      </c>
      <c r="AF111" s="31">
        <v>1</v>
      </c>
      <c r="AG111" s="31">
        <v>0</v>
      </c>
      <c r="AH111" s="31">
        <v>1</v>
      </c>
      <c r="AI111" s="31">
        <v>6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31">
        <v>0</v>
      </c>
      <c r="AZ111" s="31">
        <v>0</v>
      </c>
      <c r="BA111" s="31">
        <v>0</v>
      </c>
      <c r="BB111" s="31">
        <v>0</v>
      </c>
      <c r="BC111" s="31">
        <v>31</v>
      </c>
      <c r="BD111" s="31">
        <v>9</v>
      </c>
      <c r="BE111" s="31">
        <v>2</v>
      </c>
    </row>
    <row r="112" spans="1:57" s="23" customFormat="1" ht="15" hidden="1" customHeight="1" x14ac:dyDescent="0.2">
      <c r="A112" s="110" t="s">
        <v>11</v>
      </c>
      <c r="B112" s="32" t="s">
        <v>75</v>
      </c>
      <c r="C112" s="33" t="s">
        <v>2</v>
      </c>
      <c r="D112" s="22">
        <v>220</v>
      </c>
      <c r="E112" s="22">
        <v>131</v>
      </c>
      <c r="F112" s="22">
        <v>87</v>
      </c>
      <c r="G112" s="22">
        <v>2</v>
      </c>
      <c r="H112" s="22">
        <v>77</v>
      </c>
      <c r="I112" s="22">
        <v>60</v>
      </c>
      <c r="J112" s="22">
        <v>7</v>
      </c>
      <c r="K112" s="22">
        <v>3</v>
      </c>
      <c r="L112" s="22">
        <v>0</v>
      </c>
      <c r="M112" s="22">
        <v>4</v>
      </c>
      <c r="N112" s="22">
        <v>4</v>
      </c>
      <c r="O112" s="22">
        <v>0</v>
      </c>
      <c r="P112" s="22">
        <v>8</v>
      </c>
      <c r="Q112" s="22">
        <v>3</v>
      </c>
      <c r="R112" s="22">
        <v>0</v>
      </c>
      <c r="S112" s="22">
        <v>2</v>
      </c>
      <c r="T112" s="22">
        <v>1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1</v>
      </c>
      <c r="AF112" s="22">
        <v>1</v>
      </c>
      <c r="AG112" s="22">
        <v>0</v>
      </c>
      <c r="AH112" s="22">
        <v>1</v>
      </c>
      <c r="AI112" s="22">
        <v>6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2">
        <v>0</v>
      </c>
      <c r="BA112" s="22">
        <v>0</v>
      </c>
      <c r="BB112" s="22">
        <v>0</v>
      </c>
      <c r="BC112" s="22">
        <v>31</v>
      </c>
      <c r="BD112" s="22">
        <v>9</v>
      </c>
      <c r="BE112" s="22">
        <v>2</v>
      </c>
    </row>
    <row r="113" spans="1:57" s="23" customFormat="1" ht="15" hidden="1" customHeight="1" x14ac:dyDescent="0.2">
      <c r="A113" s="111"/>
      <c r="B113" s="34" t="s">
        <v>76</v>
      </c>
      <c r="C113" s="35" t="s">
        <v>194</v>
      </c>
      <c r="D113" s="22">
        <v>3</v>
      </c>
      <c r="E113" s="22">
        <v>2</v>
      </c>
      <c r="F113" s="22">
        <v>1</v>
      </c>
      <c r="G113" s="22">
        <v>0</v>
      </c>
      <c r="H113" s="22">
        <v>2</v>
      </c>
      <c r="I113" s="22">
        <v>1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0</v>
      </c>
      <c r="AY113" s="22">
        <v>0</v>
      </c>
      <c r="AZ113" s="22">
        <v>0</v>
      </c>
      <c r="BA113" s="22">
        <v>0</v>
      </c>
      <c r="BB113" s="22">
        <v>0</v>
      </c>
      <c r="BC113" s="22">
        <v>0</v>
      </c>
      <c r="BD113" s="22">
        <v>0</v>
      </c>
      <c r="BE113" s="22">
        <v>0</v>
      </c>
    </row>
    <row r="114" spans="1:57" s="23" customFormat="1" ht="15" hidden="1" customHeight="1" x14ac:dyDescent="0.2">
      <c r="A114" s="26" t="s">
        <v>61</v>
      </c>
      <c r="B114" s="29" t="s">
        <v>74</v>
      </c>
      <c r="C114" s="30" t="s">
        <v>0</v>
      </c>
      <c r="D114" s="31">
        <v>114</v>
      </c>
      <c r="E114" s="31">
        <v>78</v>
      </c>
      <c r="F114" s="31">
        <v>33</v>
      </c>
      <c r="G114" s="31">
        <v>3</v>
      </c>
      <c r="H114" s="31">
        <v>31</v>
      </c>
      <c r="I114" s="31">
        <v>29</v>
      </c>
      <c r="J114" s="31">
        <v>5</v>
      </c>
      <c r="K114" s="31">
        <v>1</v>
      </c>
      <c r="L114" s="31">
        <v>0</v>
      </c>
      <c r="M114" s="31">
        <v>6</v>
      </c>
      <c r="N114" s="31">
        <v>2</v>
      </c>
      <c r="O114" s="31">
        <v>0</v>
      </c>
      <c r="P114" s="31">
        <v>6</v>
      </c>
      <c r="Q114" s="31">
        <v>0</v>
      </c>
      <c r="R114" s="31">
        <v>0</v>
      </c>
      <c r="S114" s="31">
        <v>2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0</v>
      </c>
      <c r="AC114" s="31">
        <v>0</v>
      </c>
      <c r="AD114" s="31">
        <v>0</v>
      </c>
      <c r="AE114" s="31">
        <v>0</v>
      </c>
      <c r="AF114" s="31">
        <v>0</v>
      </c>
      <c r="AG114" s="31">
        <v>0</v>
      </c>
      <c r="AH114" s="31">
        <v>0</v>
      </c>
      <c r="AI114" s="31">
        <v>0</v>
      </c>
      <c r="AJ114" s="31">
        <v>0</v>
      </c>
      <c r="AK114" s="31">
        <v>0</v>
      </c>
      <c r="AL114" s="31">
        <v>0</v>
      </c>
      <c r="AM114" s="31">
        <v>0</v>
      </c>
      <c r="AN114" s="31">
        <v>0</v>
      </c>
      <c r="AO114" s="31">
        <v>0</v>
      </c>
      <c r="AP114" s="31">
        <v>0</v>
      </c>
      <c r="AQ114" s="31">
        <v>1</v>
      </c>
      <c r="AR114" s="31">
        <v>0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0</v>
      </c>
      <c r="AY114" s="31">
        <v>0</v>
      </c>
      <c r="AZ114" s="31">
        <v>10</v>
      </c>
      <c r="BA114" s="31">
        <v>0</v>
      </c>
      <c r="BB114" s="31">
        <v>0</v>
      </c>
      <c r="BC114" s="31">
        <v>17</v>
      </c>
      <c r="BD114" s="31">
        <v>1</v>
      </c>
      <c r="BE114" s="31">
        <v>3</v>
      </c>
    </row>
    <row r="115" spans="1:57" s="23" customFormat="1" ht="15" hidden="1" customHeight="1" x14ac:dyDescent="0.2">
      <c r="A115" s="110" t="s">
        <v>12</v>
      </c>
      <c r="B115" s="32" t="s">
        <v>75</v>
      </c>
      <c r="C115" s="33" t="s">
        <v>2</v>
      </c>
      <c r="D115" s="22">
        <v>90</v>
      </c>
      <c r="E115" s="22">
        <v>64</v>
      </c>
      <c r="F115" s="22">
        <v>23</v>
      </c>
      <c r="G115" s="22">
        <v>3</v>
      </c>
      <c r="H115" s="22">
        <v>24</v>
      </c>
      <c r="I115" s="22">
        <v>21</v>
      </c>
      <c r="J115" s="22">
        <v>4</v>
      </c>
      <c r="K115" s="22">
        <v>0</v>
      </c>
      <c r="L115" s="22">
        <v>0</v>
      </c>
      <c r="M115" s="22">
        <v>6</v>
      </c>
      <c r="N115" s="22">
        <v>2</v>
      </c>
      <c r="O115" s="22">
        <v>0</v>
      </c>
      <c r="P115" s="22">
        <v>3</v>
      </c>
      <c r="Q115" s="22">
        <v>0</v>
      </c>
      <c r="R115" s="22">
        <v>0</v>
      </c>
      <c r="S115" s="22">
        <v>1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1</v>
      </c>
      <c r="AR115" s="22">
        <v>0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9</v>
      </c>
      <c r="BA115" s="22">
        <v>0</v>
      </c>
      <c r="BB115" s="22">
        <v>0</v>
      </c>
      <c r="BC115" s="22">
        <v>16</v>
      </c>
      <c r="BD115" s="22">
        <v>0</v>
      </c>
      <c r="BE115" s="22">
        <v>3</v>
      </c>
    </row>
    <row r="116" spans="1:57" s="23" customFormat="1" ht="15" hidden="1" customHeight="1" x14ac:dyDescent="0.2">
      <c r="A116" s="111"/>
      <c r="B116" s="34" t="s">
        <v>76</v>
      </c>
      <c r="C116" s="35" t="s">
        <v>194</v>
      </c>
      <c r="D116" s="22">
        <v>24</v>
      </c>
      <c r="E116" s="22">
        <v>14</v>
      </c>
      <c r="F116" s="22">
        <v>10</v>
      </c>
      <c r="G116" s="22">
        <v>0</v>
      </c>
      <c r="H116" s="22">
        <v>7</v>
      </c>
      <c r="I116" s="22">
        <v>8</v>
      </c>
      <c r="J116" s="22">
        <v>1</v>
      </c>
      <c r="K116" s="22">
        <v>1</v>
      </c>
      <c r="L116" s="22">
        <v>0</v>
      </c>
      <c r="M116" s="22">
        <v>0</v>
      </c>
      <c r="N116" s="22">
        <v>0</v>
      </c>
      <c r="O116" s="22">
        <v>0</v>
      </c>
      <c r="P116" s="22">
        <v>3</v>
      </c>
      <c r="Q116" s="22">
        <v>0</v>
      </c>
      <c r="R116" s="22">
        <v>0</v>
      </c>
      <c r="S116" s="22">
        <v>1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2">
        <v>1</v>
      </c>
      <c r="BA116" s="22">
        <v>0</v>
      </c>
      <c r="BB116" s="22">
        <v>0</v>
      </c>
      <c r="BC116" s="22">
        <v>1</v>
      </c>
      <c r="BD116" s="22">
        <v>1</v>
      </c>
      <c r="BE116" s="22">
        <v>0</v>
      </c>
    </row>
    <row r="117" spans="1:57" s="23" customFormat="1" ht="15" hidden="1" customHeight="1" x14ac:dyDescent="0.2">
      <c r="A117" s="26" t="s">
        <v>62</v>
      </c>
      <c r="B117" s="29" t="s">
        <v>74</v>
      </c>
      <c r="C117" s="30" t="s">
        <v>0</v>
      </c>
      <c r="D117" s="31">
        <v>136</v>
      </c>
      <c r="E117" s="31">
        <v>89</v>
      </c>
      <c r="F117" s="31">
        <v>44</v>
      </c>
      <c r="G117" s="31">
        <v>3</v>
      </c>
      <c r="H117" s="31">
        <v>35</v>
      </c>
      <c r="I117" s="31">
        <v>27</v>
      </c>
      <c r="J117" s="31">
        <v>2</v>
      </c>
      <c r="K117" s="31">
        <v>0</v>
      </c>
      <c r="L117" s="31">
        <v>0</v>
      </c>
      <c r="M117" s="31">
        <v>3</v>
      </c>
      <c r="N117" s="31">
        <v>2</v>
      </c>
      <c r="O117" s="31">
        <v>0</v>
      </c>
      <c r="P117" s="31">
        <v>6</v>
      </c>
      <c r="Q117" s="31">
        <v>5</v>
      </c>
      <c r="R117" s="31">
        <v>0</v>
      </c>
      <c r="S117" s="31">
        <v>3</v>
      </c>
      <c r="T117" s="31">
        <v>1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2</v>
      </c>
      <c r="AC117" s="31">
        <v>0</v>
      </c>
      <c r="AD117" s="31">
        <v>0</v>
      </c>
      <c r="AE117" s="31">
        <v>0</v>
      </c>
      <c r="AF117" s="31">
        <v>0</v>
      </c>
      <c r="AG117" s="31">
        <v>0</v>
      </c>
      <c r="AH117" s="31">
        <v>0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0</v>
      </c>
      <c r="AZ117" s="31">
        <v>34</v>
      </c>
      <c r="BA117" s="31">
        <v>5</v>
      </c>
      <c r="BB117" s="31">
        <v>0</v>
      </c>
      <c r="BC117" s="31">
        <v>4</v>
      </c>
      <c r="BD117" s="31">
        <v>4</v>
      </c>
      <c r="BE117" s="31">
        <v>3</v>
      </c>
    </row>
    <row r="118" spans="1:57" s="23" customFormat="1" ht="15" hidden="1" customHeight="1" x14ac:dyDescent="0.2">
      <c r="A118" s="110" t="s">
        <v>13</v>
      </c>
      <c r="B118" s="32" t="s">
        <v>75</v>
      </c>
      <c r="C118" s="33" t="s">
        <v>2</v>
      </c>
      <c r="D118" s="22">
        <v>134</v>
      </c>
      <c r="E118" s="22">
        <v>88</v>
      </c>
      <c r="F118" s="22">
        <v>43</v>
      </c>
      <c r="G118" s="22">
        <v>3</v>
      </c>
      <c r="H118" s="22">
        <v>35</v>
      </c>
      <c r="I118" s="22">
        <v>26</v>
      </c>
      <c r="J118" s="22">
        <v>2</v>
      </c>
      <c r="K118" s="22">
        <v>0</v>
      </c>
      <c r="L118" s="22">
        <v>0</v>
      </c>
      <c r="M118" s="22">
        <v>3</v>
      </c>
      <c r="N118" s="22">
        <v>2</v>
      </c>
      <c r="O118" s="22">
        <v>0</v>
      </c>
      <c r="P118" s="22">
        <v>5</v>
      </c>
      <c r="Q118" s="22">
        <v>5</v>
      </c>
      <c r="R118" s="22">
        <v>0</v>
      </c>
      <c r="S118" s="22">
        <v>3</v>
      </c>
      <c r="T118" s="22">
        <v>1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2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34</v>
      </c>
      <c r="BA118" s="22">
        <v>5</v>
      </c>
      <c r="BB118" s="22">
        <v>0</v>
      </c>
      <c r="BC118" s="22">
        <v>4</v>
      </c>
      <c r="BD118" s="22">
        <v>4</v>
      </c>
      <c r="BE118" s="22">
        <v>3</v>
      </c>
    </row>
    <row r="119" spans="1:57" s="23" customFormat="1" ht="15" hidden="1" customHeight="1" x14ac:dyDescent="0.2">
      <c r="A119" s="111"/>
      <c r="B119" s="34" t="s">
        <v>76</v>
      </c>
      <c r="C119" s="35" t="s">
        <v>194</v>
      </c>
      <c r="D119" s="22">
        <v>2</v>
      </c>
      <c r="E119" s="22">
        <v>1</v>
      </c>
      <c r="F119" s="22">
        <v>1</v>
      </c>
      <c r="G119" s="22">
        <v>0</v>
      </c>
      <c r="H119" s="22">
        <v>0</v>
      </c>
      <c r="I119" s="22">
        <v>1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1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0</v>
      </c>
      <c r="AY119" s="22">
        <v>0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0</v>
      </c>
    </row>
    <row r="120" spans="1:57" s="23" customFormat="1" ht="15" hidden="1" customHeight="1" x14ac:dyDescent="0.2">
      <c r="A120" s="26" t="s">
        <v>63</v>
      </c>
      <c r="B120" s="29" t="s">
        <v>74</v>
      </c>
      <c r="C120" s="30" t="s">
        <v>0</v>
      </c>
      <c r="D120" s="31">
        <v>98</v>
      </c>
      <c r="E120" s="31">
        <v>66</v>
      </c>
      <c r="F120" s="31">
        <v>32</v>
      </c>
      <c r="G120" s="31">
        <v>0</v>
      </c>
      <c r="H120" s="31">
        <v>29</v>
      </c>
      <c r="I120" s="31">
        <v>29</v>
      </c>
      <c r="J120" s="31">
        <v>0</v>
      </c>
      <c r="K120" s="31">
        <v>0</v>
      </c>
      <c r="L120" s="31">
        <v>0</v>
      </c>
      <c r="M120" s="31">
        <v>0</v>
      </c>
      <c r="N120" s="31">
        <v>2</v>
      </c>
      <c r="O120" s="31">
        <v>0</v>
      </c>
      <c r="P120" s="31">
        <v>4</v>
      </c>
      <c r="Q120" s="31">
        <v>1</v>
      </c>
      <c r="R120" s="31">
        <v>0</v>
      </c>
      <c r="S120" s="31">
        <v>4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0</v>
      </c>
      <c r="AG120" s="31">
        <v>0</v>
      </c>
      <c r="AH120" s="31">
        <v>3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0</v>
      </c>
      <c r="AO120" s="31">
        <v>0</v>
      </c>
      <c r="AP120" s="31">
        <v>0</v>
      </c>
      <c r="AQ120" s="31">
        <v>1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</v>
      </c>
      <c r="AY120" s="31">
        <v>0</v>
      </c>
      <c r="AZ120" s="31">
        <v>24</v>
      </c>
      <c r="BA120" s="31">
        <v>0</v>
      </c>
      <c r="BB120" s="31">
        <v>0</v>
      </c>
      <c r="BC120" s="31">
        <v>1</v>
      </c>
      <c r="BD120" s="31">
        <v>0</v>
      </c>
      <c r="BE120" s="31">
        <v>0</v>
      </c>
    </row>
    <row r="121" spans="1:57" s="23" customFormat="1" ht="15" hidden="1" customHeight="1" x14ac:dyDescent="0.2">
      <c r="A121" s="110" t="s">
        <v>14</v>
      </c>
      <c r="B121" s="32" t="s">
        <v>75</v>
      </c>
      <c r="C121" s="33" t="s">
        <v>2</v>
      </c>
      <c r="D121" s="22">
        <v>96</v>
      </c>
      <c r="E121" s="22">
        <v>65</v>
      </c>
      <c r="F121" s="22">
        <v>31</v>
      </c>
      <c r="G121" s="22">
        <v>0</v>
      </c>
      <c r="H121" s="22">
        <v>29</v>
      </c>
      <c r="I121" s="22">
        <v>28</v>
      </c>
      <c r="J121" s="22">
        <v>0</v>
      </c>
      <c r="K121" s="22">
        <v>0</v>
      </c>
      <c r="L121" s="22">
        <v>0</v>
      </c>
      <c r="M121" s="22">
        <v>0</v>
      </c>
      <c r="N121" s="22">
        <v>2</v>
      </c>
      <c r="O121" s="22">
        <v>0</v>
      </c>
      <c r="P121" s="22">
        <v>4</v>
      </c>
      <c r="Q121" s="22">
        <v>1</v>
      </c>
      <c r="R121" s="22">
        <v>0</v>
      </c>
      <c r="S121" s="22">
        <v>4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3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1</v>
      </c>
      <c r="AR121" s="22">
        <v>0</v>
      </c>
      <c r="AS121" s="22">
        <v>0</v>
      </c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0</v>
      </c>
      <c r="AZ121" s="22">
        <v>23</v>
      </c>
      <c r="BA121" s="22">
        <v>0</v>
      </c>
      <c r="BB121" s="22">
        <v>0</v>
      </c>
      <c r="BC121" s="22">
        <v>1</v>
      </c>
      <c r="BD121" s="22">
        <v>0</v>
      </c>
      <c r="BE121" s="22">
        <v>0</v>
      </c>
    </row>
    <row r="122" spans="1:57" s="23" customFormat="1" ht="15" hidden="1" customHeight="1" x14ac:dyDescent="0.2">
      <c r="A122" s="111"/>
      <c r="B122" s="34" t="s">
        <v>76</v>
      </c>
      <c r="C122" s="35" t="s">
        <v>194</v>
      </c>
      <c r="D122" s="22">
        <v>2</v>
      </c>
      <c r="E122" s="22">
        <v>1</v>
      </c>
      <c r="F122" s="22">
        <v>1</v>
      </c>
      <c r="G122" s="22">
        <v>0</v>
      </c>
      <c r="H122" s="22">
        <v>0</v>
      </c>
      <c r="I122" s="22">
        <v>1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1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</row>
    <row r="123" spans="1:57" s="23" customFormat="1" ht="15" hidden="1" customHeight="1" x14ac:dyDescent="0.2">
      <c r="A123" s="26" t="s">
        <v>64</v>
      </c>
      <c r="B123" s="29" t="s">
        <v>74</v>
      </c>
      <c r="C123" s="30" t="s">
        <v>0</v>
      </c>
      <c r="D123" s="31">
        <v>164</v>
      </c>
      <c r="E123" s="31">
        <v>117</v>
      </c>
      <c r="F123" s="31">
        <v>47</v>
      </c>
      <c r="G123" s="31">
        <v>0</v>
      </c>
      <c r="H123" s="31">
        <v>35</v>
      </c>
      <c r="I123" s="31">
        <v>28</v>
      </c>
      <c r="J123" s="31">
        <v>7</v>
      </c>
      <c r="K123" s="31">
        <v>3</v>
      </c>
      <c r="L123" s="31">
        <v>0</v>
      </c>
      <c r="M123" s="31">
        <v>1</v>
      </c>
      <c r="N123" s="31">
        <v>2</v>
      </c>
      <c r="O123" s="31">
        <v>0</v>
      </c>
      <c r="P123" s="31">
        <v>7</v>
      </c>
      <c r="Q123" s="31">
        <v>0</v>
      </c>
      <c r="R123" s="31">
        <v>0</v>
      </c>
      <c r="S123" s="31">
        <v>5</v>
      </c>
      <c r="T123" s="31">
        <v>1</v>
      </c>
      <c r="U123" s="31">
        <v>0</v>
      </c>
      <c r="V123" s="31">
        <v>1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1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1">
        <v>33</v>
      </c>
      <c r="BA123" s="31">
        <v>7</v>
      </c>
      <c r="BB123" s="31">
        <v>0</v>
      </c>
      <c r="BC123" s="31">
        <v>27</v>
      </c>
      <c r="BD123" s="31">
        <v>6</v>
      </c>
      <c r="BE123" s="31">
        <v>0</v>
      </c>
    </row>
    <row r="124" spans="1:57" s="23" customFormat="1" ht="15" hidden="1" customHeight="1" x14ac:dyDescent="0.2">
      <c r="A124" s="110" t="s">
        <v>15</v>
      </c>
      <c r="B124" s="32" t="s">
        <v>75</v>
      </c>
      <c r="C124" s="33" t="s">
        <v>2</v>
      </c>
      <c r="D124" s="22">
        <v>139</v>
      </c>
      <c r="E124" s="22">
        <v>99</v>
      </c>
      <c r="F124" s="22">
        <v>40</v>
      </c>
      <c r="G124" s="22">
        <v>0</v>
      </c>
      <c r="H124" s="22">
        <v>29</v>
      </c>
      <c r="I124" s="22">
        <v>28</v>
      </c>
      <c r="J124" s="22">
        <v>7</v>
      </c>
      <c r="K124" s="22">
        <v>3</v>
      </c>
      <c r="L124" s="22">
        <v>0</v>
      </c>
      <c r="M124" s="22">
        <v>1</v>
      </c>
      <c r="N124" s="22">
        <v>2</v>
      </c>
      <c r="O124" s="22">
        <v>0</v>
      </c>
      <c r="P124" s="22">
        <v>4</v>
      </c>
      <c r="Q124" s="22">
        <v>0</v>
      </c>
      <c r="R124" s="22">
        <v>0</v>
      </c>
      <c r="S124" s="22">
        <v>5</v>
      </c>
      <c r="T124" s="22">
        <v>1</v>
      </c>
      <c r="U124" s="22">
        <v>0</v>
      </c>
      <c r="V124" s="22">
        <v>1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28</v>
      </c>
      <c r="BA124" s="22">
        <v>2</v>
      </c>
      <c r="BB124" s="22">
        <v>0</v>
      </c>
      <c r="BC124" s="22">
        <v>23</v>
      </c>
      <c r="BD124" s="22">
        <v>4</v>
      </c>
      <c r="BE124" s="22">
        <v>0</v>
      </c>
    </row>
    <row r="125" spans="1:57" s="23" customFormat="1" ht="15" hidden="1" customHeight="1" x14ac:dyDescent="0.2">
      <c r="A125" s="111"/>
      <c r="B125" s="34" t="s">
        <v>76</v>
      </c>
      <c r="C125" s="35" t="s">
        <v>194</v>
      </c>
      <c r="D125" s="22">
        <v>25</v>
      </c>
      <c r="E125" s="22">
        <v>18</v>
      </c>
      <c r="F125" s="22">
        <v>7</v>
      </c>
      <c r="G125" s="22">
        <v>0</v>
      </c>
      <c r="H125" s="22">
        <v>6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3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5</v>
      </c>
      <c r="BA125" s="22">
        <v>5</v>
      </c>
      <c r="BB125" s="22">
        <v>0</v>
      </c>
      <c r="BC125" s="22">
        <v>4</v>
      </c>
      <c r="BD125" s="22">
        <v>2</v>
      </c>
      <c r="BE125" s="22">
        <v>0</v>
      </c>
    </row>
    <row r="126" spans="1:57" s="23" customFormat="1" ht="15" hidden="1" customHeight="1" x14ac:dyDescent="0.2">
      <c r="A126" s="26" t="s">
        <v>65</v>
      </c>
      <c r="B126" s="29" t="s">
        <v>74</v>
      </c>
      <c r="C126" s="30" t="s">
        <v>0</v>
      </c>
      <c r="D126" s="31">
        <v>34</v>
      </c>
      <c r="E126" s="31">
        <v>29</v>
      </c>
      <c r="F126" s="31">
        <v>4</v>
      </c>
      <c r="G126" s="31">
        <v>1</v>
      </c>
      <c r="H126" s="31">
        <v>9</v>
      </c>
      <c r="I126" s="31">
        <v>1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5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0</v>
      </c>
      <c r="AC126" s="31">
        <v>0</v>
      </c>
      <c r="AD126" s="31">
        <v>0</v>
      </c>
      <c r="AE126" s="31">
        <v>0</v>
      </c>
      <c r="AF126" s="31">
        <v>0</v>
      </c>
      <c r="AG126" s="31">
        <v>0</v>
      </c>
      <c r="AH126" s="31">
        <v>1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1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31">
        <v>0</v>
      </c>
      <c r="AZ126" s="31">
        <v>7</v>
      </c>
      <c r="BA126" s="31">
        <v>0</v>
      </c>
      <c r="BB126" s="31">
        <v>0</v>
      </c>
      <c r="BC126" s="31">
        <v>6</v>
      </c>
      <c r="BD126" s="31">
        <v>3</v>
      </c>
      <c r="BE126" s="31">
        <v>1</v>
      </c>
    </row>
    <row r="127" spans="1:57" s="23" customFormat="1" ht="15" hidden="1" customHeight="1" x14ac:dyDescent="0.2">
      <c r="A127" s="110" t="s">
        <v>16</v>
      </c>
      <c r="B127" s="32" t="s">
        <v>75</v>
      </c>
      <c r="C127" s="33" t="s">
        <v>2</v>
      </c>
      <c r="D127" s="22">
        <v>13</v>
      </c>
      <c r="E127" s="22">
        <v>12</v>
      </c>
      <c r="F127" s="22">
        <v>0</v>
      </c>
      <c r="G127" s="22">
        <v>1</v>
      </c>
      <c r="H127" s="22">
        <v>4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1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1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3</v>
      </c>
      <c r="BA127" s="22">
        <v>0</v>
      </c>
      <c r="BB127" s="22">
        <v>0</v>
      </c>
      <c r="BC127" s="22">
        <v>3</v>
      </c>
      <c r="BD127" s="22">
        <v>0</v>
      </c>
      <c r="BE127" s="22">
        <v>1</v>
      </c>
    </row>
    <row r="128" spans="1:57" s="23" customFormat="1" ht="15" hidden="1" customHeight="1" x14ac:dyDescent="0.2">
      <c r="A128" s="111"/>
      <c r="B128" s="34" t="s">
        <v>76</v>
      </c>
      <c r="C128" s="35" t="s">
        <v>194</v>
      </c>
      <c r="D128" s="22">
        <v>21</v>
      </c>
      <c r="E128" s="22">
        <v>17</v>
      </c>
      <c r="F128" s="22">
        <v>4</v>
      </c>
      <c r="G128" s="22">
        <v>0</v>
      </c>
      <c r="H128" s="22">
        <v>5</v>
      </c>
      <c r="I128" s="22">
        <v>1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4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1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4</v>
      </c>
      <c r="BA128" s="22">
        <v>0</v>
      </c>
      <c r="BB128" s="22">
        <v>0</v>
      </c>
      <c r="BC128" s="22">
        <v>3</v>
      </c>
      <c r="BD128" s="22">
        <v>3</v>
      </c>
      <c r="BE128" s="22">
        <v>0</v>
      </c>
    </row>
    <row r="129" spans="1:57" s="23" customFormat="1" ht="15" hidden="1" customHeight="1" x14ac:dyDescent="0.2">
      <c r="A129" s="26" t="s">
        <v>66</v>
      </c>
      <c r="B129" s="29" t="s">
        <v>74</v>
      </c>
      <c r="C129" s="30" t="s">
        <v>0</v>
      </c>
      <c r="D129" s="31">
        <v>142</v>
      </c>
      <c r="E129" s="31">
        <v>104</v>
      </c>
      <c r="F129" s="31">
        <v>37</v>
      </c>
      <c r="G129" s="31">
        <v>1</v>
      </c>
      <c r="H129" s="31">
        <v>49</v>
      </c>
      <c r="I129" s="31">
        <v>30</v>
      </c>
      <c r="J129" s="31">
        <v>3</v>
      </c>
      <c r="K129" s="31">
        <v>1</v>
      </c>
      <c r="L129" s="31">
        <v>0</v>
      </c>
      <c r="M129" s="31">
        <v>0</v>
      </c>
      <c r="N129" s="31">
        <v>2</v>
      </c>
      <c r="O129" s="31">
        <v>0</v>
      </c>
      <c r="P129" s="31">
        <v>4</v>
      </c>
      <c r="Q129" s="31">
        <v>1</v>
      </c>
      <c r="R129" s="31">
        <v>0</v>
      </c>
      <c r="S129" s="31">
        <v>6</v>
      </c>
      <c r="T129" s="31">
        <v>1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0</v>
      </c>
      <c r="AC129" s="31">
        <v>0</v>
      </c>
      <c r="AD129" s="31">
        <v>0</v>
      </c>
      <c r="AE129" s="31">
        <v>0</v>
      </c>
      <c r="AF129" s="31">
        <v>0</v>
      </c>
      <c r="AG129" s="31">
        <v>0</v>
      </c>
      <c r="AH129" s="31">
        <v>0</v>
      </c>
      <c r="AI129" s="31">
        <v>0</v>
      </c>
      <c r="AJ129" s="31">
        <v>0</v>
      </c>
      <c r="AK129" s="31">
        <v>2</v>
      </c>
      <c r="AL129" s="31">
        <v>0</v>
      </c>
      <c r="AM129" s="31">
        <v>0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4</v>
      </c>
      <c r="AX129" s="31">
        <v>0</v>
      </c>
      <c r="AY129" s="31">
        <v>0</v>
      </c>
      <c r="AZ129" s="31">
        <v>35</v>
      </c>
      <c r="BA129" s="31">
        <v>2</v>
      </c>
      <c r="BB129" s="31">
        <v>0</v>
      </c>
      <c r="BC129" s="31">
        <v>1</v>
      </c>
      <c r="BD129" s="31">
        <v>0</v>
      </c>
      <c r="BE129" s="31">
        <v>1</v>
      </c>
    </row>
    <row r="130" spans="1:57" s="23" customFormat="1" ht="15" hidden="1" customHeight="1" x14ac:dyDescent="0.2">
      <c r="A130" s="110" t="s">
        <v>17</v>
      </c>
      <c r="B130" s="32" t="s">
        <v>75</v>
      </c>
      <c r="C130" s="33" t="s">
        <v>2</v>
      </c>
      <c r="D130" s="22">
        <v>90</v>
      </c>
      <c r="E130" s="22">
        <v>68</v>
      </c>
      <c r="F130" s="22">
        <v>21</v>
      </c>
      <c r="G130" s="22">
        <v>1</v>
      </c>
      <c r="H130" s="22">
        <v>30</v>
      </c>
      <c r="I130" s="22">
        <v>16</v>
      </c>
      <c r="J130" s="22">
        <v>1</v>
      </c>
      <c r="K130" s="22">
        <v>1</v>
      </c>
      <c r="L130" s="22">
        <v>0</v>
      </c>
      <c r="M130" s="22">
        <v>0</v>
      </c>
      <c r="N130" s="22">
        <v>2</v>
      </c>
      <c r="O130" s="22">
        <v>0</v>
      </c>
      <c r="P130" s="22">
        <v>3</v>
      </c>
      <c r="Q130" s="22">
        <v>1</v>
      </c>
      <c r="R130" s="22">
        <v>0</v>
      </c>
      <c r="S130" s="22">
        <v>2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1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  <c r="AR130" s="22">
        <v>0</v>
      </c>
      <c r="AS130" s="22">
        <v>0</v>
      </c>
      <c r="AT130" s="22">
        <v>0</v>
      </c>
      <c r="AU130" s="22">
        <v>0</v>
      </c>
      <c r="AV130" s="22">
        <v>0</v>
      </c>
      <c r="AW130" s="22">
        <v>3</v>
      </c>
      <c r="AX130" s="22">
        <v>0</v>
      </c>
      <c r="AY130" s="22">
        <v>0</v>
      </c>
      <c r="AZ130" s="22">
        <v>27</v>
      </c>
      <c r="BA130" s="22">
        <v>1</v>
      </c>
      <c r="BB130" s="22">
        <v>0</v>
      </c>
      <c r="BC130" s="22">
        <v>1</v>
      </c>
      <c r="BD130" s="22">
        <v>0</v>
      </c>
      <c r="BE130" s="22">
        <v>1</v>
      </c>
    </row>
    <row r="131" spans="1:57" s="23" customFormat="1" ht="15" hidden="1" customHeight="1" x14ac:dyDescent="0.2">
      <c r="A131" s="111"/>
      <c r="B131" s="34" t="s">
        <v>76</v>
      </c>
      <c r="C131" s="35" t="s">
        <v>194</v>
      </c>
      <c r="D131" s="22">
        <v>52</v>
      </c>
      <c r="E131" s="22">
        <v>36</v>
      </c>
      <c r="F131" s="22">
        <v>16</v>
      </c>
      <c r="G131" s="22">
        <v>0</v>
      </c>
      <c r="H131" s="22">
        <v>19</v>
      </c>
      <c r="I131" s="22">
        <v>14</v>
      </c>
      <c r="J131" s="22">
        <v>2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1</v>
      </c>
      <c r="Q131" s="22">
        <v>0</v>
      </c>
      <c r="R131" s="22">
        <v>0</v>
      </c>
      <c r="S131" s="22">
        <v>4</v>
      </c>
      <c r="T131" s="22">
        <v>1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1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0</v>
      </c>
      <c r="AS131" s="22">
        <v>0</v>
      </c>
      <c r="AT131" s="22">
        <v>0</v>
      </c>
      <c r="AU131" s="22">
        <v>0</v>
      </c>
      <c r="AV131" s="22">
        <v>0</v>
      </c>
      <c r="AW131" s="22">
        <v>1</v>
      </c>
      <c r="AX131" s="22">
        <v>0</v>
      </c>
      <c r="AY131" s="22">
        <v>0</v>
      </c>
      <c r="AZ131" s="22">
        <v>8</v>
      </c>
      <c r="BA131" s="22">
        <v>1</v>
      </c>
      <c r="BB131" s="22">
        <v>0</v>
      </c>
      <c r="BC131" s="22">
        <v>0</v>
      </c>
      <c r="BD131" s="22">
        <v>0</v>
      </c>
      <c r="BE131" s="22">
        <v>0</v>
      </c>
    </row>
    <row r="132" spans="1:57" s="23" customFormat="1" ht="15" hidden="1" customHeight="1" x14ac:dyDescent="0.2">
      <c r="A132" s="26" t="s">
        <v>67</v>
      </c>
      <c r="B132" s="29" t="s">
        <v>74</v>
      </c>
      <c r="C132" s="30" t="s">
        <v>0</v>
      </c>
      <c r="D132" s="31">
        <v>10</v>
      </c>
      <c r="E132" s="31">
        <v>5</v>
      </c>
      <c r="F132" s="31">
        <v>5</v>
      </c>
      <c r="G132" s="31">
        <v>0</v>
      </c>
      <c r="H132" s="31">
        <v>3</v>
      </c>
      <c r="I132" s="31">
        <v>3</v>
      </c>
      <c r="J132" s="31">
        <v>0</v>
      </c>
      <c r="K132" s="31">
        <v>0</v>
      </c>
      <c r="L132" s="31">
        <v>0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0</v>
      </c>
      <c r="AC132" s="31">
        <v>0</v>
      </c>
      <c r="AD132" s="31">
        <v>0</v>
      </c>
      <c r="AE132" s="31">
        <v>0</v>
      </c>
      <c r="AF132" s="31">
        <v>0</v>
      </c>
      <c r="AG132" s="31">
        <v>0</v>
      </c>
      <c r="AH132" s="31">
        <v>0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31">
        <v>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31">
        <v>0</v>
      </c>
      <c r="AZ132" s="31">
        <v>2</v>
      </c>
      <c r="BA132" s="31">
        <v>2</v>
      </c>
      <c r="BB132" s="31">
        <v>0</v>
      </c>
      <c r="BC132" s="31">
        <v>0</v>
      </c>
      <c r="BD132" s="31">
        <v>0</v>
      </c>
      <c r="BE132" s="31">
        <v>0</v>
      </c>
    </row>
    <row r="133" spans="1:57" s="23" customFormat="1" ht="15" hidden="1" customHeight="1" x14ac:dyDescent="0.2">
      <c r="A133" s="110" t="s">
        <v>18</v>
      </c>
      <c r="B133" s="32" t="s">
        <v>75</v>
      </c>
      <c r="C133" s="33" t="s">
        <v>2</v>
      </c>
      <c r="D133" s="22">
        <v>10</v>
      </c>
      <c r="E133" s="22">
        <v>5</v>
      </c>
      <c r="F133" s="22">
        <v>5</v>
      </c>
      <c r="G133" s="22">
        <v>0</v>
      </c>
      <c r="H133" s="22">
        <v>3</v>
      </c>
      <c r="I133" s="22">
        <v>3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  <c r="AR133" s="22">
        <v>0</v>
      </c>
      <c r="AS133" s="22">
        <v>0</v>
      </c>
      <c r="AT133" s="22">
        <v>0</v>
      </c>
      <c r="AU133" s="22">
        <v>0</v>
      </c>
      <c r="AV133" s="22">
        <v>0</v>
      </c>
      <c r="AW133" s="22">
        <v>0</v>
      </c>
      <c r="AX133" s="22">
        <v>0</v>
      </c>
      <c r="AY133" s="22">
        <v>0</v>
      </c>
      <c r="AZ133" s="22">
        <v>2</v>
      </c>
      <c r="BA133" s="22">
        <v>2</v>
      </c>
      <c r="BB133" s="22">
        <v>0</v>
      </c>
      <c r="BC133" s="22">
        <v>0</v>
      </c>
      <c r="BD133" s="22">
        <v>0</v>
      </c>
      <c r="BE133" s="22">
        <v>0</v>
      </c>
    </row>
    <row r="134" spans="1:57" s="23" customFormat="1" ht="15" hidden="1" customHeight="1" x14ac:dyDescent="0.2">
      <c r="A134" s="111"/>
      <c r="B134" s="34" t="s">
        <v>76</v>
      </c>
      <c r="C134" s="35" t="s">
        <v>194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  <c r="AR134" s="22">
        <v>0</v>
      </c>
      <c r="AS134" s="22">
        <v>0</v>
      </c>
      <c r="AT134" s="22">
        <v>0</v>
      </c>
      <c r="AU134" s="22">
        <v>0</v>
      </c>
      <c r="AV134" s="22">
        <v>0</v>
      </c>
      <c r="AW134" s="22">
        <v>0</v>
      </c>
      <c r="AX134" s="22">
        <v>0</v>
      </c>
      <c r="AY134" s="22">
        <v>0</v>
      </c>
      <c r="AZ134" s="22">
        <v>0</v>
      </c>
      <c r="BA134" s="22">
        <v>0</v>
      </c>
      <c r="BB134" s="22">
        <v>0</v>
      </c>
      <c r="BC134" s="22">
        <v>0</v>
      </c>
      <c r="BD134" s="22">
        <v>0</v>
      </c>
      <c r="BE134" s="22">
        <v>0</v>
      </c>
    </row>
    <row r="135" spans="1:57" s="23" customFormat="1" ht="15" hidden="1" customHeight="1" x14ac:dyDescent="0.2">
      <c r="A135" s="26" t="s">
        <v>68</v>
      </c>
      <c r="B135" s="29" t="s">
        <v>74</v>
      </c>
      <c r="C135" s="30" t="s">
        <v>0</v>
      </c>
      <c r="D135" s="31">
        <v>112</v>
      </c>
      <c r="E135" s="31">
        <v>84</v>
      </c>
      <c r="F135" s="31">
        <v>28</v>
      </c>
      <c r="G135" s="31">
        <v>0</v>
      </c>
      <c r="H135" s="31">
        <v>63</v>
      </c>
      <c r="I135" s="31">
        <v>22</v>
      </c>
      <c r="J135" s="31">
        <v>0</v>
      </c>
      <c r="K135" s="31">
        <v>0</v>
      </c>
      <c r="L135" s="31">
        <v>0</v>
      </c>
      <c r="M135" s="31">
        <v>2</v>
      </c>
      <c r="N135" s="31">
        <v>1</v>
      </c>
      <c r="O135" s="31">
        <v>0</v>
      </c>
      <c r="P135" s="31">
        <v>15</v>
      </c>
      <c r="Q135" s="31">
        <v>2</v>
      </c>
      <c r="R135" s="31">
        <v>0</v>
      </c>
      <c r="S135" s="31">
        <v>4</v>
      </c>
      <c r="T135" s="31">
        <v>3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0</v>
      </c>
      <c r="AC135" s="31">
        <v>0</v>
      </c>
      <c r="AD135" s="31">
        <v>0</v>
      </c>
      <c r="AE135" s="31">
        <v>0</v>
      </c>
      <c r="AF135" s="31">
        <v>0</v>
      </c>
      <c r="AG135" s="31">
        <v>0</v>
      </c>
      <c r="AH135" s="31">
        <v>0</v>
      </c>
      <c r="AI135" s="31">
        <v>0</v>
      </c>
      <c r="AJ135" s="31">
        <v>0</v>
      </c>
      <c r="AK135" s="31">
        <v>0</v>
      </c>
      <c r="AL135" s="31">
        <v>0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0</v>
      </c>
      <c r="AY135" s="31">
        <v>0</v>
      </c>
      <c r="AZ135" s="31">
        <v>0</v>
      </c>
      <c r="BA135" s="31">
        <v>0</v>
      </c>
      <c r="BB135" s="31">
        <v>0</v>
      </c>
      <c r="BC135" s="31">
        <v>0</v>
      </c>
      <c r="BD135" s="31">
        <v>0</v>
      </c>
      <c r="BE135" s="31">
        <v>0</v>
      </c>
    </row>
    <row r="136" spans="1:57" s="23" customFormat="1" ht="15" hidden="1" customHeight="1" x14ac:dyDescent="0.2">
      <c r="A136" s="110" t="s">
        <v>19</v>
      </c>
      <c r="B136" s="32" t="s">
        <v>75</v>
      </c>
      <c r="C136" s="33" t="s">
        <v>2</v>
      </c>
      <c r="D136" s="22">
        <v>106</v>
      </c>
      <c r="E136" s="22">
        <v>80</v>
      </c>
      <c r="F136" s="22">
        <v>26</v>
      </c>
      <c r="G136" s="22">
        <v>0</v>
      </c>
      <c r="H136" s="22">
        <v>59</v>
      </c>
      <c r="I136" s="22">
        <v>21</v>
      </c>
      <c r="J136" s="22">
        <v>0</v>
      </c>
      <c r="K136" s="22">
        <v>0</v>
      </c>
      <c r="L136" s="22">
        <v>0</v>
      </c>
      <c r="M136" s="22">
        <v>2</v>
      </c>
      <c r="N136" s="22">
        <v>1</v>
      </c>
      <c r="O136" s="22">
        <v>0</v>
      </c>
      <c r="P136" s="22">
        <v>15</v>
      </c>
      <c r="Q136" s="22">
        <v>1</v>
      </c>
      <c r="R136" s="22">
        <v>0</v>
      </c>
      <c r="S136" s="22">
        <v>4</v>
      </c>
      <c r="T136" s="22">
        <v>3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  <c r="AR136" s="22">
        <v>0</v>
      </c>
      <c r="AS136" s="22">
        <v>0</v>
      </c>
      <c r="AT136" s="22">
        <v>0</v>
      </c>
      <c r="AU136" s="22">
        <v>0</v>
      </c>
      <c r="AV136" s="22">
        <v>0</v>
      </c>
      <c r="AW136" s="22">
        <v>0</v>
      </c>
      <c r="AX136" s="22">
        <v>0</v>
      </c>
      <c r="AY136" s="22">
        <v>0</v>
      </c>
      <c r="AZ136" s="22">
        <v>0</v>
      </c>
      <c r="BA136" s="22">
        <v>0</v>
      </c>
      <c r="BB136" s="22">
        <v>0</v>
      </c>
      <c r="BC136" s="22">
        <v>0</v>
      </c>
      <c r="BD136" s="22">
        <v>0</v>
      </c>
      <c r="BE136" s="22">
        <v>0</v>
      </c>
    </row>
    <row r="137" spans="1:57" s="23" customFormat="1" ht="15" hidden="1" customHeight="1" x14ac:dyDescent="0.2">
      <c r="A137" s="111"/>
      <c r="B137" s="34" t="s">
        <v>76</v>
      </c>
      <c r="C137" s="35" t="s">
        <v>194</v>
      </c>
      <c r="D137" s="22">
        <v>6</v>
      </c>
      <c r="E137" s="22">
        <v>4</v>
      </c>
      <c r="F137" s="22">
        <v>2</v>
      </c>
      <c r="G137" s="22">
        <v>0</v>
      </c>
      <c r="H137" s="22">
        <v>4</v>
      </c>
      <c r="I137" s="22">
        <v>1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1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  <c r="AR137" s="22">
        <v>0</v>
      </c>
      <c r="AS137" s="22">
        <v>0</v>
      </c>
      <c r="AT137" s="22">
        <v>0</v>
      </c>
      <c r="AU137" s="22">
        <v>0</v>
      </c>
      <c r="AV137" s="22">
        <v>0</v>
      </c>
      <c r="AW137" s="22">
        <v>0</v>
      </c>
      <c r="AX137" s="22">
        <v>0</v>
      </c>
      <c r="AY137" s="22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</row>
    <row r="138" spans="1:57" s="23" customFormat="1" ht="15" hidden="1" customHeight="1" x14ac:dyDescent="0.2">
      <c r="A138" s="26" t="s">
        <v>69</v>
      </c>
      <c r="B138" s="29" t="s">
        <v>74</v>
      </c>
      <c r="C138" s="30" t="s">
        <v>0</v>
      </c>
      <c r="D138" s="31">
        <v>111</v>
      </c>
      <c r="E138" s="31">
        <v>71</v>
      </c>
      <c r="F138" s="31">
        <v>39</v>
      </c>
      <c r="G138" s="31">
        <v>1</v>
      </c>
      <c r="H138" s="31">
        <v>28</v>
      </c>
      <c r="I138" s="31">
        <v>27</v>
      </c>
      <c r="J138" s="31">
        <v>6</v>
      </c>
      <c r="K138" s="31">
        <v>0</v>
      </c>
      <c r="L138" s="31">
        <v>0</v>
      </c>
      <c r="M138" s="31">
        <v>1</v>
      </c>
      <c r="N138" s="31">
        <v>2</v>
      </c>
      <c r="O138" s="31">
        <v>0</v>
      </c>
      <c r="P138" s="31">
        <v>1</v>
      </c>
      <c r="Q138" s="31">
        <v>0</v>
      </c>
      <c r="R138" s="31">
        <v>0</v>
      </c>
      <c r="S138" s="31">
        <v>3</v>
      </c>
      <c r="T138" s="31">
        <v>3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1</v>
      </c>
      <c r="AF138" s="31">
        <v>0</v>
      </c>
      <c r="AG138" s="31">
        <v>0</v>
      </c>
      <c r="AH138" s="31">
        <v>0</v>
      </c>
      <c r="AI138" s="31">
        <v>0</v>
      </c>
      <c r="AJ138" s="31">
        <v>0</v>
      </c>
      <c r="AK138" s="31">
        <v>3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31">
        <v>0</v>
      </c>
      <c r="AZ138" s="31">
        <v>17</v>
      </c>
      <c r="BA138" s="31">
        <v>2</v>
      </c>
      <c r="BB138" s="31">
        <v>0</v>
      </c>
      <c r="BC138" s="31">
        <v>11</v>
      </c>
      <c r="BD138" s="31">
        <v>5</v>
      </c>
      <c r="BE138" s="31">
        <v>1</v>
      </c>
    </row>
    <row r="139" spans="1:57" s="23" customFormat="1" ht="15" hidden="1" customHeight="1" x14ac:dyDescent="0.2">
      <c r="A139" s="110" t="s">
        <v>20</v>
      </c>
      <c r="B139" s="32" t="s">
        <v>75</v>
      </c>
      <c r="C139" s="33" t="s">
        <v>2</v>
      </c>
      <c r="D139" s="22">
        <v>106</v>
      </c>
      <c r="E139" s="22">
        <v>66</v>
      </c>
      <c r="F139" s="22">
        <v>39</v>
      </c>
      <c r="G139" s="22">
        <v>1</v>
      </c>
      <c r="H139" s="22">
        <v>26</v>
      </c>
      <c r="I139" s="22">
        <v>27</v>
      </c>
      <c r="J139" s="22">
        <v>4</v>
      </c>
      <c r="K139" s="22">
        <v>0</v>
      </c>
      <c r="L139" s="22">
        <v>0</v>
      </c>
      <c r="M139" s="22">
        <v>1</v>
      </c>
      <c r="N139" s="22">
        <v>2</v>
      </c>
      <c r="O139" s="22">
        <v>0</v>
      </c>
      <c r="P139" s="22">
        <v>1</v>
      </c>
      <c r="Q139" s="22">
        <v>0</v>
      </c>
      <c r="R139" s="22">
        <v>0</v>
      </c>
      <c r="S139" s="22">
        <v>3</v>
      </c>
      <c r="T139" s="22">
        <v>3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1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3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>
        <v>0</v>
      </c>
      <c r="AV139" s="22">
        <v>0</v>
      </c>
      <c r="AW139" s="22">
        <v>0</v>
      </c>
      <c r="AX139" s="22">
        <v>0</v>
      </c>
      <c r="AY139" s="22">
        <v>0</v>
      </c>
      <c r="AZ139" s="22">
        <v>16</v>
      </c>
      <c r="BA139" s="22">
        <v>2</v>
      </c>
      <c r="BB139" s="22">
        <v>0</v>
      </c>
      <c r="BC139" s="22">
        <v>11</v>
      </c>
      <c r="BD139" s="22">
        <v>5</v>
      </c>
      <c r="BE139" s="22">
        <v>1</v>
      </c>
    </row>
    <row r="140" spans="1:57" s="23" customFormat="1" ht="15" hidden="1" customHeight="1" x14ac:dyDescent="0.2">
      <c r="A140" s="111"/>
      <c r="B140" s="34" t="s">
        <v>76</v>
      </c>
      <c r="C140" s="35" t="s">
        <v>194</v>
      </c>
      <c r="D140" s="22">
        <v>5</v>
      </c>
      <c r="E140" s="22">
        <v>5</v>
      </c>
      <c r="F140" s="22">
        <v>0</v>
      </c>
      <c r="G140" s="22">
        <v>0</v>
      </c>
      <c r="H140" s="22">
        <v>2</v>
      </c>
      <c r="I140" s="22">
        <v>0</v>
      </c>
      <c r="J140" s="22">
        <v>2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0</v>
      </c>
      <c r="AV140" s="22">
        <v>0</v>
      </c>
      <c r="AW140" s="22">
        <v>0</v>
      </c>
      <c r="AX140" s="22">
        <v>0</v>
      </c>
      <c r="AY140" s="22">
        <v>0</v>
      </c>
      <c r="AZ140" s="22">
        <v>1</v>
      </c>
      <c r="BA140" s="22">
        <v>0</v>
      </c>
      <c r="BB140" s="22">
        <v>0</v>
      </c>
      <c r="BC140" s="22">
        <v>0</v>
      </c>
      <c r="BD140" s="22">
        <v>0</v>
      </c>
      <c r="BE140" s="22">
        <v>0</v>
      </c>
    </row>
    <row r="141" spans="1:57" s="23" customFormat="1" ht="15" hidden="1" customHeight="1" x14ac:dyDescent="0.2">
      <c r="A141" s="26" t="s">
        <v>70</v>
      </c>
      <c r="B141" s="29" t="s">
        <v>74</v>
      </c>
      <c r="C141" s="30" t="s">
        <v>0</v>
      </c>
      <c r="D141" s="31">
        <v>58</v>
      </c>
      <c r="E141" s="31">
        <v>33</v>
      </c>
      <c r="F141" s="31">
        <v>25</v>
      </c>
      <c r="G141" s="31">
        <v>0</v>
      </c>
      <c r="H141" s="31">
        <v>17</v>
      </c>
      <c r="I141" s="31">
        <v>22</v>
      </c>
      <c r="J141" s="31">
        <v>1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2</v>
      </c>
      <c r="Q141" s="31">
        <v>1</v>
      </c>
      <c r="R141" s="31">
        <v>0</v>
      </c>
      <c r="S141" s="31">
        <v>1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0</v>
      </c>
      <c r="AI141" s="31">
        <v>0</v>
      </c>
      <c r="AJ141" s="31">
        <v>0</v>
      </c>
      <c r="AK141" s="31">
        <v>0</v>
      </c>
      <c r="AL141" s="31">
        <v>1</v>
      </c>
      <c r="AM141" s="31">
        <v>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1">
        <v>0</v>
      </c>
      <c r="AY141" s="31">
        <v>0</v>
      </c>
      <c r="AZ141" s="31">
        <v>8</v>
      </c>
      <c r="BA141" s="31">
        <v>0</v>
      </c>
      <c r="BB141" s="31">
        <v>0</v>
      </c>
      <c r="BC141" s="31">
        <v>4</v>
      </c>
      <c r="BD141" s="31">
        <v>1</v>
      </c>
      <c r="BE141" s="31">
        <v>0</v>
      </c>
    </row>
    <row r="142" spans="1:57" s="23" customFormat="1" ht="15" hidden="1" customHeight="1" x14ac:dyDescent="0.2">
      <c r="A142" s="110" t="s">
        <v>21</v>
      </c>
      <c r="B142" s="32" t="s">
        <v>75</v>
      </c>
      <c r="C142" s="33" t="s">
        <v>2</v>
      </c>
      <c r="D142" s="22">
        <v>57</v>
      </c>
      <c r="E142" s="22">
        <v>32</v>
      </c>
      <c r="F142" s="22">
        <v>25</v>
      </c>
      <c r="G142" s="22">
        <v>0</v>
      </c>
      <c r="H142" s="22">
        <v>16</v>
      </c>
      <c r="I142" s="22">
        <v>22</v>
      </c>
      <c r="J142" s="22">
        <v>1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2</v>
      </c>
      <c r="Q142" s="22">
        <v>1</v>
      </c>
      <c r="R142" s="22">
        <v>0</v>
      </c>
      <c r="S142" s="22">
        <v>1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1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0</v>
      </c>
      <c r="AZ142" s="22">
        <v>8</v>
      </c>
      <c r="BA142" s="22">
        <v>0</v>
      </c>
      <c r="BB142" s="22">
        <v>0</v>
      </c>
      <c r="BC142" s="22">
        <v>4</v>
      </c>
      <c r="BD142" s="22">
        <v>1</v>
      </c>
      <c r="BE142" s="22">
        <v>0</v>
      </c>
    </row>
    <row r="143" spans="1:57" s="23" customFormat="1" ht="15" hidden="1" customHeight="1" x14ac:dyDescent="0.2">
      <c r="A143" s="111"/>
      <c r="B143" s="34" t="s">
        <v>76</v>
      </c>
      <c r="C143" s="35" t="s">
        <v>194</v>
      </c>
      <c r="D143" s="22">
        <v>1</v>
      </c>
      <c r="E143" s="22">
        <v>1</v>
      </c>
      <c r="F143" s="22">
        <v>0</v>
      </c>
      <c r="G143" s="22">
        <v>0</v>
      </c>
      <c r="H143" s="22">
        <v>1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  <c r="AR143" s="22">
        <v>0</v>
      </c>
      <c r="AS143" s="22">
        <v>0</v>
      </c>
      <c r="AT143" s="22">
        <v>0</v>
      </c>
      <c r="AU143" s="22">
        <v>0</v>
      </c>
      <c r="AV143" s="22">
        <v>0</v>
      </c>
      <c r="AW143" s="22">
        <v>0</v>
      </c>
      <c r="AX143" s="22">
        <v>0</v>
      </c>
      <c r="AY143" s="22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</row>
    <row r="144" spans="1:57" s="23" customFormat="1" ht="15" hidden="1" customHeight="1" x14ac:dyDescent="0.2">
      <c r="A144" s="26" t="s">
        <v>71</v>
      </c>
      <c r="B144" s="29" t="s">
        <v>74</v>
      </c>
      <c r="C144" s="30" t="s">
        <v>0</v>
      </c>
      <c r="D144" s="31">
        <v>19</v>
      </c>
      <c r="E144" s="31">
        <v>6</v>
      </c>
      <c r="F144" s="31">
        <v>13</v>
      </c>
      <c r="G144" s="31">
        <v>0</v>
      </c>
      <c r="H144" s="31">
        <v>0</v>
      </c>
      <c r="I144" s="31">
        <v>12</v>
      </c>
      <c r="J144" s="31">
        <v>0</v>
      </c>
      <c r="K144" s="31">
        <v>0</v>
      </c>
      <c r="L144" s="31">
        <v>0</v>
      </c>
      <c r="M144" s="31">
        <v>0</v>
      </c>
      <c r="N144" s="31">
        <v>1</v>
      </c>
      <c r="O144" s="31">
        <v>0</v>
      </c>
      <c r="P144" s="31">
        <v>3</v>
      </c>
      <c r="Q144" s="31">
        <v>0</v>
      </c>
      <c r="R144" s="31">
        <v>0</v>
      </c>
      <c r="S144" s="31">
        <v>1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0</v>
      </c>
      <c r="AV144" s="31">
        <v>0</v>
      </c>
      <c r="AW144" s="31">
        <v>0</v>
      </c>
      <c r="AX144" s="31">
        <v>0</v>
      </c>
      <c r="AY144" s="31">
        <v>0</v>
      </c>
      <c r="AZ144" s="31">
        <v>1</v>
      </c>
      <c r="BA144" s="31">
        <v>0</v>
      </c>
      <c r="BB144" s="31">
        <v>0</v>
      </c>
      <c r="BC144" s="31">
        <v>1</v>
      </c>
      <c r="BD144" s="31">
        <v>0</v>
      </c>
      <c r="BE144" s="31">
        <v>0</v>
      </c>
    </row>
    <row r="145" spans="1:59" s="23" customFormat="1" ht="15" hidden="1" customHeight="1" x14ac:dyDescent="0.2">
      <c r="A145" s="110" t="s">
        <v>22</v>
      </c>
      <c r="B145" s="32" t="s">
        <v>75</v>
      </c>
      <c r="C145" s="33" t="s">
        <v>2</v>
      </c>
      <c r="D145" s="22">
        <v>19</v>
      </c>
      <c r="E145" s="22">
        <v>6</v>
      </c>
      <c r="F145" s="22">
        <v>13</v>
      </c>
      <c r="G145" s="22">
        <v>0</v>
      </c>
      <c r="H145" s="22">
        <v>0</v>
      </c>
      <c r="I145" s="22">
        <v>12</v>
      </c>
      <c r="J145" s="22">
        <v>0</v>
      </c>
      <c r="K145" s="22">
        <v>0</v>
      </c>
      <c r="L145" s="22">
        <v>0</v>
      </c>
      <c r="M145" s="22">
        <v>0</v>
      </c>
      <c r="N145" s="22">
        <v>1</v>
      </c>
      <c r="O145" s="22">
        <v>0</v>
      </c>
      <c r="P145" s="22">
        <v>3</v>
      </c>
      <c r="Q145" s="22">
        <v>0</v>
      </c>
      <c r="R145" s="22">
        <v>0</v>
      </c>
      <c r="S145" s="22">
        <v>1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  <c r="AR145" s="22">
        <v>0</v>
      </c>
      <c r="AS145" s="22">
        <v>0</v>
      </c>
      <c r="AT145" s="22">
        <v>0</v>
      </c>
      <c r="AU145" s="22">
        <v>0</v>
      </c>
      <c r="AV145" s="22">
        <v>0</v>
      </c>
      <c r="AW145" s="22">
        <v>0</v>
      </c>
      <c r="AX145" s="22">
        <v>0</v>
      </c>
      <c r="AY145" s="22">
        <v>0</v>
      </c>
      <c r="AZ145" s="22">
        <v>1</v>
      </c>
      <c r="BA145" s="22">
        <v>0</v>
      </c>
      <c r="BB145" s="22">
        <v>0</v>
      </c>
      <c r="BC145" s="22">
        <v>1</v>
      </c>
      <c r="BD145" s="22">
        <v>0</v>
      </c>
      <c r="BE145" s="22">
        <v>0</v>
      </c>
    </row>
    <row r="146" spans="1:59" s="23" customFormat="1" ht="15" hidden="1" customHeight="1" x14ac:dyDescent="0.2">
      <c r="A146" s="111"/>
      <c r="B146" s="34" t="s">
        <v>76</v>
      </c>
      <c r="C146" s="35" t="s">
        <v>194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0</v>
      </c>
      <c r="AS146" s="22">
        <v>0</v>
      </c>
      <c r="AT146" s="22">
        <v>0</v>
      </c>
      <c r="AU146" s="22">
        <v>0</v>
      </c>
      <c r="AV146" s="22">
        <v>0</v>
      </c>
      <c r="AW146" s="22">
        <v>0</v>
      </c>
      <c r="AX146" s="22">
        <v>0</v>
      </c>
      <c r="AY146" s="22">
        <v>0</v>
      </c>
      <c r="AZ146" s="22">
        <v>0</v>
      </c>
      <c r="BA146" s="22">
        <v>0</v>
      </c>
      <c r="BB146" s="22">
        <v>0</v>
      </c>
      <c r="BC146" s="22">
        <v>0</v>
      </c>
      <c r="BD146" s="22">
        <v>0</v>
      </c>
      <c r="BE146" s="22">
        <v>0</v>
      </c>
    </row>
    <row r="147" spans="1:59" s="23" customFormat="1" ht="15" hidden="1" customHeight="1" x14ac:dyDescent="0.2">
      <c r="A147" s="26" t="s">
        <v>72</v>
      </c>
      <c r="B147" s="29" t="s">
        <v>74</v>
      </c>
      <c r="C147" s="30" t="s">
        <v>0</v>
      </c>
      <c r="D147" s="31">
        <v>2</v>
      </c>
      <c r="E147" s="31">
        <v>2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2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  <c r="AC147" s="31">
        <v>0</v>
      </c>
      <c r="AD147" s="31">
        <v>0</v>
      </c>
      <c r="AE147" s="31">
        <v>0</v>
      </c>
      <c r="AF147" s="31">
        <v>0</v>
      </c>
      <c r="AG147" s="31">
        <v>0</v>
      </c>
      <c r="AH147" s="31">
        <v>0</v>
      </c>
      <c r="AI147" s="31">
        <v>0</v>
      </c>
      <c r="AJ147" s="31">
        <v>0</v>
      </c>
      <c r="AK147" s="31">
        <v>0</v>
      </c>
      <c r="AL147" s="31">
        <v>0</v>
      </c>
      <c r="AM147" s="31">
        <v>0</v>
      </c>
      <c r="AN147" s="31">
        <v>0</v>
      </c>
      <c r="AO147" s="31">
        <v>0</v>
      </c>
      <c r="AP147" s="31">
        <v>0</v>
      </c>
      <c r="AQ147" s="31">
        <v>0</v>
      </c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  <c r="AZ147" s="31">
        <v>0</v>
      </c>
      <c r="BA147" s="31">
        <v>0</v>
      </c>
      <c r="BB147" s="31">
        <v>0</v>
      </c>
      <c r="BC147" s="31">
        <v>0</v>
      </c>
      <c r="BD147" s="31">
        <v>0</v>
      </c>
      <c r="BE147" s="31">
        <v>0</v>
      </c>
    </row>
    <row r="148" spans="1:59" s="23" customFormat="1" ht="15" hidden="1" customHeight="1" x14ac:dyDescent="0.2">
      <c r="A148" s="110" t="s">
        <v>23</v>
      </c>
      <c r="B148" s="32" t="s">
        <v>75</v>
      </c>
      <c r="C148" s="33" t="s">
        <v>2</v>
      </c>
      <c r="D148" s="22">
        <v>2</v>
      </c>
      <c r="E148" s="22">
        <v>2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2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  <c r="AR148" s="22">
        <v>0</v>
      </c>
      <c r="AS148" s="22">
        <v>0</v>
      </c>
      <c r="AT148" s="22">
        <v>0</v>
      </c>
      <c r="AU148" s="22">
        <v>0</v>
      </c>
      <c r="AV148" s="22">
        <v>0</v>
      </c>
      <c r="AW148" s="22">
        <v>0</v>
      </c>
      <c r="AX148" s="22">
        <v>0</v>
      </c>
      <c r="AY148" s="22">
        <v>0</v>
      </c>
      <c r="AZ148" s="22">
        <v>0</v>
      </c>
      <c r="BA148" s="22">
        <v>0</v>
      </c>
      <c r="BB148" s="22">
        <v>0</v>
      </c>
      <c r="BC148" s="22">
        <v>0</v>
      </c>
      <c r="BD148" s="22">
        <v>0</v>
      </c>
      <c r="BE148" s="22">
        <v>0</v>
      </c>
    </row>
    <row r="149" spans="1:59" s="23" customFormat="1" ht="15" hidden="1" customHeight="1" x14ac:dyDescent="0.2">
      <c r="A149" s="111"/>
      <c r="B149" s="34" t="s">
        <v>76</v>
      </c>
      <c r="C149" s="35" t="s">
        <v>194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  <c r="V149" s="27">
        <v>0</v>
      </c>
      <c r="W149" s="27">
        <v>0</v>
      </c>
      <c r="X149" s="27">
        <v>0</v>
      </c>
      <c r="Y149" s="27">
        <v>0</v>
      </c>
      <c r="Z149" s="27">
        <v>0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27">
        <v>0</v>
      </c>
      <c r="AM149" s="27">
        <v>0</v>
      </c>
      <c r="AN149" s="27">
        <v>0</v>
      </c>
      <c r="AO149" s="27">
        <v>0</v>
      </c>
      <c r="AP149" s="27">
        <v>0</v>
      </c>
      <c r="AQ149" s="27">
        <v>0</v>
      </c>
      <c r="AR149" s="27">
        <v>0</v>
      </c>
      <c r="AS149" s="27">
        <v>0</v>
      </c>
      <c r="AT149" s="27">
        <v>0</v>
      </c>
      <c r="AU149" s="27">
        <v>0</v>
      </c>
      <c r="AV149" s="27">
        <v>0</v>
      </c>
      <c r="AW149" s="27">
        <v>0</v>
      </c>
      <c r="AX149" s="27">
        <v>0</v>
      </c>
      <c r="AY149" s="27">
        <v>0</v>
      </c>
      <c r="AZ149" s="27">
        <v>0</v>
      </c>
      <c r="BA149" s="27">
        <v>0</v>
      </c>
      <c r="BB149" s="27">
        <v>0</v>
      </c>
      <c r="BC149" s="27">
        <v>0</v>
      </c>
      <c r="BD149" s="27">
        <v>0</v>
      </c>
      <c r="BE149" s="27">
        <v>0</v>
      </c>
    </row>
    <row r="150" spans="1:59" ht="11.1" hidden="1" customHeight="1" x14ac:dyDescent="0.2"/>
    <row r="151" spans="1:59" s="69" customFormat="1" ht="16.5" hidden="1" customHeight="1" x14ac:dyDescent="0.2">
      <c r="A151" s="65" t="s">
        <v>174</v>
      </c>
      <c r="B151" s="66" t="s">
        <v>175</v>
      </c>
      <c r="C151" s="67" t="s">
        <v>0</v>
      </c>
      <c r="D151" s="68" t="str">
        <f>IF(D81=D7,"","*")</f>
        <v>*</v>
      </c>
      <c r="E151" s="68" t="str">
        <f t="shared" ref="E151:U158" si="1">IF(E81=E7,"","*")</f>
        <v>*</v>
      </c>
      <c r="F151" s="68" t="str">
        <f t="shared" si="1"/>
        <v>*</v>
      </c>
      <c r="G151" s="68" t="str">
        <f t="shared" si="1"/>
        <v/>
      </c>
      <c r="H151" s="68" t="str">
        <f t="shared" si="1"/>
        <v/>
      </c>
      <c r="I151" s="68" t="str">
        <f t="shared" si="1"/>
        <v/>
      </c>
      <c r="J151" s="68" t="str">
        <f t="shared" si="1"/>
        <v/>
      </c>
      <c r="K151" s="68" t="str">
        <f t="shared" si="1"/>
        <v/>
      </c>
      <c r="L151" s="68" t="str">
        <f t="shared" si="1"/>
        <v/>
      </c>
      <c r="M151" s="68" t="str">
        <f t="shared" si="1"/>
        <v/>
      </c>
      <c r="N151" s="68" t="str">
        <f t="shared" si="1"/>
        <v/>
      </c>
      <c r="O151" s="68" t="str">
        <f t="shared" si="1"/>
        <v/>
      </c>
      <c r="P151" s="68" t="str">
        <f t="shared" si="1"/>
        <v/>
      </c>
      <c r="Q151" s="68" t="str">
        <f t="shared" si="1"/>
        <v/>
      </c>
      <c r="R151" s="68" t="str">
        <f t="shared" si="1"/>
        <v/>
      </c>
      <c r="S151" s="68" t="str">
        <f t="shared" si="1"/>
        <v/>
      </c>
      <c r="T151" s="68" t="str">
        <f t="shared" si="1"/>
        <v/>
      </c>
      <c r="U151" s="68" t="str">
        <f t="shared" si="1"/>
        <v/>
      </c>
      <c r="V151" s="68" t="str">
        <f t="shared" ref="V151:BG151" si="2">IF(V81=V7,"","*")</f>
        <v>*</v>
      </c>
      <c r="W151" s="68" t="str">
        <f t="shared" si="2"/>
        <v>*</v>
      </c>
      <c r="X151" s="68" t="str">
        <f t="shared" si="2"/>
        <v/>
      </c>
      <c r="Y151" s="68" t="str">
        <f t="shared" si="2"/>
        <v/>
      </c>
      <c r="Z151" s="68" t="str">
        <f t="shared" si="2"/>
        <v/>
      </c>
      <c r="AA151" s="68" t="str">
        <f t="shared" si="2"/>
        <v/>
      </c>
      <c r="AB151" s="68" t="str">
        <f t="shared" si="2"/>
        <v/>
      </c>
      <c r="AC151" s="68" t="str">
        <f t="shared" si="2"/>
        <v/>
      </c>
      <c r="AD151" s="68" t="str">
        <f t="shared" si="2"/>
        <v/>
      </c>
      <c r="AE151" s="68" t="str">
        <f t="shared" si="2"/>
        <v/>
      </c>
      <c r="AF151" s="68" t="str">
        <f t="shared" si="2"/>
        <v/>
      </c>
      <c r="AG151" s="68" t="str">
        <f t="shared" si="2"/>
        <v/>
      </c>
      <c r="AH151" s="68" t="str">
        <f t="shared" si="2"/>
        <v/>
      </c>
      <c r="AI151" s="68" t="str">
        <f t="shared" si="2"/>
        <v/>
      </c>
      <c r="AJ151" s="68" t="str">
        <f t="shared" si="2"/>
        <v/>
      </c>
      <c r="AK151" s="68" t="str">
        <f t="shared" si="2"/>
        <v/>
      </c>
      <c r="AL151" s="68" t="str">
        <f t="shared" si="2"/>
        <v/>
      </c>
      <c r="AM151" s="68" t="str">
        <f t="shared" si="2"/>
        <v/>
      </c>
      <c r="AN151" s="68" t="str">
        <f t="shared" si="2"/>
        <v/>
      </c>
      <c r="AO151" s="68" t="str">
        <f t="shared" si="2"/>
        <v/>
      </c>
      <c r="AP151" s="68" t="str">
        <f t="shared" si="2"/>
        <v/>
      </c>
      <c r="AQ151" s="68" t="str">
        <f t="shared" si="2"/>
        <v>*</v>
      </c>
      <c r="AR151" s="68" t="str">
        <f t="shared" si="2"/>
        <v>*</v>
      </c>
      <c r="AS151" s="68" t="str">
        <f t="shared" si="2"/>
        <v/>
      </c>
      <c r="AT151" s="68" t="str">
        <f t="shared" si="2"/>
        <v>*</v>
      </c>
      <c r="AU151" s="68" t="str">
        <f t="shared" si="2"/>
        <v/>
      </c>
      <c r="AV151" s="68" t="str">
        <f t="shared" si="2"/>
        <v/>
      </c>
      <c r="AW151" s="68" t="str">
        <f t="shared" si="2"/>
        <v>*</v>
      </c>
      <c r="AX151" s="68" t="str">
        <f t="shared" si="2"/>
        <v/>
      </c>
      <c r="AY151" s="68" t="str">
        <f t="shared" si="2"/>
        <v/>
      </c>
      <c r="AZ151" s="68" t="str">
        <f t="shared" si="2"/>
        <v>*</v>
      </c>
      <c r="BA151" s="68" t="str">
        <f t="shared" si="2"/>
        <v>*</v>
      </c>
      <c r="BB151" s="68" t="str">
        <f t="shared" si="2"/>
        <v/>
      </c>
      <c r="BC151" s="68" t="str">
        <f t="shared" si="2"/>
        <v>*</v>
      </c>
      <c r="BD151" s="68" t="str">
        <f t="shared" si="2"/>
        <v>*</v>
      </c>
      <c r="BE151" s="68" t="str">
        <f t="shared" si="2"/>
        <v/>
      </c>
      <c r="BF151" s="68" t="str">
        <f t="shared" si="2"/>
        <v/>
      </c>
      <c r="BG151" s="68" t="str">
        <f t="shared" si="2"/>
        <v/>
      </c>
    </row>
    <row r="152" spans="1:59" s="69" customFormat="1" ht="15" hidden="1" customHeight="1" x14ac:dyDescent="0.2">
      <c r="A152" s="108" t="s">
        <v>1</v>
      </c>
      <c r="B152" s="70" t="s">
        <v>176</v>
      </c>
      <c r="C152" s="71" t="s">
        <v>2</v>
      </c>
      <c r="D152" s="72" t="str">
        <f t="shared" ref="D152:S215" si="3">IF(D82=D8,"","*")</f>
        <v>*</v>
      </c>
      <c r="E152" s="72" t="str">
        <f t="shared" si="3"/>
        <v>*</v>
      </c>
      <c r="F152" s="72" t="str">
        <f t="shared" si="3"/>
        <v>*</v>
      </c>
      <c r="G152" s="72" t="str">
        <f t="shared" si="3"/>
        <v/>
      </c>
      <c r="H152" s="72" t="str">
        <f t="shared" si="3"/>
        <v/>
      </c>
      <c r="I152" s="72" t="str">
        <f t="shared" si="3"/>
        <v/>
      </c>
      <c r="J152" s="72" t="str">
        <f t="shared" si="3"/>
        <v/>
      </c>
      <c r="K152" s="72" t="str">
        <f t="shared" si="3"/>
        <v/>
      </c>
      <c r="L152" s="72" t="str">
        <f t="shared" si="3"/>
        <v/>
      </c>
      <c r="M152" s="72" t="str">
        <f t="shared" si="3"/>
        <v/>
      </c>
      <c r="N152" s="72" t="str">
        <f t="shared" si="3"/>
        <v/>
      </c>
      <c r="O152" s="72" t="str">
        <f t="shared" si="3"/>
        <v/>
      </c>
      <c r="P152" s="72" t="str">
        <f t="shared" si="3"/>
        <v/>
      </c>
      <c r="Q152" s="72" t="str">
        <f t="shared" si="3"/>
        <v/>
      </c>
      <c r="R152" s="72" t="str">
        <f t="shared" si="3"/>
        <v/>
      </c>
      <c r="S152" s="72" t="str">
        <f t="shared" si="3"/>
        <v/>
      </c>
      <c r="T152" s="72" t="str">
        <f t="shared" si="1"/>
        <v/>
      </c>
      <c r="U152" s="72" t="str">
        <f t="shared" si="1"/>
        <v/>
      </c>
      <c r="V152" s="72" t="str">
        <f t="shared" ref="V152:BG152" si="4">IF(V82=V8,"","*")</f>
        <v>*</v>
      </c>
      <c r="W152" s="72" t="str">
        <f t="shared" si="4"/>
        <v>*</v>
      </c>
      <c r="X152" s="72" t="str">
        <f t="shared" si="4"/>
        <v/>
      </c>
      <c r="Y152" s="72" t="str">
        <f t="shared" si="4"/>
        <v/>
      </c>
      <c r="Z152" s="72" t="str">
        <f t="shared" si="4"/>
        <v/>
      </c>
      <c r="AA152" s="72" t="str">
        <f t="shared" si="4"/>
        <v/>
      </c>
      <c r="AB152" s="72" t="str">
        <f t="shared" si="4"/>
        <v/>
      </c>
      <c r="AC152" s="72" t="str">
        <f t="shared" si="4"/>
        <v/>
      </c>
      <c r="AD152" s="72" t="str">
        <f t="shared" si="4"/>
        <v/>
      </c>
      <c r="AE152" s="72" t="str">
        <f t="shared" si="4"/>
        <v/>
      </c>
      <c r="AF152" s="72" t="str">
        <f t="shared" si="4"/>
        <v/>
      </c>
      <c r="AG152" s="72" t="str">
        <f t="shared" si="4"/>
        <v/>
      </c>
      <c r="AH152" s="72" t="str">
        <f t="shared" si="4"/>
        <v/>
      </c>
      <c r="AI152" s="72" t="str">
        <f t="shared" si="4"/>
        <v/>
      </c>
      <c r="AJ152" s="72" t="str">
        <f t="shared" si="4"/>
        <v/>
      </c>
      <c r="AK152" s="72" t="str">
        <f t="shared" si="4"/>
        <v/>
      </c>
      <c r="AL152" s="72" t="str">
        <f t="shared" si="4"/>
        <v/>
      </c>
      <c r="AM152" s="72" t="str">
        <f t="shared" si="4"/>
        <v/>
      </c>
      <c r="AN152" s="72" t="str">
        <f t="shared" si="4"/>
        <v/>
      </c>
      <c r="AO152" s="72" t="str">
        <f t="shared" si="4"/>
        <v/>
      </c>
      <c r="AP152" s="72" t="str">
        <f t="shared" si="4"/>
        <v/>
      </c>
      <c r="AQ152" s="72" t="str">
        <f t="shared" si="4"/>
        <v>*</v>
      </c>
      <c r="AR152" s="72" t="str">
        <f t="shared" si="4"/>
        <v>*</v>
      </c>
      <c r="AS152" s="72" t="str">
        <f t="shared" si="4"/>
        <v/>
      </c>
      <c r="AT152" s="72" t="str">
        <f t="shared" si="4"/>
        <v>*</v>
      </c>
      <c r="AU152" s="72" t="str">
        <f t="shared" si="4"/>
        <v/>
      </c>
      <c r="AV152" s="72" t="str">
        <f t="shared" si="4"/>
        <v/>
      </c>
      <c r="AW152" s="72" t="str">
        <f t="shared" si="4"/>
        <v>*</v>
      </c>
      <c r="AX152" s="72" t="str">
        <f t="shared" si="4"/>
        <v/>
      </c>
      <c r="AY152" s="72" t="str">
        <f t="shared" si="4"/>
        <v/>
      </c>
      <c r="AZ152" s="72" t="str">
        <f t="shared" si="4"/>
        <v>*</v>
      </c>
      <c r="BA152" s="72" t="str">
        <f t="shared" si="4"/>
        <v>*</v>
      </c>
      <c r="BB152" s="72" t="str">
        <f t="shared" si="4"/>
        <v/>
      </c>
      <c r="BC152" s="72" t="str">
        <f t="shared" si="4"/>
        <v>*</v>
      </c>
      <c r="BD152" s="72" t="str">
        <f t="shared" si="4"/>
        <v>*</v>
      </c>
      <c r="BE152" s="72" t="str">
        <f t="shared" si="4"/>
        <v/>
      </c>
      <c r="BF152" s="72" t="str">
        <f t="shared" si="4"/>
        <v/>
      </c>
      <c r="BG152" s="72" t="str">
        <f t="shared" si="4"/>
        <v/>
      </c>
    </row>
    <row r="153" spans="1:59" s="69" customFormat="1" ht="15" hidden="1" customHeight="1" x14ac:dyDescent="0.2">
      <c r="A153" s="109"/>
      <c r="B153" s="70" t="s">
        <v>177</v>
      </c>
      <c r="C153" s="71" t="s">
        <v>194</v>
      </c>
      <c r="D153" s="72" t="str">
        <f t="shared" si="3"/>
        <v/>
      </c>
      <c r="E153" s="72" t="str">
        <f t="shared" si="1"/>
        <v/>
      </c>
      <c r="F153" s="72" t="str">
        <f t="shared" si="1"/>
        <v/>
      </c>
      <c r="G153" s="72" t="str">
        <f t="shared" si="1"/>
        <v/>
      </c>
      <c r="H153" s="72" t="str">
        <f t="shared" si="1"/>
        <v/>
      </c>
      <c r="I153" s="72" t="str">
        <f t="shared" si="1"/>
        <v/>
      </c>
      <c r="J153" s="72" t="str">
        <f t="shared" si="1"/>
        <v/>
      </c>
      <c r="K153" s="72" t="str">
        <f t="shared" si="1"/>
        <v/>
      </c>
      <c r="L153" s="72" t="str">
        <f t="shared" si="1"/>
        <v/>
      </c>
      <c r="M153" s="72" t="str">
        <f t="shared" si="1"/>
        <v/>
      </c>
      <c r="N153" s="72" t="str">
        <f t="shared" si="1"/>
        <v/>
      </c>
      <c r="O153" s="72" t="str">
        <f t="shared" si="1"/>
        <v/>
      </c>
      <c r="P153" s="72" t="str">
        <f t="shared" si="1"/>
        <v/>
      </c>
      <c r="Q153" s="72" t="str">
        <f t="shared" si="1"/>
        <v/>
      </c>
      <c r="R153" s="72" t="str">
        <f t="shared" si="1"/>
        <v/>
      </c>
      <c r="S153" s="72" t="str">
        <f t="shared" si="1"/>
        <v/>
      </c>
      <c r="T153" s="72" t="str">
        <f t="shared" si="1"/>
        <v/>
      </c>
      <c r="U153" s="72" t="str">
        <f t="shared" si="1"/>
        <v/>
      </c>
      <c r="V153" s="72" t="str">
        <f t="shared" ref="V153:BG153" si="5">IF(V83=V9,"","*")</f>
        <v/>
      </c>
      <c r="W153" s="72" t="str">
        <f t="shared" si="5"/>
        <v/>
      </c>
      <c r="X153" s="72" t="str">
        <f t="shared" si="5"/>
        <v/>
      </c>
      <c r="Y153" s="72" t="str">
        <f t="shared" si="5"/>
        <v/>
      </c>
      <c r="Z153" s="72" t="str">
        <f t="shared" si="5"/>
        <v/>
      </c>
      <c r="AA153" s="72" t="str">
        <f t="shared" si="5"/>
        <v/>
      </c>
      <c r="AB153" s="72" t="str">
        <f t="shared" si="5"/>
        <v/>
      </c>
      <c r="AC153" s="72" t="str">
        <f t="shared" si="5"/>
        <v/>
      </c>
      <c r="AD153" s="72" t="str">
        <f t="shared" si="5"/>
        <v/>
      </c>
      <c r="AE153" s="72" t="str">
        <f t="shared" si="5"/>
        <v/>
      </c>
      <c r="AF153" s="72" t="str">
        <f t="shared" si="5"/>
        <v/>
      </c>
      <c r="AG153" s="72" t="str">
        <f t="shared" si="5"/>
        <v/>
      </c>
      <c r="AH153" s="72" t="str">
        <f t="shared" si="5"/>
        <v/>
      </c>
      <c r="AI153" s="72" t="str">
        <f t="shared" si="5"/>
        <v/>
      </c>
      <c r="AJ153" s="72" t="str">
        <f t="shared" si="5"/>
        <v/>
      </c>
      <c r="AK153" s="72" t="str">
        <f t="shared" si="5"/>
        <v/>
      </c>
      <c r="AL153" s="72" t="str">
        <f t="shared" si="5"/>
        <v/>
      </c>
      <c r="AM153" s="72" t="str">
        <f t="shared" si="5"/>
        <v/>
      </c>
      <c r="AN153" s="72" t="str">
        <f t="shared" si="5"/>
        <v/>
      </c>
      <c r="AO153" s="72" t="str">
        <f t="shared" si="5"/>
        <v/>
      </c>
      <c r="AP153" s="72" t="str">
        <f t="shared" si="5"/>
        <v/>
      </c>
      <c r="AQ153" s="72" t="str">
        <f t="shared" si="5"/>
        <v/>
      </c>
      <c r="AR153" s="72" t="str">
        <f t="shared" si="5"/>
        <v/>
      </c>
      <c r="AS153" s="72" t="str">
        <f t="shared" si="5"/>
        <v/>
      </c>
      <c r="AT153" s="72" t="str">
        <f t="shared" si="5"/>
        <v/>
      </c>
      <c r="AU153" s="72" t="str">
        <f t="shared" si="5"/>
        <v/>
      </c>
      <c r="AV153" s="72" t="str">
        <f t="shared" si="5"/>
        <v/>
      </c>
      <c r="AW153" s="72" t="str">
        <f t="shared" si="5"/>
        <v/>
      </c>
      <c r="AX153" s="72" t="str">
        <f t="shared" si="5"/>
        <v/>
      </c>
      <c r="AY153" s="72" t="str">
        <f t="shared" si="5"/>
        <v/>
      </c>
      <c r="AZ153" s="72" t="str">
        <f t="shared" si="5"/>
        <v/>
      </c>
      <c r="BA153" s="72" t="str">
        <f t="shared" si="5"/>
        <v/>
      </c>
      <c r="BB153" s="72" t="str">
        <f t="shared" si="5"/>
        <v/>
      </c>
      <c r="BC153" s="72" t="str">
        <f t="shared" si="5"/>
        <v/>
      </c>
      <c r="BD153" s="72" t="str">
        <f t="shared" si="5"/>
        <v/>
      </c>
      <c r="BE153" s="72" t="str">
        <f t="shared" si="5"/>
        <v/>
      </c>
      <c r="BF153" s="72" t="str">
        <f t="shared" si="5"/>
        <v/>
      </c>
      <c r="BG153" s="72" t="str">
        <f t="shared" si="5"/>
        <v/>
      </c>
    </row>
    <row r="154" spans="1:59" s="23" customFormat="1" ht="15" hidden="1" customHeight="1" x14ac:dyDescent="0.2">
      <c r="A154" s="81" t="s">
        <v>211</v>
      </c>
      <c r="B154" s="29" t="s">
        <v>74</v>
      </c>
      <c r="C154" s="30" t="s">
        <v>0</v>
      </c>
      <c r="D154" s="31" t="str">
        <f t="shared" si="3"/>
        <v>*</v>
      </c>
      <c r="E154" s="31" t="str">
        <f t="shared" si="1"/>
        <v>*</v>
      </c>
      <c r="F154" s="31" t="str">
        <f t="shared" si="1"/>
        <v>*</v>
      </c>
      <c r="G154" s="31" t="str">
        <f t="shared" si="1"/>
        <v/>
      </c>
      <c r="H154" s="31" t="str">
        <f t="shared" si="1"/>
        <v/>
      </c>
      <c r="I154" s="31" t="str">
        <f t="shared" si="1"/>
        <v/>
      </c>
      <c r="J154" s="31" t="str">
        <f t="shared" si="1"/>
        <v/>
      </c>
      <c r="K154" s="31" t="str">
        <f t="shared" si="1"/>
        <v/>
      </c>
      <c r="L154" s="31" t="str">
        <f t="shared" si="1"/>
        <v/>
      </c>
      <c r="M154" s="31" t="str">
        <f t="shared" si="1"/>
        <v/>
      </c>
      <c r="N154" s="31" t="str">
        <f t="shared" si="1"/>
        <v/>
      </c>
      <c r="O154" s="31" t="str">
        <f t="shared" si="1"/>
        <v/>
      </c>
      <c r="P154" s="31" t="str">
        <f t="shared" si="1"/>
        <v/>
      </c>
      <c r="Q154" s="31" t="str">
        <f t="shared" si="1"/>
        <v/>
      </c>
      <c r="R154" s="31" t="str">
        <f t="shared" si="1"/>
        <v/>
      </c>
      <c r="S154" s="31" t="str">
        <f t="shared" si="1"/>
        <v/>
      </c>
      <c r="T154" s="31" t="str">
        <f t="shared" si="1"/>
        <v/>
      </c>
      <c r="U154" s="31" t="str">
        <f t="shared" si="1"/>
        <v/>
      </c>
      <c r="V154" s="31" t="str">
        <f t="shared" ref="V154:BG154" si="6">IF(V84=V10,"","*")</f>
        <v/>
      </c>
      <c r="W154" s="31" t="str">
        <f t="shared" si="6"/>
        <v/>
      </c>
      <c r="X154" s="31" t="str">
        <f t="shared" si="6"/>
        <v/>
      </c>
      <c r="Y154" s="31" t="str">
        <f t="shared" si="6"/>
        <v/>
      </c>
      <c r="Z154" s="31" t="str">
        <f t="shared" si="6"/>
        <v/>
      </c>
      <c r="AA154" s="31" t="str">
        <f t="shared" si="6"/>
        <v/>
      </c>
      <c r="AB154" s="31" t="str">
        <f t="shared" si="6"/>
        <v/>
      </c>
      <c r="AC154" s="31" t="str">
        <f t="shared" si="6"/>
        <v/>
      </c>
      <c r="AD154" s="31" t="str">
        <f t="shared" si="6"/>
        <v/>
      </c>
      <c r="AE154" s="31" t="str">
        <f t="shared" si="6"/>
        <v/>
      </c>
      <c r="AF154" s="31" t="str">
        <f t="shared" si="6"/>
        <v/>
      </c>
      <c r="AG154" s="31" t="str">
        <f t="shared" si="6"/>
        <v/>
      </c>
      <c r="AH154" s="31" t="str">
        <f t="shared" si="6"/>
        <v/>
      </c>
      <c r="AI154" s="31" t="str">
        <f t="shared" si="6"/>
        <v/>
      </c>
      <c r="AJ154" s="31" t="str">
        <f t="shared" si="6"/>
        <v/>
      </c>
      <c r="AK154" s="31" t="str">
        <f t="shared" si="6"/>
        <v/>
      </c>
      <c r="AL154" s="31" t="str">
        <f t="shared" si="6"/>
        <v/>
      </c>
      <c r="AM154" s="31" t="str">
        <f t="shared" si="6"/>
        <v/>
      </c>
      <c r="AN154" s="31" t="str">
        <f t="shared" si="6"/>
        <v/>
      </c>
      <c r="AO154" s="31" t="str">
        <f t="shared" si="6"/>
        <v/>
      </c>
      <c r="AP154" s="31" t="str">
        <f t="shared" si="6"/>
        <v/>
      </c>
      <c r="AQ154" s="31" t="str">
        <f t="shared" si="6"/>
        <v>*</v>
      </c>
      <c r="AR154" s="31" t="str">
        <f t="shared" si="6"/>
        <v>*</v>
      </c>
      <c r="AS154" s="31" t="str">
        <f t="shared" si="6"/>
        <v/>
      </c>
      <c r="AT154" s="31" t="str">
        <f t="shared" si="6"/>
        <v/>
      </c>
      <c r="AU154" s="31" t="str">
        <f t="shared" si="6"/>
        <v/>
      </c>
      <c r="AV154" s="31" t="str">
        <f t="shared" si="6"/>
        <v/>
      </c>
      <c r="AW154" s="31" t="str">
        <f t="shared" si="6"/>
        <v/>
      </c>
      <c r="AX154" s="31" t="str">
        <f t="shared" si="6"/>
        <v/>
      </c>
      <c r="AY154" s="31" t="str">
        <f t="shared" si="6"/>
        <v/>
      </c>
      <c r="AZ154" s="31" t="str">
        <f t="shared" si="6"/>
        <v>*</v>
      </c>
      <c r="BA154" s="31" t="str">
        <f t="shared" si="6"/>
        <v>*</v>
      </c>
      <c r="BB154" s="31" t="str">
        <f t="shared" si="6"/>
        <v/>
      </c>
      <c r="BC154" s="31" t="str">
        <f t="shared" si="6"/>
        <v/>
      </c>
      <c r="BD154" s="31" t="str">
        <f t="shared" si="6"/>
        <v>*</v>
      </c>
      <c r="BE154" s="31" t="str">
        <f t="shared" si="6"/>
        <v/>
      </c>
      <c r="BF154" s="31" t="str">
        <f t="shared" si="6"/>
        <v/>
      </c>
      <c r="BG154" s="31" t="str">
        <f t="shared" si="6"/>
        <v/>
      </c>
    </row>
    <row r="155" spans="1:59" s="23" customFormat="1" ht="15" hidden="1" customHeight="1" x14ac:dyDescent="0.2">
      <c r="A155" s="110" t="s">
        <v>3</v>
      </c>
      <c r="B155" s="32" t="s">
        <v>75</v>
      </c>
      <c r="C155" s="33" t="s">
        <v>2</v>
      </c>
      <c r="D155" s="22" t="str">
        <f t="shared" si="3"/>
        <v>*</v>
      </c>
      <c r="E155" s="22" t="str">
        <f t="shared" si="1"/>
        <v>*</v>
      </c>
      <c r="F155" s="22" t="str">
        <f t="shared" si="1"/>
        <v>*</v>
      </c>
      <c r="G155" s="22" t="str">
        <f t="shared" si="1"/>
        <v/>
      </c>
      <c r="H155" s="22" t="str">
        <f t="shared" si="1"/>
        <v/>
      </c>
      <c r="I155" s="22" t="str">
        <f t="shared" si="1"/>
        <v/>
      </c>
      <c r="J155" s="22" t="str">
        <f t="shared" si="1"/>
        <v/>
      </c>
      <c r="K155" s="22" t="str">
        <f t="shared" si="1"/>
        <v/>
      </c>
      <c r="L155" s="22" t="str">
        <f t="shared" si="1"/>
        <v/>
      </c>
      <c r="M155" s="22" t="str">
        <f t="shared" si="1"/>
        <v/>
      </c>
      <c r="N155" s="22" t="str">
        <f t="shared" si="1"/>
        <v/>
      </c>
      <c r="O155" s="22" t="str">
        <f t="shared" si="1"/>
        <v/>
      </c>
      <c r="P155" s="22" t="str">
        <f t="shared" si="1"/>
        <v/>
      </c>
      <c r="Q155" s="22" t="str">
        <f t="shared" si="1"/>
        <v/>
      </c>
      <c r="R155" s="22" t="str">
        <f t="shared" si="1"/>
        <v/>
      </c>
      <c r="S155" s="22" t="str">
        <f t="shared" si="1"/>
        <v/>
      </c>
      <c r="T155" s="22" t="str">
        <f t="shared" si="1"/>
        <v/>
      </c>
      <c r="U155" s="22" t="str">
        <f t="shared" si="1"/>
        <v/>
      </c>
      <c r="V155" s="22" t="str">
        <f t="shared" ref="V155:BG155" si="7">IF(V85=V11,"","*")</f>
        <v/>
      </c>
      <c r="W155" s="22" t="str">
        <f t="shared" si="7"/>
        <v/>
      </c>
      <c r="X155" s="22" t="str">
        <f t="shared" si="7"/>
        <v/>
      </c>
      <c r="Y155" s="22" t="str">
        <f t="shared" si="7"/>
        <v/>
      </c>
      <c r="Z155" s="22" t="str">
        <f t="shared" si="7"/>
        <v/>
      </c>
      <c r="AA155" s="22" t="str">
        <f t="shared" si="7"/>
        <v/>
      </c>
      <c r="AB155" s="22" t="str">
        <f t="shared" si="7"/>
        <v/>
      </c>
      <c r="AC155" s="22" t="str">
        <f t="shared" si="7"/>
        <v/>
      </c>
      <c r="AD155" s="22" t="str">
        <f t="shared" si="7"/>
        <v/>
      </c>
      <c r="AE155" s="22" t="str">
        <f t="shared" si="7"/>
        <v/>
      </c>
      <c r="AF155" s="22" t="str">
        <f t="shared" si="7"/>
        <v/>
      </c>
      <c r="AG155" s="22" t="str">
        <f t="shared" si="7"/>
        <v/>
      </c>
      <c r="AH155" s="22" t="str">
        <f t="shared" si="7"/>
        <v/>
      </c>
      <c r="AI155" s="22" t="str">
        <f t="shared" si="7"/>
        <v/>
      </c>
      <c r="AJ155" s="22" t="str">
        <f t="shared" si="7"/>
        <v/>
      </c>
      <c r="AK155" s="22" t="str">
        <f t="shared" si="7"/>
        <v/>
      </c>
      <c r="AL155" s="22" t="str">
        <f t="shared" si="7"/>
        <v/>
      </c>
      <c r="AM155" s="22" t="str">
        <f t="shared" si="7"/>
        <v/>
      </c>
      <c r="AN155" s="22" t="str">
        <f t="shared" si="7"/>
        <v/>
      </c>
      <c r="AO155" s="22" t="str">
        <f t="shared" si="7"/>
        <v/>
      </c>
      <c r="AP155" s="22" t="str">
        <f t="shared" si="7"/>
        <v/>
      </c>
      <c r="AQ155" s="22" t="str">
        <f t="shared" si="7"/>
        <v>*</v>
      </c>
      <c r="AR155" s="22" t="str">
        <f t="shared" si="7"/>
        <v>*</v>
      </c>
      <c r="AS155" s="22" t="str">
        <f t="shared" si="7"/>
        <v/>
      </c>
      <c r="AT155" s="22" t="str">
        <f t="shared" si="7"/>
        <v/>
      </c>
      <c r="AU155" s="22" t="str">
        <f t="shared" si="7"/>
        <v/>
      </c>
      <c r="AV155" s="22" t="str">
        <f t="shared" si="7"/>
        <v/>
      </c>
      <c r="AW155" s="22" t="str">
        <f t="shared" si="7"/>
        <v/>
      </c>
      <c r="AX155" s="22" t="str">
        <f t="shared" si="7"/>
        <v/>
      </c>
      <c r="AY155" s="22" t="str">
        <f t="shared" si="7"/>
        <v/>
      </c>
      <c r="AZ155" s="22" t="str">
        <f t="shared" si="7"/>
        <v>*</v>
      </c>
      <c r="BA155" s="22" t="str">
        <f t="shared" si="7"/>
        <v>*</v>
      </c>
      <c r="BB155" s="22" t="str">
        <f t="shared" si="7"/>
        <v/>
      </c>
      <c r="BC155" s="22" t="str">
        <f t="shared" si="7"/>
        <v/>
      </c>
      <c r="BD155" s="22" t="str">
        <f t="shared" si="7"/>
        <v>*</v>
      </c>
      <c r="BE155" s="22" t="str">
        <f t="shared" si="7"/>
        <v/>
      </c>
      <c r="BF155" s="22" t="str">
        <f t="shared" si="7"/>
        <v/>
      </c>
      <c r="BG155" s="22" t="str">
        <f t="shared" si="7"/>
        <v/>
      </c>
    </row>
    <row r="156" spans="1:59" s="23" customFormat="1" ht="15" hidden="1" customHeight="1" x14ac:dyDescent="0.2">
      <c r="A156" s="111"/>
      <c r="B156" s="32" t="s">
        <v>76</v>
      </c>
      <c r="C156" s="33" t="s">
        <v>194</v>
      </c>
      <c r="D156" s="22" t="str">
        <f t="shared" si="3"/>
        <v/>
      </c>
      <c r="E156" s="22" t="str">
        <f t="shared" si="1"/>
        <v/>
      </c>
      <c r="F156" s="22" t="str">
        <f t="shared" si="1"/>
        <v/>
      </c>
      <c r="G156" s="22" t="str">
        <f t="shared" si="1"/>
        <v/>
      </c>
      <c r="H156" s="22" t="str">
        <f t="shared" si="1"/>
        <v/>
      </c>
      <c r="I156" s="22" t="str">
        <f t="shared" si="1"/>
        <v/>
      </c>
      <c r="J156" s="22" t="str">
        <f t="shared" si="1"/>
        <v/>
      </c>
      <c r="K156" s="22" t="str">
        <f t="shared" si="1"/>
        <v/>
      </c>
      <c r="L156" s="22" t="str">
        <f t="shared" si="1"/>
        <v/>
      </c>
      <c r="M156" s="22" t="str">
        <f t="shared" si="1"/>
        <v/>
      </c>
      <c r="N156" s="22" t="str">
        <f t="shared" si="1"/>
        <v/>
      </c>
      <c r="O156" s="22" t="str">
        <f t="shared" si="1"/>
        <v/>
      </c>
      <c r="P156" s="22" t="str">
        <f t="shared" si="1"/>
        <v/>
      </c>
      <c r="Q156" s="22" t="str">
        <f t="shared" si="1"/>
        <v/>
      </c>
      <c r="R156" s="22" t="str">
        <f t="shared" si="1"/>
        <v/>
      </c>
      <c r="S156" s="22" t="str">
        <f t="shared" si="1"/>
        <v/>
      </c>
      <c r="T156" s="22" t="str">
        <f t="shared" si="1"/>
        <v/>
      </c>
      <c r="U156" s="22" t="str">
        <f t="shared" si="1"/>
        <v/>
      </c>
      <c r="V156" s="22" t="str">
        <f t="shared" ref="V156:BG156" si="8">IF(V86=V12,"","*")</f>
        <v/>
      </c>
      <c r="W156" s="22" t="str">
        <f t="shared" si="8"/>
        <v/>
      </c>
      <c r="X156" s="22" t="str">
        <f t="shared" si="8"/>
        <v/>
      </c>
      <c r="Y156" s="22" t="str">
        <f t="shared" si="8"/>
        <v/>
      </c>
      <c r="Z156" s="22" t="str">
        <f t="shared" si="8"/>
        <v/>
      </c>
      <c r="AA156" s="22" t="str">
        <f t="shared" si="8"/>
        <v/>
      </c>
      <c r="AB156" s="22" t="str">
        <f t="shared" si="8"/>
        <v/>
      </c>
      <c r="AC156" s="22" t="str">
        <f t="shared" si="8"/>
        <v/>
      </c>
      <c r="AD156" s="22" t="str">
        <f t="shared" si="8"/>
        <v/>
      </c>
      <c r="AE156" s="22" t="str">
        <f t="shared" si="8"/>
        <v/>
      </c>
      <c r="AF156" s="22" t="str">
        <f t="shared" si="8"/>
        <v/>
      </c>
      <c r="AG156" s="22" t="str">
        <f t="shared" si="8"/>
        <v/>
      </c>
      <c r="AH156" s="22" t="str">
        <f t="shared" si="8"/>
        <v/>
      </c>
      <c r="AI156" s="22" t="str">
        <f t="shared" si="8"/>
        <v/>
      </c>
      <c r="AJ156" s="22" t="str">
        <f t="shared" si="8"/>
        <v/>
      </c>
      <c r="AK156" s="22" t="str">
        <f t="shared" si="8"/>
        <v/>
      </c>
      <c r="AL156" s="22" t="str">
        <f t="shared" si="8"/>
        <v/>
      </c>
      <c r="AM156" s="22" t="str">
        <f t="shared" si="8"/>
        <v/>
      </c>
      <c r="AN156" s="22" t="str">
        <f t="shared" si="8"/>
        <v/>
      </c>
      <c r="AO156" s="22" t="str">
        <f t="shared" si="8"/>
        <v/>
      </c>
      <c r="AP156" s="22" t="str">
        <f t="shared" si="8"/>
        <v/>
      </c>
      <c r="AQ156" s="22" t="str">
        <f t="shared" si="8"/>
        <v/>
      </c>
      <c r="AR156" s="22" t="str">
        <f t="shared" si="8"/>
        <v/>
      </c>
      <c r="AS156" s="22" t="str">
        <f t="shared" si="8"/>
        <v/>
      </c>
      <c r="AT156" s="22" t="str">
        <f t="shared" si="8"/>
        <v/>
      </c>
      <c r="AU156" s="22" t="str">
        <f t="shared" si="8"/>
        <v/>
      </c>
      <c r="AV156" s="22" t="str">
        <f t="shared" si="8"/>
        <v/>
      </c>
      <c r="AW156" s="22" t="str">
        <f t="shared" si="8"/>
        <v/>
      </c>
      <c r="AX156" s="22" t="str">
        <f t="shared" si="8"/>
        <v/>
      </c>
      <c r="AY156" s="22" t="str">
        <f t="shared" si="8"/>
        <v/>
      </c>
      <c r="AZ156" s="22" t="str">
        <f t="shared" si="8"/>
        <v/>
      </c>
      <c r="BA156" s="22" t="str">
        <f t="shared" si="8"/>
        <v/>
      </c>
      <c r="BB156" s="22" t="str">
        <f t="shared" si="8"/>
        <v/>
      </c>
      <c r="BC156" s="22" t="str">
        <f t="shared" si="8"/>
        <v/>
      </c>
      <c r="BD156" s="22" t="str">
        <f t="shared" si="8"/>
        <v/>
      </c>
      <c r="BE156" s="22" t="str">
        <f t="shared" si="8"/>
        <v/>
      </c>
      <c r="BF156" s="22" t="str">
        <f t="shared" si="8"/>
        <v/>
      </c>
      <c r="BG156" s="22" t="str">
        <f t="shared" si="8"/>
        <v/>
      </c>
    </row>
    <row r="157" spans="1:59" s="23" customFormat="1" ht="15" hidden="1" customHeight="1" x14ac:dyDescent="0.2">
      <c r="A157" s="81" t="s">
        <v>212</v>
      </c>
      <c r="B157" s="29" t="s">
        <v>74</v>
      </c>
      <c r="C157" s="30" t="s">
        <v>0</v>
      </c>
      <c r="D157" s="31" t="str">
        <f t="shared" si="3"/>
        <v/>
      </c>
      <c r="E157" s="31" t="str">
        <f t="shared" si="1"/>
        <v/>
      </c>
      <c r="F157" s="31" t="str">
        <f t="shared" si="1"/>
        <v/>
      </c>
      <c r="G157" s="31" t="str">
        <f t="shared" si="1"/>
        <v/>
      </c>
      <c r="H157" s="31" t="str">
        <f t="shared" si="1"/>
        <v/>
      </c>
      <c r="I157" s="31" t="str">
        <f t="shared" si="1"/>
        <v/>
      </c>
      <c r="J157" s="31" t="str">
        <f t="shared" si="1"/>
        <v/>
      </c>
      <c r="K157" s="31" t="str">
        <f t="shared" si="1"/>
        <v/>
      </c>
      <c r="L157" s="31" t="str">
        <f t="shared" si="1"/>
        <v/>
      </c>
      <c r="M157" s="31" t="str">
        <f t="shared" si="1"/>
        <v/>
      </c>
      <c r="N157" s="31" t="str">
        <f t="shared" si="1"/>
        <v/>
      </c>
      <c r="O157" s="31" t="str">
        <f t="shared" si="1"/>
        <v/>
      </c>
      <c r="P157" s="31" t="str">
        <f t="shared" si="1"/>
        <v/>
      </c>
      <c r="Q157" s="31" t="str">
        <f t="shared" si="1"/>
        <v/>
      </c>
      <c r="R157" s="31" t="str">
        <f t="shared" si="1"/>
        <v/>
      </c>
      <c r="S157" s="31" t="str">
        <f t="shared" si="1"/>
        <v/>
      </c>
      <c r="T157" s="31" t="str">
        <f t="shared" si="1"/>
        <v/>
      </c>
      <c r="U157" s="31" t="str">
        <f t="shared" si="1"/>
        <v/>
      </c>
      <c r="V157" s="31" t="str">
        <f t="shared" ref="V157:BG157" si="9">IF(V87=V13,"","*")</f>
        <v/>
      </c>
      <c r="W157" s="31" t="str">
        <f t="shared" si="9"/>
        <v/>
      </c>
      <c r="X157" s="31" t="str">
        <f t="shared" si="9"/>
        <v/>
      </c>
      <c r="Y157" s="31" t="str">
        <f t="shared" si="9"/>
        <v/>
      </c>
      <c r="Z157" s="31" t="str">
        <f t="shared" si="9"/>
        <v/>
      </c>
      <c r="AA157" s="31" t="str">
        <f t="shared" si="9"/>
        <v/>
      </c>
      <c r="AB157" s="31" t="str">
        <f t="shared" si="9"/>
        <v/>
      </c>
      <c r="AC157" s="31" t="str">
        <f t="shared" si="9"/>
        <v/>
      </c>
      <c r="AD157" s="31" t="str">
        <f t="shared" si="9"/>
        <v/>
      </c>
      <c r="AE157" s="31" t="str">
        <f t="shared" si="9"/>
        <v/>
      </c>
      <c r="AF157" s="31" t="str">
        <f t="shared" si="9"/>
        <v/>
      </c>
      <c r="AG157" s="31" t="str">
        <f t="shared" si="9"/>
        <v/>
      </c>
      <c r="AH157" s="31" t="str">
        <f t="shared" si="9"/>
        <v/>
      </c>
      <c r="AI157" s="31" t="str">
        <f t="shared" si="9"/>
        <v/>
      </c>
      <c r="AJ157" s="31" t="str">
        <f t="shared" si="9"/>
        <v/>
      </c>
      <c r="AK157" s="31" t="str">
        <f t="shared" si="9"/>
        <v/>
      </c>
      <c r="AL157" s="31" t="str">
        <f t="shared" si="9"/>
        <v/>
      </c>
      <c r="AM157" s="31" t="str">
        <f t="shared" si="9"/>
        <v/>
      </c>
      <c r="AN157" s="31" t="str">
        <f t="shared" si="9"/>
        <v/>
      </c>
      <c r="AO157" s="31" t="str">
        <f t="shared" si="9"/>
        <v/>
      </c>
      <c r="AP157" s="31" t="str">
        <f t="shared" si="9"/>
        <v/>
      </c>
      <c r="AQ157" s="31" t="str">
        <f t="shared" si="9"/>
        <v/>
      </c>
      <c r="AR157" s="31" t="str">
        <f t="shared" si="9"/>
        <v/>
      </c>
      <c r="AS157" s="31" t="str">
        <f t="shared" si="9"/>
        <v/>
      </c>
      <c r="AT157" s="31" t="str">
        <f t="shared" si="9"/>
        <v/>
      </c>
      <c r="AU157" s="31" t="str">
        <f t="shared" si="9"/>
        <v/>
      </c>
      <c r="AV157" s="31" t="str">
        <f t="shared" si="9"/>
        <v/>
      </c>
      <c r="AW157" s="31" t="str">
        <f t="shared" si="9"/>
        <v/>
      </c>
      <c r="AX157" s="31" t="str">
        <f t="shared" si="9"/>
        <v/>
      </c>
      <c r="AY157" s="31" t="str">
        <f t="shared" si="9"/>
        <v/>
      </c>
      <c r="AZ157" s="31" t="str">
        <f t="shared" si="9"/>
        <v/>
      </c>
      <c r="BA157" s="31" t="str">
        <f t="shared" si="9"/>
        <v/>
      </c>
      <c r="BB157" s="31" t="str">
        <f t="shared" si="9"/>
        <v/>
      </c>
      <c r="BC157" s="31" t="str">
        <f t="shared" si="9"/>
        <v/>
      </c>
      <c r="BD157" s="31" t="str">
        <f t="shared" si="9"/>
        <v/>
      </c>
      <c r="BE157" s="31" t="str">
        <f t="shared" si="9"/>
        <v/>
      </c>
      <c r="BF157" s="31" t="str">
        <f t="shared" si="9"/>
        <v/>
      </c>
      <c r="BG157" s="31" t="str">
        <f t="shared" si="9"/>
        <v/>
      </c>
    </row>
    <row r="158" spans="1:59" s="23" customFormat="1" ht="15" hidden="1" customHeight="1" x14ac:dyDescent="0.2">
      <c r="A158" s="110" t="s">
        <v>4</v>
      </c>
      <c r="B158" s="32" t="s">
        <v>75</v>
      </c>
      <c r="C158" s="33" t="s">
        <v>2</v>
      </c>
      <c r="D158" s="22" t="str">
        <f t="shared" si="3"/>
        <v/>
      </c>
      <c r="E158" s="22" t="str">
        <f t="shared" si="1"/>
        <v/>
      </c>
      <c r="F158" s="22" t="str">
        <f t="shared" si="1"/>
        <v/>
      </c>
      <c r="G158" s="22" t="str">
        <f t="shared" si="1"/>
        <v/>
      </c>
      <c r="H158" s="22" t="str">
        <f t="shared" si="1"/>
        <v/>
      </c>
      <c r="I158" s="22" t="str">
        <f t="shared" si="1"/>
        <v/>
      </c>
      <c r="J158" s="22" t="str">
        <f t="shared" si="1"/>
        <v/>
      </c>
      <c r="K158" s="22" t="str">
        <f t="shared" si="1"/>
        <v/>
      </c>
      <c r="L158" s="22" t="str">
        <f t="shared" si="1"/>
        <v/>
      </c>
      <c r="M158" s="22" t="str">
        <f t="shared" si="1"/>
        <v/>
      </c>
      <c r="N158" s="22" t="str">
        <f t="shared" si="1"/>
        <v/>
      </c>
      <c r="O158" s="22" t="str">
        <f t="shared" si="1"/>
        <v/>
      </c>
      <c r="P158" s="22" t="str">
        <f t="shared" si="1"/>
        <v/>
      </c>
      <c r="Q158" s="22" t="str">
        <f t="shared" si="1"/>
        <v/>
      </c>
      <c r="R158" s="22" t="str">
        <f t="shared" si="1"/>
        <v/>
      </c>
      <c r="S158" s="22" t="str">
        <f t="shared" si="1"/>
        <v/>
      </c>
      <c r="T158" s="22" t="str">
        <f t="shared" si="1"/>
        <v/>
      </c>
      <c r="U158" s="22" t="str">
        <f t="shared" si="1"/>
        <v/>
      </c>
      <c r="V158" s="22" t="str">
        <f t="shared" ref="V158:BG158" si="10">IF(V88=V14,"","*")</f>
        <v/>
      </c>
      <c r="W158" s="22" t="str">
        <f t="shared" si="10"/>
        <v/>
      </c>
      <c r="X158" s="22" t="str">
        <f t="shared" si="10"/>
        <v/>
      </c>
      <c r="Y158" s="22" t="str">
        <f t="shared" si="10"/>
        <v/>
      </c>
      <c r="Z158" s="22" t="str">
        <f t="shared" si="10"/>
        <v/>
      </c>
      <c r="AA158" s="22" t="str">
        <f t="shared" si="10"/>
        <v/>
      </c>
      <c r="AB158" s="22" t="str">
        <f t="shared" si="10"/>
        <v/>
      </c>
      <c r="AC158" s="22" t="str">
        <f t="shared" si="10"/>
        <v/>
      </c>
      <c r="AD158" s="22" t="str">
        <f t="shared" si="10"/>
        <v/>
      </c>
      <c r="AE158" s="22" t="str">
        <f t="shared" si="10"/>
        <v/>
      </c>
      <c r="AF158" s="22" t="str">
        <f t="shared" si="10"/>
        <v/>
      </c>
      <c r="AG158" s="22" t="str">
        <f t="shared" si="10"/>
        <v/>
      </c>
      <c r="AH158" s="22" t="str">
        <f t="shared" si="10"/>
        <v/>
      </c>
      <c r="AI158" s="22" t="str">
        <f t="shared" si="10"/>
        <v/>
      </c>
      <c r="AJ158" s="22" t="str">
        <f t="shared" si="10"/>
        <v/>
      </c>
      <c r="AK158" s="22" t="str">
        <f t="shared" si="10"/>
        <v/>
      </c>
      <c r="AL158" s="22" t="str">
        <f t="shared" si="10"/>
        <v/>
      </c>
      <c r="AM158" s="22" t="str">
        <f t="shared" si="10"/>
        <v/>
      </c>
      <c r="AN158" s="22" t="str">
        <f t="shared" si="10"/>
        <v/>
      </c>
      <c r="AO158" s="22" t="str">
        <f t="shared" si="10"/>
        <v/>
      </c>
      <c r="AP158" s="22" t="str">
        <f t="shared" si="10"/>
        <v/>
      </c>
      <c r="AQ158" s="22" t="str">
        <f t="shared" si="10"/>
        <v/>
      </c>
      <c r="AR158" s="22" t="str">
        <f t="shared" si="10"/>
        <v/>
      </c>
      <c r="AS158" s="22" t="str">
        <f t="shared" si="10"/>
        <v/>
      </c>
      <c r="AT158" s="22" t="str">
        <f t="shared" si="10"/>
        <v/>
      </c>
      <c r="AU158" s="22" t="str">
        <f t="shared" si="10"/>
        <v/>
      </c>
      <c r="AV158" s="22" t="str">
        <f t="shared" si="10"/>
        <v/>
      </c>
      <c r="AW158" s="22" t="str">
        <f t="shared" si="10"/>
        <v/>
      </c>
      <c r="AX158" s="22" t="str">
        <f t="shared" si="10"/>
        <v/>
      </c>
      <c r="AY158" s="22" t="str">
        <f t="shared" si="10"/>
        <v/>
      </c>
      <c r="AZ158" s="22" t="str">
        <f t="shared" si="10"/>
        <v/>
      </c>
      <c r="BA158" s="22" t="str">
        <f t="shared" si="10"/>
        <v/>
      </c>
      <c r="BB158" s="22" t="str">
        <f t="shared" si="10"/>
        <v/>
      </c>
      <c r="BC158" s="22" t="str">
        <f t="shared" si="10"/>
        <v/>
      </c>
      <c r="BD158" s="22" t="str">
        <f t="shared" si="10"/>
        <v/>
      </c>
      <c r="BE158" s="22" t="str">
        <f t="shared" si="10"/>
        <v/>
      </c>
      <c r="BF158" s="22" t="str">
        <f t="shared" si="10"/>
        <v/>
      </c>
      <c r="BG158" s="22" t="str">
        <f t="shared" si="10"/>
        <v/>
      </c>
    </row>
    <row r="159" spans="1:59" s="23" customFormat="1" ht="15" hidden="1" customHeight="1" x14ac:dyDescent="0.2">
      <c r="A159" s="111"/>
      <c r="B159" s="34" t="s">
        <v>76</v>
      </c>
      <c r="C159" s="35" t="s">
        <v>194</v>
      </c>
      <c r="D159" s="22" t="str">
        <f t="shared" si="3"/>
        <v/>
      </c>
      <c r="E159" s="22" t="str">
        <f t="shared" ref="E159:U166" si="11">IF(E89=E15,"","*")</f>
        <v/>
      </c>
      <c r="F159" s="22" t="str">
        <f t="shared" si="11"/>
        <v/>
      </c>
      <c r="G159" s="22" t="str">
        <f t="shared" si="11"/>
        <v/>
      </c>
      <c r="H159" s="22" t="str">
        <f t="shared" si="11"/>
        <v/>
      </c>
      <c r="I159" s="22" t="str">
        <f t="shared" si="11"/>
        <v/>
      </c>
      <c r="J159" s="22" t="str">
        <f t="shared" si="11"/>
        <v/>
      </c>
      <c r="K159" s="22" t="str">
        <f t="shared" si="11"/>
        <v/>
      </c>
      <c r="L159" s="22" t="str">
        <f t="shared" si="11"/>
        <v/>
      </c>
      <c r="M159" s="22" t="str">
        <f t="shared" si="11"/>
        <v/>
      </c>
      <c r="N159" s="22" t="str">
        <f t="shared" si="11"/>
        <v/>
      </c>
      <c r="O159" s="22" t="str">
        <f t="shared" si="11"/>
        <v/>
      </c>
      <c r="P159" s="22" t="str">
        <f t="shared" si="11"/>
        <v/>
      </c>
      <c r="Q159" s="22" t="str">
        <f t="shared" si="11"/>
        <v/>
      </c>
      <c r="R159" s="22" t="str">
        <f t="shared" si="11"/>
        <v/>
      </c>
      <c r="S159" s="22" t="str">
        <f t="shared" si="11"/>
        <v/>
      </c>
      <c r="T159" s="22" t="str">
        <f t="shared" si="11"/>
        <v/>
      </c>
      <c r="U159" s="22" t="str">
        <f t="shared" si="11"/>
        <v/>
      </c>
      <c r="V159" s="22" t="str">
        <f t="shared" ref="V159:BG159" si="12">IF(V89=V15,"","*")</f>
        <v/>
      </c>
      <c r="W159" s="22" t="str">
        <f t="shared" si="12"/>
        <v/>
      </c>
      <c r="X159" s="22" t="str">
        <f t="shared" si="12"/>
        <v/>
      </c>
      <c r="Y159" s="22" t="str">
        <f t="shared" si="12"/>
        <v/>
      </c>
      <c r="Z159" s="22" t="str">
        <f t="shared" si="12"/>
        <v/>
      </c>
      <c r="AA159" s="22" t="str">
        <f t="shared" si="12"/>
        <v/>
      </c>
      <c r="AB159" s="22" t="str">
        <f t="shared" si="12"/>
        <v/>
      </c>
      <c r="AC159" s="22" t="str">
        <f t="shared" si="12"/>
        <v/>
      </c>
      <c r="AD159" s="22" t="str">
        <f t="shared" si="12"/>
        <v/>
      </c>
      <c r="AE159" s="22" t="str">
        <f t="shared" si="12"/>
        <v/>
      </c>
      <c r="AF159" s="22" t="str">
        <f t="shared" si="12"/>
        <v/>
      </c>
      <c r="AG159" s="22" t="str">
        <f t="shared" si="12"/>
        <v/>
      </c>
      <c r="AH159" s="22" t="str">
        <f t="shared" si="12"/>
        <v/>
      </c>
      <c r="AI159" s="22" t="str">
        <f t="shared" si="12"/>
        <v/>
      </c>
      <c r="AJ159" s="22" t="str">
        <f t="shared" si="12"/>
        <v/>
      </c>
      <c r="AK159" s="22" t="str">
        <f t="shared" si="12"/>
        <v/>
      </c>
      <c r="AL159" s="22" t="str">
        <f t="shared" si="12"/>
        <v/>
      </c>
      <c r="AM159" s="22" t="str">
        <f t="shared" si="12"/>
        <v/>
      </c>
      <c r="AN159" s="22" t="str">
        <f t="shared" si="12"/>
        <v/>
      </c>
      <c r="AO159" s="22" t="str">
        <f t="shared" si="12"/>
        <v/>
      </c>
      <c r="AP159" s="22" t="str">
        <f t="shared" si="12"/>
        <v/>
      </c>
      <c r="AQ159" s="22" t="str">
        <f t="shared" si="12"/>
        <v/>
      </c>
      <c r="AR159" s="22" t="str">
        <f t="shared" si="12"/>
        <v/>
      </c>
      <c r="AS159" s="22" t="str">
        <f t="shared" si="12"/>
        <v/>
      </c>
      <c r="AT159" s="22" t="str">
        <f t="shared" si="12"/>
        <v/>
      </c>
      <c r="AU159" s="22" t="str">
        <f t="shared" si="12"/>
        <v/>
      </c>
      <c r="AV159" s="22" t="str">
        <f t="shared" si="12"/>
        <v/>
      </c>
      <c r="AW159" s="22" t="str">
        <f t="shared" si="12"/>
        <v/>
      </c>
      <c r="AX159" s="22" t="str">
        <f t="shared" si="12"/>
        <v/>
      </c>
      <c r="AY159" s="22" t="str">
        <f t="shared" si="12"/>
        <v/>
      </c>
      <c r="AZ159" s="22" t="str">
        <f t="shared" si="12"/>
        <v/>
      </c>
      <c r="BA159" s="22" t="str">
        <f t="shared" si="12"/>
        <v/>
      </c>
      <c r="BB159" s="22" t="str">
        <f t="shared" si="12"/>
        <v/>
      </c>
      <c r="BC159" s="22" t="str">
        <f t="shared" si="12"/>
        <v/>
      </c>
      <c r="BD159" s="22" t="str">
        <f t="shared" si="12"/>
        <v/>
      </c>
      <c r="BE159" s="22" t="str">
        <f t="shared" si="12"/>
        <v/>
      </c>
      <c r="BF159" s="22" t="str">
        <f t="shared" si="12"/>
        <v/>
      </c>
      <c r="BG159" s="22" t="str">
        <f t="shared" si="12"/>
        <v/>
      </c>
    </row>
    <row r="160" spans="1:59" s="23" customFormat="1" ht="15" hidden="1" customHeight="1" x14ac:dyDescent="0.2">
      <c r="A160" s="81" t="s">
        <v>213</v>
      </c>
      <c r="B160" s="29" t="s">
        <v>74</v>
      </c>
      <c r="C160" s="30" t="s">
        <v>0</v>
      </c>
      <c r="D160" s="31" t="str">
        <f t="shared" si="3"/>
        <v/>
      </c>
      <c r="E160" s="31" t="str">
        <f t="shared" si="11"/>
        <v/>
      </c>
      <c r="F160" s="31" t="str">
        <f t="shared" si="11"/>
        <v/>
      </c>
      <c r="G160" s="31" t="str">
        <f t="shared" si="11"/>
        <v/>
      </c>
      <c r="H160" s="31" t="str">
        <f t="shared" si="11"/>
        <v/>
      </c>
      <c r="I160" s="31" t="str">
        <f t="shared" si="11"/>
        <v/>
      </c>
      <c r="J160" s="31" t="str">
        <f t="shared" si="11"/>
        <v/>
      </c>
      <c r="K160" s="31" t="str">
        <f t="shared" si="11"/>
        <v/>
      </c>
      <c r="L160" s="31" t="str">
        <f t="shared" si="11"/>
        <v/>
      </c>
      <c r="M160" s="31" t="str">
        <f t="shared" si="11"/>
        <v/>
      </c>
      <c r="N160" s="31" t="str">
        <f t="shared" si="11"/>
        <v/>
      </c>
      <c r="O160" s="31" t="str">
        <f t="shared" si="11"/>
        <v/>
      </c>
      <c r="P160" s="31" t="str">
        <f t="shared" si="11"/>
        <v/>
      </c>
      <c r="Q160" s="31" t="str">
        <f t="shared" si="11"/>
        <v/>
      </c>
      <c r="R160" s="31" t="str">
        <f t="shared" si="11"/>
        <v/>
      </c>
      <c r="S160" s="31" t="str">
        <f t="shared" si="11"/>
        <v/>
      </c>
      <c r="T160" s="31" t="str">
        <f t="shared" si="11"/>
        <v/>
      </c>
      <c r="U160" s="31" t="str">
        <f t="shared" si="11"/>
        <v/>
      </c>
      <c r="V160" s="31" t="str">
        <f t="shared" ref="V160:BG160" si="13">IF(V90=V16,"","*")</f>
        <v/>
      </c>
      <c r="W160" s="31" t="str">
        <f t="shared" si="13"/>
        <v/>
      </c>
      <c r="X160" s="31" t="str">
        <f t="shared" si="13"/>
        <v/>
      </c>
      <c r="Y160" s="31" t="str">
        <f t="shared" si="13"/>
        <v/>
      </c>
      <c r="Z160" s="31" t="str">
        <f t="shared" si="13"/>
        <v/>
      </c>
      <c r="AA160" s="31" t="str">
        <f t="shared" si="13"/>
        <v/>
      </c>
      <c r="AB160" s="31" t="str">
        <f t="shared" si="13"/>
        <v/>
      </c>
      <c r="AC160" s="31" t="str">
        <f t="shared" si="13"/>
        <v/>
      </c>
      <c r="AD160" s="31" t="str">
        <f t="shared" si="13"/>
        <v/>
      </c>
      <c r="AE160" s="31" t="str">
        <f t="shared" si="13"/>
        <v/>
      </c>
      <c r="AF160" s="31" t="str">
        <f t="shared" si="13"/>
        <v/>
      </c>
      <c r="AG160" s="31" t="str">
        <f t="shared" si="13"/>
        <v/>
      </c>
      <c r="AH160" s="31" t="str">
        <f t="shared" si="13"/>
        <v/>
      </c>
      <c r="AI160" s="31" t="str">
        <f t="shared" si="13"/>
        <v/>
      </c>
      <c r="AJ160" s="31" t="str">
        <f t="shared" si="13"/>
        <v/>
      </c>
      <c r="AK160" s="31" t="str">
        <f t="shared" si="13"/>
        <v/>
      </c>
      <c r="AL160" s="31" t="str">
        <f t="shared" si="13"/>
        <v/>
      </c>
      <c r="AM160" s="31" t="str">
        <f t="shared" si="13"/>
        <v/>
      </c>
      <c r="AN160" s="31" t="str">
        <f t="shared" si="13"/>
        <v/>
      </c>
      <c r="AO160" s="31" t="str">
        <f t="shared" si="13"/>
        <v/>
      </c>
      <c r="AP160" s="31" t="str">
        <f t="shared" si="13"/>
        <v/>
      </c>
      <c r="AQ160" s="31" t="str">
        <f t="shared" si="13"/>
        <v/>
      </c>
      <c r="AR160" s="31" t="str">
        <f t="shared" si="13"/>
        <v/>
      </c>
      <c r="AS160" s="31" t="str">
        <f t="shared" si="13"/>
        <v/>
      </c>
      <c r="AT160" s="31" t="str">
        <f t="shared" si="13"/>
        <v/>
      </c>
      <c r="AU160" s="31" t="str">
        <f t="shared" si="13"/>
        <v/>
      </c>
      <c r="AV160" s="31" t="str">
        <f t="shared" si="13"/>
        <v/>
      </c>
      <c r="AW160" s="31" t="str">
        <f t="shared" si="13"/>
        <v/>
      </c>
      <c r="AX160" s="31" t="str">
        <f t="shared" si="13"/>
        <v/>
      </c>
      <c r="AY160" s="31" t="str">
        <f t="shared" si="13"/>
        <v/>
      </c>
      <c r="AZ160" s="31" t="str">
        <f t="shared" si="13"/>
        <v/>
      </c>
      <c r="BA160" s="31" t="str">
        <f t="shared" si="13"/>
        <v/>
      </c>
      <c r="BB160" s="31" t="str">
        <f t="shared" si="13"/>
        <v/>
      </c>
      <c r="BC160" s="31" t="str">
        <f t="shared" si="13"/>
        <v/>
      </c>
      <c r="BD160" s="31" t="str">
        <f t="shared" si="13"/>
        <v/>
      </c>
      <c r="BE160" s="31" t="str">
        <f t="shared" si="13"/>
        <v/>
      </c>
      <c r="BF160" s="31" t="str">
        <f t="shared" si="13"/>
        <v/>
      </c>
      <c r="BG160" s="31" t="str">
        <f t="shared" si="13"/>
        <v/>
      </c>
    </row>
    <row r="161" spans="1:59" s="23" customFormat="1" ht="15" hidden="1" customHeight="1" x14ac:dyDescent="0.2">
      <c r="A161" s="110" t="s">
        <v>25</v>
      </c>
      <c r="B161" s="32" t="s">
        <v>75</v>
      </c>
      <c r="C161" s="33" t="s">
        <v>2</v>
      </c>
      <c r="D161" s="22" t="str">
        <f t="shared" si="3"/>
        <v/>
      </c>
      <c r="E161" s="22" t="str">
        <f t="shared" si="11"/>
        <v/>
      </c>
      <c r="F161" s="22" t="str">
        <f t="shared" si="11"/>
        <v/>
      </c>
      <c r="G161" s="22" t="str">
        <f t="shared" si="11"/>
        <v/>
      </c>
      <c r="H161" s="22" t="str">
        <f t="shared" si="11"/>
        <v/>
      </c>
      <c r="I161" s="22" t="str">
        <f t="shared" si="11"/>
        <v/>
      </c>
      <c r="J161" s="22" t="str">
        <f t="shared" si="11"/>
        <v/>
      </c>
      <c r="K161" s="22" t="str">
        <f t="shared" si="11"/>
        <v/>
      </c>
      <c r="L161" s="22" t="str">
        <f t="shared" si="11"/>
        <v/>
      </c>
      <c r="M161" s="22" t="str">
        <f t="shared" si="11"/>
        <v/>
      </c>
      <c r="N161" s="22" t="str">
        <f t="shared" si="11"/>
        <v/>
      </c>
      <c r="O161" s="22" t="str">
        <f t="shared" si="11"/>
        <v/>
      </c>
      <c r="P161" s="22" t="str">
        <f t="shared" si="11"/>
        <v/>
      </c>
      <c r="Q161" s="22" t="str">
        <f t="shared" si="11"/>
        <v/>
      </c>
      <c r="R161" s="22" t="str">
        <f t="shared" si="11"/>
        <v/>
      </c>
      <c r="S161" s="22" t="str">
        <f t="shared" si="11"/>
        <v/>
      </c>
      <c r="T161" s="22" t="str">
        <f t="shared" si="11"/>
        <v/>
      </c>
      <c r="U161" s="22" t="str">
        <f t="shared" si="11"/>
        <v/>
      </c>
      <c r="V161" s="22" t="str">
        <f t="shared" ref="V161:BG161" si="14">IF(V91=V17,"","*")</f>
        <v/>
      </c>
      <c r="W161" s="22" t="str">
        <f t="shared" si="14"/>
        <v/>
      </c>
      <c r="X161" s="22" t="str">
        <f t="shared" si="14"/>
        <v/>
      </c>
      <c r="Y161" s="22" t="str">
        <f t="shared" si="14"/>
        <v/>
      </c>
      <c r="Z161" s="22" t="str">
        <f t="shared" si="14"/>
        <v/>
      </c>
      <c r="AA161" s="22" t="str">
        <f t="shared" si="14"/>
        <v/>
      </c>
      <c r="AB161" s="22" t="str">
        <f t="shared" si="14"/>
        <v/>
      </c>
      <c r="AC161" s="22" t="str">
        <f t="shared" si="14"/>
        <v/>
      </c>
      <c r="AD161" s="22" t="str">
        <f t="shared" si="14"/>
        <v/>
      </c>
      <c r="AE161" s="22" t="str">
        <f t="shared" si="14"/>
        <v/>
      </c>
      <c r="AF161" s="22" t="str">
        <f t="shared" si="14"/>
        <v/>
      </c>
      <c r="AG161" s="22" t="str">
        <f t="shared" si="14"/>
        <v/>
      </c>
      <c r="AH161" s="22" t="str">
        <f t="shared" si="14"/>
        <v/>
      </c>
      <c r="AI161" s="22" t="str">
        <f t="shared" si="14"/>
        <v/>
      </c>
      <c r="AJ161" s="22" t="str">
        <f t="shared" si="14"/>
        <v/>
      </c>
      <c r="AK161" s="22" t="str">
        <f t="shared" si="14"/>
        <v/>
      </c>
      <c r="AL161" s="22" t="str">
        <f t="shared" si="14"/>
        <v/>
      </c>
      <c r="AM161" s="22" t="str">
        <f t="shared" si="14"/>
        <v/>
      </c>
      <c r="AN161" s="22" t="str">
        <f t="shared" si="14"/>
        <v/>
      </c>
      <c r="AO161" s="22" t="str">
        <f t="shared" si="14"/>
        <v/>
      </c>
      <c r="AP161" s="22" t="str">
        <f t="shared" si="14"/>
        <v/>
      </c>
      <c r="AQ161" s="22" t="str">
        <f t="shared" si="14"/>
        <v/>
      </c>
      <c r="AR161" s="22" t="str">
        <f t="shared" si="14"/>
        <v/>
      </c>
      <c r="AS161" s="22" t="str">
        <f t="shared" si="14"/>
        <v/>
      </c>
      <c r="AT161" s="22" t="str">
        <f t="shared" si="14"/>
        <v/>
      </c>
      <c r="AU161" s="22" t="str">
        <f t="shared" si="14"/>
        <v/>
      </c>
      <c r="AV161" s="22" t="str">
        <f t="shared" si="14"/>
        <v/>
      </c>
      <c r="AW161" s="22" t="str">
        <f t="shared" si="14"/>
        <v/>
      </c>
      <c r="AX161" s="22" t="str">
        <f t="shared" si="14"/>
        <v/>
      </c>
      <c r="AY161" s="22" t="str">
        <f t="shared" si="14"/>
        <v/>
      </c>
      <c r="AZ161" s="22" t="str">
        <f t="shared" si="14"/>
        <v/>
      </c>
      <c r="BA161" s="22" t="str">
        <f t="shared" si="14"/>
        <v/>
      </c>
      <c r="BB161" s="22" t="str">
        <f t="shared" si="14"/>
        <v/>
      </c>
      <c r="BC161" s="22" t="str">
        <f t="shared" si="14"/>
        <v/>
      </c>
      <c r="BD161" s="22" t="str">
        <f t="shared" si="14"/>
        <v/>
      </c>
      <c r="BE161" s="22" t="str">
        <f t="shared" si="14"/>
        <v/>
      </c>
      <c r="BF161" s="22" t="str">
        <f t="shared" si="14"/>
        <v/>
      </c>
      <c r="BG161" s="22" t="str">
        <f t="shared" si="14"/>
        <v/>
      </c>
    </row>
    <row r="162" spans="1:59" s="23" customFormat="1" ht="15" hidden="1" customHeight="1" x14ac:dyDescent="0.2">
      <c r="A162" s="111"/>
      <c r="B162" s="34" t="s">
        <v>76</v>
      </c>
      <c r="C162" s="35" t="s">
        <v>194</v>
      </c>
      <c r="D162" s="22" t="str">
        <f t="shared" si="3"/>
        <v/>
      </c>
      <c r="E162" s="22" t="str">
        <f t="shared" si="11"/>
        <v/>
      </c>
      <c r="F162" s="22" t="str">
        <f t="shared" si="11"/>
        <v/>
      </c>
      <c r="G162" s="22" t="str">
        <f t="shared" si="11"/>
        <v/>
      </c>
      <c r="H162" s="22" t="str">
        <f t="shared" si="11"/>
        <v/>
      </c>
      <c r="I162" s="22" t="str">
        <f t="shared" si="11"/>
        <v/>
      </c>
      <c r="J162" s="22" t="str">
        <f t="shared" si="11"/>
        <v/>
      </c>
      <c r="K162" s="22" t="str">
        <f t="shared" si="11"/>
        <v/>
      </c>
      <c r="L162" s="22" t="str">
        <f t="shared" si="11"/>
        <v/>
      </c>
      <c r="M162" s="22" t="str">
        <f t="shared" si="11"/>
        <v/>
      </c>
      <c r="N162" s="22" t="str">
        <f t="shared" si="11"/>
        <v/>
      </c>
      <c r="O162" s="22" t="str">
        <f t="shared" si="11"/>
        <v/>
      </c>
      <c r="P162" s="22" t="str">
        <f t="shared" si="11"/>
        <v/>
      </c>
      <c r="Q162" s="22" t="str">
        <f t="shared" si="11"/>
        <v/>
      </c>
      <c r="R162" s="22" t="str">
        <f t="shared" si="11"/>
        <v/>
      </c>
      <c r="S162" s="22" t="str">
        <f t="shared" si="11"/>
        <v/>
      </c>
      <c r="T162" s="22" t="str">
        <f t="shared" si="11"/>
        <v/>
      </c>
      <c r="U162" s="22" t="str">
        <f t="shared" si="11"/>
        <v/>
      </c>
      <c r="V162" s="22" t="str">
        <f t="shared" ref="V162:BG162" si="15">IF(V92=V18,"","*")</f>
        <v/>
      </c>
      <c r="W162" s="22" t="str">
        <f t="shared" si="15"/>
        <v/>
      </c>
      <c r="X162" s="22" t="str">
        <f t="shared" si="15"/>
        <v/>
      </c>
      <c r="Y162" s="22" t="str">
        <f t="shared" si="15"/>
        <v/>
      </c>
      <c r="Z162" s="22" t="str">
        <f t="shared" si="15"/>
        <v/>
      </c>
      <c r="AA162" s="22" t="str">
        <f t="shared" si="15"/>
        <v/>
      </c>
      <c r="AB162" s="22" t="str">
        <f t="shared" si="15"/>
        <v/>
      </c>
      <c r="AC162" s="22" t="str">
        <f t="shared" si="15"/>
        <v/>
      </c>
      <c r="AD162" s="22" t="str">
        <f t="shared" si="15"/>
        <v/>
      </c>
      <c r="AE162" s="22" t="str">
        <f t="shared" si="15"/>
        <v/>
      </c>
      <c r="AF162" s="22" t="str">
        <f t="shared" si="15"/>
        <v/>
      </c>
      <c r="AG162" s="22" t="str">
        <f t="shared" si="15"/>
        <v/>
      </c>
      <c r="AH162" s="22" t="str">
        <f t="shared" si="15"/>
        <v/>
      </c>
      <c r="AI162" s="22" t="str">
        <f t="shared" si="15"/>
        <v/>
      </c>
      <c r="AJ162" s="22" t="str">
        <f t="shared" si="15"/>
        <v/>
      </c>
      <c r="AK162" s="22" t="str">
        <f t="shared" si="15"/>
        <v/>
      </c>
      <c r="AL162" s="22" t="str">
        <f t="shared" si="15"/>
        <v/>
      </c>
      <c r="AM162" s="22" t="str">
        <f t="shared" si="15"/>
        <v/>
      </c>
      <c r="AN162" s="22" t="str">
        <f t="shared" si="15"/>
        <v/>
      </c>
      <c r="AO162" s="22" t="str">
        <f t="shared" si="15"/>
        <v/>
      </c>
      <c r="AP162" s="22" t="str">
        <f t="shared" si="15"/>
        <v/>
      </c>
      <c r="AQ162" s="22" t="str">
        <f t="shared" si="15"/>
        <v/>
      </c>
      <c r="AR162" s="22" t="str">
        <f t="shared" si="15"/>
        <v/>
      </c>
      <c r="AS162" s="22" t="str">
        <f t="shared" si="15"/>
        <v/>
      </c>
      <c r="AT162" s="22" t="str">
        <f t="shared" si="15"/>
        <v/>
      </c>
      <c r="AU162" s="22" t="str">
        <f t="shared" si="15"/>
        <v/>
      </c>
      <c r="AV162" s="22" t="str">
        <f t="shared" si="15"/>
        <v/>
      </c>
      <c r="AW162" s="22" t="str">
        <f t="shared" si="15"/>
        <v/>
      </c>
      <c r="AX162" s="22" t="str">
        <f t="shared" si="15"/>
        <v/>
      </c>
      <c r="AY162" s="22" t="str">
        <f t="shared" si="15"/>
        <v/>
      </c>
      <c r="AZ162" s="22" t="str">
        <f t="shared" si="15"/>
        <v/>
      </c>
      <c r="BA162" s="22" t="str">
        <f t="shared" si="15"/>
        <v/>
      </c>
      <c r="BB162" s="22" t="str">
        <f t="shared" si="15"/>
        <v/>
      </c>
      <c r="BC162" s="22" t="str">
        <f t="shared" si="15"/>
        <v/>
      </c>
      <c r="BD162" s="22" t="str">
        <f t="shared" si="15"/>
        <v/>
      </c>
      <c r="BE162" s="22" t="str">
        <f t="shared" si="15"/>
        <v/>
      </c>
      <c r="BF162" s="22" t="str">
        <f t="shared" si="15"/>
        <v/>
      </c>
      <c r="BG162" s="22" t="str">
        <f t="shared" si="15"/>
        <v/>
      </c>
    </row>
    <row r="163" spans="1:59" s="23" customFormat="1" ht="15" hidden="1" customHeight="1" x14ac:dyDescent="0.2">
      <c r="A163" s="81" t="s">
        <v>214</v>
      </c>
      <c r="B163" s="29" t="s">
        <v>74</v>
      </c>
      <c r="C163" s="30" t="s">
        <v>0</v>
      </c>
      <c r="D163" s="31" t="str">
        <f t="shared" si="3"/>
        <v/>
      </c>
      <c r="E163" s="31" t="str">
        <f t="shared" si="11"/>
        <v/>
      </c>
      <c r="F163" s="31" t="str">
        <f t="shared" si="11"/>
        <v/>
      </c>
      <c r="G163" s="31" t="str">
        <f t="shared" si="11"/>
        <v/>
      </c>
      <c r="H163" s="31" t="str">
        <f t="shared" si="11"/>
        <v/>
      </c>
      <c r="I163" s="31" t="str">
        <f t="shared" si="11"/>
        <v/>
      </c>
      <c r="J163" s="31" t="str">
        <f t="shared" si="11"/>
        <v/>
      </c>
      <c r="K163" s="31" t="str">
        <f t="shared" si="11"/>
        <v/>
      </c>
      <c r="L163" s="31" t="str">
        <f t="shared" si="11"/>
        <v/>
      </c>
      <c r="M163" s="31" t="str">
        <f t="shared" si="11"/>
        <v/>
      </c>
      <c r="N163" s="31" t="str">
        <f t="shared" si="11"/>
        <v/>
      </c>
      <c r="O163" s="31" t="str">
        <f t="shared" si="11"/>
        <v/>
      </c>
      <c r="P163" s="31" t="str">
        <f t="shared" si="11"/>
        <v/>
      </c>
      <c r="Q163" s="31" t="str">
        <f t="shared" si="11"/>
        <v/>
      </c>
      <c r="R163" s="31" t="str">
        <f t="shared" si="11"/>
        <v/>
      </c>
      <c r="S163" s="31" t="str">
        <f t="shared" si="11"/>
        <v/>
      </c>
      <c r="T163" s="31" t="str">
        <f t="shared" si="11"/>
        <v/>
      </c>
      <c r="U163" s="31" t="str">
        <f t="shared" si="11"/>
        <v/>
      </c>
      <c r="V163" s="31" t="str">
        <f t="shared" ref="V163:BG163" si="16">IF(V93=V19,"","*")</f>
        <v/>
      </c>
      <c r="W163" s="31" t="str">
        <f t="shared" si="16"/>
        <v/>
      </c>
      <c r="X163" s="31" t="str">
        <f t="shared" si="16"/>
        <v/>
      </c>
      <c r="Y163" s="31" t="str">
        <f t="shared" si="16"/>
        <v/>
      </c>
      <c r="Z163" s="31" t="str">
        <f t="shared" si="16"/>
        <v/>
      </c>
      <c r="AA163" s="31" t="str">
        <f t="shared" si="16"/>
        <v/>
      </c>
      <c r="AB163" s="31" t="str">
        <f t="shared" si="16"/>
        <v/>
      </c>
      <c r="AC163" s="31" t="str">
        <f t="shared" si="16"/>
        <v/>
      </c>
      <c r="AD163" s="31" t="str">
        <f t="shared" si="16"/>
        <v/>
      </c>
      <c r="AE163" s="31" t="str">
        <f t="shared" si="16"/>
        <v/>
      </c>
      <c r="AF163" s="31" t="str">
        <f t="shared" si="16"/>
        <v/>
      </c>
      <c r="AG163" s="31" t="str">
        <f t="shared" si="16"/>
        <v/>
      </c>
      <c r="AH163" s="31" t="str">
        <f t="shared" si="16"/>
        <v/>
      </c>
      <c r="AI163" s="31" t="str">
        <f t="shared" si="16"/>
        <v/>
      </c>
      <c r="AJ163" s="31" t="str">
        <f t="shared" si="16"/>
        <v/>
      </c>
      <c r="AK163" s="31" t="str">
        <f t="shared" si="16"/>
        <v/>
      </c>
      <c r="AL163" s="31" t="str">
        <f t="shared" si="16"/>
        <v/>
      </c>
      <c r="AM163" s="31" t="str">
        <f t="shared" si="16"/>
        <v/>
      </c>
      <c r="AN163" s="31" t="str">
        <f t="shared" si="16"/>
        <v/>
      </c>
      <c r="AO163" s="31" t="str">
        <f t="shared" si="16"/>
        <v/>
      </c>
      <c r="AP163" s="31" t="str">
        <f t="shared" si="16"/>
        <v/>
      </c>
      <c r="AQ163" s="31" t="str">
        <f t="shared" si="16"/>
        <v/>
      </c>
      <c r="AR163" s="31" t="str">
        <f t="shared" si="16"/>
        <v/>
      </c>
      <c r="AS163" s="31" t="str">
        <f t="shared" si="16"/>
        <v/>
      </c>
      <c r="AT163" s="31" t="str">
        <f t="shared" si="16"/>
        <v/>
      </c>
      <c r="AU163" s="31" t="str">
        <f t="shared" si="16"/>
        <v/>
      </c>
      <c r="AV163" s="31" t="str">
        <f t="shared" si="16"/>
        <v/>
      </c>
      <c r="AW163" s="31" t="str">
        <f t="shared" si="16"/>
        <v/>
      </c>
      <c r="AX163" s="31" t="str">
        <f t="shared" si="16"/>
        <v/>
      </c>
      <c r="AY163" s="31" t="str">
        <f t="shared" si="16"/>
        <v/>
      </c>
      <c r="AZ163" s="31" t="str">
        <f t="shared" si="16"/>
        <v/>
      </c>
      <c r="BA163" s="31" t="str">
        <f t="shared" si="16"/>
        <v/>
      </c>
      <c r="BB163" s="31" t="str">
        <f t="shared" si="16"/>
        <v/>
      </c>
      <c r="BC163" s="31" t="str">
        <f t="shared" si="16"/>
        <v/>
      </c>
      <c r="BD163" s="31" t="str">
        <f t="shared" si="16"/>
        <v/>
      </c>
      <c r="BE163" s="31" t="str">
        <f t="shared" si="16"/>
        <v/>
      </c>
      <c r="BF163" s="31" t="str">
        <f t="shared" si="16"/>
        <v/>
      </c>
      <c r="BG163" s="31" t="str">
        <f t="shared" si="16"/>
        <v/>
      </c>
    </row>
    <row r="164" spans="1:59" s="23" customFormat="1" ht="15" hidden="1" customHeight="1" x14ac:dyDescent="0.2">
      <c r="A164" s="110" t="s">
        <v>5</v>
      </c>
      <c r="B164" s="32" t="s">
        <v>75</v>
      </c>
      <c r="C164" s="33" t="s">
        <v>2</v>
      </c>
      <c r="D164" s="22" t="str">
        <f t="shared" si="3"/>
        <v/>
      </c>
      <c r="E164" s="22" t="str">
        <f t="shared" si="11"/>
        <v/>
      </c>
      <c r="F164" s="22" t="str">
        <f t="shared" si="11"/>
        <v/>
      </c>
      <c r="G164" s="22" t="str">
        <f t="shared" si="11"/>
        <v/>
      </c>
      <c r="H164" s="22" t="str">
        <f t="shared" si="11"/>
        <v/>
      </c>
      <c r="I164" s="22" t="str">
        <f t="shared" si="11"/>
        <v/>
      </c>
      <c r="J164" s="22" t="str">
        <f t="shared" si="11"/>
        <v/>
      </c>
      <c r="K164" s="22" t="str">
        <f t="shared" si="11"/>
        <v/>
      </c>
      <c r="L164" s="22" t="str">
        <f t="shared" si="11"/>
        <v/>
      </c>
      <c r="M164" s="22" t="str">
        <f t="shared" si="11"/>
        <v/>
      </c>
      <c r="N164" s="22" t="str">
        <f t="shared" si="11"/>
        <v/>
      </c>
      <c r="O164" s="22" t="str">
        <f t="shared" si="11"/>
        <v/>
      </c>
      <c r="P164" s="22" t="str">
        <f t="shared" si="11"/>
        <v/>
      </c>
      <c r="Q164" s="22" t="str">
        <f t="shared" si="11"/>
        <v/>
      </c>
      <c r="R164" s="22" t="str">
        <f t="shared" si="11"/>
        <v/>
      </c>
      <c r="S164" s="22" t="str">
        <f t="shared" si="11"/>
        <v/>
      </c>
      <c r="T164" s="22" t="str">
        <f t="shared" si="11"/>
        <v/>
      </c>
      <c r="U164" s="22" t="str">
        <f t="shared" si="11"/>
        <v/>
      </c>
      <c r="V164" s="22" t="str">
        <f t="shared" ref="V164:BG164" si="17">IF(V94=V20,"","*")</f>
        <v/>
      </c>
      <c r="W164" s="22" t="str">
        <f t="shared" si="17"/>
        <v/>
      </c>
      <c r="X164" s="22" t="str">
        <f t="shared" si="17"/>
        <v/>
      </c>
      <c r="Y164" s="22" t="str">
        <f t="shared" si="17"/>
        <v/>
      </c>
      <c r="Z164" s="22" t="str">
        <f t="shared" si="17"/>
        <v/>
      </c>
      <c r="AA164" s="22" t="str">
        <f t="shared" si="17"/>
        <v/>
      </c>
      <c r="AB164" s="22" t="str">
        <f t="shared" si="17"/>
        <v/>
      </c>
      <c r="AC164" s="22" t="str">
        <f t="shared" si="17"/>
        <v/>
      </c>
      <c r="AD164" s="22" t="str">
        <f t="shared" si="17"/>
        <v/>
      </c>
      <c r="AE164" s="22" t="str">
        <f t="shared" si="17"/>
        <v/>
      </c>
      <c r="AF164" s="22" t="str">
        <f t="shared" si="17"/>
        <v/>
      </c>
      <c r="AG164" s="22" t="str">
        <f t="shared" si="17"/>
        <v/>
      </c>
      <c r="AH164" s="22" t="str">
        <f t="shared" si="17"/>
        <v/>
      </c>
      <c r="AI164" s="22" t="str">
        <f t="shared" si="17"/>
        <v/>
      </c>
      <c r="AJ164" s="22" t="str">
        <f t="shared" si="17"/>
        <v/>
      </c>
      <c r="AK164" s="22" t="str">
        <f t="shared" si="17"/>
        <v/>
      </c>
      <c r="AL164" s="22" t="str">
        <f t="shared" si="17"/>
        <v/>
      </c>
      <c r="AM164" s="22" t="str">
        <f t="shared" si="17"/>
        <v/>
      </c>
      <c r="AN164" s="22" t="str">
        <f t="shared" si="17"/>
        <v/>
      </c>
      <c r="AO164" s="22" t="str">
        <f t="shared" si="17"/>
        <v/>
      </c>
      <c r="AP164" s="22" t="str">
        <f t="shared" si="17"/>
        <v/>
      </c>
      <c r="AQ164" s="22" t="str">
        <f t="shared" si="17"/>
        <v/>
      </c>
      <c r="AR164" s="22" t="str">
        <f t="shared" si="17"/>
        <v/>
      </c>
      <c r="AS164" s="22" t="str">
        <f t="shared" si="17"/>
        <v/>
      </c>
      <c r="AT164" s="22" t="str">
        <f t="shared" si="17"/>
        <v/>
      </c>
      <c r="AU164" s="22" t="str">
        <f t="shared" si="17"/>
        <v/>
      </c>
      <c r="AV164" s="22" t="str">
        <f t="shared" si="17"/>
        <v/>
      </c>
      <c r="AW164" s="22" t="str">
        <f t="shared" si="17"/>
        <v/>
      </c>
      <c r="AX164" s="22" t="str">
        <f t="shared" si="17"/>
        <v/>
      </c>
      <c r="AY164" s="22" t="str">
        <f t="shared" si="17"/>
        <v/>
      </c>
      <c r="AZ164" s="22" t="str">
        <f t="shared" si="17"/>
        <v/>
      </c>
      <c r="BA164" s="22" t="str">
        <f t="shared" si="17"/>
        <v/>
      </c>
      <c r="BB164" s="22" t="str">
        <f t="shared" si="17"/>
        <v/>
      </c>
      <c r="BC164" s="22" t="str">
        <f t="shared" si="17"/>
        <v/>
      </c>
      <c r="BD164" s="22" t="str">
        <f t="shared" si="17"/>
        <v/>
      </c>
      <c r="BE164" s="22" t="str">
        <f t="shared" si="17"/>
        <v/>
      </c>
      <c r="BF164" s="22" t="str">
        <f t="shared" si="17"/>
        <v/>
      </c>
      <c r="BG164" s="22" t="str">
        <f t="shared" si="17"/>
        <v/>
      </c>
    </row>
    <row r="165" spans="1:59" s="23" customFormat="1" ht="15" hidden="1" customHeight="1" x14ac:dyDescent="0.2">
      <c r="A165" s="111"/>
      <c r="B165" s="34" t="s">
        <v>76</v>
      </c>
      <c r="C165" s="35" t="s">
        <v>194</v>
      </c>
      <c r="D165" s="22" t="str">
        <f t="shared" si="3"/>
        <v/>
      </c>
      <c r="E165" s="22" t="str">
        <f t="shared" si="11"/>
        <v/>
      </c>
      <c r="F165" s="22" t="str">
        <f t="shared" si="11"/>
        <v/>
      </c>
      <c r="G165" s="22" t="str">
        <f t="shared" si="11"/>
        <v/>
      </c>
      <c r="H165" s="22" t="str">
        <f t="shared" si="11"/>
        <v/>
      </c>
      <c r="I165" s="22" t="str">
        <f t="shared" si="11"/>
        <v/>
      </c>
      <c r="J165" s="22" t="str">
        <f t="shared" si="11"/>
        <v/>
      </c>
      <c r="K165" s="22" t="str">
        <f t="shared" si="11"/>
        <v/>
      </c>
      <c r="L165" s="22" t="str">
        <f t="shared" si="11"/>
        <v/>
      </c>
      <c r="M165" s="22" t="str">
        <f t="shared" si="11"/>
        <v/>
      </c>
      <c r="N165" s="22" t="str">
        <f t="shared" si="11"/>
        <v/>
      </c>
      <c r="O165" s="22" t="str">
        <f t="shared" si="11"/>
        <v/>
      </c>
      <c r="P165" s="22" t="str">
        <f t="shared" si="11"/>
        <v/>
      </c>
      <c r="Q165" s="22" t="str">
        <f t="shared" si="11"/>
        <v/>
      </c>
      <c r="R165" s="22" t="str">
        <f t="shared" si="11"/>
        <v/>
      </c>
      <c r="S165" s="22" t="str">
        <f t="shared" si="11"/>
        <v/>
      </c>
      <c r="T165" s="22" t="str">
        <f t="shared" si="11"/>
        <v/>
      </c>
      <c r="U165" s="22" t="str">
        <f t="shared" si="11"/>
        <v/>
      </c>
      <c r="V165" s="22" t="str">
        <f t="shared" ref="V165:BG165" si="18">IF(V95=V21,"","*")</f>
        <v/>
      </c>
      <c r="W165" s="22" t="str">
        <f t="shared" si="18"/>
        <v/>
      </c>
      <c r="X165" s="22" t="str">
        <f t="shared" si="18"/>
        <v/>
      </c>
      <c r="Y165" s="22" t="str">
        <f t="shared" si="18"/>
        <v/>
      </c>
      <c r="Z165" s="22" t="str">
        <f t="shared" si="18"/>
        <v/>
      </c>
      <c r="AA165" s="22" t="str">
        <f t="shared" si="18"/>
        <v/>
      </c>
      <c r="AB165" s="22" t="str">
        <f t="shared" si="18"/>
        <v/>
      </c>
      <c r="AC165" s="22" t="str">
        <f t="shared" si="18"/>
        <v/>
      </c>
      <c r="AD165" s="22" t="str">
        <f t="shared" si="18"/>
        <v/>
      </c>
      <c r="AE165" s="22" t="str">
        <f t="shared" si="18"/>
        <v/>
      </c>
      <c r="AF165" s="22" t="str">
        <f t="shared" si="18"/>
        <v/>
      </c>
      <c r="AG165" s="22" t="str">
        <f t="shared" si="18"/>
        <v/>
      </c>
      <c r="AH165" s="22" t="str">
        <f t="shared" si="18"/>
        <v/>
      </c>
      <c r="AI165" s="22" t="str">
        <f t="shared" si="18"/>
        <v/>
      </c>
      <c r="AJ165" s="22" t="str">
        <f t="shared" si="18"/>
        <v/>
      </c>
      <c r="AK165" s="22" t="str">
        <f t="shared" si="18"/>
        <v/>
      </c>
      <c r="AL165" s="22" t="str">
        <f t="shared" si="18"/>
        <v/>
      </c>
      <c r="AM165" s="22" t="str">
        <f t="shared" si="18"/>
        <v/>
      </c>
      <c r="AN165" s="22" t="str">
        <f t="shared" si="18"/>
        <v/>
      </c>
      <c r="AO165" s="22" t="str">
        <f t="shared" si="18"/>
        <v/>
      </c>
      <c r="AP165" s="22" t="str">
        <f t="shared" si="18"/>
        <v/>
      </c>
      <c r="AQ165" s="22" t="str">
        <f t="shared" si="18"/>
        <v/>
      </c>
      <c r="AR165" s="22" t="str">
        <f t="shared" si="18"/>
        <v/>
      </c>
      <c r="AS165" s="22" t="str">
        <f t="shared" si="18"/>
        <v/>
      </c>
      <c r="AT165" s="22" t="str">
        <f t="shared" si="18"/>
        <v/>
      </c>
      <c r="AU165" s="22" t="str">
        <f t="shared" si="18"/>
        <v/>
      </c>
      <c r="AV165" s="22" t="str">
        <f t="shared" si="18"/>
        <v/>
      </c>
      <c r="AW165" s="22" t="str">
        <f t="shared" si="18"/>
        <v/>
      </c>
      <c r="AX165" s="22" t="str">
        <f t="shared" si="18"/>
        <v/>
      </c>
      <c r="AY165" s="22" t="str">
        <f t="shared" si="18"/>
        <v/>
      </c>
      <c r="AZ165" s="22" t="str">
        <f t="shared" si="18"/>
        <v/>
      </c>
      <c r="BA165" s="22" t="str">
        <f t="shared" si="18"/>
        <v/>
      </c>
      <c r="BB165" s="22" t="str">
        <f t="shared" si="18"/>
        <v/>
      </c>
      <c r="BC165" s="22" t="str">
        <f t="shared" si="18"/>
        <v/>
      </c>
      <c r="BD165" s="22" t="str">
        <f t="shared" si="18"/>
        <v/>
      </c>
      <c r="BE165" s="22" t="str">
        <f t="shared" si="18"/>
        <v/>
      </c>
      <c r="BF165" s="22" t="str">
        <f t="shared" si="18"/>
        <v/>
      </c>
      <c r="BG165" s="22" t="str">
        <f t="shared" si="18"/>
        <v/>
      </c>
    </row>
    <row r="166" spans="1:59" s="23" customFormat="1" ht="15" hidden="1" customHeight="1" x14ac:dyDescent="0.2">
      <c r="A166" s="81" t="s">
        <v>215</v>
      </c>
      <c r="B166" s="29" t="s">
        <v>74</v>
      </c>
      <c r="C166" s="30" t="s">
        <v>0</v>
      </c>
      <c r="D166" s="31" t="str">
        <f t="shared" si="3"/>
        <v/>
      </c>
      <c r="E166" s="31" t="str">
        <f t="shared" si="11"/>
        <v/>
      </c>
      <c r="F166" s="31" t="str">
        <f t="shared" si="11"/>
        <v/>
      </c>
      <c r="G166" s="31" t="str">
        <f t="shared" si="11"/>
        <v/>
      </c>
      <c r="H166" s="31" t="str">
        <f t="shared" si="11"/>
        <v/>
      </c>
      <c r="I166" s="31" t="str">
        <f t="shared" si="11"/>
        <v/>
      </c>
      <c r="J166" s="31" t="str">
        <f t="shared" si="11"/>
        <v/>
      </c>
      <c r="K166" s="31" t="str">
        <f t="shared" si="11"/>
        <v/>
      </c>
      <c r="L166" s="31" t="str">
        <f t="shared" si="11"/>
        <v/>
      </c>
      <c r="M166" s="31" t="str">
        <f t="shared" si="11"/>
        <v/>
      </c>
      <c r="N166" s="31" t="str">
        <f t="shared" si="11"/>
        <v/>
      </c>
      <c r="O166" s="31" t="str">
        <f t="shared" si="11"/>
        <v/>
      </c>
      <c r="P166" s="31" t="str">
        <f t="shared" si="11"/>
        <v/>
      </c>
      <c r="Q166" s="31" t="str">
        <f t="shared" si="11"/>
        <v/>
      </c>
      <c r="R166" s="31" t="str">
        <f t="shared" si="11"/>
        <v/>
      </c>
      <c r="S166" s="31" t="str">
        <f t="shared" si="11"/>
        <v/>
      </c>
      <c r="T166" s="31" t="str">
        <f t="shared" ref="E166:U173" si="19">IF(T96=T22,"","*")</f>
        <v/>
      </c>
      <c r="U166" s="31" t="str">
        <f t="shared" si="19"/>
        <v/>
      </c>
      <c r="V166" s="31" t="str">
        <f t="shared" ref="V166:BG166" si="20">IF(V96=V22,"","*")</f>
        <v/>
      </c>
      <c r="W166" s="31" t="str">
        <f t="shared" si="20"/>
        <v/>
      </c>
      <c r="X166" s="31" t="str">
        <f t="shared" si="20"/>
        <v/>
      </c>
      <c r="Y166" s="31" t="str">
        <f t="shared" si="20"/>
        <v/>
      </c>
      <c r="Z166" s="31" t="str">
        <f t="shared" si="20"/>
        <v/>
      </c>
      <c r="AA166" s="31" t="str">
        <f t="shared" si="20"/>
        <v/>
      </c>
      <c r="AB166" s="31" t="str">
        <f t="shared" si="20"/>
        <v/>
      </c>
      <c r="AC166" s="31" t="str">
        <f t="shared" si="20"/>
        <v/>
      </c>
      <c r="AD166" s="31" t="str">
        <f t="shared" si="20"/>
        <v/>
      </c>
      <c r="AE166" s="31" t="str">
        <f t="shared" si="20"/>
        <v/>
      </c>
      <c r="AF166" s="31" t="str">
        <f t="shared" si="20"/>
        <v/>
      </c>
      <c r="AG166" s="31" t="str">
        <f t="shared" si="20"/>
        <v/>
      </c>
      <c r="AH166" s="31" t="str">
        <f t="shared" si="20"/>
        <v/>
      </c>
      <c r="AI166" s="31" t="str">
        <f t="shared" si="20"/>
        <v/>
      </c>
      <c r="AJ166" s="31" t="str">
        <f t="shared" si="20"/>
        <v/>
      </c>
      <c r="AK166" s="31" t="str">
        <f t="shared" si="20"/>
        <v/>
      </c>
      <c r="AL166" s="31" t="str">
        <f t="shared" si="20"/>
        <v/>
      </c>
      <c r="AM166" s="31" t="str">
        <f t="shared" si="20"/>
        <v/>
      </c>
      <c r="AN166" s="31" t="str">
        <f t="shared" si="20"/>
        <v/>
      </c>
      <c r="AO166" s="31" t="str">
        <f t="shared" si="20"/>
        <v/>
      </c>
      <c r="AP166" s="31" t="str">
        <f t="shared" si="20"/>
        <v/>
      </c>
      <c r="AQ166" s="31" t="str">
        <f t="shared" si="20"/>
        <v/>
      </c>
      <c r="AR166" s="31" t="str">
        <f t="shared" si="20"/>
        <v/>
      </c>
      <c r="AS166" s="31" t="str">
        <f t="shared" si="20"/>
        <v/>
      </c>
      <c r="AT166" s="31" t="str">
        <f t="shared" si="20"/>
        <v/>
      </c>
      <c r="AU166" s="31" t="str">
        <f t="shared" si="20"/>
        <v/>
      </c>
      <c r="AV166" s="31" t="str">
        <f t="shared" si="20"/>
        <v/>
      </c>
      <c r="AW166" s="31" t="str">
        <f t="shared" si="20"/>
        <v/>
      </c>
      <c r="AX166" s="31" t="str">
        <f t="shared" si="20"/>
        <v/>
      </c>
      <c r="AY166" s="31" t="str">
        <f t="shared" si="20"/>
        <v/>
      </c>
      <c r="AZ166" s="31" t="str">
        <f t="shared" si="20"/>
        <v/>
      </c>
      <c r="BA166" s="31" t="str">
        <f t="shared" si="20"/>
        <v/>
      </c>
      <c r="BB166" s="31" t="str">
        <f t="shared" si="20"/>
        <v/>
      </c>
      <c r="BC166" s="31" t="str">
        <f t="shared" si="20"/>
        <v/>
      </c>
      <c r="BD166" s="31" t="str">
        <f t="shared" si="20"/>
        <v/>
      </c>
      <c r="BE166" s="31" t="str">
        <f t="shared" si="20"/>
        <v/>
      </c>
      <c r="BF166" s="31" t="str">
        <f t="shared" si="20"/>
        <v/>
      </c>
      <c r="BG166" s="31" t="str">
        <f t="shared" si="20"/>
        <v/>
      </c>
    </row>
    <row r="167" spans="1:59" s="23" customFormat="1" ht="15" hidden="1" customHeight="1" x14ac:dyDescent="0.2">
      <c r="A167" s="110" t="s">
        <v>6</v>
      </c>
      <c r="B167" s="32" t="s">
        <v>75</v>
      </c>
      <c r="C167" s="33" t="s">
        <v>2</v>
      </c>
      <c r="D167" s="22" t="str">
        <f t="shared" si="3"/>
        <v/>
      </c>
      <c r="E167" s="22" t="str">
        <f t="shared" si="19"/>
        <v/>
      </c>
      <c r="F167" s="22" t="str">
        <f t="shared" si="19"/>
        <v/>
      </c>
      <c r="G167" s="22" t="str">
        <f t="shared" si="19"/>
        <v/>
      </c>
      <c r="H167" s="22" t="str">
        <f t="shared" si="19"/>
        <v/>
      </c>
      <c r="I167" s="22" t="str">
        <f t="shared" si="19"/>
        <v/>
      </c>
      <c r="J167" s="22" t="str">
        <f t="shared" si="19"/>
        <v/>
      </c>
      <c r="K167" s="22" t="str">
        <f t="shared" si="19"/>
        <v/>
      </c>
      <c r="L167" s="22" t="str">
        <f t="shared" si="19"/>
        <v/>
      </c>
      <c r="M167" s="22" t="str">
        <f t="shared" si="19"/>
        <v/>
      </c>
      <c r="N167" s="22" t="str">
        <f t="shared" si="19"/>
        <v/>
      </c>
      <c r="O167" s="22" t="str">
        <f t="shared" si="19"/>
        <v/>
      </c>
      <c r="P167" s="22" t="str">
        <f t="shared" si="19"/>
        <v/>
      </c>
      <c r="Q167" s="22" t="str">
        <f t="shared" si="19"/>
        <v/>
      </c>
      <c r="R167" s="22" t="str">
        <f t="shared" si="19"/>
        <v/>
      </c>
      <c r="S167" s="22" t="str">
        <f t="shared" si="19"/>
        <v/>
      </c>
      <c r="T167" s="22" t="str">
        <f t="shared" si="19"/>
        <v/>
      </c>
      <c r="U167" s="22" t="str">
        <f t="shared" si="19"/>
        <v/>
      </c>
      <c r="V167" s="22" t="str">
        <f t="shared" ref="V167:BG167" si="21">IF(V97=V23,"","*")</f>
        <v/>
      </c>
      <c r="W167" s="22" t="str">
        <f t="shared" si="21"/>
        <v/>
      </c>
      <c r="X167" s="22" t="str">
        <f t="shared" si="21"/>
        <v/>
      </c>
      <c r="Y167" s="22" t="str">
        <f t="shared" si="21"/>
        <v/>
      </c>
      <c r="Z167" s="22" t="str">
        <f t="shared" si="21"/>
        <v/>
      </c>
      <c r="AA167" s="22" t="str">
        <f t="shared" si="21"/>
        <v/>
      </c>
      <c r="AB167" s="22" t="str">
        <f t="shared" si="21"/>
        <v/>
      </c>
      <c r="AC167" s="22" t="str">
        <f t="shared" si="21"/>
        <v/>
      </c>
      <c r="AD167" s="22" t="str">
        <f t="shared" si="21"/>
        <v/>
      </c>
      <c r="AE167" s="22" t="str">
        <f t="shared" si="21"/>
        <v/>
      </c>
      <c r="AF167" s="22" t="str">
        <f t="shared" si="21"/>
        <v/>
      </c>
      <c r="AG167" s="22" t="str">
        <f t="shared" si="21"/>
        <v/>
      </c>
      <c r="AH167" s="22" t="str">
        <f t="shared" si="21"/>
        <v/>
      </c>
      <c r="AI167" s="22" t="str">
        <f t="shared" si="21"/>
        <v/>
      </c>
      <c r="AJ167" s="22" t="str">
        <f t="shared" si="21"/>
        <v/>
      </c>
      <c r="AK167" s="22" t="str">
        <f t="shared" si="21"/>
        <v/>
      </c>
      <c r="AL167" s="22" t="str">
        <f t="shared" si="21"/>
        <v/>
      </c>
      <c r="AM167" s="22" t="str">
        <f t="shared" si="21"/>
        <v/>
      </c>
      <c r="AN167" s="22" t="str">
        <f t="shared" si="21"/>
        <v/>
      </c>
      <c r="AO167" s="22" t="str">
        <f t="shared" si="21"/>
        <v/>
      </c>
      <c r="AP167" s="22" t="str">
        <f t="shared" si="21"/>
        <v/>
      </c>
      <c r="AQ167" s="22" t="str">
        <f t="shared" si="21"/>
        <v/>
      </c>
      <c r="AR167" s="22" t="str">
        <f t="shared" si="21"/>
        <v/>
      </c>
      <c r="AS167" s="22" t="str">
        <f t="shared" si="21"/>
        <v/>
      </c>
      <c r="AT167" s="22" t="str">
        <f t="shared" si="21"/>
        <v/>
      </c>
      <c r="AU167" s="22" t="str">
        <f t="shared" si="21"/>
        <v/>
      </c>
      <c r="AV167" s="22" t="str">
        <f t="shared" si="21"/>
        <v/>
      </c>
      <c r="AW167" s="22" t="str">
        <f t="shared" si="21"/>
        <v/>
      </c>
      <c r="AX167" s="22" t="str">
        <f t="shared" si="21"/>
        <v/>
      </c>
      <c r="AY167" s="22" t="str">
        <f t="shared" si="21"/>
        <v/>
      </c>
      <c r="AZ167" s="22" t="str">
        <f t="shared" si="21"/>
        <v/>
      </c>
      <c r="BA167" s="22" t="str">
        <f t="shared" si="21"/>
        <v/>
      </c>
      <c r="BB167" s="22" t="str">
        <f t="shared" si="21"/>
        <v/>
      </c>
      <c r="BC167" s="22" t="str">
        <f t="shared" si="21"/>
        <v/>
      </c>
      <c r="BD167" s="22" t="str">
        <f t="shared" si="21"/>
        <v/>
      </c>
      <c r="BE167" s="22" t="str">
        <f t="shared" si="21"/>
        <v/>
      </c>
      <c r="BF167" s="22" t="str">
        <f t="shared" si="21"/>
        <v/>
      </c>
      <c r="BG167" s="22" t="str">
        <f t="shared" si="21"/>
        <v/>
      </c>
    </row>
    <row r="168" spans="1:59" s="23" customFormat="1" ht="15" hidden="1" customHeight="1" x14ac:dyDescent="0.2">
      <c r="A168" s="111"/>
      <c r="B168" s="34" t="s">
        <v>76</v>
      </c>
      <c r="C168" s="35" t="s">
        <v>194</v>
      </c>
      <c r="D168" s="22" t="str">
        <f t="shared" si="3"/>
        <v/>
      </c>
      <c r="E168" s="22" t="str">
        <f t="shared" si="19"/>
        <v/>
      </c>
      <c r="F168" s="22" t="str">
        <f t="shared" si="19"/>
        <v/>
      </c>
      <c r="G168" s="22" t="str">
        <f t="shared" si="19"/>
        <v/>
      </c>
      <c r="H168" s="22" t="str">
        <f t="shared" si="19"/>
        <v/>
      </c>
      <c r="I168" s="22" t="str">
        <f t="shared" si="19"/>
        <v/>
      </c>
      <c r="J168" s="22" t="str">
        <f t="shared" si="19"/>
        <v/>
      </c>
      <c r="K168" s="22" t="str">
        <f t="shared" si="19"/>
        <v/>
      </c>
      <c r="L168" s="22" t="str">
        <f t="shared" si="19"/>
        <v/>
      </c>
      <c r="M168" s="22" t="str">
        <f t="shared" si="19"/>
        <v/>
      </c>
      <c r="N168" s="22" t="str">
        <f t="shared" si="19"/>
        <v/>
      </c>
      <c r="O168" s="22" t="str">
        <f t="shared" si="19"/>
        <v/>
      </c>
      <c r="P168" s="22" t="str">
        <f t="shared" si="19"/>
        <v/>
      </c>
      <c r="Q168" s="22" t="str">
        <f t="shared" si="19"/>
        <v/>
      </c>
      <c r="R168" s="22" t="str">
        <f t="shared" si="19"/>
        <v/>
      </c>
      <c r="S168" s="22" t="str">
        <f t="shared" si="19"/>
        <v/>
      </c>
      <c r="T168" s="22" t="str">
        <f t="shared" si="19"/>
        <v/>
      </c>
      <c r="U168" s="22" t="str">
        <f t="shared" si="19"/>
        <v/>
      </c>
      <c r="V168" s="22" t="str">
        <f t="shared" ref="V168:BG168" si="22">IF(V98=V24,"","*")</f>
        <v/>
      </c>
      <c r="W168" s="22" t="str">
        <f t="shared" si="22"/>
        <v/>
      </c>
      <c r="X168" s="22" t="str">
        <f t="shared" si="22"/>
        <v/>
      </c>
      <c r="Y168" s="22" t="str">
        <f t="shared" si="22"/>
        <v/>
      </c>
      <c r="Z168" s="22" t="str">
        <f t="shared" si="22"/>
        <v/>
      </c>
      <c r="AA168" s="22" t="str">
        <f t="shared" si="22"/>
        <v/>
      </c>
      <c r="AB168" s="22" t="str">
        <f t="shared" si="22"/>
        <v/>
      </c>
      <c r="AC168" s="22" t="str">
        <f t="shared" si="22"/>
        <v/>
      </c>
      <c r="AD168" s="22" t="str">
        <f t="shared" si="22"/>
        <v/>
      </c>
      <c r="AE168" s="22" t="str">
        <f t="shared" si="22"/>
        <v/>
      </c>
      <c r="AF168" s="22" t="str">
        <f t="shared" si="22"/>
        <v/>
      </c>
      <c r="AG168" s="22" t="str">
        <f t="shared" si="22"/>
        <v/>
      </c>
      <c r="AH168" s="22" t="str">
        <f t="shared" si="22"/>
        <v/>
      </c>
      <c r="AI168" s="22" t="str">
        <f t="shared" si="22"/>
        <v/>
      </c>
      <c r="AJ168" s="22" t="str">
        <f t="shared" si="22"/>
        <v/>
      </c>
      <c r="AK168" s="22" t="str">
        <f t="shared" si="22"/>
        <v/>
      </c>
      <c r="AL168" s="22" t="str">
        <f t="shared" si="22"/>
        <v/>
      </c>
      <c r="AM168" s="22" t="str">
        <f t="shared" si="22"/>
        <v/>
      </c>
      <c r="AN168" s="22" t="str">
        <f t="shared" si="22"/>
        <v/>
      </c>
      <c r="AO168" s="22" t="str">
        <f t="shared" si="22"/>
        <v/>
      </c>
      <c r="AP168" s="22" t="str">
        <f t="shared" si="22"/>
        <v/>
      </c>
      <c r="AQ168" s="22" t="str">
        <f t="shared" si="22"/>
        <v/>
      </c>
      <c r="AR168" s="22" t="str">
        <f t="shared" si="22"/>
        <v/>
      </c>
      <c r="AS168" s="22" t="str">
        <f t="shared" si="22"/>
        <v/>
      </c>
      <c r="AT168" s="22" t="str">
        <f t="shared" si="22"/>
        <v/>
      </c>
      <c r="AU168" s="22" t="str">
        <f t="shared" si="22"/>
        <v/>
      </c>
      <c r="AV168" s="22" t="str">
        <f t="shared" si="22"/>
        <v/>
      </c>
      <c r="AW168" s="22" t="str">
        <f t="shared" si="22"/>
        <v/>
      </c>
      <c r="AX168" s="22" t="str">
        <f t="shared" si="22"/>
        <v/>
      </c>
      <c r="AY168" s="22" t="str">
        <f t="shared" si="22"/>
        <v/>
      </c>
      <c r="AZ168" s="22" t="str">
        <f t="shared" si="22"/>
        <v/>
      </c>
      <c r="BA168" s="22" t="str">
        <f t="shared" si="22"/>
        <v/>
      </c>
      <c r="BB168" s="22" t="str">
        <f t="shared" si="22"/>
        <v/>
      </c>
      <c r="BC168" s="22" t="str">
        <f t="shared" si="22"/>
        <v/>
      </c>
      <c r="BD168" s="22" t="str">
        <f t="shared" si="22"/>
        <v/>
      </c>
      <c r="BE168" s="22" t="str">
        <f t="shared" si="22"/>
        <v/>
      </c>
      <c r="BF168" s="22" t="str">
        <f t="shared" si="22"/>
        <v/>
      </c>
      <c r="BG168" s="22" t="str">
        <f t="shared" si="22"/>
        <v/>
      </c>
    </row>
    <row r="169" spans="1:59" s="23" customFormat="1" ht="15" hidden="1" customHeight="1" x14ac:dyDescent="0.2">
      <c r="A169" s="81" t="s">
        <v>216</v>
      </c>
      <c r="B169" s="29" t="s">
        <v>74</v>
      </c>
      <c r="C169" s="30" t="s">
        <v>0</v>
      </c>
      <c r="D169" s="31" t="str">
        <f t="shared" si="3"/>
        <v/>
      </c>
      <c r="E169" s="31" t="str">
        <f t="shared" si="19"/>
        <v/>
      </c>
      <c r="F169" s="31" t="str">
        <f t="shared" si="19"/>
        <v/>
      </c>
      <c r="G169" s="31" t="str">
        <f t="shared" si="19"/>
        <v/>
      </c>
      <c r="H169" s="31" t="str">
        <f t="shared" si="19"/>
        <v/>
      </c>
      <c r="I169" s="31" t="str">
        <f t="shared" si="19"/>
        <v/>
      </c>
      <c r="J169" s="31" t="str">
        <f t="shared" si="19"/>
        <v/>
      </c>
      <c r="K169" s="31" t="str">
        <f t="shared" si="19"/>
        <v/>
      </c>
      <c r="L169" s="31" t="str">
        <f t="shared" si="19"/>
        <v/>
      </c>
      <c r="M169" s="31" t="str">
        <f t="shared" si="19"/>
        <v/>
      </c>
      <c r="N169" s="31" t="str">
        <f t="shared" si="19"/>
        <v/>
      </c>
      <c r="O169" s="31" t="str">
        <f t="shared" si="19"/>
        <v/>
      </c>
      <c r="P169" s="31" t="str">
        <f t="shared" si="19"/>
        <v/>
      </c>
      <c r="Q169" s="31" t="str">
        <f t="shared" si="19"/>
        <v/>
      </c>
      <c r="R169" s="31" t="str">
        <f t="shared" si="19"/>
        <v/>
      </c>
      <c r="S169" s="31" t="str">
        <f t="shared" si="19"/>
        <v/>
      </c>
      <c r="T169" s="31" t="str">
        <f t="shared" si="19"/>
        <v/>
      </c>
      <c r="U169" s="31" t="str">
        <f t="shared" si="19"/>
        <v/>
      </c>
      <c r="V169" s="31" t="str">
        <f t="shared" ref="V169:BG169" si="23">IF(V99=V25,"","*")</f>
        <v/>
      </c>
      <c r="W169" s="31" t="str">
        <f t="shared" si="23"/>
        <v/>
      </c>
      <c r="X169" s="31" t="str">
        <f t="shared" si="23"/>
        <v/>
      </c>
      <c r="Y169" s="31" t="str">
        <f t="shared" si="23"/>
        <v/>
      </c>
      <c r="Z169" s="31" t="str">
        <f t="shared" si="23"/>
        <v/>
      </c>
      <c r="AA169" s="31" t="str">
        <f t="shared" si="23"/>
        <v/>
      </c>
      <c r="AB169" s="31" t="str">
        <f t="shared" si="23"/>
        <v/>
      </c>
      <c r="AC169" s="31" t="str">
        <f t="shared" si="23"/>
        <v/>
      </c>
      <c r="AD169" s="31" t="str">
        <f t="shared" si="23"/>
        <v/>
      </c>
      <c r="AE169" s="31" t="str">
        <f t="shared" si="23"/>
        <v/>
      </c>
      <c r="AF169" s="31" t="str">
        <f t="shared" si="23"/>
        <v/>
      </c>
      <c r="AG169" s="31" t="str">
        <f t="shared" si="23"/>
        <v/>
      </c>
      <c r="AH169" s="31" t="str">
        <f t="shared" si="23"/>
        <v/>
      </c>
      <c r="AI169" s="31" t="str">
        <f t="shared" si="23"/>
        <v/>
      </c>
      <c r="AJ169" s="31" t="str">
        <f t="shared" si="23"/>
        <v/>
      </c>
      <c r="AK169" s="31" t="str">
        <f t="shared" si="23"/>
        <v/>
      </c>
      <c r="AL169" s="31" t="str">
        <f t="shared" si="23"/>
        <v/>
      </c>
      <c r="AM169" s="31" t="str">
        <f t="shared" si="23"/>
        <v/>
      </c>
      <c r="AN169" s="31" t="str">
        <f t="shared" si="23"/>
        <v/>
      </c>
      <c r="AO169" s="31" t="str">
        <f t="shared" si="23"/>
        <v/>
      </c>
      <c r="AP169" s="31" t="str">
        <f t="shared" si="23"/>
        <v/>
      </c>
      <c r="AQ169" s="31" t="str">
        <f t="shared" si="23"/>
        <v/>
      </c>
      <c r="AR169" s="31" t="str">
        <f t="shared" si="23"/>
        <v/>
      </c>
      <c r="AS169" s="31" t="str">
        <f t="shared" si="23"/>
        <v/>
      </c>
      <c r="AT169" s="31" t="str">
        <f t="shared" si="23"/>
        <v/>
      </c>
      <c r="AU169" s="31" t="str">
        <f t="shared" si="23"/>
        <v/>
      </c>
      <c r="AV169" s="31" t="str">
        <f t="shared" si="23"/>
        <v/>
      </c>
      <c r="AW169" s="31" t="str">
        <f t="shared" si="23"/>
        <v/>
      </c>
      <c r="AX169" s="31" t="str">
        <f t="shared" si="23"/>
        <v/>
      </c>
      <c r="AY169" s="31" t="str">
        <f t="shared" si="23"/>
        <v/>
      </c>
      <c r="AZ169" s="31" t="str">
        <f t="shared" si="23"/>
        <v/>
      </c>
      <c r="BA169" s="31" t="str">
        <f t="shared" si="23"/>
        <v/>
      </c>
      <c r="BB169" s="31" t="str">
        <f t="shared" si="23"/>
        <v/>
      </c>
      <c r="BC169" s="31" t="str">
        <f t="shared" si="23"/>
        <v/>
      </c>
      <c r="BD169" s="31" t="str">
        <f t="shared" si="23"/>
        <v/>
      </c>
      <c r="BE169" s="31" t="str">
        <f t="shared" si="23"/>
        <v/>
      </c>
      <c r="BF169" s="31" t="str">
        <f t="shared" si="23"/>
        <v/>
      </c>
      <c r="BG169" s="31" t="str">
        <f t="shared" si="23"/>
        <v/>
      </c>
    </row>
    <row r="170" spans="1:59" s="23" customFormat="1" ht="15" hidden="1" customHeight="1" x14ac:dyDescent="0.2">
      <c r="A170" s="110" t="s">
        <v>7</v>
      </c>
      <c r="B170" s="32" t="s">
        <v>75</v>
      </c>
      <c r="C170" s="33" t="s">
        <v>2</v>
      </c>
      <c r="D170" s="22" t="str">
        <f t="shared" si="3"/>
        <v/>
      </c>
      <c r="E170" s="22" t="str">
        <f t="shared" si="19"/>
        <v/>
      </c>
      <c r="F170" s="22" t="str">
        <f t="shared" si="19"/>
        <v/>
      </c>
      <c r="G170" s="22" t="str">
        <f t="shared" si="19"/>
        <v/>
      </c>
      <c r="H170" s="22" t="str">
        <f t="shared" si="19"/>
        <v/>
      </c>
      <c r="I170" s="22" t="str">
        <f t="shared" si="19"/>
        <v/>
      </c>
      <c r="J170" s="22" t="str">
        <f t="shared" si="19"/>
        <v/>
      </c>
      <c r="K170" s="22" t="str">
        <f t="shared" si="19"/>
        <v/>
      </c>
      <c r="L170" s="22" t="str">
        <f t="shared" si="19"/>
        <v/>
      </c>
      <c r="M170" s="22" t="str">
        <f t="shared" si="19"/>
        <v/>
      </c>
      <c r="N170" s="22" t="str">
        <f t="shared" si="19"/>
        <v/>
      </c>
      <c r="O170" s="22" t="str">
        <f t="shared" si="19"/>
        <v/>
      </c>
      <c r="P170" s="22" t="str">
        <f t="shared" si="19"/>
        <v/>
      </c>
      <c r="Q170" s="22" t="str">
        <f t="shared" si="19"/>
        <v/>
      </c>
      <c r="R170" s="22" t="str">
        <f t="shared" si="19"/>
        <v/>
      </c>
      <c r="S170" s="22" t="str">
        <f t="shared" si="19"/>
        <v/>
      </c>
      <c r="T170" s="22" t="str">
        <f t="shared" si="19"/>
        <v/>
      </c>
      <c r="U170" s="22" t="str">
        <f t="shared" si="19"/>
        <v/>
      </c>
      <c r="V170" s="22" t="str">
        <f t="shared" ref="V170:BG170" si="24">IF(V100=V26,"","*")</f>
        <v/>
      </c>
      <c r="W170" s="22" t="str">
        <f t="shared" si="24"/>
        <v/>
      </c>
      <c r="X170" s="22" t="str">
        <f t="shared" si="24"/>
        <v/>
      </c>
      <c r="Y170" s="22" t="str">
        <f t="shared" si="24"/>
        <v/>
      </c>
      <c r="Z170" s="22" t="str">
        <f t="shared" si="24"/>
        <v/>
      </c>
      <c r="AA170" s="22" t="str">
        <f t="shared" si="24"/>
        <v/>
      </c>
      <c r="AB170" s="22" t="str">
        <f t="shared" si="24"/>
        <v/>
      </c>
      <c r="AC170" s="22" t="str">
        <f t="shared" si="24"/>
        <v/>
      </c>
      <c r="AD170" s="22" t="str">
        <f t="shared" si="24"/>
        <v/>
      </c>
      <c r="AE170" s="22" t="str">
        <f t="shared" si="24"/>
        <v/>
      </c>
      <c r="AF170" s="22" t="str">
        <f t="shared" si="24"/>
        <v/>
      </c>
      <c r="AG170" s="22" t="str">
        <f t="shared" si="24"/>
        <v/>
      </c>
      <c r="AH170" s="22" t="str">
        <f t="shared" si="24"/>
        <v/>
      </c>
      <c r="AI170" s="22" t="str">
        <f t="shared" si="24"/>
        <v/>
      </c>
      <c r="AJ170" s="22" t="str">
        <f t="shared" si="24"/>
        <v/>
      </c>
      <c r="AK170" s="22" t="str">
        <f t="shared" si="24"/>
        <v/>
      </c>
      <c r="AL170" s="22" t="str">
        <f t="shared" si="24"/>
        <v/>
      </c>
      <c r="AM170" s="22" t="str">
        <f t="shared" si="24"/>
        <v/>
      </c>
      <c r="AN170" s="22" t="str">
        <f t="shared" si="24"/>
        <v/>
      </c>
      <c r="AO170" s="22" t="str">
        <f t="shared" si="24"/>
        <v/>
      </c>
      <c r="AP170" s="22" t="str">
        <f t="shared" si="24"/>
        <v/>
      </c>
      <c r="AQ170" s="22" t="str">
        <f t="shared" si="24"/>
        <v/>
      </c>
      <c r="AR170" s="22" t="str">
        <f t="shared" si="24"/>
        <v/>
      </c>
      <c r="AS170" s="22" t="str">
        <f t="shared" si="24"/>
        <v/>
      </c>
      <c r="AT170" s="22" t="str">
        <f t="shared" si="24"/>
        <v/>
      </c>
      <c r="AU170" s="22" t="str">
        <f t="shared" si="24"/>
        <v/>
      </c>
      <c r="AV170" s="22" t="str">
        <f t="shared" si="24"/>
        <v/>
      </c>
      <c r="AW170" s="22" t="str">
        <f t="shared" si="24"/>
        <v/>
      </c>
      <c r="AX170" s="22" t="str">
        <f t="shared" si="24"/>
        <v/>
      </c>
      <c r="AY170" s="22" t="str">
        <f t="shared" si="24"/>
        <v/>
      </c>
      <c r="AZ170" s="22" t="str">
        <f t="shared" si="24"/>
        <v/>
      </c>
      <c r="BA170" s="22" t="str">
        <f t="shared" si="24"/>
        <v/>
      </c>
      <c r="BB170" s="22" t="str">
        <f t="shared" si="24"/>
        <v/>
      </c>
      <c r="BC170" s="22" t="str">
        <f t="shared" si="24"/>
        <v/>
      </c>
      <c r="BD170" s="22" t="str">
        <f t="shared" si="24"/>
        <v/>
      </c>
      <c r="BE170" s="22" t="str">
        <f t="shared" si="24"/>
        <v/>
      </c>
      <c r="BF170" s="22" t="str">
        <f t="shared" si="24"/>
        <v/>
      </c>
      <c r="BG170" s="22" t="str">
        <f t="shared" si="24"/>
        <v/>
      </c>
    </row>
    <row r="171" spans="1:59" s="23" customFormat="1" ht="15" hidden="1" customHeight="1" x14ac:dyDescent="0.2">
      <c r="A171" s="111"/>
      <c r="B171" s="34" t="s">
        <v>76</v>
      </c>
      <c r="C171" s="35" t="s">
        <v>194</v>
      </c>
      <c r="D171" s="22" t="str">
        <f t="shared" si="3"/>
        <v/>
      </c>
      <c r="E171" s="22" t="str">
        <f t="shared" si="19"/>
        <v/>
      </c>
      <c r="F171" s="22" t="str">
        <f t="shared" si="19"/>
        <v/>
      </c>
      <c r="G171" s="22" t="str">
        <f t="shared" si="19"/>
        <v/>
      </c>
      <c r="H171" s="22" t="str">
        <f t="shared" si="19"/>
        <v/>
      </c>
      <c r="I171" s="22" t="str">
        <f t="shared" si="19"/>
        <v/>
      </c>
      <c r="J171" s="22" t="str">
        <f t="shared" si="19"/>
        <v/>
      </c>
      <c r="K171" s="22" t="str">
        <f t="shared" si="19"/>
        <v/>
      </c>
      <c r="L171" s="22" t="str">
        <f t="shared" si="19"/>
        <v/>
      </c>
      <c r="M171" s="22" t="str">
        <f t="shared" si="19"/>
        <v/>
      </c>
      <c r="N171" s="22" t="str">
        <f t="shared" si="19"/>
        <v/>
      </c>
      <c r="O171" s="22" t="str">
        <f t="shared" si="19"/>
        <v/>
      </c>
      <c r="P171" s="22" t="str">
        <f t="shared" si="19"/>
        <v/>
      </c>
      <c r="Q171" s="22" t="str">
        <f t="shared" si="19"/>
        <v/>
      </c>
      <c r="R171" s="22" t="str">
        <f t="shared" si="19"/>
        <v/>
      </c>
      <c r="S171" s="22" t="str">
        <f t="shared" si="19"/>
        <v/>
      </c>
      <c r="T171" s="22" t="str">
        <f t="shared" si="19"/>
        <v/>
      </c>
      <c r="U171" s="22" t="str">
        <f t="shared" si="19"/>
        <v/>
      </c>
      <c r="V171" s="22" t="str">
        <f t="shared" ref="V171:BG171" si="25">IF(V101=V27,"","*")</f>
        <v/>
      </c>
      <c r="W171" s="22" t="str">
        <f t="shared" si="25"/>
        <v/>
      </c>
      <c r="X171" s="22" t="str">
        <f t="shared" si="25"/>
        <v/>
      </c>
      <c r="Y171" s="22" t="str">
        <f t="shared" si="25"/>
        <v/>
      </c>
      <c r="Z171" s="22" t="str">
        <f t="shared" si="25"/>
        <v/>
      </c>
      <c r="AA171" s="22" t="str">
        <f t="shared" si="25"/>
        <v/>
      </c>
      <c r="AB171" s="22" t="str">
        <f t="shared" si="25"/>
        <v/>
      </c>
      <c r="AC171" s="22" t="str">
        <f t="shared" si="25"/>
        <v/>
      </c>
      <c r="AD171" s="22" t="str">
        <f t="shared" si="25"/>
        <v/>
      </c>
      <c r="AE171" s="22" t="str">
        <f t="shared" si="25"/>
        <v/>
      </c>
      <c r="AF171" s="22" t="str">
        <f t="shared" si="25"/>
        <v/>
      </c>
      <c r="AG171" s="22" t="str">
        <f t="shared" si="25"/>
        <v/>
      </c>
      <c r="AH171" s="22" t="str">
        <f t="shared" si="25"/>
        <v/>
      </c>
      <c r="AI171" s="22" t="str">
        <f t="shared" si="25"/>
        <v/>
      </c>
      <c r="AJ171" s="22" t="str">
        <f t="shared" si="25"/>
        <v/>
      </c>
      <c r="AK171" s="22" t="str">
        <f t="shared" si="25"/>
        <v/>
      </c>
      <c r="AL171" s="22" t="str">
        <f t="shared" si="25"/>
        <v/>
      </c>
      <c r="AM171" s="22" t="str">
        <f t="shared" si="25"/>
        <v/>
      </c>
      <c r="AN171" s="22" t="str">
        <f t="shared" si="25"/>
        <v/>
      </c>
      <c r="AO171" s="22" t="str">
        <f t="shared" si="25"/>
        <v/>
      </c>
      <c r="AP171" s="22" t="str">
        <f t="shared" si="25"/>
        <v/>
      </c>
      <c r="AQ171" s="22" t="str">
        <f t="shared" si="25"/>
        <v/>
      </c>
      <c r="AR171" s="22" t="str">
        <f t="shared" si="25"/>
        <v/>
      </c>
      <c r="AS171" s="22" t="str">
        <f t="shared" si="25"/>
        <v/>
      </c>
      <c r="AT171" s="22" t="str">
        <f t="shared" si="25"/>
        <v/>
      </c>
      <c r="AU171" s="22" t="str">
        <f t="shared" si="25"/>
        <v/>
      </c>
      <c r="AV171" s="22" t="str">
        <f t="shared" si="25"/>
        <v/>
      </c>
      <c r="AW171" s="22" t="str">
        <f t="shared" si="25"/>
        <v/>
      </c>
      <c r="AX171" s="22" t="str">
        <f t="shared" si="25"/>
        <v/>
      </c>
      <c r="AY171" s="22" t="str">
        <f t="shared" si="25"/>
        <v/>
      </c>
      <c r="AZ171" s="22" t="str">
        <f t="shared" si="25"/>
        <v/>
      </c>
      <c r="BA171" s="22" t="str">
        <f t="shared" si="25"/>
        <v/>
      </c>
      <c r="BB171" s="22" t="str">
        <f t="shared" si="25"/>
        <v/>
      </c>
      <c r="BC171" s="22" t="str">
        <f t="shared" si="25"/>
        <v/>
      </c>
      <c r="BD171" s="22" t="str">
        <f t="shared" si="25"/>
        <v/>
      </c>
      <c r="BE171" s="22" t="str">
        <f t="shared" si="25"/>
        <v/>
      </c>
      <c r="BF171" s="22" t="str">
        <f t="shared" si="25"/>
        <v/>
      </c>
      <c r="BG171" s="22" t="str">
        <f t="shared" si="25"/>
        <v/>
      </c>
    </row>
    <row r="172" spans="1:59" s="23" customFormat="1" ht="15" hidden="1" customHeight="1" x14ac:dyDescent="0.2">
      <c r="A172" s="26" t="s">
        <v>57</v>
      </c>
      <c r="B172" s="29" t="s">
        <v>74</v>
      </c>
      <c r="C172" s="30" t="s">
        <v>0</v>
      </c>
      <c r="D172" s="31" t="str">
        <f t="shared" si="3"/>
        <v/>
      </c>
      <c r="E172" s="31" t="str">
        <f t="shared" si="19"/>
        <v/>
      </c>
      <c r="F172" s="31" t="str">
        <f t="shared" si="19"/>
        <v/>
      </c>
      <c r="G172" s="31" t="str">
        <f t="shared" si="19"/>
        <v/>
      </c>
      <c r="H172" s="31" t="str">
        <f t="shared" si="19"/>
        <v/>
      </c>
      <c r="I172" s="31" t="str">
        <f t="shared" si="19"/>
        <v/>
      </c>
      <c r="J172" s="31" t="str">
        <f t="shared" si="19"/>
        <v/>
      </c>
      <c r="K172" s="31" t="str">
        <f t="shared" si="19"/>
        <v/>
      </c>
      <c r="L172" s="31" t="str">
        <f t="shared" si="19"/>
        <v/>
      </c>
      <c r="M172" s="31" t="str">
        <f t="shared" si="19"/>
        <v/>
      </c>
      <c r="N172" s="31" t="str">
        <f t="shared" si="19"/>
        <v/>
      </c>
      <c r="O172" s="31" t="str">
        <f t="shared" si="19"/>
        <v/>
      </c>
      <c r="P172" s="31" t="str">
        <f t="shared" si="19"/>
        <v/>
      </c>
      <c r="Q172" s="31" t="str">
        <f t="shared" si="19"/>
        <v/>
      </c>
      <c r="R172" s="31" t="str">
        <f t="shared" si="19"/>
        <v/>
      </c>
      <c r="S172" s="31" t="str">
        <f t="shared" si="19"/>
        <v/>
      </c>
      <c r="T172" s="31" t="str">
        <f t="shared" si="19"/>
        <v/>
      </c>
      <c r="U172" s="31" t="str">
        <f t="shared" si="19"/>
        <v/>
      </c>
      <c r="V172" s="31" t="str">
        <f t="shared" ref="V172:BG172" si="26">IF(V102=V28,"","*")</f>
        <v/>
      </c>
      <c r="W172" s="31" t="str">
        <f t="shared" si="26"/>
        <v/>
      </c>
      <c r="X172" s="31" t="str">
        <f t="shared" si="26"/>
        <v/>
      </c>
      <c r="Y172" s="31" t="str">
        <f t="shared" si="26"/>
        <v/>
      </c>
      <c r="Z172" s="31" t="str">
        <f t="shared" si="26"/>
        <v/>
      </c>
      <c r="AA172" s="31" t="str">
        <f t="shared" si="26"/>
        <v/>
      </c>
      <c r="AB172" s="31" t="str">
        <f t="shared" si="26"/>
        <v/>
      </c>
      <c r="AC172" s="31" t="str">
        <f t="shared" si="26"/>
        <v/>
      </c>
      <c r="AD172" s="31" t="str">
        <f t="shared" si="26"/>
        <v/>
      </c>
      <c r="AE172" s="31" t="str">
        <f t="shared" si="26"/>
        <v/>
      </c>
      <c r="AF172" s="31" t="str">
        <f t="shared" si="26"/>
        <v/>
      </c>
      <c r="AG172" s="31" t="str">
        <f t="shared" si="26"/>
        <v/>
      </c>
      <c r="AH172" s="31" t="str">
        <f t="shared" si="26"/>
        <v/>
      </c>
      <c r="AI172" s="31" t="str">
        <f t="shared" si="26"/>
        <v/>
      </c>
      <c r="AJ172" s="31" t="str">
        <f t="shared" si="26"/>
        <v/>
      </c>
      <c r="AK172" s="31" t="str">
        <f t="shared" si="26"/>
        <v/>
      </c>
      <c r="AL172" s="31" t="str">
        <f t="shared" si="26"/>
        <v/>
      </c>
      <c r="AM172" s="31" t="str">
        <f t="shared" si="26"/>
        <v/>
      </c>
      <c r="AN172" s="31" t="str">
        <f t="shared" si="26"/>
        <v/>
      </c>
      <c r="AO172" s="31" t="str">
        <f t="shared" si="26"/>
        <v/>
      </c>
      <c r="AP172" s="31" t="str">
        <f t="shared" si="26"/>
        <v/>
      </c>
      <c r="AQ172" s="31" t="str">
        <f t="shared" si="26"/>
        <v/>
      </c>
      <c r="AR172" s="31" t="str">
        <f t="shared" si="26"/>
        <v/>
      </c>
      <c r="AS172" s="31" t="str">
        <f t="shared" si="26"/>
        <v/>
      </c>
      <c r="AT172" s="31" t="str">
        <f t="shared" si="26"/>
        <v/>
      </c>
      <c r="AU172" s="31" t="str">
        <f t="shared" si="26"/>
        <v/>
      </c>
      <c r="AV172" s="31" t="str">
        <f t="shared" si="26"/>
        <v/>
      </c>
      <c r="AW172" s="31" t="str">
        <f t="shared" si="26"/>
        <v/>
      </c>
      <c r="AX172" s="31" t="str">
        <f t="shared" si="26"/>
        <v/>
      </c>
      <c r="AY172" s="31" t="str">
        <f t="shared" si="26"/>
        <v/>
      </c>
      <c r="AZ172" s="31" t="str">
        <f t="shared" si="26"/>
        <v/>
      </c>
      <c r="BA172" s="31" t="str">
        <f t="shared" si="26"/>
        <v/>
      </c>
      <c r="BB172" s="31" t="str">
        <f t="shared" si="26"/>
        <v/>
      </c>
      <c r="BC172" s="31" t="str">
        <f t="shared" si="26"/>
        <v/>
      </c>
      <c r="BD172" s="31" t="str">
        <f t="shared" si="26"/>
        <v/>
      </c>
      <c r="BE172" s="31" t="str">
        <f t="shared" si="26"/>
        <v/>
      </c>
      <c r="BF172" s="31" t="str">
        <f t="shared" si="26"/>
        <v/>
      </c>
      <c r="BG172" s="31" t="str">
        <f t="shared" si="26"/>
        <v/>
      </c>
    </row>
    <row r="173" spans="1:59" s="23" customFormat="1" ht="15" hidden="1" customHeight="1" x14ac:dyDescent="0.2">
      <c r="A173" s="25" t="s">
        <v>8</v>
      </c>
      <c r="B173" s="32" t="s">
        <v>75</v>
      </c>
      <c r="C173" s="33" t="s">
        <v>2</v>
      </c>
      <c r="D173" s="22" t="str">
        <f t="shared" si="3"/>
        <v/>
      </c>
      <c r="E173" s="22" t="str">
        <f t="shared" si="19"/>
        <v/>
      </c>
      <c r="F173" s="22" t="str">
        <f t="shared" si="19"/>
        <v/>
      </c>
      <c r="G173" s="22" t="str">
        <f t="shared" si="19"/>
        <v/>
      </c>
      <c r="H173" s="22" t="str">
        <f t="shared" si="19"/>
        <v/>
      </c>
      <c r="I173" s="22" t="str">
        <f t="shared" si="19"/>
        <v/>
      </c>
      <c r="J173" s="22" t="str">
        <f t="shared" si="19"/>
        <v/>
      </c>
      <c r="K173" s="22" t="str">
        <f t="shared" si="19"/>
        <v/>
      </c>
      <c r="L173" s="22" t="str">
        <f t="shared" si="19"/>
        <v/>
      </c>
      <c r="M173" s="22" t="str">
        <f t="shared" si="19"/>
        <v/>
      </c>
      <c r="N173" s="22" t="str">
        <f t="shared" si="19"/>
        <v/>
      </c>
      <c r="O173" s="22" t="str">
        <f t="shared" si="19"/>
        <v/>
      </c>
      <c r="P173" s="22" t="str">
        <f t="shared" si="19"/>
        <v/>
      </c>
      <c r="Q173" s="22" t="str">
        <f t="shared" si="19"/>
        <v/>
      </c>
      <c r="R173" s="22" t="str">
        <f t="shared" si="19"/>
        <v/>
      </c>
      <c r="S173" s="22" t="str">
        <f t="shared" si="19"/>
        <v/>
      </c>
      <c r="T173" s="22" t="str">
        <f t="shared" si="19"/>
        <v/>
      </c>
      <c r="U173" s="22" t="str">
        <f t="shared" si="19"/>
        <v/>
      </c>
      <c r="V173" s="22" t="str">
        <f t="shared" ref="V173:BG173" si="27">IF(V103=V29,"","*")</f>
        <v/>
      </c>
      <c r="W173" s="22" t="str">
        <f t="shared" si="27"/>
        <v/>
      </c>
      <c r="X173" s="22" t="str">
        <f t="shared" si="27"/>
        <v/>
      </c>
      <c r="Y173" s="22" t="str">
        <f t="shared" si="27"/>
        <v/>
      </c>
      <c r="Z173" s="22" t="str">
        <f t="shared" si="27"/>
        <v/>
      </c>
      <c r="AA173" s="22" t="str">
        <f t="shared" si="27"/>
        <v/>
      </c>
      <c r="AB173" s="22" t="str">
        <f t="shared" si="27"/>
        <v/>
      </c>
      <c r="AC173" s="22" t="str">
        <f t="shared" si="27"/>
        <v/>
      </c>
      <c r="AD173" s="22" t="str">
        <f t="shared" si="27"/>
        <v/>
      </c>
      <c r="AE173" s="22" t="str">
        <f t="shared" si="27"/>
        <v/>
      </c>
      <c r="AF173" s="22" t="str">
        <f t="shared" si="27"/>
        <v/>
      </c>
      <c r="AG173" s="22" t="str">
        <f t="shared" si="27"/>
        <v/>
      </c>
      <c r="AH173" s="22" t="str">
        <f t="shared" si="27"/>
        <v/>
      </c>
      <c r="AI173" s="22" t="str">
        <f t="shared" si="27"/>
        <v/>
      </c>
      <c r="AJ173" s="22" t="str">
        <f t="shared" si="27"/>
        <v/>
      </c>
      <c r="AK173" s="22" t="str">
        <f t="shared" si="27"/>
        <v/>
      </c>
      <c r="AL173" s="22" t="str">
        <f t="shared" si="27"/>
        <v/>
      </c>
      <c r="AM173" s="22" t="str">
        <f t="shared" si="27"/>
        <v/>
      </c>
      <c r="AN173" s="22" t="str">
        <f t="shared" si="27"/>
        <v/>
      </c>
      <c r="AO173" s="22" t="str">
        <f t="shared" si="27"/>
        <v/>
      </c>
      <c r="AP173" s="22" t="str">
        <f t="shared" si="27"/>
        <v/>
      </c>
      <c r="AQ173" s="22" t="str">
        <f t="shared" si="27"/>
        <v/>
      </c>
      <c r="AR173" s="22" t="str">
        <f t="shared" si="27"/>
        <v/>
      </c>
      <c r="AS173" s="22" t="str">
        <f t="shared" si="27"/>
        <v/>
      </c>
      <c r="AT173" s="22" t="str">
        <f t="shared" si="27"/>
        <v/>
      </c>
      <c r="AU173" s="22" t="str">
        <f t="shared" si="27"/>
        <v/>
      </c>
      <c r="AV173" s="22" t="str">
        <f t="shared" si="27"/>
        <v/>
      </c>
      <c r="AW173" s="22" t="str">
        <f t="shared" si="27"/>
        <v/>
      </c>
      <c r="AX173" s="22" t="str">
        <f t="shared" si="27"/>
        <v/>
      </c>
      <c r="AY173" s="22" t="str">
        <f t="shared" si="27"/>
        <v/>
      </c>
      <c r="AZ173" s="22" t="str">
        <f t="shared" si="27"/>
        <v/>
      </c>
      <c r="BA173" s="22" t="str">
        <f t="shared" si="27"/>
        <v/>
      </c>
      <c r="BB173" s="22" t="str">
        <f t="shared" si="27"/>
        <v/>
      </c>
      <c r="BC173" s="22" t="str">
        <f t="shared" si="27"/>
        <v/>
      </c>
      <c r="BD173" s="22" t="str">
        <f t="shared" si="27"/>
        <v/>
      </c>
      <c r="BE173" s="22" t="str">
        <f t="shared" si="27"/>
        <v/>
      </c>
      <c r="BF173" s="22" t="str">
        <f t="shared" si="27"/>
        <v/>
      </c>
      <c r="BG173" s="22" t="str">
        <f t="shared" si="27"/>
        <v/>
      </c>
    </row>
    <row r="174" spans="1:59" s="23" customFormat="1" ht="15" hidden="1" customHeight="1" x14ac:dyDescent="0.2">
      <c r="A174" s="24"/>
      <c r="B174" s="34" t="s">
        <v>76</v>
      </c>
      <c r="C174" s="35" t="s">
        <v>194</v>
      </c>
      <c r="D174" s="22" t="str">
        <f t="shared" si="3"/>
        <v/>
      </c>
      <c r="E174" s="22" t="str">
        <f t="shared" ref="E174:U181" si="28">IF(E104=E30,"","*")</f>
        <v/>
      </c>
      <c r="F174" s="22" t="str">
        <f t="shared" si="28"/>
        <v/>
      </c>
      <c r="G174" s="22" t="str">
        <f t="shared" si="28"/>
        <v/>
      </c>
      <c r="H174" s="22" t="str">
        <f t="shared" si="28"/>
        <v/>
      </c>
      <c r="I174" s="22" t="str">
        <f t="shared" si="28"/>
        <v/>
      </c>
      <c r="J174" s="22" t="str">
        <f t="shared" si="28"/>
        <v/>
      </c>
      <c r="K174" s="22" t="str">
        <f t="shared" si="28"/>
        <v/>
      </c>
      <c r="L174" s="22" t="str">
        <f t="shared" si="28"/>
        <v/>
      </c>
      <c r="M174" s="22" t="str">
        <f t="shared" si="28"/>
        <v/>
      </c>
      <c r="N174" s="22" t="str">
        <f t="shared" si="28"/>
        <v/>
      </c>
      <c r="O174" s="22" t="str">
        <f t="shared" si="28"/>
        <v/>
      </c>
      <c r="P174" s="22" t="str">
        <f t="shared" si="28"/>
        <v/>
      </c>
      <c r="Q174" s="22" t="str">
        <f t="shared" si="28"/>
        <v/>
      </c>
      <c r="R174" s="22" t="str">
        <f t="shared" si="28"/>
        <v/>
      </c>
      <c r="S174" s="22" t="str">
        <f t="shared" si="28"/>
        <v/>
      </c>
      <c r="T174" s="22" t="str">
        <f t="shared" si="28"/>
        <v/>
      </c>
      <c r="U174" s="22" t="str">
        <f t="shared" si="28"/>
        <v/>
      </c>
      <c r="V174" s="22" t="str">
        <f t="shared" ref="V174:BG174" si="29">IF(V104=V30,"","*")</f>
        <v/>
      </c>
      <c r="W174" s="22" t="str">
        <f t="shared" si="29"/>
        <v/>
      </c>
      <c r="X174" s="22" t="str">
        <f t="shared" si="29"/>
        <v/>
      </c>
      <c r="Y174" s="22" t="str">
        <f t="shared" si="29"/>
        <v/>
      </c>
      <c r="Z174" s="22" t="str">
        <f t="shared" si="29"/>
        <v/>
      </c>
      <c r="AA174" s="22" t="str">
        <f t="shared" si="29"/>
        <v/>
      </c>
      <c r="AB174" s="22" t="str">
        <f t="shared" si="29"/>
        <v/>
      </c>
      <c r="AC174" s="22" t="str">
        <f t="shared" si="29"/>
        <v/>
      </c>
      <c r="AD174" s="22" t="str">
        <f t="shared" si="29"/>
        <v/>
      </c>
      <c r="AE174" s="22" t="str">
        <f t="shared" si="29"/>
        <v/>
      </c>
      <c r="AF174" s="22" t="str">
        <f t="shared" si="29"/>
        <v/>
      </c>
      <c r="AG174" s="22" t="str">
        <f t="shared" si="29"/>
        <v/>
      </c>
      <c r="AH174" s="22" t="str">
        <f t="shared" si="29"/>
        <v/>
      </c>
      <c r="AI174" s="22" t="str">
        <f t="shared" si="29"/>
        <v/>
      </c>
      <c r="AJ174" s="22" t="str">
        <f t="shared" si="29"/>
        <v/>
      </c>
      <c r="AK174" s="22" t="str">
        <f t="shared" si="29"/>
        <v/>
      </c>
      <c r="AL174" s="22" t="str">
        <f t="shared" si="29"/>
        <v/>
      </c>
      <c r="AM174" s="22" t="str">
        <f t="shared" si="29"/>
        <v/>
      </c>
      <c r="AN174" s="22" t="str">
        <f t="shared" si="29"/>
        <v/>
      </c>
      <c r="AO174" s="22" t="str">
        <f t="shared" si="29"/>
        <v/>
      </c>
      <c r="AP174" s="22" t="str">
        <f t="shared" si="29"/>
        <v/>
      </c>
      <c r="AQ174" s="22" t="str">
        <f t="shared" si="29"/>
        <v/>
      </c>
      <c r="AR174" s="22" t="str">
        <f t="shared" si="29"/>
        <v/>
      </c>
      <c r="AS174" s="22" t="str">
        <f t="shared" si="29"/>
        <v/>
      </c>
      <c r="AT174" s="22" t="str">
        <f t="shared" si="29"/>
        <v/>
      </c>
      <c r="AU174" s="22" t="str">
        <f t="shared" si="29"/>
        <v/>
      </c>
      <c r="AV174" s="22" t="str">
        <f t="shared" si="29"/>
        <v/>
      </c>
      <c r="AW174" s="22" t="str">
        <f t="shared" si="29"/>
        <v/>
      </c>
      <c r="AX174" s="22" t="str">
        <f t="shared" si="29"/>
        <v/>
      </c>
      <c r="AY174" s="22" t="str">
        <f t="shared" si="29"/>
        <v/>
      </c>
      <c r="AZ174" s="22" t="str">
        <f t="shared" si="29"/>
        <v/>
      </c>
      <c r="BA174" s="22" t="str">
        <f t="shared" si="29"/>
        <v/>
      </c>
      <c r="BB174" s="22" t="str">
        <f t="shared" si="29"/>
        <v/>
      </c>
      <c r="BC174" s="22" t="str">
        <f t="shared" si="29"/>
        <v/>
      </c>
      <c r="BD174" s="22" t="str">
        <f t="shared" si="29"/>
        <v/>
      </c>
      <c r="BE174" s="22" t="str">
        <f t="shared" si="29"/>
        <v/>
      </c>
      <c r="BF174" s="22" t="str">
        <f t="shared" si="29"/>
        <v/>
      </c>
      <c r="BG174" s="22" t="str">
        <f t="shared" si="29"/>
        <v/>
      </c>
    </row>
    <row r="175" spans="1:59" s="23" customFormat="1" ht="15" hidden="1" customHeight="1" x14ac:dyDescent="0.2">
      <c r="A175" s="26" t="s">
        <v>58</v>
      </c>
      <c r="B175" s="29" t="s">
        <v>74</v>
      </c>
      <c r="C175" s="30" t="s">
        <v>0</v>
      </c>
      <c r="D175" s="31" t="str">
        <f t="shared" si="3"/>
        <v/>
      </c>
      <c r="E175" s="31" t="str">
        <f t="shared" si="28"/>
        <v/>
      </c>
      <c r="F175" s="31" t="str">
        <f t="shared" si="28"/>
        <v/>
      </c>
      <c r="G175" s="31" t="str">
        <f t="shared" si="28"/>
        <v/>
      </c>
      <c r="H175" s="31" t="str">
        <f t="shared" si="28"/>
        <v/>
      </c>
      <c r="I175" s="31" t="str">
        <f t="shared" si="28"/>
        <v/>
      </c>
      <c r="J175" s="31" t="str">
        <f t="shared" si="28"/>
        <v/>
      </c>
      <c r="K175" s="31" t="str">
        <f t="shared" si="28"/>
        <v/>
      </c>
      <c r="L175" s="31" t="str">
        <f t="shared" si="28"/>
        <v/>
      </c>
      <c r="M175" s="31" t="str">
        <f t="shared" si="28"/>
        <v/>
      </c>
      <c r="N175" s="31" t="str">
        <f t="shared" si="28"/>
        <v/>
      </c>
      <c r="O175" s="31" t="str">
        <f t="shared" si="28"/>
        <v/>
      </c>
      <c r="P175" s="31" t="str">
        <f t="shared" si="28"/>
        <v/>
      </c>
      <c r="Q175" s="31" t="str">
        <f t="shared" si="28"/>
        <v/>
      </c>
      <c r="R175" s="31" t="str">
        <f t="shared" si="28"/>
        <v/>
      </c>
      <c r="S175" s="31" t="str">
        <f t="shared" si="28"/>
        <v/>
      </c>
      <c r="T175" s="31" t="str">
        <f t="shared" si="28"/>
        <v/>
      </c>
      <c r="U175" s="31" t="str">
        <f t="shared" si="28"/>
        <v/>
      </c>
      <c r="V175" s="31" t="str">
        <f t="shared" ref="V175:BG175" si="30">IF(V105=V31,"","*")</f>
        <v/>
      </c>
      <c r="W175" s="31" t="str">
        <f t="shared" si="30"/>
        <v/>
      </c>
      <c r="X175" s="31" t="str">
        <f t="shared" si="30"/>
        <v/>
      </c>
      <c r="Y175" s="31" t="str">
        <f t="shared" si="30"/>
        <v/>
      </c>
      <c r="Z175" s="31" t="str">
        <f t="shared" si="30"/>
        <v/>
      </c>
      <c r="AA175" s="31" t="str">
        <f t="shared" si="30"/>
        <v/>
      </c>
      <c r="AB175" s="31" t="str">
        <f t="shared" si="30"/>
        <v/>
      </c>
      <c r="AC175" s="31" t="str">
        <f t="shared" si="30"/>
        <v/>
      </c>
      <c r="AD175" s="31" t="str">
        <f t="shared" si="30"/>
        <v/>
      </c>
      <c r="AE175" s="31" t="str">
        <f t="shared" si="30"/>
        <v/>
      </c>
      <c r="AF175" s="31" t="str">
        <f t="shared" si="30"/>
        <v/>
      </c>
      <c r="AG175" s="31" t="str">
        <f t="shared" si="30"/>
        <v/>
      </c>
      <c r="AH175" s="31" t="str">
        <f t="shared" si="30"/>
        <v/>
      </c>
      <c r="AI175" s="31" t="str">
        <f t="shared" si="30"/>
        <v/>
      </c>
      <c r="AJ175" s="31" t="str">
        <f t="shared" si="30"/>
        <v/>
      </c>
      <c r="AK175" s="31" t="str">
        <f t="shared" si="30"/>
        <v/>
      </c>
      <c r="AL175" s="31" t="str">
        <f t="shared" si="30"/>
        <v/>
      </c>
      <c r="AM175" s="31" t="str">
        <f t="shared" si="30"/>
        <v/>
      </c>
      <c r="AN175" s="31" t="str">
        <f t="shared" si="30"/>
        <v/>
      </c>
      <c r="AO175" s="31" t="str">
        <f t="shared" si="30"/>
        <v/>
      </c>
      <c r="AP175" s="31" t="str">
        <f t="shared" si="30"/>
        <v/>
      </c>
      <c r="AQ175" s="31" t="str">
        <f t="shared" si="30"/>
        <v/>
      </c>
      <c r="AR175" s="31" t="str">
        <f t="shared" si="30"/>
        <v/>
      </c>
      <c r="AS175" s="31" t="str">
        <f t="shared" si="30"/>
        <v/>
      </c>
      <c r="AT175" s="31" t="str">
        <f t="shared" si="30"/>
        <v/>
      </c>
      <c r="AU175" s="31" t="str">
        <f t="shared" si="30"/>
        <v/>
      </c>
      <c r="AV175" s="31" t="str">
        <f t="shared" si="30"/>
        <v/>
      </c>
      <c r="AW175" s="31" t="str">
        <f t="shared" si="30"/>
        <v/>
      </c>
      <c r="AX175" s="31" t="str">
        <f t="shared" si="30"/>
        <v/>
      </c>
      <c r="AY175" s="31" t="str">
        <f t="shared" si="30"/>
        <v/>
      </c>
      <c r="AZ175" s="31" t="str">
        <f t="shared" si="30"/>
        <v/>
      </c>
      <c r="BA175" s="31" t="str">
        <f t="shared" si="30"/>
        <v/>
      </c>
      <c r="BB175" s="31" t="str">
        <f t="shared" si="30"/>
        <v/>
      </c>
      <c r="BC175" s="31" t="str">
        <f t="shared" si="30"/>
        <v/>
      </c>
      <c r="BD175" s="31" t="str">
        <f t="shared" si="30"/>
        <v/>
      </c>
      <c r="BE175" s="31" t="str">
        <f t="shared" si="30"/>
        <v/>
      </c>
      <c r="BF175" s="31" t="str">
        <f t="shared" si="30"/>
        <v/>
      </c>
      <c r="BG175" s="31" t="str">
        <f t="shared" si="30"/>
        <v/>
      </c>
    </row>
    <row r="176" spans="1:59" s="23" customFormat="1" ht="15" hidden="1" customHeight="1" x14ac:dyDescent="0.2">
      <c r="A176" s="110" t="s">
        <v>9</v>
      </c>
      <c r="B176" s="32" t="s">
        <v>75</v>
      </c>
      <c r="C176" s="33" t="s">
        <v>2</v>
      </c>
      <c r="D176" s="22" t="str">
        <f t="shared" si="3"/>
        <v/>
      </c>
      <c r="E176" s="22" t="str">
        <f t="shared" si="28"/>
        <v/>
      </c>
      <c r="F176" s="22" t="str">
        <f t="shared" si="28"/>
        <v/>
      </c>
      <c r="G176" s="22" t="str">
        <f t="shared" si="28"/>
        <v/>
      </c>
      <c r="H176" s="22" t="str">
        <f t="shared" si="28"/>
        <v/>
      </c>
      <c r="I176" s="22" t="str">
        <f t="shared" si="28"/>
        <v/>
      </c>
      <c r="J176" s="22" t="str">
        <f t="shared" si="28"/>
        <v/>
      </c>
      <c r="K176" s="22" t="str">
        <f t="shared" si="28"/>
        <v/>
      </c>
      <c r="L176" s="22" t="str">
        <f t="shared" si="28"/>
        <v/>
      </c>
      <c r="M176" s="22" t="str">
        <f t="shared" si="28"/>
        <v/>
      </c>
      <c r="N176" s="22" t="str">
        <f t="shared" si="28"/>
        <v/>
      </c>
      <c r="O176" s="22" t="str">
        <f t="shared" si="28"/>
        <v/>
      </c>
      <c r="P176" s="22" t="str">
        <f t="shared" si="28"/>
        <v/>
      </c>
      <c r="Q176" s="22" t="str">
        <f t="shared" si="28"/>
        <v/>
      </c>
      <c r="R176" s="22" t="str">
        <f t="shared" si="28"/>
        <v/>
      </c>
      <c r="S176" s="22" t="str">
        <f t="shared" si="28"/>
        <v/>
      </c>
      <c r="T176" s="22" t="str">
        <f t="shared" si="28"/>
        <v/>
      </c>
      <c r="U176" s="22" t="str">
        <f t="shared" si="28"/>
        <v/>
      </c>
      <c r="V176" s="22" t="str">
        <f t="shared" ref="V176:BG176" si="31">IF(V106=V32,"","*")</f>
        <v/>
      </c>
      <c r="W176" s="22" t="str">
        <f t="shared" si="31"/>
        <v/>
      </c>
      <c r="X176" s="22" t="str">
        <f t="shared" si="31"/>
        <v/>
      </c>
      <c r="Y176" s="22" t="str">
        <f t="shared" si="31"/>
        <v/>
      </c>
      <c r="Z176" s="22" t="str">
        <f t="shared" si="31"/>
        <v/>
      </c>
      <c r="AA176" s="22" t="str">
        <f t="shared" si="31"/>
        <v/>
      </c>
      <c r="AB176" s="22" t="str">
        <f t="shared" si="31"/>
        <v/>
      </c>
      <c r="AC176" s="22" t="str">
        <f t="shared" si="31"/>
        <v/>
      </c>
      <c r="AD176" s="22" t="str">
        <f t="shared" si="31"/>
        <v/>
      </c>
      <c r="AE176" s="22" t="str">
        <f t="shared" si="31"/>
        <v/>
      </c>
      <c r="AF176" s="22" t="str">
        <f t="shared" si="31"/>
        <v/>
      </c>
      <c r="AG176" s="22" t="str">
        <f t="shared" si="31"/>
        <v/>
      </c>
      <c r="AH176" s="22" t="str">
        <f t="shared" si="31"/>
        <v/>
      </c>
      <c r="AI176" s="22" t="str">
        <f t="shared" si="31"/>
        <v/>
      </c>
      <c r="AJ176" s="22" t="str">
        <f t="shared" si="31"/>
        <v/>
      </c>
      <c r="AK176" s="22" t="str">
        <f t="shared" si="31"/>
        <v/>
      </c>
      <c r="AL176" s="22" t="str">
        <f t="shared" si="31"/>
        <v/>
      </c>
      <c r="AM176" s="22" t="str">
        <f t="shared" si="31"/>
        <v/>
      </c>
      <c r="AN176" s="22" t="str">
        <f t="shared" si="31"/>
        <v/>
      </c>
      <c r="AO176" s="22" t="str">
        <f t="shared" si="31"/>
        <v/>
      </c>
      <c r="AP176" s="22" t="str">
        <f t="shared" si="31"/>
        <v/>
      </c>
      <c r="AQ176" s="22" t="str">
        <f t="shared" si="31"/>
        <v/>
      </c>
      <c r="AR176" s="22" t="str">
        <f t="shared" si="31"/>
        <v/>
      </c>
      <c r="AS176" s="22" t="str">
        <f t="shared" si="31"/>
        <v/>
      </c>
      <c r="AT176" s="22" t="str">
        <f t="shared" si="31"/>
        <v/>
      </c>
      <c r="AU176" s="22" t="str">
        <f t="shared" si="31"/>
        <v/>
      </c>
      <c r="AV176" s="22" t="str">
        <f t="shared" si="31"/>
        <v/>
      </c>
      <c r="AW176" s="22" t="str">
        <f t="shared" si="31"/>
        <v/>
      </c>
      <c r="AX176" s="22" t="str">
        <f t="shared" si="31"/>
        <v/>
      </c>
      <c r="AY176" s="22" t="str">
        <f t="shared" si="31"/>
        <v/>
      </c>
      <c r="AZ176" s="22" t="str">
        <f t="shared" si="31"/>
        <v/>
      </c>
      <c r="BA176" s="22" t="str">
        <f t="shared" si="31"/>
        <v/>
      </c>
      <c r="BB176" s="22" t="str">
        <f t="shared" si="31"/>
        <v/>
      </c>
      <c r="BC176" s="22" t="str">
        <f t="shared" si="31"/>
        <v/>
      </c>
      <c r="BD176" s="22" t="str">
        <f t="shared" si="31"/>
        <v/>
      </c>
      <c r="BE176" s="22" t="str">
        <f t="shared" si="31"/>
        <v/>
      </c>
      <c r="BF176" s="22" t="str">
        <f t="shared" si="31"/>
        <v/>
      </c>
      <c r="BG176" s="22" t="str">
        <f t="shared" si="31"/>
        <v/>
      </c>
    </row>
    <row r="177" spans="1:59" s="23" customFormat="1" ht="15" hidden="1" customHeight="1" x14ac:dyDescent="0.2">
      <c r="A177" s="111"/>
      <c r="B177" s="34" t="s">
        <v>76</v>
      </c>
      <c r="C177" s="35" t="s">
        <v>194</v>
      </c>
      <c r="D177" s="22" t="str">
        <f t="shared" si="3"/>
        <v/>
      </c>
      <c r="E177" s="22" t="str">
        <f t="shared" si="28"/>
        <v/>
      </c>
      <c r="F177" s="22" t="str">
        <f t="shared" si="28"/>
        <v/>
      </c>
      <c r="G177" s="22" t="str">
        <f t="shared" si="28"/>
        <v/>
      </c>
      <c r="H177" s="22" t="str">
        <f t="shared" si="28"/>
        <v/>
      </c>
      <c r="I177" s="22" t="str">
        <f t="shared" si="28"/>
        <v/>
      </c>
      <c r="J177" s="22" t="str">
        <f t="shared" si="28"/>
        <v/>
      </c>
      <c r="K177" s="22" t="str">
        <f t="shared" si="28"/>
        <v/>
      </c>
      <c r="L177" s="22" t="str">
        <f t="shared" si="28"/>
        <v/>
      </c>
      <c r="M177" s="22" t="str">
        <f t="shared" si="28"/>
        <v/>
      </c>
      <c r="N177" s="22" t="str">
        <f t="shared" si="28"/>
        <v/>
      </c>
      <c r="O177" s="22" t="str">
        <f t="shared" si="28"/>
        <v/>
      </c>
      <c r="P177" s="22" t="str">
        <f t="shared" si="28"/>
        <v/>
      </c>
      <c r="Q177" s="22" t="str">
        <f t="shared" si="28"/>
        <v/>
      </c>
      <c r="R177" s="22" t="str">
        <f t="shared" si="28"/>
        <v/>
      </c>
      <c r="S177" s="22" t="str">
        <f t="shared" si="28"/>
        <v/>
      </c>
      <c r="T177" s="22" t="str">
        <f t="shared" si="28"/>
        <v/>
      </c>
      <c r="U177" s="22" t="str">
        <f t="shared" si="28"/>
        <v/>
      </c>
      <c r="V177" s="22" t="str">
        <f t="shared" ref="V177:BG177" si="32">IF(V107=V33,"","*")</f>
        <v/>
      </c>
      <c r="W177" s="22" t="str">
        <f t="shared" si="32"/>
        <v/>
      </c>
      <c r="X177" s="22" t="str">
        <f t="shared" si="32"/>
        <v/>
      </c>
      <c r="Y177" s="22" t="str">
        <f t="shared" si="32"/>
        <v/>
      </c>
      <c r="Z177" s="22" t="str">
        <f t="shared" si="32"/>
        <v/>
      </c>
      <c r="AA177" s="22" t="str">
        <f t="shared" si="32"/>
        <v/>
      </c>
      <c r="AB177" s="22" t="str">
        <f t="shared" si="32"/>
        <v/>
      </c>
      <c r="AC177" s="22" t="str">
        <f t="shared" si="32"/>
        <v/>
      </c>
      <c r="AD177" s="22" t="str">
        <f t="shared" si="32"/>
        <v/>
      </c>
      <c r="AE177" s="22" t="str">
        <f t="shared" si="32"/>
        <v/>
      </c>
      <c r="AF177" s="22" t="str">
        <f t="shared" si="32"/>
        <v/>
      </c>
      <c r="AG177" s="22" t="str">
        <f t="shared" si="32"/>
        <v/>
      </c>
      <c r="AH177" s="22" t="str">
        <f t="shared" si="32"/>
        <v/>
      </c>
      <c r="AI177" s="22" t="str">
        <f t="shared" si="32"/>
        <v/>
      </c>
      <c r="AJ177" s="22" t="str">
        <f t="shared" si="32"/>
        <v/>
      </c>
      <c r="AK177" s="22" t="str">
        <f t="shared" si="32"/>
        <v/>
      </c>
      <c r="AL177" s="22" t="str">
        <f t="shared" si="32"/>
        <v/>
      </c>
      <c r="AM177" s="22" t="str">
        <f t="shared" si="32"/>
        <v/>
      </c>
      <c r="AN177" s="22" t="str">
        <f t="shared" si="32"/>
        <v/>
      </c>
      <c r="AO177" s="22" t="str">
        <f t="shared" si="32"/>
        <v/>
      </c>
      <c r="AP177" s="22" t="str">
        <f t="shared" si="32"/>
        <v/>
      </c>
      <c r="AQ177" s="22" t="str">
        <f t="shared" si="32"/>
        <v/>
      </c>
      <c r="AR177" s="22" t="str">
        <f t="shared" si="32"/>
        <v/>
      </c>
      <c r="AS177" s="22" t="str">
        <f t="shared" si="32"/>
        <v/>
      </c>
      <c r="AT177" s="22" t="str">
        <f t="shared" si="32"/>
        <v/>
      </c>
      <c r="AU177" s="22" t="str">
        <f t="shared" si="32"/>
        <v/>
      </c>
      <c r="AV177" s="22" t="str">
        <f t="shared" si="32"/>
        <v/>
      </c>
      <c r="AW177" s="22" t="str">
        <f t="shared" si="32"/>
        <v/>
      </c>
      <c r="AX177" s="22" t="str">
        <f t="shared" si="32"/>
        <v/>
      </c>
      <c r="AY177" s="22" t="str">
        <f t="shared" si="32"/>
        <v/>
      </c>
      <c r="AZ177" s="22" t="str">
        <f t="shared" si="32"/>
        <v/>
      </c>
      <c r="BA177" s="22" t="str">
        <f t="shared" si="32"/>
        <v/>
      </c>
      <c r="BB177" s="22" t="str">
        <f t="shared" si="32"/>
        <v/>
      </c>
      <c r="BC177" s="22" t="str">
        <f t="shared" si="32"/>
        <v/>
      </c>
      <c r="BD177" s="22" t="str">
        <f t="shared" si="32"/>
        <v/>
      </c>
      <c r="BE177" s="22" t="str">
        <f t="shared" si="32"/>
        <v/>
      </c>
      <c r="BF177" s="22" t="str">
        <f t="shared" si="32"/>
        <v/>
      </c>
      <c r="BG177" s="22" t="str">
        <f t="shared" si="32"/>
        <v/>
      </c>
    </row>
    <row r="178" spans="1:59" s="23" customFormat="1" ht="15" hidden="1" customHeight="1" x14ac:dyDescent="0.2">
      <c r="A178" s="26" t="s">
        <v>59</v>
      </c>
      <c r="B178" s="29" t="s">
        <v>74</v>
      </c>
      <c r="C178" s="30" t="s">
        <v>0</v>
      </c>
      <c r="D178" s="31" t="str">
        <f t="shared" si="3"/>
        <v/>
      </c>
      <c r="E178" s="31" t="str">
        <f t="shared" si="28"/>
        <v/>
      </c>
      <c r="F178" s="31" t="str">
        <f t="shared" si="28"/>
        <v/>
      </c>
      <c r="G178" s="31" t="str">
        <f t="shared" si="28"/>
        <v/>
      </c>
      <c r="H178" s="31" t="str">
        <f t="shared" si="28"/>
        <v/>
      </c>
      <c r="I178" s="31" t="str">
        <f t="shared" si="28"/>
        <v/>
      </c>
      <c r="J178" s="31" t="str">
        <f t="shared" si="28"/>
        <v/>
      </c>
      <c r="K178" s="31" t="str">
        <f t="shared" si="28"/>
        <v/>
      </c>
      <c r="L178" s="31" t="str">
        <f t="shared" si="28"/>
        <v/>
      </c>
      <c r="M178" s="31" t="str">
        <f t="shared" si="28"/>
        <v/>
      </c>
      <c r="N178" s="31" t="str">
        <f t="shared" si="28"/>
        <v/>
      </c>
      <c r="O178" s="31" t="str">
        <f t="shared" si="28"/>
        <v/>
      </c>
      <c r="P178" s="31" t="str">
        <f t="shared" si="28"/>
        <v/>
      </c>
      <c r="Q178" s="31" t="str">
        <f t="shared" si="28"/>
        <v/>
      </c>
      <c r="R178" s="31" t="str">
        <f t="shared" si="28"/>
        <v/>
      </c>
      <c r="S178" s="31" t="str">
        <f t="shared" si="28"/>
        <v/>
      </c>
      <c r="T178" s="31" t="str">
        <f t="shared" si="28"/>
        <v/>
      </c>
      <c r="U178" s="31" t="str">
        <f t="shared" si="28"/>
        <v/>
      </c>
      <c r="V178" s="31" t="str">
        <f t="shared" ref="V178:BG178" si="33">IF(V108=V34,"","*")</f>
        <v>*</v>
      </c>
      <c r="W178" s="31" t="str">
        <f t="shared" si="33"/>
        <v>*</v>
      </c>
      <c r="X178" s="31" t="str">
        <f t="shared" si="33"/>
        <v/>
      </c>
      <c r="Y178" s="31" t="str">
        <f t="shared" si="33"/>
        <v/>
      </c>
      <c r="Z178" s="31" t="str">
        <f t="shared" si="33"/>
        <v/>
      </c>
      <c r="AA178" s="31" t="str">
        <f t="shared" si="33"/>
        <v/>
      </c>
      <c r="AB178" s="31" t="str">
        <f t="shared" si="33"/>
        <v/>
      </c>
      <c r="AC178" s="31" t="str">
        <f t="shared" si="33"/>
        <v/>
      </c>
      <c r="AD178" s="31" t="str">
        <f t="shared" si="33"/>
        <v/>
      </c>
      <c r="AE178" s="31" t="str">
        <f t="shared" si="33"/>
        <v/>
      </c>
      <c r="AF178" s="31" t="str">
        <f t="shared" si="33"/>
        <v/>
      </c>
      <c r="AG178" s="31" t="str">
        <f t="shared" si="33"/>
        <v/>
      </c>
      <c r="AH178" s="31" t="str">
        <f t="shared" si="33"/>
        <v/>
      </c>
      <c r="AI178" s="31" t="str">
        <f t="shared" si="33"/>
        <v/>
      </c>
      <c r="AJ178" s="31" t="str">
        <f t="shared" si="33"/>
        <v/>
      </c>
      <c r="AK178" s="31" t="str">
        <f t="shared" si="33"/>
        <v/>
      </c>
      <c r="AL178" s="31" t="str">
        <f t="shared" si="33"/>
        <v/>
      </c>
      <c r="AM178" s="31" t="str">
        <f t="shared" si="33"/>
        <v/>
      </c>
      <c r="AN178" s="31" t="str">
        <f t="shared" si="33"/>
        <v/>
      </c>
      <c r="AO178" s="31" t="str">
        <f t="shared" si="33"/>
        <v/>
      </c>
      <c r="AP178" s="31" t="str">
        <f t="shared" si="33"/>
        <v/>
      </c>
      <c r="AQ178" s="31" t="str">
        <f t="shared" si="33"/>
        <v>*</v>
      </c>
      <c r="AR178" s="31" t="str">
        <f t="shared" si="33"/>
        <v/>
      </c>
      <c r="AS178" s="31" t="str">
        <f t="shared" si="33"/>
        <v/>
      </c>
      <c r="AT178" s="31" t="str">
        <f t="shared" si="33"/>
        <v>*</v>
      </c>
      <c r="AU178" s="31" t="str">
        <f t="shared" si="33"/>
        <v/>
      </c>
      <c r="AV178" s="31" t="str">
        <f t="shared" si="33"/>
        <v/>
      </c>
      <c r="AW178" s="31" t="str">
        <f t="shared" si="33"/>
        <v>*</v>
      </c>
      <c r="AX178" s="31" t="str">
        <f t="shared" si="33"/>
        <v/>
      </c>
      <c r="AY178" s="31" t="str">
        <f t="shared" si="33"/>
        <v/>
      </c>
      <c r="AZ178" s="31" t="str">
        <f t="shared" si="33"/>
        <v>*</v>
      </c>
      <c r="BA178" s="31" t="str">
        <f t="shared" si="33"/>
        <v>*</v>
      </c>
      <c r="BB178" s="31" t="str">
        <f t="shared" si="33"/>
        <v/>
      </c>
      <c r="BC178" s="31" t="str">
        <f t="shared" si="33"/>
        <v>*</v>
      </c>
      <c r="BD178" s="31" t="str">
        <f t="shared" si="33"/>
        <v/>
      </c>
      <c r="BE178" s="31" t="str">
        <f t="shared" si="33"/>
        <v/>
      </c>
      <c r="BF178" s="31" t="str">
        <f t="shared" si="33"/>
        <v/>
      </c>
      <c r="BG178" s="31" t="str">
        <f t="shared" si="33"/>
        <v/>
      </c>
    </row>
    <row r="179" spans="1:59" s="23" customFormat="1" ht="15" hidden="1" customHeight="1" x14ac:dyDescent="0.2">
      <c r="A179" s="110" t="s">
        <v>10</v>
      </c>
      <c r="B179" s="32" t="s">
        <v>75</v>
      </c>
      <c r="C179" s="33" t="s">
        <v>2</v>
      </c>
      <c r="D179" s="22" t="str">
        <f t="shared" si="3"/>
        <v/>
      </c>
      <c r="E179" s="22" t="str">
        <f t="shared" si="28"/>
        <v/>
      </c>
      <c r="F179" s="22" t="str">
        <f t="shared" si="28"/>
        <v/>
      </c>
      <c r="G179" s="22" t="str">
        <f t="shared" si="28"/>
        <v/>
      </c>
      <c r="H179" s="22" t="str">
        <f t="shared" si="28"/>
        <v/>
      </c>
      <c r="I179" s="22" t="str">
        <f t="shared" si="28"/>
        <v/>
      </c>
      <c r="J179" s="22" t="str">
        <f t="shared" si="28"/>
        <v/>
      </c>
      <c r="K179" s="22" t="str">
        <f t="shared" si="28"/>
        <v/>
      </c>
      <c r="L179" s="22" t="str">
        <f t="shared" si="28"/>
        <v/>
      </c>
      <c r="M179" s="22" t="str">
        <f t="shared" si="28"/>
        <v/>
      </c>
      <c r="N179" s="22" t="str">
        <f t="shared" si="28"/>
        <v/>
      </c>
      <c r="O179" s="22" t="str">
        <f t="shared" si="28"/>
        <v/>
      </c>
      <c r="P179" s="22" t="str">
        <f t="shared" si="28"/>
        <v/>
      </c>
      <c r="Q179" s="22" t="str">
        <f t="shared" si="28"/>
        <v/>
      </c>
      <c r="R179" s="22" t="str">
        <f t="shared" si="28"/>
        <v/>
      </c>
      <c r="S179" s="22" t="str">
        <f t="shared" si="28"/>
        <v/>
      </c>
      <c r="T179" s="22" t="str">
        <f t="shared" si="28"/>
        <v/>
      </c>
      <c r="U179" s="22" t="str">
        <f t="shared" si="28"/>
        <v/>
      </c>
      <c r="V179" s="22" t="str">
        <f t="shared" ref="V179:BG179" si="34">IF(V109=V35,"","*")</f>
        <v>*</v>
      </c>
      <c r="W179" s="22" t="str">
        <f t="shared" si="34"/>
        <v>*</v>
      </c>
      <c r="X179" s="22" t="str">
        <f t="shared" si="34"/>
        <v/>
      </c>
      <c r="Y179" s="22" t="str">
        <f t="shared" si="34"/>
        <v/>
      </c>
      <c r="Z179" s="22" t="str">
        <f t="shared" si="34"/>
        <v/>
      </c>
      <c r="AA179" s="22" t="str">
        <f t="shared" si="34"/>
        <v/>
      </c>
      <c r="AB179" s="22" t="str">
        <f t="shared" si="34"/>
        <v/>
      </c>
      <c r="AC179" s="22" t="str">
        <f t="shared" si="34"/>
        <v/>
      </c>
      <c r="AD179" s="22" t="str">
        <f t="shared" si="34"/>
        <v/>
      </c>
      <c r="AE179" s="22" t="str">
        <f t="shared" si="34"/>
        <v/>
      </c>
      <c r="AF179" s="22" t="str">
        <f t="shared" si="34"/>
        <v/>
      </c>
      <c r="AG179" s="22" t="str">
        <f t="shared" si="34"/>
        <v/>
      </c>
      <c r="AH179" s="22" t="str">
        <f t="shared" si="34"/>
        <v/>
      </c>
      <c r="AI179" s="22" t="str">
        <f t="shared" si="34"/>
        <v/>
      </c>
      <c r="AJ179" s="22" t="str">
        <f t="shared" si="34"/>
        <v/>
      </c>
      <c r="AK179" s="22" t="str">
        <f t="shared" si="34"/>
        <v/>
      </c>
      <c r="AL179" s="22" t="str">
        <f t="shared" si="34"/>
        <v/>
      </c>
      <c r="AM179" s="22" t="str">
        <f t="shared" si="34"/>
        <v/>
      </c>
      <c r="AN179" s="22" t="str">
        <f t="shared" si="34"/>
        <v/>
      </c>
      <c r="AO179" s="22" t="str">
        <f t="shared" si="34"/>
        <v/>
      </c>
      <c r="AP179" s="22" t="str">
        <f t="shared" si="34"/>
        <v/>
      </c>
      <c r="AQ179" s="22" t="str">
        <f t="shared" si="34"/>
        <v>*</v>
      </c>
      <c r="AR179" s="22" t="str">
        <f t="shared" si="34"/>
        <v/>
      </c>
      <c r="AS179" s="22" t="str">
        <f t="shared" si="34"/>
        <v/>
      </c>
      <c r="AT179" s="22" t="str">
        <f t="shared" si="34"/>
        <v>*</v>
      </c>
      <c r="AU179" s="22" t="str">
        <f t="shared" si="34"/>
        <v/>
      </c>
      <c r="AV179" s="22" t="str">
        <f t="shared" si="34"/>
        <v/>
      </c>
      <c r="AW179" s="22" t="str">
        <f t="shared" si="34"/>
        <v>*</v>
      </c>
      <c r="AX179" s="22" t="str">
        <f t="shared" si="34"/>
        <v/>
      </c>
      <c r="AY179" s="22" t="str">
        <f t="shared" si="34"/>
        <v/>
      </c>
      <c r="AZ179" s="22" t="str">
        <f t="shared" si="34"/>
        <v>*</v>
      </c>
      <c r="BA179" s="22" t="str">
        <f t="shared" si="34"/>
        <v>*</v>
      </c>
      <c r="BB179" s="22" t="str">
        <f t="shared" si="34"/>
        <v/>
      </c>
      <c r="BC179" s="22" t="str">
        <f t="shared" si="34"/>
        <v>*</v>
      </c>
      <c r="BD179" s="22" t="str">
        <f t="shared" si="34"/>
        <v/>
      </c>
      <c r="BE179" s="22" t="str">
        <f t="shared" si="34"/>
        <v/>
      </c>
      <c r="BF179" s="22" t="str">
        <f t="shared" si="34"/>
        <v/>
      </c>
      <c r="BG179" s="22" t="str">
        <f t="shared" si="34"/>
        <v/>
      </c>
    </row>
    <row r="180" spans="1:59" s="23" customFormat="1" ht="15" hidden="1" customHeight="1" x14ac:dyDescent="0.2">
      <c r="A180" s="111"/>
      <c r="B180" s="34" t="s">
        <v>76</v>
      </c>
      <c r="C180" s="35" t="s">
        <v>194</v>
      </c>
      <c r="D180" s="22" t="str">
        <f t="shared" si="3"/>
        <v/>
      </c>
      <c r="E180" s="22" t="str">
        <f t="shared" si="28"/>
        <v/>
      </c>
      <c r="F180" s="22" t="str">
        <f t="shared" si="28"/>
        <v/>
      </c>
      <c r="G180" s="22" t="str">
        <f t="shared" si="28"/>
        <v/>
      </c>
      <c r="H180" s="22" t="str">
        <f t="shared" si="28"/>
        <v/>
      </c>
      <c r="I180" s="22" t="str">
        <f t="shared" si="28"/>
        <v/>
      </c>
      <c r="J180" s="22" t="str">
        <f t="shared" si="28"/>
        <v/>
      </c>
      <c r="K180" s="22" t="str">
        <f t="shared" si="28"/>
        <v/>
      </c>
      <c r="L180" s="22" t="str">
        <f t="shared" si="28"/>
        <v/>
      </c>
      <c r="M180" s="22" t="str">
        <f t="shared" si="28"/>
        <v/>
      </c>
      <c r="N180" s="22" t="str">
        <f t="shared" si="28"/>
        <v/>
      </c>
      <c r="O180" s="22" t="str">
        <f t="shared" si="28"/>
        <v/>
      </c>
      <c r="P180" s="22" t="str">
        <f t="shared" si="28"/>
        <v/>
      </c>
      <c r="Q180" s="22" t="str">
        <f t="shared" si="28"/>
        <v/>
      </c>
      <c r="R180" s="22" t="str">
        <f t="shared" si="28"/>
        <v/>
      </c>
      <c r="S180" s="22" t="str">
        <f t="shared" si="28"/>
        <v/>
      </c>
      <c r="T180" s="22" t="str">
        <f t="shared" si="28"/>
        <v/>
      </c>
      <c r="U180" s="22" t="str">
        <f t="shared" si="28"/>
        <v/>
      </c>
      <c r="V180" s="22" t="str">
        <f t="shared" ref="V180:BG180" si="35">IF(V110=V36,"","*")</f>
        <v/>
      </c>
      <c r="W180" s="22" t="str">
        <f t="shared" si="35"/>
        <v/>
      </c>
      <c r="X180" s="22" t="str">
        <f t="shared" si="35"/>
        <v/>
      </c>
      <c r="Y180" s="22" t="str">
        <f t="shared" si="35"/>
        <v/>
      </c>
      <c r="Z180" s="22" t="str">
        <f t="shared" si="35"/>
        <v/>
      </c>
      <c r="AA180" s="22" t="str">
        <f t="shared" si="35"/>
        <v/>
      </c>
      <c r="AB180" s="22" t="str">
        <f t="shared" si="35"/>
        <v/>
      </c>
      <c r="AC180" s="22" t="str">
        <f t="shared" si="35"/>
        <v/>
      </c>
      <c r="AD180" s="22" t="str">
        <f t="shared" si="35"/>
        <v/>
      </c>
      <c r="AE180" s="22" t="str">
        <f t="shared" si="35"/>
        <v/>
      </c>
      <c r="AF180" s="22" t="str">
        <f t="shared" si="35"/>
        <v/>
      </c>
      <c r="AG180" s="22" t="str">
        <f t="shared" si="35"/>
        <v/>
      </c>
      <c r="AH180" s="22" t="str">
        <f t="shared" si="35"/>
        <v/>
      </c>
      <c r="AI180" s="22" t="str">
        <f t="shared" si="35"/>
        <v/>
      </c>
      <c r="AJ180" s="22" t="str">
        <f t="shared" si="35"/>
        <v/>
      </c>
      <c r="AK180" s="22" t="str">
        <f t="shared" si="35"/>
        <v/>
      </c>
      <c r="AL180" s="22" t="str">
        <f t="shared" si="35"/>
        <v/>
      </c>
      <c r="AM180" s="22" t="str">
        <f t="shared" si="35"/>
        <v/>
      </c>
      <c r="AN180" s="22" t="str">
        <f t="shared" si="35"/>
        <v/>
      </c>
      <c r="AO180" s="22" t="str">
        <f t="shared" si="35"/>
        <v/>
      </c>
      <c r="AP180" s="22" t="str">
        <f t="shared" si="35"/>
        <v/>
      </c>
      <c r="AQ180" s="22" t="str">
        <f t="shared" si="35"/>
        <v/>
      </c>
      <c r="AR180" s="22" t="str">
        <f t="shared" si="35"/>
        <v/>
      </c>
      <c r="AS180" s="22" t="str">
        <f t="shared" si="35"/>
        <v/>
      </c>
      <c r="AT180" s="22" t="str">
        <f t="shared" si="35"/>
        <v/>
      </c>
      <c r="AU180" s="22" t="str">
        <f t="shared" si="35"/>
        <v/>
      </c>
      <c r="AV180" s="22" t="str">
        <f t="shared" si="35"/>
        <v/>
      </c>
      <c r="AW180" s="22" t="str">
        <f t="shared" si="35"/>
        <v/>
      </c>
      <c r="AX180" s="22" t="str">
        <f t="shared" si="35"/>
        <v/>
      </c>
      <c r="AY180" s="22" t="str">
        <f t="shared" si="35"/>
        <v/>
      </c>
      <c r="AZ180" s="22" t="str">
        <f t="shared" si="35"/>
        <v/>
      </c>
      <c r="BA180" s="22" t="str">
        <f t="shared" si="35"/>
        <v/>
      </c>
      <c r="BB180" s="22" t="str">
        <f t="shared" si="35"/>
        <v/>
      </c>
      <c r="BC180" s="22" t="str">
        <f t="shared" si="35"/>
        <v/>
      </c>
      <c r="BD180" s="22" t="str">
        <f t="shared" si="35"/>
        <v/>
      </c>
      <c r="BE180" s="22" t="str">
        <f t="shared" si="35"/>
        <v/>
      </c>
      <c r="BF180" s="22" t="str">
        <f t="shared" si="35"/>
        <v/>
      </c>
      <c r="BG180" s="22" t="str">
        <f t="shared" si="35"/>
        <v/>
      </c>
    </row>
    <row r="181" spans="1:59" s="23" customFormat="1" ht="15" hidden="1" customHeight="1" x14ac:dyDescent="0.2">
      <c r="A181" s="26" t="s">
        <v>60</v>
      </c>
      <c r="B181" s="29" t="s">
        <v>74</v>
      </c>
      <c r="C181" s="30" t="s">
        <v>0</v>
      </c>
      <c r="D181" s="31" t="str">
        <f t="shared" si="3"/>
        <v/>
      </c>
      <c r="E181" s="31" t="str">
        <f t="shared" si="28"/>
        <v/>
      </c>
      <c r="F181" s="31" t="str">
        <f t="shared" si="28"/>
        <v/>
      </c>
      <c r="G181" s="31" t="str">
        <f t="shared" si="28"/>
        <v/>
      </c>
      <c r="H181" s="31" t="str">
        <f t="shared" si="28"/>
        <v/>
      </c>
      <c r="I181" s="31" t="str">
        <f t="shared" si="28"/>
        <v/>
      </c>
      <c r="J181" s="31" t="str">
        <f t="shared" si="28"/>
        <v/>
      </c>
      <c r="K181" s="31" t="str">
        <f t="shared" si="28"/>
        <v/>
      </c>
      <c r="L181" s="31" t="str">
        <f t="shared" si="28"/>
        <v/>
      </c>
      <c r="M181" s="31" t="str">
        <f t="shared" si="28"/>
        <v/>
      </c>
      <c r="N181" s="31" t="str">
        <f t="shared" si="28"/>
        <v/>
      </c>
      <c r="O181" s="31" t="str">
        <f t="shared" si="28"/>
        <v/>
      </c>
      <c r="P181" s="31" t="str">
        <f t="shared" si="28"/>
        <v/>
      </c>
      <c r="Q181" s="31" t="str">
        <f t="shared" si="28"/>
        <v/>
      </c>
      <c r="R181" s="31" t="str">
        <f t="shared" si="28"/>
        <v/>
      </c>
      <c r="S181" s="31" t="str">
        <f t="shared" si="28"/>
        <v/>
      </c>
      <c r="T181" s="31" t="str">
        <f t="shared" ref="E181:U188" si="36">IF(T111=T37,"","*")</f>
        <v/>
      </c>
      <c r="U181" s="31" t="str">
        <f t="shared" si="36"/>
        <v/>
      </c>
      <c r="V181" s="31" t="str">
        <f t="shared" ref="V181:BG181" si="37">IF(V111=V37,"","*")</f>
        <v/>
      </c>
      <c r="W181" s="31" t="str">
        <f t="shared" si="37"/>
        <v/>
      </c>
      <c r="X181" s="31" t="str">
        <f t="shared" si="37"/>
        <v/>
      </c>
      <c r="Y181" s="31" t="str">
        <f t="shared" si="37"/>
        <v/>
      </c>
      <c r="Z181" s="31" t="str">
        <f t="shared" si="37"/>
        <v/>
      </c>
      <c r="AA181" s="31" t="str">
        <f t="shared" si="37"/>
        <v/>
      </c>
      <c r="AB181" s="31" t="str">
        <f t="shared" si="37"/>
        <v/>
      </c>
      <c r="AC181" s="31" t="str">
        <f t="shared" si="37"/>
        <v/>
      </c>
      <c r="AD181" s="31" t="str">
        <f t="shared" si="37"/>
        <v/>
      </c>
      <c r="AE181" s="31" t="str">
        <f t="shared" si="37"/>
        <v/>
      </c>
      <c r="AF181" s="31" t="str">
        <f t="shared" si="37"/>
        <v/>
      </c>
      <c r="AG181" s="31" t="str">
        <f t="shared" si="37"/>
        <v/>
      </c>
      <c r="AH181" s="31" t="str">
        <f t="shared" si="37"/>
        <v/>
      </c>
      <c r="AI181" s="31" t="str">
        <f t="shared" si="37"/>
        <v/>
      </c>
      <c r="AJ181" s="31" t="str">
        <f t="shared" si="37"/>
        <v/>
      </c>
      <c r="AK181" s="31" t="str">
        <f t="shared" si="37"/>
        <v/>
      </c>
      <c r="AL181" s="31" t="str">
        <f t="shared" si="37"/>
        <v/>
      </c>
      <c r="AM181" s="31" t="str">
        <f t="shared" si="37"/>
        <v/>
      </c>
      <c r="AN181" s="31" t="str">
        <f t="shared" si="37"/>
        <v/>
      </c>
      <c r="AO181" s="31" t="str">
        <f t="shared" si="37"/>
        <v/>
      </c>
      <c r="AP181" s="31" t="str">
        <f t="shared" si="37"/>
        <v/>
      </c>
      <c r="AQ181" s="31" t="str">
        <f t="shared" si="37"/>
        <v/>
      </c>
      <c r="AR181" s="31" t="str">
        <f t="shared" si="37"/>
        <v/>
      </c>
      <c r="AS181" s="31" t="str">
        <f t="shared" si="37"/>
        <v/>
      </c>
      <c r="AT181" s="31" t="str">
        <f t="shared" si="37"/>
        <v/>
      </c>
      <c r="AU181" s="31" t="str">
        <f t="shared" si="37"/>
        <v/>
      </c>
      <c r="AV181" s="31" t="str">
        <f t="shared" si="37"/>
        <v/>
      </c>
      <c r="AW181" s="31" t="str">
        <f t="shared" si="37"/>
        <v/>
      </c>
      <c r="AX181" s="31" t="str">
        <f t="shared" si="37"/>
        <v/>
      </c>
      <c r="AY181" s="31" t="str">
        <f t="shared" si="37"/>
        <v/>
      </c>
      <c r="AZ181" s="31" t="str">
        <f t="shared" si="37"/>
        <v/>
      </c>
      <c r="BA181" s="31" t="str">
        <f t="shared" si="37"/>
        <v/>
      </c>
      <c r="BB181" s="31" t="str">
        <f t="shared" si="37"/>
        <v/>
      </c>
      <c r="BC181" s="31" t="str">
        <f t="shared" si="37"/>
        <v/>
      </c>
      <c r="BD181" s="31" t="str">
        <f t="shared" si="37"/>
        <v/>
      </c>
      <c r="BE181" s="31" t="str">
        <f t="shared" si="37"/>
        <v/>
      </c>
      <c r="BF181" s="31" t="str">
        <f t="shared" si="37"/>
        <v/>
      </c>
      <c r="BG181" s="31" t="str">
        <f t="shared" si="37"/>
        <v/>
      </c>
    </row>
    <row r="182" spans="1:59" s="23" customFormat="1" ht="15" hidden="1" customHeight="1" x14ac:dyDescent="0.2">
      <c r="A182" s="110" t="s">
        <v>11</v>
      </c>
      <c r="B182" s="32" t="s">
        <v>75</v>
      </c>
      <c r="C182" s="33" t="s">
        <v>2</v>
      </c>
      <c r="D182" s="22" t="str">
        <f t="shared" si="3"/>
        <v/>
      </c>
      <c r="E182" s="22" t="str">
        <f t="shared" si="36"/>
        <v/>
      </c>
      <c r="F182" s="22" t="str">
        <f t="shared" si="36"/>
        <v/>
      </c>
      <c r="G182" s="22" t="str">
        <f t="shared" si="36"/>
        <v/>
      </c>
      <c r="H182" s="22" t="str">
        <f t="shared" si="36"/>
        <v/>
      </c>
      <c r="I182" s="22" t="str">
        <f t="shared" si="36"/>
        <v/>
      </c>
      <c r="J182" s="22" t="str">
        <f t="shared" si="36"/>
        <v/>
      </c>
      <c r="K182" s="22" t="str">
        <f t="shared" si="36"/>
        <v/>
      </c>
      <c r="L182" s="22" t="str">
        <f t="shared" si="36"/>
        <v/>
      </c>
      <c r="M182" s="22" t="str">
        <f t="shared" si="36"/>
        <v/>
      </c>
      <c r="N182" s="22" t="str">
        <f t="shared" si="36"/>
        <v/>
      </c>
      <c r="O182" s="22" t="str">
        <f t="shared" si="36"/>
        <v/>
      </c>
      <c r="P182" s="22" t="str">
        <f t="shared" si="36"/>
        <v/>
      </c>
      <c r="Q182" s="22" t="str">
        <f t="shared" si="36"/>
        <v/>
      </c>
      <c r="R182" s="22" t="str">
        <f t="shared" si="36"/>
        <v/>
      </c>
      <c r="S182" s="22" t="str">
        <f t="shared" si="36"/>
        <v/>
      </c>
      <c r="T182" s="22" t="str">
        <f t="shared" si="36"/>
        <v/>
      </c>
      <c r="U182" s="22" t="str">
        <f t="shared" si="36"/>
        <v/>
      </c>
      <c r="V182" s="22" t="str">
        <f t="shared" ref="V182:BG182" si="38">IF(V112=V38,"","*")</f>
        <v/>
      </c>
      <c r="W182" s="22" t="str">
        <f t="shared" si="38"/>
        <v/>
      </c>
      <c r="X182" s="22" t="str">
        <f t="shared" si="38"/>
        <v/>
      </c>
      <c r="Y182" s="22" t="str">
        <f t="shared" si="38"/>
        <v/>
      </c>
      <c r="Z182" s="22" t="str">
        <f t="shared" si="38"/>
        <v/>
      </c>
      <c r="AA182" s="22" t="str">
        <f t="shared" si="38"/>
        <v/>
      </c>
      <c r="AB182" s="22" t="str">
        <f t="shared" si="38"/>
        <v/>
      </c>
      <c r="AC182" s="22" t="str">
        <f t="shared" si="38"/>
        <v/>
      </c>
      <c r="AD182" s="22" t="str">
        <f t="shared" si="38"/>
        <v/>
      </c>
      <c r="AE182" s="22" t="str">
        <f t="shared" si="38"/>
        <v/>
      </c>
      <c r="AF182" s="22" t="str">
        <f t="shared" si="38"/>
        <v/>
      </c>
      <c r="AG182" s="22" t="str">
        <f t="shared" si="38"/>
        <v/>
      </c>
      <c r="AH182" s="22" t="str">
        <f t="shared" si="38"/>
        <v/>
      </c>
      <c r="AI182" s="22" t="str">
        <f t="shared" si="38"/>
        <v/>
      </c>
      <c r="AJ182" s="22" t="str">
        <f t="shared" si="38"/>
        <v/>
      </c>
      <c r="AK182" s="22" t="str">
        <f t="shared" si="38"/>
        <v/>
      </c>
      <c r="AL182" s="22" t="str">
        <f t="shared" si="38"/>
        <v/>
      </c>
      <c r="AM182" s="22" t="str">
        <f t="shared" si="38"/>
        <v/>
      </c>
      <c r="AN182" s="22" t="str">
        <f t="shared" si="38"/>
        <v/>
      </c>
      <c r="AO182" s="22" t="str">
        <f t="shared" si="38"/>
        <v/>
      </c>
      <c r="AP182" s="22" t="str">
        <f t="shared" si="38"/>
        <v/>
      </c>
      <c r="AQ182" s="22" t="str">
        <f t="shared" si="38"/>
        <v/>
      </c>
      <c r="AR182" s="22" t="str">
        <f t="shared" si="38"/>
        <v/>
      </c>
      <c r="AS182" s="22" t="str">
        <f t="shared" si="38"/>
        <v/>
      </c>
      <c r="AT182" s="22" t="str">
        <f t="shared" si="38"/>
        <v/>
      </c>
      <c r="AU182" s="22" t="str">
        <f t="shared" si="38"/>
        <v/>
      </c>
      <c r="AV182" s="22" t="str">
        <f t="shared" si="38"/>
        <v/>
      </c>
      <c r="AW182" s="22" t="str">
        <f t="shared" si="38"/>
        <v/>
      </c>
      <c r="AX182" s="22" t="str">
        <f t="shared" si="38"/>
        <v/>
      </c>
      <c r="AY182" s="22" t="str">
        <f t="shared" si="38"/>
        <v/>
      </c>
      <c r="AZ182" s="22" t="str">
        <f t="shared" si="38"/>
        <v/>
      </c>
      <c r="BA182" s="22" t="str">
        <f t="shared" si="38"/>
        <v/>
      </c>
      <c r="BB182" s="22" t="str">
        <f t="shared" si="38"/>
        <v/>
      </c>
      <c r="BC182" s="22" t="str">
        <f t="shared" si="38"/>
        <v/>
      </c>
      <c r="BD182" s="22" t="str">
        <f t="shared" si="38"/>
        <v/>
      </c>
      <c r="BE182" s="22" t="str">
        <f t="shared" si="38"/>
        <v/>
      </c>
      <c r="BF182" s="22" t="str">
        <f t="shared" si="38"/>
        <v/>
      </c>
      <c r="BG182" s="22" t="str">
        <f t="shared" si="38"/>
        <v/>
      </c>
    </row>
    <row r="183" spans="1:59" s="23" customFormat="1" ht="15" hidden="1" customHeight="1" x14ac:dyDescent="0.2">
      <c r="A183" s="111"/>
      <c r="B183" s="34" t="s">
        <v>76</v>
      </c>
      <c r="C183" s="35" t="s">
        <v>194</v>
      </c>
      <c r="D183" s="22" t="str">
        <f t="shared" si="3"/>
        <v/>
      </c>
      <c r="E183" s="22" t="str">
        <f t="shared" si="36"/>
        <v/>
      </c>
      <c r="F183" s="22" t="str">
        <f t="shared" si="36"/>
        <v/>
      </c>
      <c r="G183" s="22" t="str">
        <f t="shared" si="36"/>
        <v/>
      </c>
      <c r="H183" s="22" t="str">
        <f t="shared" si="36"/>
        <v/>
      </c>
      <c r="I183" s="22" t="str">
        <f t="shared" si="36"/>
        <v/>
      </c>
      <c r="J183" s="22" t="str">
        <f t="shared" si="36"/>
        <v/>
      </c>
      <c r="K183" s="22" t="str">
        <f t="shared" si="36"/>
        <v/>
      </c>
      <c r="L183" s="22" t="str">
        <f t="shared" si="36"/>
        <v/>
      </c>
      <c r="M183" s="22" t="str">
        <f t="shared" si="36"/>
        <v/>
      </c>
      <c r="N183" s="22" t="str">
        <f t="shared" si="36"/>
        <v/>
      </c>
      <c r="O183" s="22" t="str">
        <f t="shared" si="36"/>
        <v/>
      </c>
      <c r="P183" s="22" t="str">
        <f t="shared" si="36"/>
        <v/>
      </c>
      <c r="Q183" s="22" t="str">
        <f t="shared" si="36"/>
        <v/>
      </c>
      <c r="R183" s="22" t="str">
        <f t="shared" si="36"/>
        <v/>
      </c>
      <c r="S183" s="22" t="str">
        <f t="shared" si="36"/>
        <v/>
      </c>
      <c r="T183" s="22" t="str">
        <f t="shared" si="36"/>
        <v/>
      </c>
      <c r="U183" s="22" t="str">
        <f t="shared" si="36"/>
        <v/>
      </c>
      <c r="V183" s="22" t="str">
        <f t="shared" ref="V183:BG183" si="39">IF(V113=V39,"","*")</f>
        <v/>
      </c>
      <c r="W183" s="22" t="str">
        <f t="shared" si="39"/>
        <v/>
      </c>
      <c r="X183" s="22" t="str">
        <f t="shared" si="39"/>
        <v/>
      </c>
      <c r="Y183" s="22" t="str">
        <f t="shared" si="39"/>
        <v/>
      </c>
      <c r="Z183" s="22" t="str">
        <f t="shared" si="39"/>
        <v/>
      </c>
      <c r="AA183" s="22" t="str">
        <f t="shared" si="39"/>
        <v/>
      </c>
      <c r="AB183" s="22" t="str">
        <f t="shared" si="39"/>
        <v/>
      </c>
      <c r="AC183" s="22" t="str">
        <f t="shared" si="39"/>
        <v/>
      </c>
      <c r="AD183" s="22" t="str">
        <f t="shared" si="39"/>
        <v/>
      </c>
      <c r="AE183" s="22" t="str">
        <f t="shared" si="39"/>
        <v/>
      </c>
      <c r="AF183" s="22" t="str">
        <f t="shared" si="39"/>
        <v/>
      </c>
      <c r="AG183" s="22" t="str">
        <f t="shared" si="39"/>
        <v/>
      </c>
      <c r="AH183" s="22" t="str">
        <f t="shared" si="39"/>
        <v/>
      </c>
      <c r="AI183" s="22" t="str">
        <f t="shared" si="39"/>
        <v/>
      </c>
      <c r="AJ183" s="22" t="str">
        <f t="shared" si="39"/>
        <v/>
      </c>
      <c r="AK183" s="22" t="str">
        <f t="shared" si="39"/>
        <v/>
      </c>
      <c r="AL183" s="22" t="str">
        <f t="shared" si="39"/>
        <v/>
      </c>
      <c r="AM183" s="22" t="str">
        <f t="shared" si="39"/>
        <v/>
      </c>
      <c r="AN183" s="22" t="str">
        <f t="shared" si="39"/>
        <v/>
      </c>
      <c r="AO183" s="22" t="str">
        <f t="shared" si="39"/>
        <v/>
      </c>
      <c r="AP183" s="22" t="str">
        <f t="shared" si="39"/>
        <v/>
      </c>
      <c r="AQ183" s="22" t="str">
        <f t="shared" si="39"/>
        <v/>
      </c>
      <c r="AR183" s="22" t="str">
        <f t="shared" si="39"/>
        <v/>
      </c>
      <c r="AS183" s="22" t="str">
        <f t="shared" si="39"/>
        <v/>
      </c>
      <c r="AT183" s="22" t="str">
        <f t="shared" si="39"/>
        <v/>
      </c>
      <c r="AU183" s="22" t="str">
        <f t="shared" si="39"/>
        <v/>
      </c>
      <c r="AV183" s="22" t="str">
        <f t="shared" si="39"/>
        <v/>
      </c>
      <c r="AW183" s="22" t="str">
        <f t="shared" si="39"/>
        <v/>
      </c>
      <c r="AX183" s="22" t="str">
        <f t="shared" si="39"/>
        <v/>
      </c>
      <c r="AY183" s="22" t="str">
        <f t="shared" si="39"/>
        <v/>
      </c>
      <c r="AZ183" s="22" t="str">
        <f t="shared" si="39"/>
        <v/>
      </c>
      <c r="BA183" s="22" t="str">
        <f t="shared" si="39"/>
        <v/>
      </c>
      <c r="BB183" s="22" t="str">
        <f t="shared" si="39"/>
        <v/>
      </c>
      <c r="BC183" s="22" t="str">
        <f t="shared" si="39"/>
        <v/>
      </c>
      <c r="BD183" s="22" t="str">
        <f t="shared" si="39"/>
        <v/>
      </c>
      <c r="BE183" s="22" t="str">
        <f t="shared" si="39"/>
        <v/>
      </c>
      <c r="BF183" s="22" t="str">
        <f t="shared" si="39"/>
        <v/>
      </c>
      <c r="BG183" s="22" t="str">
        <f t="shared" si="39"/>
        <v/>
      </c>
    </row>
    <row r="184" spans="1:59" s="23" customFormat="1" ht="15" hidden="1" customHeight="1" x14ac:dyDescent="0.2">
      <c r="A184" s="26" t="s">
        <v>61</v>
      </c>
      <c r="B184" s="29" t="s">
        <v>74</v>
      </c>
      <c r="C184" s="30" t="s">
        <v>0</v>
      </c>
      <c r="D184" s="31" t="str">
        <f t="shared" si="3"/>
        <v/>
      </c>
      <c r="E184" s="31" t="str">
        <f t="shared" si="36"/>
        <v/>
      </c>
      <c r="F184" s="31" t="str">
        <f t="shared" si="36"/>
        <v/>
      </c>
      <c r="G184" s="31" t="str">
        <f t="shared" si="36"/>
        <v/>
      </c>
      <c r="H184" s="31" t="str">
        <f t="shared" si="36"/>
        <v/>
      </c>
      <c r="I184" s="31" t="str">
        <f t="shared" si="36"/>
        <v/>
      </c>
      <c r="J184" s="31" t="str">
        <f t="shared" si="36"/>
        <v/>
      </c>
      <c r="K184" s="31" t="str">
        <f t="shared" si="36"/>
        <v/>
      </c>
      <c r="L184" s="31" t="str">
        <f t="shared" si="36"/>
        <v/>
      </c>
      <c r="M184" s="31" t="str">
        <f t="shared" si="36"/>
        <v/>
      </c>
      <c r="N184" s="31" t="str">
        <f t="shared" si="36"/>
        <v/>
      </c>
      <c r="O184" s="31" t="str">
        <f t="shared" si="36"/>
        <v/>
      </c>
      <c r="P184" s="31" t="str">
        <f t="shared" si="36"/>
        <v/>
      </c>
      <c r="Q184" s="31" t="str">
        <f t="shared" si="36"/>
        <v/>
      </c>
      <c r="R184" s="31" t="str">
        <f t="shared" si="36"/>
        <v/>
      </c>
      <c r="S184" s="31" t="str">
        <f t="shared" si="36"/>
        <v/>
      </c>
      <c r="T184" s="31" t="str">
        <f t="shared" si="36"/>
        <v/>
      </c>
      <c r="U184" s="31" t="str">
        <f t="shared" si="36"/>
        <v/>
      </c>
      <c r="V184" s="31" t="str">
        <f t="shared" ref="V184:BG184" si="40">IF(V114=V40,"","*")</f>
        <v/>
      </c>
      <c r="W184" s="31" t="str">
        <f t="shared" si="40"/>
        <v/>
      </c>
      <c r="X184" s="31" t="str">
        <f t="shared" si="40"/>
        <v/>
      </c>
      <c r="Y184" s="31" t="str">
        <f t="shared" si="40"/>
        <v/>
      </c>
      <c r="Z184" s="31" t="str">
        <f t="shared" si="40"/>
        <v/>
      </c>
      <c r="AA184" s="31" t="str">
        <f t="shared" si="40"/>
        <v/>
      </c>
      <c r="AB184" s="31" t="str">
        <f t="shared" si="40"/>
        <v/>
      </c>
      <c r="AC184" s="31" t="str">
        <f t="shared" si="40"/>
        <v/>
      </c>
      <c r="AD184" s="31" t="str">
        <f t="shared" si="40"/>
        <v/>
      </c>
      <c r="AE184" s="31" t="str">
        <f t="shared" si="40"/>
        <v/>
      </c>
      <c r="AF184" s="31" t="str">
        <f t="shared" si="40"/>
        <v/>
      </c>
      <c r="AG184" s="31" t="str">
        <f t="shared" si="40"/>
        <v/>
      </c>
      <c r="AH184" s="31" t="str">
        <f t="shared" si="40"/>
        <v/>
      </c>
      <c r="AI184" s="31" t="str">
        <f t="shared" si="40"/>
        <v/>
      </c>
      <c r="AJ184" s="31" t="str">
        <f t="shared" si="40"/>
        <v/>
      </c>
      <c r="AK184" s="31" t="str">
        <f t="shared" si="40"/>
        <v/>
      </c>
      <c r="AL184" s="31" t="str">
        <f t="shared" si="40"/>
        <v/>
      </c>
      <c r="AM184" s="31" t="str">
        <f t="shared" si="40"/>
        <v/>
      </c>
      <c r="AN184" s="31" t="str">
        <f t="shared" si="40"/>
        <v/>
      </c>
      <c r="AO184" s="31" t="str">
        <f t="shared" si="40"/>
        <v/>
      </c>
      <c r="AP184" s="31" t="str">
        <f t="shared" si="40"/>
        <v/>
      </c>
      <c r="AQ184" s="31" t="str">
        <f t="shared" si="40"/>
        <v/>
      </c>
      <c r="AR184" s="31" t="str">
        <f t="shared" si="40"/>
        <v/>
      </c>
      <c r="AS184" s="31" t="str">
        <f t="shared" si="40"/>
        <v/>
      </c>
      <c r="AT184" s="31" t="str">
        <f t="shared" si="40"/>
        <v/>
      </c>
      <c r="AU184" s="31" t="str">
        <f t="shared" si="40"/>
        <v/>
      </c>
      <c r="AV184" s="31" t="str">
        <f t="shared" si="40"/>
        <v/>
      </c>
      <c r="AW184" s="31" t="str">
        <f t="shared" si="40"/>
        <v/>
      </c>
      <c r="AX184" s="31" t="str">
        <f t="shared" si="40"/>
        <v/>
      </c>
      <c r="AY184" s="31" t="str">
        <f t="shared" si="40"/>
        <v/>
      </c>
      <c r="AZ184" s="31" t="str">
        <f t="shared" si="40"/>
        <v/>
      </c>
      <c r="BA184" s="31" t="str">
        <f t="shared" si="40"/>
        <v/>
      </c>
      <c r="BB184" s="31" t="str">
        <f t="shared" si="40"/>
        <v/>
      </c>
      <c r="BC184" s="31" t="str">
        <f t="shared" si="40"/>
        <v/>
      </c>
      <c r="BD184" s="31" t="str">
        <f t="shared" si="40"/>
        <v/>
      </c>
      <c r="BE184" s="31" t="str">
        <f t="shared" si="40"/>
        <v/>
      </c>
      <c r="BF184" s="31" t="str">
        <f t="shared" si="40"/>
        <v/>
      </c>
      <c r="BG184" s="31" t="str">
        <f t="shared" si="40"/>
        <v/>
      </c>
    </row>
    <row r="185" spans="1:59" s="23" customFormat="1" ht="15" hidden="1" customHeight="1" x14ac:dyDescent="0.2">
      <c r="A185" s="110" t="s">
        <v>12</v>
      </c>
      <c r="B185" s="32" t="s">
        <v>75</v>
      </c>
      <c r="C185" s="33" t="s">
        <v>2</v>
      </c>
      <c r="D185" s="22" t="str">
        <f t="shared" si="3"/>
        <v/>
      </c>
      <c r="E185" s="22" t="str">
        <f t="shared" si="36"/>
        <v/>
      </c>
      <c r="F185" s="22" t="str">
        <f t="shared" si="36"/>
        <v/>
      </c>
      <c r="G185" s="22" t="str">
        <f t="shared" si="36"/>
        <v/>
      </c>
      <c r="H185" s="22" t="str">
        <f t="shared" si="36"/>
        <v/>
      </c>
      <c r="I185" s="22" t="str">
        <f t="shared" si="36"/>
        <v/>
      </c>
      <c r="J185" s="22" t="str">
        <f t="shared" si="36"/>
        <v/>
      </c>
      <c r="K185" s="22" t="str">
        <f t="shared" si="36"/>
        <v/>
      </c>
      <c r="L185" s="22" t="str">
        <f t="shared" si="36"/>
        <v/>
      </c>
      <c r="M185" s="22" t="str">
        <f t="shared" si="36"/>
        <v/>
      </c>
      <c r="N185" s="22" t="str">
        <f t="shared" si="36"/>
        <v/>
      </c>
      <c r="O185" s="22" t="str">
        <f t="shared" si="36"/>
        <v/>
      </c>
      <c r="P185" s="22" t="str">
        <f t="shared" si="36"/>
        <v/>
      </c>
      <c r="Q185" s="22" t="str">
        <f t="shared" si="36"/>
        <v/>
      </c>
      <c r="R185" s="22" t="str">
        <f t="shared" si="36"/>
        <v/>
      </c>
      <c r="S185" s="22" t="str">
        <f t="shared" si="36"/>
        <v/>
      </c>
      <c r="T185" s="22" t="str">
        <f t="shared" si="36"/>
        <v/>
      </c>
      <c r="U185" s="22" t="str">
        <f t="shared" si="36"/>
        <v/>
      </c>
      <c r="V185" s="22" t="str">
        <f t="shared" ref="V185:BG185" si="41">IF(V115=V41,"","*")</f>
        <v/>
      </c>
      <c r="W185" s="22" t="str">
        <f t="shared" si="41"/>
        <v/>
      </c>
      <c r="X185" s="22" t="str">
        <f t="shared" si="41"/>
        <v/>
      </c>
      <c r="Y185" s="22" t="str">
        <f t="shared" si="41"/>
        <v/>
      </c>
      <c r="Z185" s="22" t="str">
        <f t="shared" si="41"/>
        <v/>
      </c>
      <c r="AA185" s="22" t="str">
        <f t="shared" si="41"/>
        <v/>
      </c>
      <c r="AB185" s="22" t="str">
        <f t="shared" si="41"/>
        <v/>
      </c>
      <c r="AC185" s="22" t="str">
        <f t="shared" si="41"/>
        <v/>
      </c>
      <c r="AD185" s="22" t="str">
        <f t="shared" si="41"/>
        <v/>
      </c>
      <c r="AE185" s="22" t="str">
        <f t="shared" si="41"/>
        <v/>
      </c>
      <c r="AF185" s="22" t="str">
        <f t="shared" si="41"/>
        <v/>
      </c>
      <c r="AG185" s="22" t="str">
        <f t="shared" si="41"/>
        <v/>
      </c>
      <c r="AH185" s="22" t="str">
        <f t="shared" si="41"/>
        <v/>
      </c>
      <c r="AI185" s="22" t="str">
        <f t="shared" si="41"/>
        <v/>
      </c>
      <c r="AJ185" s="22" t="str">
        <f t="shared" si="41"/>
        <v/>
      </c>
      <c r="AK185" s="22" t="str">
        <f t="shared" si="41"/>
        <v/>
      </c>
      <c r="AL185" s="22" t="str">
        <f t="shared" si="41"/>
        <v/>
      </c>
      <c r="AM185" s="22" t="str">
        <f t="shared" si="41"/>
        <v/>
      </c>
      <c r="AN185" s="22" t="str">
        <f t="shared" si="41"/>
        <v/>
      </c>
      <c r="AO185" s="22" t="str">
        <f t="shared" si="41"/>
        <v/>
      </c>
      <c r="AP185" s="22" t="str">
        <f t="shared" si="41"/>
        <v/>
      </c>
      <c r="AQ185" s="22" t="str">
        <f t="shared" si="41"/>
        <v/>
      </c>
      <c r="AR185" s="22" t="str">
        <f t="shared" si="41"/>
        <v/>
      </c>
      <c r="AS185" s="22" t="str">
        <f t="shared" si="41"/>
        <v/>
      </c>
      <c r="AT185" s="22" t="str">
        <f t="shared" si="41"/>
        <v/>
      </c>
      <c r="AU185" s="22" t="str">
        <f t="shared" si="41"/>
        <v/>
      </c>
      <c r="AV185" s="22" t="str">
        <f t="shared" si="41"/>
        <v/>
      </c>
      <c r="AW185" s="22" t="str">
        <f t="shared" si="41"/>
        <v/>
      </c>
      <c r="AX185" s="22" t="str">
        <f t="shared" si="41"/>
        <v/>
      </c>
      <c r="AY185" s="22" t="str">
        <f t="shared" si="41"/>
        <v/>
      </c>
      <c r="AZ185" s="22" t="str">
        <f t="shared" si="41"/>
        <v/>
      </c>
      <c r="BA185" s="22" t="str">
        <f t="shared" si="41"/>
        <v/>
      </c>
      <c r="BB185" s="22" t="str">
        <f t="shared" si="41"/>
        <v/>
      </c>
      <c r="BC185" s="22" t="str">
        <f t="shared" si="41"/>
        <v/>
      </c>
      <c r="BD185" s="22" t="str">
        <f t="shared" si="41"/>
        <v/>
      </c>
      <c r="BE185" s="22" t="str">
        <f t="shared" si="41"/>
        <v/>
      </c>
      <c r="BF185" s="22" t="str">
        <f t="shared" si="41"/>
        <v/>
      </c>
      <c r="BG185" s="22" t="str">
        <f t="shared" si="41"/>
        <v/>
      </c>
    </row>
    <row r="186" spans="1:59" s="23" customFormat="1" ht="15" hidden="1" customHeight="1" x14ac:dyDescent="0.2">
      <c r="A186" s="111"/>
      <c r="B186" s="34" t="s">
        <v>76</v>
      </c>
      <c r="C186" s="35" t="s">
        <v>194</v>
      </c>
      <c r="D186" s="22" t="str">
        <f t="shared" si="3"/>
        <v/>
      </c>
      <c r="E186" s="22" t="str">
        <f t="shared" si="36"/>
        <v/>
      </c>
      <c r="F186" s="22" t="str">
        <f t="shared" si="36"/>
        <v/>
      </c>
      <c r="G186" s="22" t="str">
        <f t="shared" si="36"/>
        <v/>
      </c>
      <c r="H186" s="22" t="str">
        <f t="shared" si="36"/>
        <v/>
      </c>
      <c r="I186" s="22" t="str">
        <f t="shared" si="36"/>
        <v/>
      </c>
      <c r="J186" s="22" t="str">
        <f t="shared" si="36"/>
        <v/>
      </c>
      <c r="K186" s="22" t="str">
        <f t="shared" si="36"/>
        <v/>
      </c>
      <c r="L186" s="22" t="str">
        <f t="shared" si="36"/>
        <v/>
      </c>
      <c r="M186" s="22" t="str">
        <f t="shared" si="36"/>
        <v/>
      </c>
      <c r="N186" s="22" t="str">
        <f t="shared" si="36"/>
        <v/>
      </c>
      <c r="O186" s="22" t="str">
        <f t="shared" si="36"/>
        <v/>
      </c>
      <c r="P186" s="22" t="str">
        <f t="shared" si="36"/>
        <v/>
      </c>
      <c r="Q186" s="22" t="str">
        <f t="shared" si="36"/>
        <v/>
      </c>
      <c r="R186" s="22" t="str">
        <f t="shared" si="36"/>
        <v/>
      </c>
      <c r="S186" s="22" t="str">
        <f t="shared" si="36"/>
        <v/>
      </c>
      <c r="T186" s="22" t="str">
        <f t="shared" si="36"/>
        <v/>
      </c>
      <c r="U186" s="22" t="str">
        <f t="shared" si="36"/>
        <v/>
      </c>
      <c r="V186" s="22" t="str">
        <f t="shared" ref="V186:BG186" si="42">IF(V116=V42,"","*")</f>
        <v/>
      </c>
      <c r="W186" s="22" t="str">
        <f t="shared" si="42"/>
        <v/>
      </c>
      <c r="X186" s="22" t="str">
        <f t="shared" si="42"/>
        <v/>
      </c>
      <c r="Y186" s="22" t="str">
        <f t="shared" si="42"/>
        <v/>
      </c>
      <c r="Z186" s="22" t="str">
        <f t="shared" si="42"/>
        <v/>
      </c>
      <c r="AA186" s="22" t="str">
        <f t="shared" si="42"/>
        <v/>
      </c>
      <c r="AB186" s="22" t="str">
        <f t="shared" si="42"/>
        <v/>
      </c>
      <c r="AC186" s="22" t="str">
        <f t="shared" si="42"/>
        <v/>
      </c>
      <c r="AD186" s="22" t="str">
        <f t="shared" si="42"/>
        <v/>
      </c>
      <c r="AE186" s="22" t="str">
        <f t="shared" si="42"/>
        <v/>
      </c>
      <c r="AF186" s="22" t="str">
        <f t="shared" si="42"/>
        <v/>
      </c>
      <c r="AG186" s="22" t="str">
        <f t="shared" si="42"/>
        <v/>
      </c>
      <c r="AH186" s="22" t="str">
        <f t="shared" si="42"/>
        <v/>
      </c>
      <c r="AI186" s="22" t="str">
        <f t="shared" si="42"/>
        <v/>
      </c>
      <c r="AJ186" s="22" t="str">
        <f t="shared" si="42"/>
        <v/>
      </c>
      <c r="AK186" s="22" t="str">
        <f t="shared" si="42"/>
        <v/>
      </c>
      <c r="AL186" s="22" t="str">
        <f t="shared" si="42"/>
        <v/>
      </c>
      <c r="AM186" s="22" t="str">
        <f t="shared" si="42"/>
        <v/>
      </c>
      <c r="AN186" s="22" t="str">
        <f t="shared" si="42"/>
        <v/>
      </c>
      <c r="AO186" s="22" t="str">
        <f t="shared" si="42"/>
        <v/>
      </c>
      <c r="AP186" s="22" t="str">
        <f t="shared" si="42"/>
        <v/>
      </c>
      <c r="AQ186" s="22" t="str">
        <f t="shared" si="42"/>
        <v/>
      </c>
      <c r="AR186" s="22" t="str">
        <f t="shared" si="42"/>
        <v/>
      </c>
      <c r="AS186" s="22" t="str">
        <f t="shared" si="42"/>
        <v/>
      </c>
      <c r="AT186" s="22" t="str">
        <f t="shared" si="42"/>
        <v/>
      </c>
      <c r="AU186" s="22" t="str">
        <f t="shared" si="42"/>
        <v/>
      </c>
      <c r="AV186" s="22" t="str">
        <f t="shared" si="42"/>
        <v/>
      </c>
      <c r="AW186" s="22" t="str">
        <f t="shared" si="42"/>
        <v/>
      </c>
      <c r="AX186" s="22" t="str">
        <f t="shared" si="42"/>
        <v/>
      </c>
      <c r="AY186" s="22" t="str">
        <f t="shared" si="42"/>
        <v/>
      </c>
      <c r="AZ186" s="22" t="str">
        <f t="shared" si="42"/>
        <v/>
      </c>
      <c r="BA186" s="22" t="str">
        <f t="shared" si="42"/>
        <v/>
      </c>
      <c r="BB186" s="22" t="str">
        <f t="shared" si="42"/>
        <v/>
      </c>
      <c r="BC186" s="22" t="str">
        <f t="shared" si="42"/>
        <v/>
      </c>
      <c r="BD186" s="22" t="str">
        <f t="shared" si="42"/>
        <v/>
      </c>
      <c r="BE186" s="22" t="str">
        <f t="shared" si="42"/>
        <v/>
      </c>
      <c r="BF186" s="22" t="str">
        <f t="shared" si="42"/>
        <v/>
      </c>
      <c r="BG186" s="22" t="str">
        <f t="shared" si="42"/>
        <v/>
      </c>
    </row>
    <row r="187" spans="1:59" s="23" customFormat="1" ht="15" hidden="1" customHeight="1" x14ac:dyDescent="0.2">
      <c r="A187" s="26" t="s">
        <v>62</v>
      </c>
      <c r="B187" s="29" t="s">
        <v>74</v>
      </c>
      <c r="C187" s="30" t="s">
        <v>0</v>
      </c>
      <c r="D187" s="31" t="str">
        <f t="shared" si="3"/>
        <v/>
      </c>
      <c r="E187" s="31" t="str">
        <f t="shared" si="36"/>
        <v/>
      </c>
      <c r="F187" s="31" t="str">
        <f t="shared" si="36"/>
        <v/>
      </c>
      <c r="G187" s="31" t="str">
        <f t="shared" si="36"/>
        <v/>
      </c>
      <c r="H187" s="31" t="str">
        <f t="shared" si="36"/>
        <v/>
      </c>
      <c r="I187" s="31" t="str">
        <f t="shared" si="36"/>
        <v/>
      </c>
      <c r="J187" s="31" t="str">
        <f t="shared" si="36"/>
        <v/>
      </c>
      <c r="K187" s="31" t="str">
        <f t="shared" si="36"/>
        <v/>
      </c>
      <c r="L187" s="31" t="str">
        <f t="shared" si="36"/>
        <v/>
      </c>
      <c r="M187" s="31" t="str">
        <f t="shared" si="36"/>
        <v/>
      </c>
      <c r="N187" s="31" t="str">
        <f t="shared" si="36"/>
        <v/>
      </c>
      <c r="O187" s="31" t="str">
        <f t="shared" si="36"/>
        <v/>
      </c>
      <c r="P187" s="31" t="str">
        <f t="shared" si="36"/>
        <v/>
      </c>
      <c r="Q187" s="31" t="str">
        <f t="shared" si="36"/>
        <v/>
      </c>
      <c r="R187" s="31" t="str">
        <f t="shared" si="36"/>
        <v/>
      </c>
      <c r="S187" s="31" t="str">
        <f t="shared" si="36"/>
        <v/>
      </c>
      <c r="T187" s="31" t="str">
        <f t="shared" si="36"/>
        <v/>
      </c>
      <c r="U187" s="31" t="str">
        <f t="shared" si="36"/>
        <v/>
      </c>
      <c r="V187" s="31" t="str">
        <f t="shared" ref="V187:BG187" si="43">IF(V117=V43,"","*")</f>
        <v/>
      </c>
      <c r="W187" s="31" t="str">
        <f t="shared" si="43"/>
        <v/>
      </c>
      <c r="X187" s="31" t="str">
        <f t="shared" si="43"/>
        <v/>
      </c>
      <c r="Y187" s="31" t="str">
        <f t="shared" si="43"/>
        <v/>
      </c>
      <c r="Z187" s="31" t="str">
        <f t="shared" si="43"/>
        <v/>
      </c>
      <c r="AA187" s="31" t="str">
        <f t="shared" si="43"/>
        <v/>
      </c>
      <c r="AB187" s="31" t="str">
        <f t="shared" si="43"/>
        <v/>
      </c>
      <c r="AC187" s="31" t="str">
        <f t="shared" si="43"/>
        <v/>
      </c>
      <c r="AD187" s="31" t="str">
        <f t="shared" si="43"/>
        <v/>
      </c>
      <c r="AE187" s="31" t="str">
        <f t="shared" si="43"/>
        <v/>
      </c>
      <c r="AF187" s="31" t="str">
        <f t="shared" si="43"/>
        <v/>
      </c>
      <c r="AG187" s="31" t="str">
        <f t="shared" si="43"/>
        <v/>
      </c>
      <c r="AH187" s="31" t="str">
        <f t="shared" si="43"/>
        <v/>
      </c>
      <c r="AI187" s="31" t="str">
        <f t="shared" si="43"/>
        <v/>
      </c>
      <c r="AJ187" s="31" t="str">
        <f t="shared" si="43"/>
        <v/>
      </c>
      <c r="AK187" s="31" t="str">
        <f t="shared" si="43"/>
        <v/>
      </c>
      <c r="AL187" s="31" t="str">
        <f t="shared" si="43"/>
        <v/>
      </c>
      <c r="AM187" s="31" t="str">
        <f t="shared" si="43"/>
        <v/>
      </c>
      <c r="AN187" s="31" t="str">
        <f t="shared" si="43"/>
        <v/>
      </c>
      <c r="AO187" s="31" t="str">
        <f t="shared" si="43"/>
        <v/>
      </c>
      <c r="AP187" s="31" t="str">
        <f t="shared" si="43"/>
        <v/>
      </c>
      <c r="AQ187" s="31" t="str">
        <f t="shared" si="43"/>
        <v/>
      </c>
      <c r="AR187" s="31" t="str">
        <f t="shared" si="43"/>
        <v/>
      </c>
      <c r="AS187" s="31" t="str">
        <f t="shared" si="43"/>
        <v/>
      </c>
      <c r="AT187" s="31" t="str">
        <f t="shared" si="43"/>
        <v/>
      </c>
      <c r="AU187" s="31" t="str">
        <f t="shared" si="43"/>
        <v/>
      </c>
      <c r="AV187" s="31" t="str">
        <f t="shared" si="43"/>
        <v/>
      </c>
      <c r="AW187" s="31" t="str">
        <f t="shared" si="43"/>
        <v/>
      </c>
      <c r="AX187" s="31" t="str">
        <f t="shared" si="43"/>
        <v/>
      </c>
      <c r="AY187" s="31" t="str">
        <f t="shared" si="43"/>
        <v/>
      </c>
      <c r="AZ187" s="31" t="str">
        <f t="shared" si="43"/>
        <v/>
      </c>
      <c r="BA187" s="31" t="str">
        <f t="shared" si="43"/>
        <v/>
      </c>
      <c r="BB187" s="31" t="str">
        <f t="shared" si="43"/>
        <v/>
      </c>
      <c r="BC187" s="31" t="str">
        <f t="shared" si="43"/>
        <v/>
      </c>
      <c r="BD187" s="31" t="str">
        <f t="shared" si="43"/>
        <v/>
      </c>
      <c r="BE187" s="31" t="str">
        <f t="shared" si="43"/>
        <v/>
      </c>
      <c r="BF187" s="31" t="str">
        <f t="shared" si="43"/>
        <v/>
      </c>
      <c r="BG187" s="31" t="str">
        <f t="shared" si="43"/>
        <v/>
      </c>
    </row>
    <row r="188" spans="1:59" s="23" customFormat="1" ht="15" hidden="1" customHeight="1" x14ac:dyDescent="0.2">
      <c r="A188" s="110" t="s">
        <v>13</v>
      </c>
      <c r="B188" s="32" t="s">
        <v>75</v>
      </c>
      <c r="C188" s="33" t="s">
        <v>2</v>
      </c>
      <c r="D188" s="22" t="str">
        <f t="shared" si="3"/>
        <v/>
      </c>
      <c r="E188" s="22" t="str">
        <f t="shared" si="36"/>
        <v/>
      </c>
      <c r="F188" s="22" t="str">
        <f t="shared" si="36"/>
        <v/>
      </c>
      <c r="G188" s="22" t="str">
        <f t="shared" si="36"/>
        <v/>
      </c>
      <c r="H188" s="22" t="str">
        <f t="shared" si="36"/>
        <v/>
      </c>
      <c r="I188" s="22" t="str">
        <f t="shared" si="36"/>
        <v/>
      </c>
      <c r="J188" s="22" t="str">
        <f t="shared" si="36"/>
        <v/>
      </c>
      <c r="K188" s="22" t="str">
        <f t="shared" si="36"/>
        <v/>
      </c>
      <c r="L188" s="22" t="str">
        <f t="shared" si="36"/>
        <v/>
      </c>
      <c r="M188" s="22" t="str">
        <f t="shared" si="36"/>
        <v/>
      </c>
      <c r="N188" s="22" t="str">
        <f t="shared" si="36"/>
        <v/>
      </c>
      <c r="O188" s="22" t="str">
        <f t="shared" si="36"/>
        <v/>
      </c>
      <c r="P188" s="22" t="str">
        <f t="shared" si="36"/>
        <v/>
      </c>
      <c r="Q188" s="22" t="str">
        <f t="shared" si="36"/>
        <v/>
      </c>
      <c r="R188" s="22" t="str">
        <f t="shared" si="36"/>
        <v/>
      </c>
      <c r="S188" s="22" t="str">
        <f t="shared" si="36"/>
        <v/>
      </c>
      <c r="T188" s="22" t="str">
        <f t="shared" si="36"/>
        <v/>
      </c>
      <c r="U188" s="22" t="str">
        <f t="shared" si="36"/>
        <v/>
      </c>
      <c r="V188" s="22" t="str">
        <f t="shared" ref="V188:BG188" si="44">IF(V118=V44,"","*")</f>
        <v/>
      </c>
      <c r="W188" s="22" t="str">
        <f t="shared" si="44"/>
        <v/>
      </c>
      <c r="X188" s="22" t="str">
        <f t="shared" si="44"/>
        <v/>
      </c>
      <c r="Y188" s="22" t="str">
        <f t="shared" si="44"/>
        <v/>
      </c>
      <c r="Z188" s="22" t="str">
        <f t="shared" si="44"/>
        <v/>
      </c>
      <c r="AA188" s="22" t="str">
        <f t="shared" si="44"/>
        <v/>
      </c>
      <c r="AB188" s="22" t="str">
        <f t="shared" si="44"/>
        <v/>
      </c>
      <c r="AC188" s="22" t="str">
        <f t="shared" si="44"/>
        <v/>
      </c>
      <c r="AD188" s="22" t="str">
        <f t="shared" si="44"/>
        <v/>
      </c>
      <c r="AE188" s="22" t="str">
        <f t="shared" si="44"/>
        <v/>
      </c>
      <c r="AF188" s="22" t="str">
        <f t="shared" si="44"/>
        <v/>
      </c>
      <c r="AG188" s="22" t="str">
        <f t="shared" si="44"/>
        <v/>
      </c>
      <c r="AH188" s="22" t="str">
        <f t="shared" si="44"/>
        <v/>
      </c>
      <c r="AI188" s="22" t="str">
        <f t="shared" si="44"/>
        <v/>
      </c>
      <c r="AJ188" s="22" t="str">
        <f t="shared" si="44"/>
        <v/>
      </c>
      <c r="AK188" s="22" t="str">
        <f t="shared" si="44"/>
        <v/>
      </c>
      <c r="AL188" s="22" t="str">
        <f t="shared" si="44"/>
        <v/>
      </c>
      <c r="AM188" s="22" t="str">
        <f t="shared" si="44"/>
        <v/>
      </c>
      <c r="AN188" s="22" t="str">
        <f t="shared" si="44"/>
        <v/>
      </c>
      <c r="AO188" s="22" t="str">
        <f t="shared" si="44"/>
        <v/>
      </c>
      <c r="AP188" s="22" t="str">
        <f t="shared" si="44"/>
        <v/>
      </c>
      <c r="AQ188" s="22" t="str">
        <f t="shared" si="44"/>
        <v/>
      </c>
      <c r="AR188" s="22" t="str">
        <f t="shared" si="44"/>
        <v/>
      </c>
      <c r="AS188" s="22" t="str">
        <f t="shared" si="44"/>
        <v/>
      </c>
      <c r="AT188" s="22" t="str">
        <f t="shared" si="44"/>
        <v/>
      </c>
      <c r="AU188" s="22" t="str">
        <f t="shared" si="44"/>
        <v/>
      </c>
      <c r="AV188" s="22" t="str">
        <f t="shared" si="44"/>
        <v/>
      </c>
      <c r="AW188" s="22" t="str">
        <f t="shared" si="44"/>
        <v/>
      </c>
      <c r="AX188" s="22" t="str">
        <f t="shared" si="44"/>
        <v/>
      </c>
      <c r="AY188" s="22" t="str">
        <f t="shared" si="44"/>
        <v/>
      </c>
      <c r="AZ188" s="22" t="str">
        <f t="shared" si="44"/>
        <v/>
      </c>
      <c r="BA188" s="22" t="str">
        <f t="shared" si="44"/>
        <v/>
      </c>
      <c r="BB188" s="22" t="str">
        <f t="shared" si="44"/>
        <v/>
      </c>
      <c r="BC188" s="22" t="str">
        <f t="shared" si="44"/>
        <v/>
      </c>
      <c r="BD188" s="22" t="str">
        <f t="shared" si="44"/>
        <v/>
      </c>
      <c r="BE188" s="22" t="str">
        <f t="shared" si="44"/>
        <v/>
      </c>
      <c r="BF188" s="22" t="str">
        <f t="shared" si="44"/>
        <v/>
      </c>
      <c r="BG188" s="22" t="str">
        <f t="shared" si="44"/>
        <v/>
      </c>
    </row>
    <row r="189" spans="1:59" s="23" customFormat="1" ht="15" hidden="1" customHeight="1" x14ac:dyDescent="0.2">
      <c r="A189" s="111"/>
      <c r="B189" s="34" t="s">
        <v>76</v>
      </c>
      <c r="C189" s="35" t="s">
        <v>194</v>
      </c>
      <c r="D189" s="22" t="str">
        <f t="shared" si="3"/>
        <v/>
      </c>
      <c r="E189" s="22" t="str">
        <f t="shared" ref="E189:U196" si="45">IF(E119=E45,"","*")</f>
        <v/>
      </c>
      <c r="F189" s="22" t="str">
        <f t="shared" si="45"/>
        <v/>
      </c>
      <c r="G189" s="22" t="str">
        <f t="shared" si="45"/>
        <v/>
      </c>
      <c r="H189" s="22" t="str">
        <f t="shared" si="45"/>
        <v/>
      </c>
      <c r="I189" s="22" t="str">
        <f t="shared" si="45"/>
        <v/>
      </c>
      <c r="J189" s="22" t="str">
        <f t="shared" si="45"/>
        <v/>
      </c>
      <c r="K189" s="22" t="str">
        <f t="shared" si="45"/>
        <v/>
      </c>
      <c r="L189" s="22" t="str">
        <f t="shared" si="45"/>
        <v/>
      </c>
      <c r="M189" s="22" t="str">
        <f t="shared" si="45"/>
        <v/>
      </c>
      <c r="N189" s="22" t="str">
        <f t="shared" si="45"/>
        <v/>
      </c>
      <c r="O189" s="22" t="str">
        <f t="shared" si="45"/>
        <v/>
      </c>
      <c r="P189" s="22" t="str">
        <f t="shared" si="45"/>
        <v/>
      </c>
      <c r="Q189" s="22" t="str">
        <f t="shared" si="45"/>
        <v/>
      </c>
      <c r="R189" s="22" t="str">
        <f t="shared" si="45"/>
        <v/>
      </c>
      <c r="S189" s="22" t="str">
        <f t="shared" si="45"/>
        <v/>
      </c>
      <c r="T189" s="22" t="str">
        <f t="shared" si="45"/>
        <v/>
      </c>
      <c r="U189" s="22" t="str">
        <f t="shared" si="45"/>
        <v/>
      </c>
      <c r="V189" s="22" t="str">
        <f t="shared" ref="V189:BG189" si="46">IF(V119=V45,"","*")</f>
        <v/>
      </c>
      <c r="W189" s="22" t="str">
        <f t="shared" si="46"/>
        <v/>
      </c>
      <c r="X189" s="22" t="str">
        <f t="shared" si="46"/>
        <v/>
      </c>
      <c r="Y189" s="22" t="str">
        <f t="shared" si="46"/>
        <v/>
      </c>
      <c r="Z189" s="22" t="str">
        <f t="shared" si="46"/>
        <v/>
      </c>
      <c r="AA189" s="22" t="str">
        <f t="shared" si="46"/>
        <v/>
      </c>
      <c r="AB189" s="22" t="str">
        <f t="shared" si="46"/>
        <v/>
      </c>
      <c r="AC189" s="22" t="str">
        <f t="shared" si="46"/>
        <v/>
      </c>
      <c r="AD189" s="22" t="str">
        <f t="shared" si="46"/>
        <v/>
      </c>
      <c r="AE189" s="22" t="str">
        <f t="shared" si="46"/>
        <v/>
      </c>
      <c r="AF189" s="22" t="str">
        <f t="shared" si="46"/>
        <v/>
      </c>
      <c r="AG189" s="22" t="str">
        <f t="shared" si="46"/>
        <v/>
      </c>
      <c r="AH189" s="22" t="str">
        <f t="shared" si="46"/>
        <v/>
      </c>
      <c r="AI189" s="22" t="str">
        <f t="shared" si="46"/>
        <v/>
      </c>
      <c r="AJ189" s="22" t="str">
        <f t="shared" si="46"/>
        <v/>
      </c>
      <c r="AK189" s="22" t="str">
        <f t="shared" si="46"/>
        <v/>
      </c>
      <c r="AL189" s="22" t="str">
        <f t="shared" si="46"/>
        <v/>
      </c>
      <c r="AM189" s="22" t="str">
        <f t="shared" si="46"/>
        <v/>
      </c>
      <c r="AN189" s="22" t="str">
        <f t="shared" si="46"/>
        <v/>
      </c>
      <c r="AO189" s="22" t="str">
        <f t="shared" si="46"/>
        <v/>
      </c>
      <c r="AP189" s="22" t="str">
        <f t="shared" si="46"/>
        <v/>
      </c>
      <c r="AQ189" s="22" t="str">
        <f t="shared" si="46"/>
        <v/>
      </c>
      <c r="AR189" s="22" t="str">
        <f t="shared" si="46"/>
        <v/>
      </c>
      <c r="AS189" s="22" t="str">
        <f t="shared" si="46"/>
        <v/>
      </c>
      <c r="AT189" s="22" t="str">
        <f t="shared" si="46"/>
        <v/>
      </c>
      <c r="AU189" s="22" t="str">
        <f t="shared" si="46"/>
        <v/>
      </c>
      <c r="AV189" s="22" t="str">
        <f t="shared" si="46"/>
        <v/>
      </c>
      <c r="AW189" s="22" t="str">
        <f t="shared" si="46"/>
        <v/>
      </c>
      <c r="AX189" s="22" t="str">
        <f t="shared" si="46"/>
        <v/>
      </c>
      <c r="AY189" s="22" t="str">
        <f t="shared" si="46"/>
        <v/>
      </c>
      <c r="AZ189" s="22" t="str">
        <f t="shared" si="46"/>
        <v/>
      </c>
      <c r="BA189" s="22" t="str">
        <f t="shared" si="46"/>
        <v/>
      </c>
      <c r="BB189" s="22" t="str">
        <f t="shared" si="46"/>
        <v/>
      </c>
      <c r="BC189" s="22" t="str">
        <f t="shared" si="46"/>
        <v/>
      </c>
      <c r="BD189" s="22" t="str">
        <f t="shared" si="46"/>
        <v/>
      </c>
      <c r="BE189" s="22" t="str">
        <f t="shared" si="46"/>
        <v/>
      </c>
      <c r="BF189" s="22" t="str">
        <f t="shared" si="46"/>
        <v/>
      </c>
      <c r="BG189" s="22" t="str">
        <f t="shared" si="46"/>
        <v/>
      </c>
    </row>
    <row r="190" spans="1:59" s="23" customFormat="1" ht="15" hidden="1" customHeight="1" x14ac:dyDescent="0.2">
      <c r="A190" s="26" t="s">
        <v>63</v>
      </c>
      <c r="B190" s="29" t="s">
        <v>74</v>
      </c>
      <c r="C190" s="30" t="s">
        <v>0</v>
      </c>
      <c r="D190" s="31" t="str">
        <f t="shared" si="3"/>
        <v/>
      </c>
      <c r="E190" s="31" t="str">
        <f t="shared" si="45"/>
        <v/>
      </c>
      <c r="F190" s="31" t="str">
        <f t="shared" si="45"/>
        <v/>
      </c>
      <c r="G190" s="31" t="str">
        <f t="shared" si="45"/>
        <v/>
      </c>
      <c r="H190" s="31" t="str">
        <f t="shared" si="45"/>
        <v/>
      </c>
      <c r="I190" s="31" t="str">
        <f t="shared" si="45"/>
        <v/>
      </c>
      <c r="J190" s="31" t="str">
        <f t="shared" si="45"/>
        <v/>
      </c>
      <c r="K190" s="31" t="str">
        <f t="shared" si="45"/>
        <v/>
      </c>
      <c r="L190" s="31" t="str">
        <f t="shared" si="45"/>
        <v/>
      </c>
      <c r="M190" s="31" t="str">
        <f t="shared" si="45"/>
        <v/>
      </c>
      <c r="N190" s="31" t="str">
        <f t="shared" si="45"/>
        <v/>
      </c>
      <c r="O190" s="31" t="str">
        <f t="shared" si="45"/>
        <v/>
      </c>
      <c r="P190" s="31" t="str">
        <f t="shared" si="45"/>
        <v/>
      </c>
      <c r="Q190" s="31" t="str">
        <f t="shared" si="45"/>
        <v/>
      </c>
      <c r="R190" s="31" t="str">
        <f t="shared" si="45"/>
        <v/>
      </c>
      <c r="S190" s="31" t="str">
        <f t="shared" si="45"/>
        <v/>
      </c>
      <c r="T190" s="31" t="str">
        <f t="shared" si="45"/>
        <v/>
      </c>
      <c r="U190" s="31" t="str">
        <f t="shared" si="45"/>
        <v/>
      </c>
      <c r="V190" s="31" t="str">
        <f t="shared" ref="V190:BG190" si="47">IF(V120=V46,"","*")</f>
        <v/>
      </c>
      <c r="W190" s="31" t="str">
        <f t="shared" si="47"/>
        <v/>
      </c>
      <c r="X190" s="31" t="str">
        <f t="shared" si="47"/>
        <v/>
      </c>
      <c r="Y190" s="31" t="str">
        <f t="shared" si="47"/>
        <v/>
      </c>
      <c r="Z190" s="31" t="str">
        <f t="shared" si="47"/>
        <v/>
      </c>
      <c r="AA190" s="31" t="str">
        <f t="shared" si="47"/>
        <v/>
      </c>
      <c r="AB190" s="31" t="str">
        <f t="shared" si="47"/>
        <v/>
      </c>
      <c r="AC190" s="31" t="str">
        <f t="shared" si="47"/>
        <v/>
      </c>
      <c r="AD190" s="31" t="str">
        <f t="shared" si="47"/>
        <v/>
      </c>
      <c r="AE190" s="31" t="str">
        <f t="shared" si="47"/>
        <v/>
      </c>
      <c r="AF190" s="31" t="str">
        <f t="shared" si="47"/>
        <v/>
      </c>
      <c r="AG190" s="31" t="str">
        <f t="shared" si="47"/>
        <v/>
      </c>
      <c r="AH190" s="31" t="str">
        <f t="shared" si="47"/>
        <v/>
      </c>
      <c r="AI190" s="31" t="str">
        <f t="shared" si="47"/>
        <v/>
      </c>
      <c r="AJ190" s="31" t="str">
        <f t="shared" si="47"/>
        <v/>
      </c>
      <c r="AK190" s="31" t="str">
        <f t="shared" si="47"/>
        <v/>
      </c>
      <c r="AL190" s="31" t="str">
        <f t="shared" si="47"/>
        <v/>
      </c>
      <c r="AM190" s="31" t="str">
        <f t="shared" si="47"/>
        <v/>
      </c>
      <c r="AN190" s="31" t="str">
        <f t="shared" si="47"/>
        <v/>
      </c>
      <c r="AO190" s="31" t="str">
        <f t="shared" si="47"/>
        <v/>
      </c>
      <c r="AP190" s="31" t="str">
        <f t="shared" si="47"/>
        <v/>
      </c>
      <c r="AQ190" s="31" t="str">
        <f t="shared" si="47"/>
        <v/>
      </c>
      <c r="AR190" s="31" t="str">
        <f t="shared" si="47"/>
        <v/>
      </c>
      <c r="AS190" s="31" t="str">
        <f t="shared" si="47"/>
        <v/>
      </c>
      <c r="AT190" s="31" t="str">
        <f t="shared" si="47"/>
        <v/>
      </c>
      <c r="AU190" s="31" t="str">
        <f t="shared" si="47"/>
        <v/>
      </c>
      <c r="AV190" s="31" t="str">
        <f t="shared" si="47"/>
        <v/>
      </c>
      <c r="AW190" s="31" t="str">
        <f t="shared" si="47"/>
        <v/>
      </c>
      <c r="AX190" s="31" t="str">
        <f t="shared" si="47"/>
        <v/>
      </c>
      <c r="AY190" s="31" t="str">
        <f t="shared" si="47"/>
        <v/>
      </c>
      <c r="AZ190" s="31" t="str">
        <f t="shared" si="47"/>
        <v/>
      </c>
      <c r="BA190" s="31" t="str">
        <f t="shared" si="47"/>
        <v/>
      </c>
      <c r="BB190" s="31" t="str">
        <f t="shared" si="47"/>
        <v/>
      </c>
      <c r="BC190" s="31" t="str">
        <f t="shared" si="47"/>
        <v/>
      </c>
      <c r="BD190" s="31" t="str">
        <f t="shared" si="47"/>
        <v/>
      </c>
      <c r="BE190" s="31" t="str">
        <f t="shared" si="47"/>
        <v/>
      </c>
      <c r="BF190" s="31" t="str">
        <f t="shared" si="47"/>
        <v/>
      </c>
      <c r="BG190" s="31" t="str">
        <f t="shared" si="47"/>
        <v/>
      </c>
    </row>
    <row r="191" spans="1:59" s="23" customFormat="1" ht="15" hidden="1" customHeight="1" x14ac:dyDescent="0.2">
      <c r="A191" s="110" t="s">
        <v>14</v>
      </c>
      <c r="B191" s="32" t="s">
        <v>75</v>
      </c>
      <c r="C191" s="33" t="s">
        <v>2</v>
      </c>
      <c r="D191" s="22" t="str">
        <f t="shared" si="3"/>
        <v/>
      </c>
      <c r="E191" s="22" t="str">
        <f t="shared" si="45"/>
        <v/>
      </c>
      <c r="F191" s="22" t="str">
        <f t="shared" si="45"/>
        <v/>
      </c>
      <c r="G191" s="22" t="str">
        <f t="shared" si="45"/>
        <v/>
      </c>
      <c r="H191" s="22" t="str">
        <f t="shared" si="45"/>
        <v/>
      </c>
      <c r="I191" s="22" t="str">
        <f t="shared" si="45"/>
        <v/>
      </c>
      <c r="J191" s="22" t="str">
        <f t="shared" si="45"/>
        <v/>
      </c>
      <c r="K191" s="22" t="str">
        <f t="shared" si="45"/>
        <v/>
      </c>
      <c r="L191" s="22" t="str">
        <f t="shared" si="45"/>
        <v/>
      </c>
      <c r="M191" s="22" t="str">
        <f t="shared" si="45"/>
        <v/>
      </c>
      <c r="N191" s="22" t="str">
        <f t="shared" si="45"/>
        <v/>
      </c>
      <c r="O191" s="22" t="str">
        <f t="shared" si="45"/>
        <v/>
      </c>
      <c r="P191" s="22" t="str">
        <f t="shared" si="45"/>
        <v/>
      </c>
      <c r="Q191" s="22" t="str">
        <f t="shared" si="45"/>
        <v/>
      </c>
      <c r="R191" s="22" t="str">
        <f t="shared" si="45"/>
        <v/>
      </c>
      <c r="S191" s="22" t="str">
        <f t="shared" si="45"/>
        <v/>
      </c>
      <c r="T191" s="22" t="str">
        <f t="shared" si="45"/>
        <v/>
      </c>
      <c r="U191" s="22" t="str">
        <f t="shared" si="45"/>
        <v/>
      </c>
      <c r="V191" s="22" t="str">
        <f t="shared" ref="V191:BG191" si="48">IF(V121=V47,"","*")</f>
        <v/>
      </c>
      <c r="W191" s="22" t="str">
        <f t="shared" si="48"/>
        <v/>
      </c>
      <c r="X191" s="22" t="str">
        <f t="shared" si="48"/>
        <v/>
      </c>
      <c r="Y191" s="22" t="str">
        <f t="shared" si="48"/>
        <v/>
      </c>
      <c r="Z191" s="22" t="str">
        <f t="shared" si="48"/>
        <v/>
      </c>
      <c r="AA191" s="22" t="str">
        <f t="shared" si="48"/>
        <v/>
      </c>
      <c r="AB191" s="22" t="str">
        <f t="shared" si="48"/>
        <v/>
      </c>
      <c r="AC191" s="22" t="str">
        <f t="shared" si="48"/>
        <v/>
      </c>
      <c r="AD191" s="22" t="str">
        <f t="shared" si="48"/>
        <v/>
      </c>
      <c r="AE191" s="22" t="str">
        <f t="shared" si="48"/>
        <v/>
      </c>
      <c r="AF191" s="22" t="str">
        <f t="shared" si="48"/>
        <v/>
      </c>
      <c r="AG191" s="22" t="str">
        <f t="shared" si="48"/>
        <v/>
      </c>
      <c r="AH191" s="22" t="str">
        <f t="shared" si="48"/>
        <v/>
      </c>
      <c r="AI191" s="22" t="str">
        <f t="shared" si="48"/>
        <v/>
      </c>
      <c r="AJ191" s="22" t="str">
        <f t="shared" si="48"/>
        <v/>
      </c>
      <c r="AK191" s="22" t="str">
        <f t="shared" si="48"/>
        <v/>
      </c>
      <c r="AL191" s="22" t="str">
        <f t="shared" si="48"/>
        <v/>
      </c>
      <c r="AM191" s="22" t="str">
        <f t="shared" si="48"/>
        <v/>
      </c>
      <c r="AN191" s="22" t="str">
        <f t="shared" si="48"/>
        <v/>
      </c>
      <c r="AO191" s="22" t="str">
        <f t="shared" si="48"/>
        <v/>
      </c>
      <c r="AP191" s="22" t="str">
        <f t="shared" si="48"/>
        <v/>
      </c>
      <c r="AQ191" s="22" t="str">
        <f t="shared" si="48"/>
        <v/>
      </c>
      <c r="AR191" s="22" t="str">
        <f t="shared" si="48"/>
        <v/>
      </c>
      <c r="AS191" s="22" t="str">
        <f t="shared" si="48"/>
        <v/>
      </c>
      <c r="AT191" s="22" t="str">
        <f t="shared" si="48"/>
        <v/>
      </c>
      <c r="AU191" s="22" t="str">
        <f t="shared" si="48"/>
        <v/>
      </c>
      <c r="AV191" s="22" t="str">
        <f t="shared" si="48"/>
        <v/>
      </c>
      <c r="AW191" s="22" t="str">
        <f t="shared" si="48"/>
        <v/>
      </c>
      <c r="AX191" s="22" t="str">
        <f t="shared" si="48"/>
        <v/>
      </c>
      <c r="AY191" s="22" t="str">
        <f t="shared" si="48"/>
        <v/>
      </c>
      <c r="AZ191" s="22" t="str">
        <f t="shared" si="48"/>
        <v/>
      </c>
      <c r="BA191" s="22" t="str">
        <f t="shared" si="48"/>
        <v/>
      </c>
      <c r="BB191" s="22" t="str">
        <f t="shared" si="48"/>
        <v/>
      </c>
      <c r="BC191" s="22" t="str">
        <f t="shared" si="48"/>
        <v/>
      </c>
      <c r="BD191" s="22" t="str">
        <f t="shared" si="48"/>
        <v/>
      </c>
      <c r="BE191" s="22" t="str">
        <f t="shared" si="48"/>
        <v/>
      </c>
      <c r="BF191" s="22" t="str">
        <f t="shared" si="48"/>
        <v/>
      </c>
      <c r="BG191" s="22" t="str">
        <f t="shared" si="48"/>
        <v/>
      </c>
    </row>
    <row r="192" spans="1:59" s="23" customFormat="1" ht="15" hidden="1" customHeight="1" x14ac:dyDescent="0.2">
      <c r="A192" s="111"/>
      <c r="B192" s="34" t="s">
        <v>76</v>
      </c>
      <c r="C192" s="35" t="s">
        <v>194</v>
      </c>
      <c r="D192" s="22" t="str">
        <f t="shared" si="3"/>
        <v/>
      </c>
      <c r="E192" s="22" t="str">
        <f t="shared" si="45"/>
        <v/>
      </c>
      <c r="F192" s="22" t="str">
        <f t="shared" si="45"/>
        <v/>
      </c>
      <c r="G192" s="22" t="str">
        <f t="shared" si="45"/>
        <v/>
      </c>
      <c r="H192" s="22" t="str">
        <f t="shared" si="45"/>
        <v/>
      </c>
      <c r="I192" s="22" t="str">
        <f t="shared" si="45"/>
        <v/>
      </c>
      <c r="J192" s="22" t="str">
        <f t="shared" si="45"/>
        <v/>
      </c>
      <c r="K192" s="22" t="str">
        <f t="shared" si="45"/>
        <v/>
      </c>
      <c r="L192" s="22" t="str">
        <f t="shared" si="45"/>
        <v/>
      </c>
      <c r="M192" s="22" t="str">
        <f t="shared" si="45"/>
        <v/>
      </c>
      <c r="N192" s="22" t="str">
        <f t="shared" si="45"/>
        <v/>
      </c>
      <c r="O192" s="22" t="str">
        <f t="shared" si="45"/>
        <v/>
      </c>
      <c r="P192" s="22" t="str">
        <f t="shared" si="45"/>
        <v/>
      </c>
      <c r="Q192" s="22" t="str">
        <f t="shared" si="45"/>
        <v/>
      </c>
      <c r="R192" s="22" t="str">
        <f t="shared" si="45"/>
        <v/>
      </c>
      <c r="S192" s="22" t="str">
        <f t="shared" si="45"/>
        <v/>
      </c>
      <c r="T192" s="22" t="str">
        <f t="shared" si="45"/>
        <v/>
      </c>
      <c r="U192" s="22" t="str">
        <f t="shared" si="45"/>
        <v/>
      </c>
      <c r="V192" s="22" t="str">
        <f t="shared" ref="V192:BG192" si="49">IF(V122=V48,"","*")</f>
        <v/>
      </c>
      <c r="W192" s="22" t="str">
        <f t="shared" si="49"/>
        <v/>
      </c>
      <c r="X192" s="22" t="str">
        <f t="shared" si="49"/>
        <v/>
      </c>
      <c r="Y192" s="22" t="str">
        <f t="shared" si="49"/>
        <v/>
      </c>
      <c r="Z192" s="22" t="str">
        <f t="shared" si="49"/>
        <v/>
      </c>
      <c r="AA192" s="22" t="str">
        <f t="shared" si="49"/>
        <v/>
      </c>
      <c r="AB192" s="22" t="str">
        <f t="shared" si="49"/>
        <v/>
      </c>
      <c r="AC192" s="22" t="str">
        <f t="shared" si="49"/>
        <v/>
      </c>
      <c r="AD192" s="22" t="str">
        <f t="shared" si="49"/>
        <v/>
      </c>
      <c r="AE192" s="22" t="str">
        <f t="shared" si="49"/>
        <v/>
      </c>
      <c r="AF192" s="22" t="str">
        <f t="shared" si="49"/>
        <v/>
      </c>
      <c r="AG192" s="22" t="str">
        <f t="shared" si="49"/>
        <v/>
      </c>
      <c r="AH192" s="22" t="str">
        <f t="shared" si="49"/>
        <v/>
      </c>
      <c r="AI192" s="22" t="str">
        <f t="shared" si="49"/>
        <v/>
      </c>
      <c r="AJ192" s="22" t="str">
        <f t="shared" si="49"/>
        <v/>
      </c>
      <c r="AK192" s="22" t="str">
        <f t="shared" si="49"/>
        <v/>
      </c>
      <c r="AL192" s="22" t="str">
        <f t="shared" si="49"/>
        <v/>
      </c>
      <c r="AM192" s="22" t="str">
        <f t="shared" si="49"/>
        <v/>
      </c>
      <c r="AN192" s="22" t="str">
        <f t="shared" si="49"/>
        <v/>
      </c>
      <c r="AO192" s="22" t="str">
        <f t="shared" si="49"/>
        <v/>
      </c>
      <c r="AP192" s="22" t="str">
        <f t="shared" si="49"/>
        <v/>
      </c>
      <c r="AQ192" s="22" t="str">
        <f t="shared" si="49"/>
        <v/>
      </c>
      <c r="AR192" s="22" t="str">
        <f t="shared" si="49"/>
        <v/>
      </c>
      <c r="AS192" s="22" t="str">
        <f t="shared" si="49"/>
        <v/>
      </c>
      <c r="AT192" s="22" t="str">
        <f t="shared" si="49"/>
        <v/>
      </c>
      <c r="AU192" s="22" t="str">
        <f t="shared" si="49"/>
        <v/>
      </c>
      <c r="AV192" s="22" t="str">
        <f t="shared" si="49"/>
        <v/>
      </c>
      <c r="AW192" s="22" t="str">
        <f t="shared" si="49"/>
        <v/>
      </c>
      <c r="AX192" s="22" t="str">
        <f t="shared" si="49"/>
        <v/>
      </c>
      <c r="AY192" s="22" t="str">
        <f t="shared" si="49"/>
        <v/>
      </c>
      <c r="AZ192" s="22" t="str">
        <f t="shared" si="49"/>
        <v/>
      </c>
      <c r="BA192" s="22" t="str">
        <f t="shared" si="49"/>
        <v/>
      </c>
      <c r="BB192" s="22" t="str">
        <f t="shared" si="49"/>
        <v/>
      </c>
      <c r="BC192" s="22" t="str">
        <f t="shared" si="49"/>
        <v/>
      </c>
      <c r="BD192" s="22" t="str">
        <f t="shared" si="49"/>
        <v/>
      </c>
      <c r="BE192" s="22" t="str">
        <f t="shared" si="49"/>
        <v/>
      </c>
      <c r="BF192" s="22" t="str">
        <f t="shared" si="49"/>
        <v/>
      </c>
      <c r="BG192" s="22" t="str">
        <f t="shared" si="49"/>
        <v/>
      </c>
    </row>
    <row r="193" spans="1:59" s="23" customFormat="1" ht="15" hidden="1" customHeight="1" x14ac:dyDescent="0.2">
      <c r="A193" s="26" t="s">
        <v>64</v>
      </c>
      <c r="B193" s="29" t="s">
        <v>74</v>
      </c>
      <c r="C193" s="30" t="s">
        <v>0</v>
      </c>
      <c r="D193" s="31" t="str">
        <f t="shared" si="3"/>
        <v/>
      </c>
      <c r="E193" s="31" t="str">
        <f t="shared" si="45"/>
        <v/>
      </c>
      <c r="F193" s="31" t="str">
        <f t="shared" si="45"/>
        <v/>
      </c>
      <c r="G193" s="31" t="str">
        <f t="shared" si="45"/>
        <v/>
      </c>
      <c r="H193" s="31" t="str">
        <f t="shared" si="45"/>
        <v/>
      </c>
      <c r="I193" s="31" t="str">
        <f t="shared" si="45"/>
        <v/>
      </c>
      <c r="J193" s="31" t="str">
        <f t="shared" si="45"/>
        <v/>
      </c>
      <c r="K193" s="31" t="str">
        <f t="shared" si="45"/>
        <v/>
      </c>
      <c r="L193" s="31" t="str">
        <f t="shared" si="45"/>
        <v/>
      </c>
      <c r="M193" s="31" t="str">
        <f t="shared" si="45"/>
        <v/>
      </c>
      <c r="N193" s="31" t="str">
        <f t="shared" si="45"/>
        <v/>
      </c>
      <c r="O193" s="31" t="str">
        <f t="shared" si="45"/>
        <v/>
      </c>
      <c r="P193" s="31" t="str">
        <f t="shared" si="45"/>
        <v/>
      </c>
      <c r="Q193" s="31" t="str">
        <f t="shared" si="45"/>
        <v/>
      </c>
      <c r="R193" s="31" t="str">
        <f t="shared" si="45"/>
        <v/>
      </c>
      <c r="S193" s="31" t="str">
        <f t="shared" si="45"/>
        <v/>
      </c>
      <c r="T193" s="31" t="str">
        <f t="shared" si="45"/>
        <v/>
      </c>
      <c r="U193" s="31" t="str">
        <f t="shared" si="45"/>
        <v/>
      </c>
      <c r="V193" s="31" t="str">
        <f t="shared" ref="V193:BG193" si="50">IF(V123=V49,"","*")</f>
        <v/>
      </c>
      <c r="W193" s="31" t="str">
        <f t="shared" si="50"/>
        <v/>
      </c>
      <c r="X193" s="31" t="str">
        <f t="shared" si="50"/>
        <v/>
      </c>
      <c r="Y193" s="31" t="str">
        <f t="shared" si="50"/>
        <v/>
      </c>
      <c r="Z193" s="31" t="str">
        <f t="shared" si="50"/>
        <v/>
      </c>
      <c r="AA193" s="31" t="str">
        <f t="shared" si="50"/>
        <v/>
      </c>
      <c r="AB193" s="31" t="str">
        <f t="shared" si="50"/>
        <v/>
      </c>
      <c r="AC193" s="31" t="str">
        <f t="shared" si="50"/>
        <v/>
      </c>
      <c r="AD193" s="31" t="str">
        <f t="shared" si="50"/>
        <v/>
      </c>
      <c r="AE193" s="31" t="str">
        <f t="shared" si="50"/>
        <v/>
      </c>
      <c r="AF193" s="31" t="str">
        <f t="shared" si="50"/>
        <v/>
      </c>
      <c r="AG193" s="31" t="str">
        <f t="shared" si="50"/>
        <v/>
      </c>
      <c r="AH193" s="31" t="str">
        <f t="shared" si="50"/>
        <v/>
      </c>
      <c r="AI193" s="31" t="str">
        <f t="shared" si="50"/>
        <v/>
      </c>
      <c r="AJ193" s="31" t="str">
        <f t="shared" si="50"/>
        <v/>
      </c>
      <c r="AK193" s="31" t="str">
        <f t="shared" si="50"/>
        <v/>
      </c>
      <c r="AL193" s="31" t="str">
        <f t="shared" si="50"/>
        <v/>
      </c>
      <c r="AM193" s="31" t="str">
        <f t="shared" si="50"/>
        <v/>
      </c>
      <c r="AN193" s="31" t="str">
        <f t="shared" si="50"/>
        <v/>
      </c>
      <c r="AO193" s="31" t="str">
        <f t="shared" si="50"/>
        <v/>
      </c>
      <c r="AP193" s="31" t="str">
        <f t="shared" si="50"/>
        <v/>
      </c>
      <c r="AQ193" s="31" t="str">
        <f t="shared" si="50"/>
        <v/>
      </c>
      <c r="AR193" s="31" t="str">
        <f t="shared" si="50"/>
        <v/>
      </c>
      <c r="AS193" s="31" t="str">
        <f t="shared" si="50"/>
        <v/>
      </c>
      <c r="AT193" s="31" t="str">
        <f t="shared" si="50"/>
        <v/>
      </c>
      <c r="AU193" s="31" t="str">
        <f t="shared" si="50"/>
        <v/>
      </c>
      <c r="AV193" s="31" t="str">
        <f t="shared" si="50"/>
        <v/>
      </c>
      <c r="AW193" s="31" t="str">
        <f t="shared" si="50"/>
        <v/>
      </c>
      <c r="AX193" s="31" t="str">
        <f t="shared" si="50"/>
        <v/>
      </c>
      <c r="AY193" s="31" t="str">
        <f t="shared" si="50"/>
        <v/>
      </c>
      <c r="AZ193" s="31" t="str">
        <f t="shared" si="50"/>
        <v/>
      </c>
      <c r="BA193" s="31" t="str">
        <f t="shared" si="50"/>
        <v/>
      </c>
      <c r="BB193" s="31" t="str">
        <f t="shared" si="50"/>
        <v/>
      </c>
      <c r="BC193" s="31" t="str">
        <f t="shared" si="50"/>
        <v/>
      </c>
      <c r="BD193" s="31" t="str">
        <f t="shared" si="50"/>
        <v/>
      </c>
      <c r="BE193" s="31" t="str">
        <f t="shared" si="50"/>
        <v/>
      </c>
      <c r="BF193" s="31" t="str">
        <f t="shared" si="50"/>
        <v/>
      </c>
      <c r="BG193" s="31" t="str">
        <f t="shared" si="50"/>
        <v/>
      </c>
    </row>
    <row r="194" spans="1:59" s="23" customFormat="1" ht="15" hidden="1" customHeight="1" x14ac:dyDescent="0.2">
      <c r="A194" s="110" t="s">
        <v>15</v>
      </c>
      <c r="B194" s="32" t="s">
        <v>75</v>
      </c>
      <c r="C194" s="33" t="s">
        <v>2</v>
      </c>
      <c r="D194" s="22" t="str">
        <f t="shared" si="3"/>
        <v/>
      </c>
      <c r="E194" s="22" t="str">
        <f t="shared" si="45"/>
        <v/>
      </c>
      <c r="F194" s="22" t="str">
        <f t="shared" si="45"/>
        <v/>
      </c>
      <c r="G194" s="22" t="str">
        <f t="shared" si="45"/>
        <v/>
      </c>
      <c r="H194" s="22" t="str">
        <f t="shared" si="45"/>
        <v/>
      </c>
      <c r="I194" s="22" t="str">
        <f t="shared" si="45"/>
        <v/>
      </c>
      <c r="J194" s="22" t="str">
        <f t="shared" si="45"/>
        <v/>
      </c>
      <c r="K194" s="22" t="str">
        <f t="shared" si="45"/>
        <v/>
      </c>
      <c r="L194" s="22" t="str">
        <f t="shared" si="45"/>
        <v/>
      </c>
      <c r="M194" s="22" t="str">
        <f t="shared" si="45"/>
        <v/>
      </c>
      <c r="N194" s="22" t="str">
        <f t="shared" si="45"/>
        <v/>
      </c>
      <c r="O194" s="22" t="str">
        <f t="shared" si="45"/>
        <v/>
      </c>
      <c r="P194" s="22" t="str">
        <f t="shared" si="45"/>
        <v/>
      </c>
      <c r="Q194" s="22" t="str">
        <f t="shared" si="45"/>
        <v/>
      </c>
      <c r="R194" s="22" t="str">
        <f t="shared" si="45"/>
        <v/>
      </c>
      <c r="S194" s="22" t="str">
        <f t="shared" si="45"/>
        <v/>
      </c>
      <c r="T194" s="22" t="str">
        <f t="shared" si="45"/>
        <v/>
      </c>
      <c r="U194" s="22" t="str">
        <f t="shared" si="45"/>
        <v/>
      </c>
      <c r="V194" s="22" t="str">
        <f t="shared" ref="V194:BG194" si="51">IF(V124=V50,"","*")</f>
        <v/>
      </c>
      <c r="W194" s="22" t="str">
        <f t="shared" si="51"/>
        <v/>
      </c>
      <c r="X194" s="22" t="str">
        <f t="shared" si="51"/>
        <v/>
      </c>
      <c r="Y194" s="22" t="str">
        <f t="shared" si="51"/>
        <v/>
      </c>
      <c r="Z194" s="22" t="str">
        <f t="shared" si="51"/>
        <v/>
      </c>
      <c r="AA194" s="22" t="str">
        <f t="shared" si="51"/>
        <v/>
      </c>
      <c r="AB194" s="22" t="str">
        <f t="shared" si="51"/>
        <v/>
      </c>
      <c r="AC194" s="22" t="str">
        <f t="shared" si="51"/>
        <v/>
      </c>
      <c r="AD194" s="22" t="str">
        <f t="shared" si="51"/>
        <v/>
      </c>
      <c r="AE194" s="22" t="str">
        <f t="shared" si="51"/>
        <v/>
      </c>
      <c r="AF194" s="22" t="str">
        <f t="shared" si="51"/>
        <v/>
      </c>
      <c r="AG194" s="22" t="str">
        <f t="shared" si="51"/>
        <v/>
      </c>
      <c r="AH194" s="22" t="str">
        <f t="shared" si="51"/>
        <v/>
      </c>
      <c r="AI194" s="22" t="str">
        <f t="shared" si="51"/>
        <v/>
      </c>
      <c r="AJ194" s="22" t="str">
        <f t="shared" si="51"/>
        <v/>
      </c>
      <c r="AK194" s="22" t="str">
        <f t="shared" si="51"/>
        <v/>
      </c>
      <c r="AL194" s="22" t="str">
        <f t="shared" si="51"/>
        <v/>
      </c>
      <c r="AM194" s="22" t="str">
        <f t="shared" si="51"/>
        <v/>
      </c>
      <c r="AN194" s="22" t="str">
        <f t="shared" si="51"/>
        <v/>
      </c>
      <c r="AO194" s="22" t="str">
        <f t="shared" si="51"/>
        <v/>
      </c>
      <c r="AP194" s="22" t="str">
        <f t="shared" si="51"/>
        <v/>
      </c>
      <c r="AQ194" s="22" t="str">
        <f t="shared" si="51"/>
        <v/>
      </c>
      <c r="AR194" s="22" t="str">
        <f t="shared" si="51"/>
        <v/>
      </c>
      <c r="AS194" s="22" t="str">
        <f t="shared" si="51"/>
        <v/>
      </c>
      <c r="AT194" s="22" t="str">
        <f t="shared" si="51"/>
        <v/>
      </c>
      <c r="AU194" s="22" t="str">
        <f t="shared" si="51"/>
        <v/>
      </c>
      <c r="AV194" s="22" t="str">
        <f t="shared" si="51"/>
        <v/>
      </c>
      <c r="AW194" s="22" t="str">
        <f t="shared" si="51"/>
        <v/>
      </c>
      <c r="AX194" s="22" t="str">
        <f t="shared" si="51"/>
        <v/>
      </c>
      <c r="AY194" s="22" t="str">
        <f t="shared" si="51"/>
        <v/>
      </c>
      <c r="AZ194" s="22" t="str">
        <f t="shared" si="51"/>
        <v/>
      </c>
      <c r="BA194" s="22" t="str">
        <f t="shared" si="51"/>
        <v/>
      </c>
      <c r="BB194" s="22" t="str">
        <f t="shared" si="51"/>
        <v/>
      </c>
      <c r="BC194" s="22" t="str">
        <f t="shared" si="51"/>
        <v/>
      </c>
      <c r="BD194" s="22" t="str">
        <f t="shared" si="51"/>
        <v/>
      </c>
      <c r="BE194" s="22" t="str">
        <f t="shared" si="51"/>
        <v/>
      </c>
      <c r="BF194" s="22" t="str">
        <f t="shared" si="51"/>
        <v/>
      </c>
      <c r="BG194" s="22" t="str">
        <f t="shared" si="51"/>
        <v/>
      </c>
    </row>
    <row r="195" spans="1:59" s="23" customFormat="1" ht="15" hidden="1" customHeight="1" x14ac:dyDescent="0.2">
      <c r="A195" s="111"/>
      <c r="B195" s="34" t="s">
        <v>76</v>
      </c>
      <c r="C195" s="35" t="s">
        <v>194</v>
      </c>
      <c r="D195" s="22" t="str">
        <f t="shared" si="3"/>
        <v/>
      </c>
      <c r="E195" s="22" t="str">
        <f t="shared" si="45"/>
        <v/>
      </c>
      <c r="F195" s="22" t="str">
        <f t="shared" si="45"/>
        <v/>
      </c>
      <c r="G195" s="22" t="str">
        <f t="shared" si="45"/>
        <v/>
      </c>
      <c r="H195" s="22" t="str">
        <f t="shared" si="45"/>
        <v/>
      </c>
      <c r="I195" s="22" t="str">
        <f t="shared" si="45"/>
        <v/>
      </c>
      <c r="J195" s="22" t="str">
        <f t="shared" si="45"/>
        <v/>
      </c>
      <c r="K195" s="22" t="str">
        <f t="shared" si="45"/>
        <v/>
      </c>
      <c r="L195" s="22" t="str">
        <f t="shared" si="45"/>
        <v/>
      </c>
      <c r="M195" s="22" t="str">
        <f t="shared" si="45"/>
        <v/>
      </c>
      <c r="N195" s="22" t="str">
        <f t="shared" si="45"/>
        <v/>
      </c>
      <c r="O195" s="22" t="str">
        <f t="shared" si="45"/>
        <v/>
      </c>
      <c r="P195" s="22" t="str">
        <f t="shared" si="45"/>
        <v/>
      </c>
      <c r="Q195" s="22" t="str">
        <f t="shared" si="45"/>
        <v/>
      </c>
      <c r="R195" s="22" t="str">
        <f t="shared" si="45"/>
        <v/>
      </c>
      <c r="S195" s="22" t="str">
        <f t="shared" si="45"/>
        <v/>
      </c>
      <c r="T195" s="22" t="str">
        <f t="shared" si="45"/>
        <v/>
      </c>
      <c r="U195" s="22" t="str">
        <f t="shared" si="45"/>
        <v/>
      </c>
      <c r="V195" s="22" t="str">
        <f t="shared" ref="V195:BG195" si="52">IF(V125=V51,"","*")</f>
        <v/>
      </c>
      <c r="W195" s="22" t="str">
        <f t="shared" si="52"/>
        <v/>
      </c>
      <c r="X195" s="22" t="str">
        <f t="shared" si="52"/>
        <v/>
      </c>
      <c r="Y195" s="22" t="str">
        <f t="shared" si="52"/>
        <v/>
      </c>
      <c r="Z195" s="22" t="str">
        <f t="shared" si="52"/>
        <v/>
      </c>
      <c r="AA195" s="22" t="str">
        <f t="shared" si="52"/>
        <v/>
      </c>
      <c r="AB195" s="22" t="str">
        <f t="shared" si="52"/>
        <v/>
      </c>
      <c r="AC195" s="22" t="str">
        <f t="shared" si="52"/>
        <v/>
      </c>
      <c r="AD195" s="22" t="str">
        <f t="shared" si="52"/>
        <v/>
      </c>
      <c r="AE195" s="22" t="str">
        <f t="shared" si="52"/>
        <v/>
      </c>
      <c r="AF195" s="22" t="str">
        <f t="shared" si="52"/>
        <v/>
      </c>
      <c r="AG195" s="22" t="str">
        <f t="shared" si="52"/>
        <v/>
      </c>
      <c r="AH195" s="22" t="str">
        <f t="shared" si="52"/>
        <v/>
      </c>
      <c r="AI195" s="22" t="str">
        <f t="shared" si="52"/>
        <v/>
      </c>
      <c r="AJ195" s="22" t="str">
        <f t="shared" si="52"/>
        <v/>
      </c>
      <c r="AK195" s="22" t="str">
        <f t="shared" si="52"/>
        <v/>
      </c>
      <c r="AL195" s="22" t="str">
        <f t="shared" si="52"/>
        <v/>
      </c>
      <c r="AM195" s="22" t="str">
        <f t="shared" si="52"/>
        <v/>
      </c>
      <c r="AN195" s="22" t="str">
        <f t="shared" si="52"/>
        <v/>
      </c>
      <c r="AO195" s="22" t="str">
        <f t="shared" si="52"/>
        <v/>
      </c>
      <c r="AP195" s="22" t="str">
        <f t="shared" si="52"/>
        <v/>
      </c>
      <c r="AQ195" s="22" t="str">
        <f t="shared" si="52"/>
        <v/>
      </c>
      <c r="AR195" s="22" t="str">
        <f t="shared" si="52"/>
        <v/>
      </c>
      <c r="AS195" s="22" t="str">
        <f t="shared" si="52"/>
        <v/>
      </c>
      <c r="AT195" s="22" t="str">
        <f t="shared" si="52"/>
        <v/>
      </c>
      <c r="AU195" s="22" t="str">
        <f t="shared" si="52"/>
        <v/>
      </c>
      <c r="AV195" s="22" t="str">
        <f t="shared" si="52"/>
        <v/>
      </c>
      <c r="AW195" s="22" t="str">
        <f t="shared" si="52"/>
        <v/>
      </c>
      <c r="AX195" s="22" t="str">
        <f t="shared" si="52"/>
        <v/>
      </c>
      <c r="AY195" s="22" t="str">
        <f t="shared" si="52"/>
        <v/>
      </c>
      <c r="AZ195" s="22" t="str">
        <f t="shared" si="52"/>
        <v/>
      </c>
      <c r="BA195" s="22" t="str">
        <f t="shared" si="52"/>
        <v/>
      </c>
      <c r="BB195" s="22" t="str">
        <f t="shared" si="52"/>
        <v/>
      </c>
      <c r="BC195" s="22" t="str">
        <f t="shared" si="52"/>
        <v/>
      </c>
      <c r="BD195" s="22" t="str">
        <f t="shared" si="52"/>
        <v/>
      </c>
      <c r="BE195" s="22" t="str">
        <f t="shared" si="52"/>
        <v/>
      </c>
      <c r="BF195" s="22" t="str">
        <f t="shared" si="52"/>
        <v/>
      </c>
      <c r="BG195" s="22" t="str">
        <f t="shared" si="52"/>
        <v/>
      </c>
    </row>
    <row r="196" spans="1:59" s="23" customFormat="1" ht="15" hidden="1" customHeight="1" x14ac:dyDescent="0.2">
      <c r="A196" s="26" t="s">
        <v>65</v>
      </c>
      <c r="B196" s="29" t="s">
        <v>74</v>
      </c>
      <c r="C196" s="30" t="s">
        <v>0</v>
      </c>
      <c r="D196" s="31" t="str">
        <f t="shared" si="3"/>
        <v/>
      </c>
      <c r="E196" s="31" t="str">
        <f t="shared" si="45"/>
        <v/>
      </c>
      <c r="F196" s="31" t="str">
        <f t="shared" si="45"/>
        <v/>
      </c>
      <c r="G196" s="31" t="str">
        <f t="shared" si="45"/>
        <v/>
      </c>
      <c r="H196" s="31" t="str">
        <f t="shared" si="45"/>
        <v/>
      </c>
      <c r="I196" s="31" t="str">
        <f t="shared" si="45"/>
        <v/>
      </c>
      <c r="J196" s="31" t="str">
        <f t="shared" si="45"/>
        <v/>
      </c>
      <c r="K196" s="31" t="str">
        <f t="shared" si="45"/>
        <v/>
      </c>
      <c r="L196" s="31" t="str">
        <f t="shared" si="45"/>
        <v/>
      </c>
      <c r="M196" s="31" t="str">
        <f t="shared" si="45"/>
        <v/>
      </c>
      <c r="N196" s="31" t="str">
        <f t="shared" si="45"/>
        <v/>
      </c>
      <c r="O196" s="31" t="str">
        <f t="shared" si="45"/>
        <v/>
      </c>
      <c r="P196" s="31" t="str">
        <f t="shared" si="45"/>
        <v/>
      </c>
      <c r="Q196" s="31" t="str">
        <f t="shared" si="45"/>
        <v/>
      </c>
      <c r="R196" s="31" t="str">
        <f t="shared" si="45"/>
        <v/>
      </c>
      <c r="S196" s="31" t="str">
        <f t="shared" si="45"/>
        <v/>
      </c>
      <c r="T196" s="31" t="str">
        <f t="shared" ref="E196:U203" si="53">IF(T126=T52,"","*")</f>
        <v/>
      </c>
      <c r="U196" s="31" t="str">
        <f t="shared" si="53"/>
        <v/>
      </c>
      <c r="V196" s="31" t="str">
        <f t="shared" ref="V196:BG196" si="54">IF(V126=V52,"","*")</f>
        <v/>
      </c>
      <c r="W196" s="31" t="str">
        <f t="shared" si="54"/>
        <v/>
      </c>
      <c r="X196" s="31" t="str">
        <f t="shared" si="54"/>
        <v/>
      </c>
      <c r="Y196" s="31" t="str">
        <f t="shared" si="54"/>
        <v/>
      </c>
      <c r="Z196" s="31" t="str">
        <f t="shared" si="54"/>
        <v/>
      </c>
      <c r="AA196" s="31" t="str">
        <f t="shared" si="54"/>
        <v/>
      </c>
      <c r="AB196" s="31" t="str">
        <f t="shared" si="54"/>
        <v/>
      </c>
      <c r="AC196" s="31" t="str">
        <f t="shared" si="54"/>
        <v/>
      </c>
      <c r="AD196" s="31" t="str">
        <f t="shared" si="54"/>
        <v/>
      </c>
      <c r="AE196" s="31" t="str">
        <f t="shared" si="54"/>
        <v/>
      </c>
      <c r="AF196" s="31" t="str">
        <f t="shared" si="54"/>
        <v/>
      </c>
      <c r="AG196" s="31" t="str">
        <f t="shared" si="54"/>
        <v/>
      </c>
      <c r="AH196" s="31" t="str">
        <f t="shared" si="54"/>
        <v/>
      </c>
      <c r="AI196" s="31" t="str">
        <f t="shared" si="54"/>
        <v/>
      </c>
      <c r="AJ196" s="31" t="str">
        <f t="shared" si="54"/>
        <v/>
      </c>
      <c r="AK196" s="31" t="str">
        <f t="shared" si="54"/>
        <v/>
      </c>
      <c r="AL196" s="31" t="str">
        <f t="shared" si="54"/>
        <v/>
      </c>
      <c r="AM196" s="31" t="str">
        <f t="shared" si="54"/>
        <v/>
      </c>
      <c r="AN196" s="31" t="str">
        <f t="shared" si="54"/>
        <v/>
      </c>
      <c r="AO196" s="31" t="str">
        <f t="shared" si="54"/>
        <v/>
      </c>
      <c r="AP196" s="31" t="str">
        <f t="shared" si="54"/>
        <v/>
      </c>
      <c r="AQ196" s="31" t="str">
        <f t="shared" si="54"/>
        <v/>
      </c>
      <c r="AR196" s="31" t="str">
        <f t="shared" si="54"/>
        <v/>
      </c>
      <c r="AS196" s="31" t="str">
        <f t="shared" si="54"/>
        <v/>
      </c>
      <c r="AT196" s="31" t="str">
        <f t="shared" si="54"/>
        <v/>
      </c>
      <c r="AU196" s="31" t="str">
        <f t="shared" si="54"/>
        <v/>
      </c>
      <c r="AV196" s="31" t="str">
        <f t="shared" si="54"/>
        <v/>
      </c>
      <c r="AW196" s="31" t="str">
        <f t="shared" si="54"/>
        <v/>
      </c>
      <c r="AX196" s="31" t="str">
        <f t="shared" si="54"/>
        <v/>
      </c>
      <c r="AY196" s="31" t="str">
        <f t="shared" si="54"/>
        <v/>
      </c>
      <c r="AZ196" s="31" t="str">
        <f t="shared" si="54"/>
        <v/>
      </c>
      <c r="BA196" s="31" t="str">
        <f t="shared" si="54"/>
        <v/>
      </c>
      <c r="BB196" s="31" t="str">
        <f t="shared" si="54"/>
        <v/>
      </c>
      <c r="BC196" s="31" t="str">
        <f t="shared" si="54"/>
        <v/>
      </c>
      <c r="BD196" s="31" t="str">
        <f t="shared" si="54"/>
        <v/>
      </c>
      <c r="BE196" s="31" t="str">
        <f t="shared" si="54"/>
        <v/>
      </c>
      <c r="BF196" s="31" t="str">
        <f t="shared" si="54"/>
        <v/>
      </c>
      <c r="BG196" s="31" t="str">
        <f t="shared" si="54"/>
        <v/>
      </c>
    </row>
    <row r="197" spans="1:59" s="23" customFormat="1" ht="15" hidden="1" customHeight="1" x14ac:dyDescent="0.2">
      <c r="A197" s="110" t="s">
        <v>16</v>
      </c>
      <c r="B197" s="32" t="s">
        <v>75</v>
      </c>
      <c r="C197" s="33" t="s">
        <v>2</v>
      </c>
      <c r="D197" s="22" t="str">
        <f t="shared" si="3"/>
        <v/>
      </c>
      <c r="E197" s="22" t="str">
        <f t="shared" si="53"/>
        <v/>
      </c>
      <c r="F197" s="22" t="str">
        <f t="shared" si="53"/>
        <v/>
      </c>
      <c r="G197" s="22" t="str">
        <f t="shared" si="53"/>
        <v/>
      </c>
      <c r="H197" s="22" t="str">
        <f t="shared" si="53"/>
        <v/>
      </c>
      <c r="I197" s="22" t="str">
        <f t="shared" si="53"/>
        <v/>
      </c>
      <c r="J197" s="22" t="str">
        <f t="shared" si="53"/>
        <v/>
      </c>
      <c r="K197" s="22" t="str">
        <f t="shared" si="53"/>
        <v/>
      </c>
      <c r="L197" s="22" t="str">
        <f t="shared" si="53"/>
        <v/>
      </c>
      <c r="M197" s="22" t="str">
        <f t="shared" si="53"/>
        <v/>
      </c>
      <c r="N197" s="22" t="str">
        <f t="shared" si="53"/>
        <v/>
      </c>
      <c r="O197" s="22" t="str">
        <f t="shared" si="53"/>
        <v/>
      </c>
      <c r="P197" s="22" t="str">
        <f t="shared" si="53"/>
        <v/>
      </c>
      <c r="Q197" s="22" t="str">
        <f t="shared" si="53"/>
        <v/>
      </c>
      <c r="R197" s="22" t="str">
        <f t="shared" si="53"/>
        <v/>
      </c>
      <c r="S197" s="22" t="str">
        <f t="shared" si="53"/>
        <v/>
      </c>
      <c r="T197" s="22" t="str">
        <f t="shared" si="53"/>
        <v/>
      </c>
      <c r="U197" s="22" t="str">
        <f t="shared" si="53"/>
        <v/>
      </c>
      <c r="V197" s="22" t="str">
        <f t="shared" ref="V197:BG197" si="55">IF(V127=V53,"","*")</f>
        <v/>
      </c>
      <c r="W197" s="22" t="str">
        <f t="shared" si="55"/>
        <v/>
      </c>
      <c r="X197" s="22" t="str">
        <f t="shared" si="55"/>
        <v/>
      </c>
      <c r="Y197" s="22" t="str">
        <f t="shared" si="55"/>
        <v/>
      </c>
      <c r="Z197" s="22" t="str">
        <f t="shared" si="55"/>
        <v/>
      </c>
      <c r="AA197" s="22" t="str">
        <f t="shared" si="55"/>
        <v/>
      </c>
      <c r="AB197" s="22" t="str">
        <f t="shared" si="55"/>
        <v/>
      </c>
      <c r="AC197" s="22" t="str">
        <f t="shared" si="55"/>
        <v/>
      </c>
      <c r="AD197" s="22" t="str">
        <f t="shared" si="55"/>
        <v/>
      </c>
      <c r="AE197" s="22" t="str">
        <f t="shared" si="55"/>
        <v/>
      </c>
      <c r="AF197" s="22" t="str">
        <f t="shared" si="55"/>
        <v/>
      </c>
      <c r="AG197" s="22" t="str">
        <f t="shared" si="55"/>
        <v/>
      </c>
      <c r="AH197" s="22" t="str">
        <f t="shared" si="55"/>
        <v/>
      </c>
      <c r="AI197" s="22" t="str">
        <f t="shared" si="55"/>
        <v/>
      </c>
      <c r="AJ197" s="22" t="str">
        <f t="shared" si="55"/>
        <v/>
      </c>
      <c r="AK197" s="22" t="str">
        <f t="shared" si="55"/>
        <v/>
      </c>
      <c r="AL197" s="22" t="str">
        <f t="shared" si="55"/>
        <v/>
      </c>
      <c r="AM197" s="22" t="str">
        <f t="shared" si="55"/>
        <v/>
      </c>
      <c r="AN197" s="22" t="str">
        <f t="shared" si="55"/>
        <v/>
      </c>
      <c r="AO197" s="22" t="str">
        <f t="shared" si="55"/>
        <v/>
      </c>
      <c r="AP197" s="22" t="str">
        <f t="shared" si="55"/>
        <v/>
      </c>
      <c r="AQ197" s="22" t="str">
        <f t="shared" si="55"/>
        <v/>
      </c>
      <c r="AR197" s="22" t="str">
        <f t="shared" si="55"/>
        <v/>
      </c>
      <c r="AS197" s="22" t="str">
        <f t="shared" si="55"/>
        <v/>
      </c>
      <c r="AT197" s="22" t="str">
        <f t="shared" si="55"/>
        <v/>
      </c>
      <c r="AU197" s="22" t="str">
        <f t="shared" si="55"/>
        <v/>
      </c>
      <c r="AV197" s="22" t="str">
        <f t="shared" si="55"/>
        <v/>
      </c>
      <c r="AW197" s="22" t="str">
        <f t="shared" si="55"/>
        <v/>
      </c>
      <c r="AX197" s="22" t="str">
        <f t="shared" si="55"/>
        <v/>
      </c>
      <c r="AY197" s="22" t="str">
        <f t="shared" si="55"/>
        <v/>
      </c>
      <c r="AZ197" s="22" t="str">
        <f t="shared" si="55"/>
        <v/>
      </c>
      <c r="BA197" s="22" t="str">
        <f t="shared" si="55"/>
        <v/>
      </c>
      <c r="BB197" s="22" t="str">
        <f t="shared" si="55"/>
        <v/>
      </c>
      <c r="BC197" s="22" t="str">
        <f t="shared" si="55"/>
        <v/>
      </c>
      <c r="BD197" s="22" t="str">
        <f t="shared" si="55"/>
        <v/>
      </c>
      <c r="BE197" s="22" t="str">
        <f t="shared" si="55"/>
        <v/>
      </c>
      <c r="BF197" s="22" t="str">
        <f t="shared" si="55"/>
        <v/>
      </c>
      <c r="BG197" s="22" t="str">
        <f t="shared" si="55"/>
        <v/>
      </c>
    </row>
    <row r="198" spans="1:59" s="23" customFormat="1" ht="15" hidden="1" customHeight="1" x14ac:dyDescent="0.2">
      <c r="A198" s="111"/>
      <c r="B198" s="34" t="s">
        <v>76</v>
      </c>
      <c r="C198" s="35" t="s">
        <v>194</v>
      </c>
      <c r="D198" s="22" t="str">
        <f t="shared" si="3"/>
        <v/>
      </c>
      <c r="E198" s="22" t="str">
        <f t="shared" si="53"/>
        <v/>
      </c>
      <c r="F198" s="22" t="str">
        <f t="shared" si="53"/>
        <v/>
      </c>
      <c r="G198" s="22" t="str">
        <f t="shared" si="53"/>
        <v/>
      </c>
      <c r="H198" s="22" t="str">
        <f t="shared" si="53"/>
        <v/>
      </c>
      <c r="I198" s="22" t="str">
        <f t="shared" si="53"/>
        <v/>
      </c>
      <c r="J198" s="22" t="str">
        <f t="shared" si="53"/>
        <v/>
      </c>
      <c r="K198" s="22" t="str">
        <f t="shared" si="53"/>
        <v/>
      </c>
      <c r="L198" s="22" t="str">
        <f t="shared" si="53"/>
        <v/>
      </c>
      <c r="M198" s="22" t="str">
        <f t="shared" si="53"/>
        <v/>
      </c>
      <c r="N198" s="22" t="str">
        <f t="shared" si="53"/>
        <v/>
      </c>
      <c r="O198" s="22" t="str">
        <f t="shared" si="53"/>
        <v/>
      </c>
      <c r="P198" s="22" t="str">
        <f t="shared" si="53"/>
        <v/>
      </c>
      <c r="Q198" s="22" t="str">
        <f t="shared" si="53"/>
        <v/>
      </c>
      <c r="R198" s="22" t="str">
        <f t="shared" si="53"/>
        <v/>
      </c>
      <c r="S198" s="22" t="str">
        <f t="shared" si="53"/>
        <v/>
      </c>
      <c r="T198" s="22" t="str">
        <f t="shared" si="53"/>
        <v/>
      </c>
      <c r="U198" s="22" t="str">
        <f t="shared" si="53"/>
        <v/>
      </c>
      <c r="V198" s="22" t="str">
        <f t="shared" ref="V198:BG198" si="56">IF(V128=V54,"","*")</f>
        <v/>
      </c>
      <c r="W198" s="22" t="str">
        <f t="shared" si="56"/>
        <v/>
      </c>
      <c r="X198" s="22" t="str">
        <f t="shared" si="56"/>
        <v/>
      </c>
      <c r="Y198" s="22" t="str">
        <f t="shared" si="56"/>
        <v/>
      </c>
      <c r="Z198" s="22" t="str">
        <f t="shared" si="56"/>
        <v/>
      </c>
      <c r="AA198" s="22" t="str">
        <f t="shared" si="56"/>
        <v/>
      </c>
      <c r="AB198" s="22" t="str">
        <f t="shared" si="56"/>
        <v/>
      </c>
      <c r="AC198" s="22" t="str">
        <f t="shared" si="56"/>
        <v/>
      </c>
      <c r="AD198" s="22" t="str">
        <f t="shared" si="56"/>
        <v/>
      </c>
      <c r="AE198" s="22" t="str">
        <f t="shared" si="56"/>
        <v/>
      </c>
      <c r="AF198" s="22" t="str">
        <f t="shared" si="56"/>
        <v/>
      </c>
      <c r="AG198" s="22" t="str">
        <f t="shared" si="56"/>
        <v/>
      </c>
      <c r="AH198" s="22" t="str">
        <f t="shared" si="56"/>
        <v/>
      </c>
      <c r="AI198" s="22" t="str">
        <f t="shared" si="56"/>
        <v/>
      </c>
      <c r="AJ198" s="22" t="str">
        <f t="shared" si="56"/>
        <v/>
      </c>
      <c r="AK198" s="22" t="str">
        <f t="shared" si="56"/>
        <v/>
      </c>
      <c r="AL198" s="22" t="str">
        <f t="shared" si="56"/>
        <v/>
      </c>
      <c r="AM198" s="22" t="str">
        <f t="shared" si="56"/>
        <v/>
      </c>
      <c r="AN198" s="22" t="str">
        <f t="shared" si="56"/>
        <v/>
      </c>
      <c r="AO198" s="22" t="str">
        <f t="shared" si="56"/>
        <v/>
      </c>
      <c r="AP198" s="22" t="str">
        <f t="shared" si="56"/>
        <v/>
      </c>
      <c r="AQ198" s="22" t="str">
        <f t="shared" si="56"/>
        <v/>
      </c>
      <c r="AR198" s="22" t="str">
        <f t="shared" si="56"/>
        <v/>
      </c>
      <c r="AS198" s="22" t="str">
        <f t="shared" si="56"/>
        <v/>
      </c>
      <c r="AT198" s="22" t="str">
        <f t="shared" si="56"/>
        <v/>
      </c>
      <c r="AU198" s="22" t="str">
        <f t="shared" si="56"/>
        <v/>
      </c>
      <c r="AV198" s="22" t="str">
        <f t="shared" si="56"/>
        <v/>
      </c>
      <c r="AW198" s="22" t="str">
        <f t="shared" si="56"/>
        <v/>
      </c>
      <c r="AX198" s="22" t="str">
        <f t="shared" si="56"/>
        <v/>
      </c>
      <c r="AY198" s="22" t="str">
        <f t="shared" si="56"/>
        <v/>
      </c>
      <c r="AZ198" s="22" t="str">
        <f t="shared" si="56"/>
        <v/>
      </c>
      <c r="BA198" s="22" t="str">
        <f t="shared" si="56"/>
        <v/>
      </c>
      <c r="BB198" s="22" t="str">
        <f t="shared" si="56"/>
        <v/>
      </c>
      <c r="BC198" s="22" t="str">
        <f t="shared" si="56"/>
        <v/>
      </c>
      <c r="BD198" s="22" t="str">
        <f t="shared" si="56"/>
        <v/>
      </c>
      <c r="BE198" s="22" t="str">
        <f t="shared" si="56"/>
        <v/>
      </c>
      <c r="BF198" s="22" t="str">
        <f t="shared" si="56"/>
        <v/>
      </c>
      <c r="BG198" s="22" t="str">
        <f t="shared" si="56"/>
        <v/>
      </c>
    </row>
    <row r="199" spans="1:59" s="23" customFormat="1" ht="15" hidden="1" customHeight="1" x14ac:dyDescent="0.2">
      <c r="A199" s="26" t="s">
        <v>66</v>
      </c>
      <c r="B199" s="29" t="s">
        <v>74</v>
      </c>
      <c r="C199" s="30" t="s">
        <v>0</v>
      </c>
      <c r="D199" s="31" t="str">
        <f t="shared" si="3"/>
        <v/>
      </c>
      <c r="E199" s="31" t="str">
        <f t="shared" si="53"/>
        <v/>
      </c>
      <c r="F199" s="31" t="str">
        <f t="shared" si="53"/>
        <v/>
      </c>
      <c r="G199" s="31" t="str">
        <f t="shared" si="53"/>
        <v/>
      </c>
      <c r="H199" s="31" t="str">
        <f t="shared" si="53"/>
        <v/>
      </c>
      <c r="I199" s="31" t="str">
        <f t="shared" si="53"/>
        <v/>
      </c>
      <c r="J199" s="31" t="str">
        <f t="shared" si="53"/>
        <v/>
      </c>
      <c r="K199" s="31" t="str">
        <f t="shared" si="53"/>
        <v/>
      </c>
      <c r="L199" s="31" t="str">
        <f t="shared" si="53"/>
        <v/>
      </c>
      <c r="M199" s="31" t="str">
        <f t="shared" si="53"/>
        <v/>
      </c>
      <c r="N199" s="31" t="str">
        <f t="shared" si="53"/>
        <v/>
      </c>
      <c r="O199" s="31" t="str">
        <f t="shared" si="53"/>
        <v/>
      </c>
      <c r="P199" s="31" t="str">
        <f t="shared" si="53"/>
        <v/>
      </c>
      <c r="Q199" s="31" t="str">
        <f t="shared" si="53"/>
        <v/>
      </c>
      <c r="R199" s="31" t="str">
        <f t="shared" si="53"/>
        <v/>
      </c>
      <c r="S199" s="31" t="str">
        <f t="shared" si="53"/>
        <v/>
      </c>
      <c r="T199" s="31" t="str">
        <f t="shared" si="53"/>
        <v/>
      </c>
      <c r="U199" s="31" t="str">
        <f t="shared" si="53"/>
        <v/>
      </c>
      <c r="V199" s="31" t="str">
        <f t="shared" ref="V199:BG199" si="57">IF(V129=V55,"","*")</f>
        <v/>
      </c>
      <c r="W199" s="31" t="str">
        <f t="shared" si="57"/>
        <v/>
      </c>
      <c r="X199" s="31" t="str">
        <f t="shared" si="57"/>
        <v/>
      </c>
      <c r="Y199" s="31" t="str">
        <f t="shared" si="57"/>
        <v/>
      </c>
      <c r="Z199" s="31" t="str">
        <f t="shared" si="57"/>
        <v/>
      </c>
      <c r="AA199" s="31" t="str">
        <f t="shared" si="57"/>
        <v/>
      </c>
      <c r="AB199" s="31" t="str">
        <f t="shared" si="57"/>
        <v/>
      </c>
      <c r="AC199" s="31" t="str">
        <f t="shared" si="57"/>
        <v/>
      </c>
      <c r="AD199" s="31" t="str">
        <f t="shared" si="57"/>
        <v/>
      </c>
      <c r="AE199" s="31" t="str">
        <f t="shared" si="57"/>
        <v/>
      </c>
      <c r="AF199" s="31" t="str">
        <f t="shared" si="57"/>
        <v/>
      </c>
      <c r="AG199" s="31" t="str">
        <f t="shared" si="57"/>
        <v/>
      </c>
      <c r="AH199" s="31" t="str">
        <f t="shared" si="57"/>
        <v/>
      </c>
      <c r="AI199" s="31" t="str">
        <f t="shared" si="57"/>
        <v/>
      </c>
      <c r="AJ199" s="31" t="str">
        <f t="shared" si="57"/>
        <v/>
      </c>
      <c r="AK199" s="31" t="str">
        <f t="shared" si="57"/>
        <v/>
      </c>
      <c r="AL199" s="31" t="str">
        <f t="shared" si="57"/>
        <v/>
      </c>
      <c r="AM199" s="31" t="str">
        <f t="shared" si="57"/>
        <v/>
      </c>
      <c r="AN199" s="31" t="str">
        <f t="shared" si="57"/>
        <v/>
      </c>
      <c r="AO199" s="31" t="str">
        <f t="shared" si="57"/>
        <v/>
      </c>
      <c r="AP199" s="31" t="str">
        <f t="shared" si="57"/>
        <v/>
      </c>
      <c r="AQ199" s="31" t="str">
        <f t="shared" si="57"/>
        <v/>
      </c>
      <c r="AR199" s="31" t="str">
        <f t="shared" si="57"/>
        <v/>
      </c>
      <c r="AS199" s="31" t="str">
        <f t="shared" si="57"/>
        <v/>
      </c>
      <c r="AT199" s="31" t="str">
        <f t="shared" si="57"/>
        <v/>
      </c>
      <c r="AU199" s="31" t="str">
        <f t="shared" si="57"/>
        <v/>
      </c>
      <c r="AV199" s="31" t="str">
        <f t="shared" si="57"/>
        <v/>
      </c>
      <c r="AW199" s="31" t="str">
        <f t="shared" si="57"/>
        <v/>
      </c>
      <c r="AX199" s="31" t="str">
        <f t="shared" si="57"/>
        <v/>
      </c>
      <c r="AY199" s="31" t="str">
        <f t="shared" si="57"/>
        <v/>
      </c>
      <c r="AZ199" s="31" t="str">
        <f t="shared" si="57"/>
        <v/>
      </c>
      <c r="BA199" s="31" t="str">
        <f t="shared" si="57"/>
        <v/>
      </c>
      <c r="BB199" s="31" t="str">
        <f t="shared" si="57"/>
        <v/>
      </c>
      <c r="BC199" s="31" t="str">
        <f t="shared" si="57"/>
        <v/>
      </c>
      <c r="BD199" s="31" t="str">
        <f t="shared" si="57"/>
        <v/>
      </c>
      <c r="BE199" s="31" t="str">
        <f t="shared" si="57"/>
        <v/>
      </c>
      <c r="BF199" s="31" t="str">
        <f t="shared" si="57"/>
        <v/>
      </c>
      <c r="BG199" s="31" t="str">
        <f t="shared" si="57"/>
        <v/>
      </c>
    </row>
    <row r="200" spans="1:59" s="23" customFormat="1" ht="15" hidden="1" customHeight="1" x14ac:dyDescent="0.2">
      <c r="A200" s="110" t="s">
        <v>17</v>
      </c>
      <c r="B200" s="32" t="s">
        <v>75</v>
      </c>
      <c r="C200" s="33" t="s">
        <v>2</v>
      </c>
      <c r="D200" s="22" t="str">
        <f t="shared" si="3"/>
        <v/>
      </c>
      <c r="E200" s="22" t="str">
        <f t="shared" si="53"/>
        <v/>
      </c>
      <c r="F200" s="22" t="str">
        <f t="shared" si="53"/>
        <v/>
      </c>
      <c r="G200" s="22" t="str">
        <f t="shared" si="53"/>
        <v/>
      </c>
      <c r="H200" s="22" t="str">
        <f t="shared" si="53"/>
        <v/>
      </c>
      <c r="I200" s="22" t="str">
        <f t="shared" si="53"/>
        <v/>
      </c>
      <c r="J200" s="22" t="str">
        <f t="shared" si="53"/>
        <v/>
      </c>
      <c r="K200" s="22" t="str">
        <f t="shared" si="53"/>
        <v/>
      </c>
      <c r="L200" s="22" t="str">
        <f t="shared" si="53"/>
        <v/>
      </c>
      <c r="M200" s="22" t="str">
        <f t="shared" si="53"/>
        <v/>
      </c>
      <c r="N200" s="22" t="str">
        <f t="shared" si="53"/>
        <v/>
      </c>
      <c r="O200" s="22" t="str">
        <f t="shared" si="53"/>
        <v/>
      </c>
      <c r="P200" s="22" t="str">
        <f t="shared" si="53"/>
        <v/>
      </c>
      <c r="Q200" s="22" t="str">
        <f t="shared" si="53"/>
        <v/>
      </c>
      <c r="R200" s="22" t="str">
        <f t="shared" si="53"/>
        <v/>
      </c>
      <c r="S200" s="22" t="str">
        <f t="shared" si="53"/>
        <v/>
      </c>
      <c r="T200" s="22" t="str">
        <f t="shared" si="53"/>
        <v/>
      </c>
      <c r="U200" s="22" t="str">
        <f t="shared" si="53"/>
        <v/>
      </c>
      <c r="V200" s="22" t="str">
        <f t="shared" ref="V200:BG200" si="58">IF(V130=V56,"","*")</f>
        <v/>
      </c>
      <c r="W200" s="22" t="str">
        <f t="shared" si="58"/>
        <v/>
      </c>
      <c r="X200" s="22" t="str">
        <f t="shared" si="58"/>
        <v/>
      </c>
      <c r="Y200" s="22" t="str">
        <f t="shared" si="58"/>
        <v/>
      </c>
      <c r="Z200" s="22" t="str">
        <f t="shared" si="58"/>
        <v/>
      </c>
      <c r="AA200" s="22" t="str">
        <f t="shared" si="58"/>
        <v/>
      </c>
      <c r="AB200" s="22" t="str">
        <f t="shared" si="58"/>
        <v/>
      </c>
      <c r="AC200" s="22" t="str">
        <f t="shared" si="58"/>
        <v/>
      </c>
      <c r="AD200" s="22" t="str">
        <f t="shared" si="58"/>
        <v/>
      </c>
      <c r="AE200" s="22" t="str">
        <f t="shared" si="58"/>
        <v/>
      </c>
      <c r="AF200" s="22" t="str">
        <f t="shared" si="58"/>
        <v/>
      </c>
      <c r="AG200" s="22" t="str">
        <f t="shared" si="58"/>
        <v/>
      </c>
      <c r="AH200" s="22" t="str">
        <f t="shared" si="58"/>
        <v/>
      </c>
      <c r="AI200" s="22" t="str">
        <f t="shared" si="58"/>
        <v/>
      </c>
      <c r="AJ200" s="22" t="str">
        <f t="shared" si="58"/>
        <v/>
      </c>
      <c r="AK200" s="22" t="str">
        <f t="shared" si="58"/>
        <v/>
      </c>
      <c r="AL200" s="22" t="str">
        <f t="shared" si="58"/>
        <v/>
      </c>
      <c r="AM200" s="22" t="str">
        <f t="shared" si="58"/>
        <v/>
      </c>
      <c r="AN200" s="22" t="str">
        <f t="shared" si="58"/>
        <v/>
      </c>
      <c r="AO200" s="22" t="str">
        <f t="shared" si="58"/>
        <v/>
      </c>
      <c r="AP200" s="22" t="str">
        <f t="shared" si="58"/>
        <v/>
      </c>
      <c r="AQ200" s="22" t="str">
        <f t="shared" si="58"/>
        <v/>
      </c>
      <c r="AR200" s="22" t="str">
        <f t="shared" si="58"/>
        <v/>
      </c>
      <c r="AS200" s="22" t="str">
        <f t="shared" si="58"/>
        <v/>
      </c>
      <c r="AT200" s="22" t="str">
        <f t="shared" si="58"/>
        <v/>
      </c>
      <c r="AU200" s="22" t="str">
        <f t="shared" si="58"/>
        <v/>
      </c>
      <c r="AV200" s="22" t="str">
        <f t="shared" si="58"/>
        <v/>
      </c>
      <c r="AW200" s="22" t="str">
        <f t="shared" si="58"/>
        <v/>
      </c>
      <c r="AX200" s="22" t="str">
        <f t="shared" si="58"/>
        <v/>
      </c>
      <c r="AY200" s="22" t="str">
        <f t="shared" si="58"/>
        <v/>
      </c>
      <c r="AZ200" s="22" t="str">
        <f t="shared" si="58"/>
        <v/>
      </c>
      <c r="BA200" s="22" t="str">
        <f t="shared" si="58"/>
        <v/>
      </c>
      <c r="BB200" s="22" t="str">
        <f t="shared" si="58"/>
        <v/>
      </c>
      <c r="BC200" s="22" t="str">
        <f t="shared" si="58"/>
        <v/>
      </c>
      <c r="BD200" s="22" t="str">
        <f t="shared" si="58"/>
        <v/>
      </c>
      <c r="BE200" s="22" t="str">
        <f t="shared" si="58"/>
        <v/>
      </c>
      <c r="BF200" s="22" t="str">
        <f t="shared" si="58"/>
        <v/>
      </c>
      <c r="BG200" s="22" t="str">
        <f t="shared" si="58"/>
        <v/>
      </c>
    </row>
    <row r="201" spans="1:59" s="23" customFormat="1" ht="15" hidden="1" customHeight="1" x14ac:dyDescent="0.2">
      <c r="A201" s="111"/>
      <c r="B201" s="34" t="s">
        <v>76</v>
      </c>
      <c r="C201" s="35" t="s">
        <v>194</v>
      </c>
      <c r="D201" s="22" t="str">
        <f t="shared" si="3"/>
        <v/>
      </c>
      <c r="E201" s="22" t="str">
        <f t="shared" si="53"/>
        <v/>
      </c>
      <c r="F201" s="22" t="str">
        <f t="shared" si="53"/>
        <v/>
      </c>
      <c r="G201" s="22" t="str">
        <f t="shared" si="53"/>
        <v/>
      </c>
      <c r="H201" s="22" t="str">
        <f t="shared" si="53"/>
        <v/>
      </c>
      <c r="I201" s="22" t="str">
        <f t="shared" si="53"/>
        <v/>
      </c>
      <c r="J201" s="22" t="str">
        <f t="shared" si="53"/>
        <v/>
      </c>
      <c r="K201" s="22" t="str">
        <f t="shared" si="53"/>
        <v/>
      </c>
      <c r="L201" s="22" t="str">
        <f t="shared" si="53"/>
        <v/>
      </c>
      <c r="M201" s="22" t="str">
        <f t="shared" si="53"/>
        <v/>
      </c>
      <c r="N201" s="22" t="str">
        <f t="shared" si="53"/>
        <v/>
      </c>
      <c r="O201" s="22" t="str">
        <f t="shared" si="53"/>
        <v/>
      </c>
      <c r="P201" s="22" t="str">
        <f t="shared" si="53"/>
        <v/>
      </c>
      <c r="Q201" s="22" t="str">
        <f t="shared" si="53"/>
        <v/>
      </c>
      <c r="R201" s="22" t="str">
        <f t="shared" si="53"/>
        <v/>
      </c>
      <c r="S201" s="22" t="str">
        <f t="shared" si="53"/>
        <v/>
      </c>
      <c r="T201" s="22" t="str">
        <f t="shared" si="53"/>
        <v/>
      </c>
      <c r="U201" s="22" t="str">
        <f t="shared" si="53"/>
        <v/>
      </c>
      <c r="V201" s="22" t="str">
        <f t="shared" ref="V201:BG201" si="59">IF(V131=V57,"","*")</f>
        <v/>
      </c>
      <c r="W201" s="22" t="str">
        <f t="shared" si="59"/>
        <v/>
      </c>
      <c r="X201" s="22" t="str">
        <f t="shared" si="59"/>
        <v/>
      </c>
      <c r="Y201" s="22" t="str">
        <f t="shared" si="59"/>
        <v/>
      </c>
      <c r="Z201" s="22" t="str">
        <f t="shared" si="59"/>
        <v/>
      </c>
      <c r="AA201" s="22" t="str">
        <f t="shared" si="59"/>
        <v/>
      </c>
      <c r="AB201" s="22" t="str">
        <f t="shared" si="59"/>
        <v/>
      </c>
      <c r="AC201" s="22" t="str">
        <f t="shared" si="59"/>
        <v/>
      </c>
      <c r="AD201" s="22" t="str">
        <f t="shared" si="59"/>
        <v/>
      </c>
      <c r="AE201" s="22" t="str">
        <f t="shared" si="59"/>
        <v/>
      </c>
      <c r="AF201" s="22" t="str">
        <f t="shared" si="59"/>
        <v/>
      </c>
      <c r="AG201" s="22" t="str">
        <f t="shared" si="59"/>
        <v/>
      </c>
      <c r="AH201" s="22" t="str">
        <f t="shared" si="59"/>
        <v/>
      </c>
      <c r="AI201" s="22" t="str">
        <f t="shared" si="59"/>
        <v/>
      </c>
      <c r="AJ201" s="22" t="str">
        <f t="shared" si="59"/>
        <v/>
      </c>
      <c r="AK201" s="22" t="str">
        <f t="shared" si="59"/>
        <v/>
      </c>
      <c r="AL201" s="22" t="str">
        <f t="shared" si="59"/>
        <v/>
      </c>
      <c r="AM201" s="22" t="str">
        <f t="shared" si="59"/>
        <v/>
      </c>
      <c r="AN201" s="22" t="str">
        <f t="shared" si="59"/>
        <v/>
      </c>
      <c r="AO201" s="22" t="str">
        <f t="shared" si="59"/>
        <v/>
      </c>
      <c r="AP201" s="22" t="str">
        <f t="shared" si="59"/>
        <v/>
      </c>
      <c r="AQ201" s="22" t="str">
        <f t="shared" si="59"/>
        <v/>
      </c>
      <c r="AR201" s="22" t="str">
        <f t="shared" si="59"/>
        <v/>
      </c>
      <c r="AS201" s="22" t="str">
        <f t="shared" si="59"/>
        <v/>
      </c>
      <c r="AT201" s="22" t="str">
        <f t="shared" si="59"/>
        <v/>
      </c>
      <c r="AU201" s="22" t="str">
        <f t="shared" si="59"/>
        <v/>
      </c>
      <c r="AV201" s="22" t="str">
        <f t="shared" si="59"/>
        <v/>
      </c>
      <c r="AW201" s="22" t="str">
        <f t="shared" si="59"/>
        <v/>
      </c>
      <c r="AX201" s="22" t="str">
        <f t="shared" si="59"/>
        <v/>
      </c>
      <c r="AY201" s="22" t="str">
        <f t="shared" si="59"/>
        <v/>
      </c>
      <c r="AZ201" s="22" t="str">
        <f t="shared" si="59"/>
        <v/>
      </c>
      <c r="BA201" s="22" t="str">
        <f t="shared" si="59"/>
        <v/>
      </c>
      <c r="BB201" s="22" t="str">
        <f t="shared" si="59"/>
        <v/>
      </c>
      <c r="BC201" s="22" t="str">
        <f t="shared" si="59"/>
        <v/>
      </c>
      <c r="BD201" s="22" t="str">
        <f t="shared" si="59"/>
        <v/>
      </c>
      <c r="BE201" s="22" t="str">
        <f t="shared" si="59"/>
        <v/>
      </c>
      <c r="BF201" s="22" t="str">
        <f t="shared" si="59"/>
        <v/>
      </c>
      <c r="BG201" s="22" t="str">
        <f t="shared" si="59"/>
        <v/>
      </c>
    </row>
    <row r="202" spans="1:59" s="23" customFormat="1" ht="15" hidden="1" customHeight="1" x14ac:dyDescent="0.2">
      <c r="A202" s="26" t="s">
        <v>67</v>
      </c>
      <c r="B202" s="29" t="s">
        <v>74</v>
      </c>
      <c r="C202" s="30" t="s">
        <v>0</v>
      </c>
      <c r="D202" s="31" t="str">
        <f t="shared" si="3"/>
        <v/>
      </c>
      <c r="E202" s="31" t="str">
        <f t="shared" si="53"/>
        <v/>
      </c>
      <c r="F202" s="31" t="str">
        <f t="shared" si="53"/>
        <v/>
      </c>
      <c r="G202" s="31" t="str">
        <f t="shared" si="53"/>
        <v/>
      </c>
      <c r="H202" s="31" t="str">
        <f t="shared" si="53"/>
        <v/>
      </c>
      <c r="I202" s="31" t="str">
        <f t="shared" si="53"/>
        <v/>
      </c>
      <c r="J202" s="31" t="str">
        <f t="shared" si="53"/>
        <v/>
      </c>
      <c r="K202" s="31" t="str">
        <f t="shared" si="53"/>
        <v/>
      </c>
      <c r="L202" s="31" t="str">
        <f t="shared" si="53"/>
        <v/>
      </c>
      <c r="M202" s="31" t="str">
        <f t="shared" si="53"/>
        <v/>
      </c>
      <c r="N202" s="31" t="str">
        <f t="shared" si="53"/>
        <v/>
      </c>
      <c r="O202" s="31" t="str">
        <f t="shared" si="53"/>
        <v/>
      </c>
      <c r="P202" s="31" t="str">
        <f t="shared" si="53"/>
        <v/>
      </c>
      <c r="Q202" s="31" t="str">
        <f t="shared" si="53"/>
        <v/>
      </c>
      <c r="R202" s="31" t="str">
        <f t="shared" si="53"/>
        <v/>
      </c>
      <c r="S202" s="31" t="str">
        <f t="shared" si="53"/>
        <v/>
      </c>
      <c r="T202" s="31" t="str">
        <f t="shared" si="53"/>
        <v/>
      </c>
      <c r="U202" s="31" t="str">
        <f t="shared" si="53"/>
        <v/>
      </c>
      <c r="V202" s="31" t="str">
        <f t="shared" ref="V202:BG202" si="60">IF(V132=V58,"","*")</f>
        <v/>
      </c>
      <c r="W202" s="31" t="str">
        <f t="shared" si="60"/>
        <v/>
      </c>
      <c r="X202" s="31" t="str">
        <f t="shared" si="60"/>
        <v/>
      </c>
      <c r="Y202" s="31" t="str">
        <f t="shared" si="60"/>
        <v/>
      </c>
      <c r="Z202" s="31" t="str">
        <f t="shared" si="60"/>
        <v/>
      </c>
      <c r="AA202" s="31" t="str">
        <f t="shared" si="60"/>
        <v/>
      </c>
      <c r="AB202" s="31" t="str">
        <f t="shared" si="60"/>
        <v/>
      </c>
      <c r="AC202" s="31" t="str">
        <f t="shared" si="60"/>
        <v/>
      </c>
      <c r="AD202" s="31" t="str">
        <f t="shared" si="60"/>
        <v/>
      </c>
      <c r="AE202" s="31" t="str">
        <f t="shared" si="60"/>
        <v/>
      </c>
      <c r="AF202" s="31" t="str">
        <f t="shared" si="60"/>
        <v/>
      </c>
      <c r="AG202" s="31" t="str">
        <f t="shared" si="60"/>
        <v/>
      </c>
      <c r="AH202" s="31" t="str">
        <f t="shared" si="60"/>
        <v/>
      </c>
      <c r="AI202" s="31" t="str">
        <f t="shared" si="60"/>
        <v/>
      </c>
      <c r="AJ202" s="31" t="str">
        <f t="shared" si="60"/>
        <v/>
      </c>
      <c r="AK202" s="31" t="str">
        <f t="shared" si="60"/>
        <v/>
      </c>
      <c r="AL202" s="31" t="str">
        <f t="shared" si="60"/>
        <v/>
      </c>
      <c r="AM202" s="31" t="str">
        <f t="shared" si="60"/>
        <v/>
      </c>
      <c r="AN202" s="31" t="str">
        <f t="shared" si="60"/>
        <v/>
      </c>
      <c r="AO202" s="31" t="str">
        <f t="shared" si="60"/>
        <v/>
      </c>
      <c r="AP202" s="31" t="str">
        <f t="shared" si="60"/>
        <v/>
      </c>
      <c r="AQ202" s="31" t="str">
        <f t="shared" si="60"/>
        <v/>
      </c>
      <c r="AR202" s="31" t="str">
        <f t="shared" si="60"/>
        <v/>
      </c>
      <c r="AS202" s="31" t="str">
        <f t="shared" si="60"/>
        <v/>
      </c>
      <c r="AT202" s="31" t="str">
        <f t="shared" si="60"/>
        <v/>
      </c>
      <c r="AU202" s="31" t="str">
        <f t="shared" si="60"/>
        <v/>
      </c>
      <c r="AV202" s="31" t="str">
        <f t="shared" si="60"/>
        <v/>
      </c>
      <c r="AW202" s="31" t="str">
        <f t="shared" si="60"/>
        <v/>
      </c>
      <c r="AX202" s="31" t="str">
        <f t="shared" si="60"/>
        <v/>
      </c>
      <c r="AY202" s="31" t="str">
        <f t="shared" si="60"/>
        <v/>
      </c>
      <c r="AZ202" s="31" t="str">
        <f t="shared" si="60"/>
        <v/>
      </c>
      <c r="BA202" s="31" t="str">
        <f t="shared" si="60"/>
        <v/>
      </c>
      <c r="BB202" s="31" t="str">
        <f t="shared" si="60"/>
        <v/>
      </c>
      <c r="BC202" s="31" t="str">
        <f t="shared" si="60"/>
        <v/>
      </c>
      <c r="BD202" s="31" t="str">
        <f t="shared" si="60"/>
        <v/>
      </c>
      <c r="BE202" s="31" t="str">
        <f t="shared" si="60"/>
        <v/>
      </c>
      <c r="BF202" s="31" t="str">
        <f t="shared" si="60"/>
        <v/>
      </c>
      <c r="BG202" s="31" t="str">
        <f t="shared" si="60"/>
        <v/>
      </c>
    </row>
    <row r="203" spans="1:59" s="23" customFormat="1" ht="15" hidden="1" customHeight="1" x14ac:dyDescent="0.2">
      <c r="A203" s="110" t="s">
        <v>18</v>
      </c>
      <c r="B203" s="32" t="s">
        <v>75</v>
      </c>
      <c r="C203" s="33" t="s">
        <v>2</v>
      </c>
      <c r="D203" s="22" t="str">
        <f t="shared" si="3"/>
        <v/>
      </c>
      <c r="E203" s="22" t="str">
        <f t="shared" si="53"/>
        <v/>
      </c>
      <c r="F203" s="22" t="str">
        <f t="shared" si="53"/>
        <v/>
      </c>
      <c r="G203" s="22" t="str">
        <f t="shared" si="53"/>
        <v/>
      </c>
      <c r="H203" s="22" t="str">
        <f t="shared" si="53"/>
        <v/>
      </c>
      <c r="I203" s="22" t="str">
        <f t="shared" si="53"/>
        <v/>
      </c>
      <c r="J203" s="22" t="str">
        <f t="shared" si="53"/>
        <v/>
      </c>
      <c r="K203" s="22" t="str">
        <f t="shared" si="53"/>
        <v/>
      </c>
      <c r="L203" s="22" t="str">
        <f t="shared" si="53"/>
        <v/>
      </c>
      <c r="M203" s="22" t="str">
        <f t="shared" si="53"/>
        <v/>
      </c>
      <c r="N203" s="22" t="str">
        <f t="shared" si="53"/>
        <v/>
      </c>
      <c r="O203" s="22" t="str">
        <f t="shared" si="53"/>
        <v/>
      </c>
      <c r="P203" s="22" t="str">
        <f t="shared" si="53"/>
        <v/>
      </c>
      <c r="Q203" s="22" t="str">
        <f t="shared" si="53"/>
        <v/>
      </c>
      <c r="R203" s="22" t="str">
        <f t="shared" si="53"/>
        <v/>
      </c>
      <c r="S203" s="22" t="str">
        <f t="shared" si="53"/>
        <v/>
      </c>
      <c r="T203" s="22" t="str">
        <f t="shared" si="53"/>
        <v/>
      </c>
      <c r="U203" s="22" t="str">
        <f t="shared" si="53"/>
        <v/>
      </c>
      <c r="V203" s="22" t="str">
        <f t="shared" ref="V203:BG203" si="61">IF(V133=V59,"","*")</f>
        <v/>
      </c>
      <c r="W203" s="22" t="str">
        <f t="shared" si="61"/>
        <v/>
      </c>
      <c r="X203" s="22" t="str">
        <f t="shared" si="61"/>
        <v/>
      </c>
      <c r="Y203" s="22" t="str">
        <f t="shared" si="61"/>
        <v/>
      </c>
      <c r="Z203" s="22" t="str">
        <f t="shared" si="61"/>
        <v/>
      </c>
      <c r="AA203" s="22" t="str">
        <f t="shared" si="61"/>
        <v/>
      </c>
      <c r="AB203" s="22" t="str">
        <f t="shared" si="61"/>
        <v/>
      </c>
      <c r="AC203" s="22" t="str">
        <f t="shared" si="61"/>
        <v/>
      </c>
      <c r="AD203" s="22" t="str">
        <f t="shared" si="61"/>
        <v/>
      </c>
      <c r="AE203" s="22" t="str">
        <f t="shared" si="61"/>
        <v/>
      </c>
      <c r="AF203" s="22" t="str">
        <f t="shared" si="61"/>
        <v/>
      </c>
      <c r="AG203" s="22" t="str">
        <f t="shared" si="61"/>
        <v/>
      </c>
      <c r="AH203" s="22" t="str">
        <f t="shared" si="61"/>
        <v/>
      </c>
      <c r="AI203" s="22" t="str">
        <f t="shared" si="61"/>
        <v/>
      </c>
      <c r="AJ203" s="22" t="str">
        <f t="shared" si="61"/>
        <v/>
      </c>
      <c r="AK203" s="22" t="str">
        <f t="shared" si="61"/>
        <v/>
      </c>
      <c r="AL203" s="22" t="str">
        <f t="shared" si="61"/>
        <v/>
      </c>
      <c r="AM203" s="22" t="str">
        <f t="shared" si="61"/>
        <v/>
      </c>
      <c r="AN203" s="22" t="str">
        <f t="shared" si="61"/>
        <v/>
      </c>
      <c r="AO203" s="22" t="str">
        <f t="shared" si="61"/>
        <v/>
      </c>
      <c r="AP203" s="22" t="str">
        <f t="shared" si="61"/>
        <v/>
      </c>
      <c r="AQ203" s="22" t="str">
        <f t="shared" si="61"/>
        <v/>
      </c>
      <c r="AR203" s="22" t="str">
        <f t="shared" si="61"/>
        <v/>
      </c>
      <c r="AS203" s="22" t="str">
        <f t="shared" si="61"/>
        <v/>
      </c>
      <c r="AT203" s="22" t="str">
        <f t="shared" si="61"/>
        <v/>
      </c>
      <c r="AU203" s="22" t="str">
        <f t="shared" si="61"/>
        <v/>
      </c>
      <c r="AV203" s="22" t="str">
        <f t="shared" si="61"/>
        <v/>
      </c>
      <c r="AW203" s="22" t="str">
        <f t="shared" si="61"/>
        <v/>
      </c>
      <c r="AX203" s="22" t="str">
        <f t="shared" si="61"/>
        <v/>
      </c>
      <c r="AY203" s="22" t="str">
        <f t="shared" si="61"/>
        <v/>
      </c>
      <c r="AZ203" s="22" t="str">
        <f t="shared" si="61"/>
        <v/>
      </c>
      <c r="BA203" s="22" t="str">
        <f t="shared" si="61"/>
        <v/>
      </c>
      <c r="BB203" s="22" t="str">
        <f t="shared" si="61"/>
        <v/>
      </c>
      <c r="BC203" s="22" t="str">
        <f t="shared" si="61"/>
        <v/>
      </c>
      <c r="BD203" s="22" t="str">
        <f t="shared" si="61"/>
        <v/>
      </c>
      <c r="BE203" s="22" t="str">
        <f t="shared" si="61"/>
        <v/>
      </c>
      <c r="BF203" s="22" t="str">
        <f t="shared" si="61"/>
        <v/>
      </c>
      <c r="BG203" s="22" t="str">
        <f t="shared" si="61"/>
        <v/>
      </c>
    </row>
    <row r="204" spans="1:59" s="23" customFormat="1" ht="15" hidden="1" customHeight="1" x14ac:dyDescent="0.2">
      <c r="A204" s="111"/>
      <c r="B204" s="34" t="s">
        <v>76</v>
      </c>
      <c r="C204" s="35" t="s">
        <v>194</v>
      </c>
      <c r="D204" s="22" t="str">
        <f t="shared" si="3"/>
        <v/>
      </c>
      <c r="E204" s="22" t="str">
        <f t="shared" ref="E204:U211" si="62">IF(E134=E60,"","*")</f>
        <v/>
      </c>
      <c r="F204" s="22" t="str">
        <f t="shared" si="62"/>
        <v/>
      </c>
      <c r="G204" s="22" t="str">
        <f t="shared" si="62"/>
        <v/>
      </c>
      <c r="H204" s="22" t="str">
        <f t="shared" si="62"/>
        <v/>
      </c>
      <c r="I204" s="22" t="str">
        <f t="shared" si="62"/>
        <v/>
      </c>
      <c r="J204" s="22" t="str">
        <f t="shared" si="62"/>
        <v/>
      </c>
      <c r="K204" s="22" t="str">
        <f t="shared" si="62"/>
        <v/>
      </c>
      <c r="L204" s="22" t="str">
        <f t="shared" si="62"/>
        <v/>
      </c>
      <c r="M204" s="22" t="str">
        <f t="shared" si="62"/>
        <v/>
      </c>
      <c r="N204" s="22" t="str">
        <f t="shared" si="62"/>
        <v/>
      </c>
      <c r="O204" s="22" t="str">
        <f t="shared" si="62"/>
        <v/>
      </c>
      <c r="P204" s="22" t="str">
        <f t="shared" si="62"/>
        <v/>
      </c>
      <c r="Q204" s="22" t="str">
        <f t="shared" si="62"/>
        <v/>
      </c>
      <c r="R204" s="22" t="str">
        <f t="shared" si="62"/>
        <v/>
      </c>
      <c r="S204" s="22" t="str">
        <f t="shared" si="62"/>
        <v/>
      </c>
      <c r="T204" s="22" t="str">
        <f t="shared" si="62"/>
        <v/>
      </c>
      <c r="U204" s="22" t="str">
        <f t="shared" si="62"/>
        <v/>
      </c>
      <c r="V204" s="22" t="str">
        <f t="shared" ref="V204:BG204" si="63">IF(V134=V60,"","*")</f>
        <v/>
      </c>
      <c r="W204" s="22" t="str">
        <f t="shared" si="63"/>
        <v/>
      </c>
      <c r="X204" s="22" t="str">
        <f t="shared" si="63"/>
        <v/>
      </c>
      <c r="Y204" s="22" t="str">
        <f t="shared" si="63"/>
        <v/>
      </c>
      <c r="Z204" s="22" t="str">
        <f t="shared" si="63"/>
        <v/>
      </c>
      <c r="AA204" s="22" t="str">
        <f t="shared" si="63"/>
        <v/>
      </c>
      <c r="AB204" s="22" t="str">
        <f t="shared" si="63"/>
        <v/>
      </c>
      <c r="AC204" s="22" t="str">
        <f t="shared" si="63"/>
        <v/>
      </c>
      <c r="AD204" s="22" t="str">
        <f t="shared" si="63"/>
        <v/>
      </c>
      <c r="AE204" s="22" t="str">
        <f t="shared" si="63"/>
        <v/>
      </c>
      <c r="AF204" s="22" t="str">
        <f t="shared" si="63"/>
        <v/>
      </c>
      <c r="AG204" s="22" t="str">
        <f t="shared" si="63"/>
        <v/>
      </c>
      <c r="AH204" s="22" t="str">
        <f t="shared" si="63"/>
        <v/>
      </c>
      <c r="AI204" s="22" t="str">
        <f t="shared" si="63"/>
        <v/>
      </c>
      <c r="AJ204" s="22" t="str">
        <f t="shared" si="63"/>
        <v/>
      </c>
      <c r="AK204" s="22" t="str">
        <f t="shared" si="63"/>
        <v/>
      </c>
      <c r="AL204" s="22" t="str">
        <f t="shared" si="63"/>
        <v/>
      </c>
      <c r="AM204" s="22" t="str">
        <f t="shared" si="63"/>
        <v/>
      </c>
      <c r="AN204" s="22" t="str">
        <f t="shared" si="63"/>
        <v/>
      </c>
      <c r="AO204" s="22" t="str">
        <f t="shared" si="63"/>
        <v/>
      </c>
      <c r="AP204" s="22" t="str">
        <f t="shared" si="63"/>
        <v/>
      </c>
      <c r="AQ204" s="22" t="str">
        <f t="shared" si="63"/>
        <v/>
      </c>
      <c r="AR204" s="22" t="str">
        <f t="shared" si="63"/>
        <v/>
      </c>
      <c r="AS204" s="22" t="str">
        <f t="shared" si="63"/>
        <v/>
      </c>
      <c r="AT204" s="22" t="str">
        <f t="shared" si="63"/>
        <v/>
      </c>
      <c r="AU204" s="22" t="str">
        <f t="shared" si="63"/>
        <v/>
      </c>
      <c r="AV204" s="22" t="str">
        <f t="shared" si="63"/>
        <v/>
      </c>
      <c r="AW204" s="22" t="str">
        <f t="shared" si="63"/>
        <v/>
      </c>
      <c r="AX204" s="22" t="str">
        <f t="shared" si="63"/>
        <v/>
      </c>
      <c r="AY204" s="22" t="str">
        <f t="shared" si="63"/>
        <v/>
      </c>
      <c r="AZ204" s="22" t="str">
        <f t="shared" si="63"/>
        <v/>
      </c>
      <c r="BA204" s="22" t="str">
        <f t="shared" si="63"/>
        <v/>
      </c>
      <c r="BB204" s="22" t="str">
        <f t="shared" si="63"/>
        <v/>
      </c>
      <c r="BC204" s="22" t="str">
        <f t="shared" si="63"/>
        <v/>
      </c>
      <c r="BD204" s="22" t="str">
        <f t="shared" si="63"/>
        <v/>
      </c>
      <c r="BE204" s="22" t="str">
        <f t="shared" si="63"/>
        <v/>
      </c>
      <c r="BF204" s="22" t="str">
        <f t="shared" si="63"/>
        <v/>
      </c>
      <c r="BG204" s="22" t="str">
        <f t="shared" si="63"/>
        <v/>
      </c>
    </row>
    <row r="205" spans="1:59" s="23" customFormat="1" ht="15" hidden="1" customHeight="1" x14ac:dyDescent="0.2">
      <c r="A205" s="26" t="s">
        <v>68</v>
      </c>
      <c r="B205" s="29" t="s">
        <v>74</v>
      </c>
      <c r="C205" s="30" t="s">
        <v>0</v>
      </c>
      <c r="D205" s="31" t="str">
        <f t="shared" si="3"/>
        <v/>
      </c>
      <c r="E205" s="31" t="str">
        <f t="shared" si="62"/>
        <v/>
      </c>
      <c r="F205" s="31" t="str">
        <f t="shared" si="62"/>
        <v/>
      </c>
      <c r="G205" s="31" t="str">
        <f t="shared" si="62"/>
        <v/>
      </c>
      <c r="H205" s="31" t="str">
        <f t="shared" si="62"/>
        <v/>
      </c>
      <c r="I205" s="31" t="str">
        <f t="shared" si="62"/>
        <v/>
      </c>
      <c r="J205" s="31" t="str">
        <f t="shared" si="62"/>
        <v/>
      </c>
      <c r="K205" s="31" t="str">
        <f t="shared" si="62"/>
        <v/>
      </c>
      <c r="L205" s="31" t="str">
        <f t="shared" si="62"/>
        <v/>
      </c>
      <c r="M205" s="31" t="str">
        <f t="shared" si="62"/>
        <v/>
      </c>
      <c r="N205" s="31" t="str">
        <f t="shared" si="62"/>
        <v/>
      </c>
      <c r="O205" s="31" t="str">
        <f t="shared" si="62"/>
        <v/>
      </c>
      <c r="P205" s="31" t="str">
        <f t="shared" si="62"/>
        <v/>
      </c>
      <c r="Q205" s="31" t="str">
        <f t="shared" si="62"/>
        <v/>
      </c>
      <c r="R205" s="31" t="str">
        <f t="shared" si="62"/>
        <v/>
      </c>
      <c r="S205" s="31" t="str">
        <f t="shared" si="62"/>
        <v/>
      </c>
      <c r="T205" s="31" t="str">
        <f t="shared" si="62"/>
        <v/>
      </c>
      <c r="U205" s="31" t="str">
        <f t="shared" si="62"/>
        <v/>
      </c>
      <c r="V205" s="31" t="str">
        <f t="shared" ref="V205:BG205" si="64">IF(V135=V61,"","*")</f>
        <v/>
      </c>
      <c r="W205" s="31" t="str">
        <f t="shared" si="64"/>
        <v/>
      </c>
      <c r="X205" s="31" t="str">
        <f t="shared" si="64"/>
        <v/>
      </c>
      <c r="Y205" s="31" t="str">
        <f t="shared" si="64"/>
        <v/>
      </c>
      <c r="Z205" s="31" t="str">
        <f t="shared" si="64"/>
        <v/>
      </c>
      <c r="AA205" s="31" t="str">
        <f t="shared" si="64"/>
        <v/>
      </c>
      <c r="AB205" s="31" t="str">
        <f t="shared" si="64"/>
        <v/>
      </c>
      <c r="AC205" s="31" t="str">
        <f t="shared" si="64"/>
        <v/>
      </c>
      <c r="AD205" s="31" t="str">
        <f t="shared" si="64"/>
        <v/>
      </c>
      <c r="AE205" s="31" t="str">
        <f t="shared" si="64"/>
        <v/>
      </c>
      <c r="AF205" s="31" t="str">
        <f t="shared" si="64"/>
        <v/>
      </c>
      <c r="AG205" s="31" t="str">
        <f t="shared" si="64"/>
        <v/>
      </c>
      <c r="AH205" s="31" t="str">
        <f t="shared" si="64"/>
        <v/>
      </c>
      <c r="AI205" s="31" t="str">
        <f t="shared" si="64"/>
        <v/>
      </c>
      <c r="AJ205" s="31" t="str">
        <f t="shared" si="64"/>
        <v/>
      </c>
      <c r="AK205" s="31" t="str">
        <f t="shared" si="64"/>
        <v/>
      </c>
      <c r="AL205" s="31" t="str">
        <f t="shared" si="64"/>
        <v/>
      </c>
      <c r="AM205" s="31" t="str">
        <f t="shared" si="64"/>
        <v/>
      </c>
      <c r="AN205" s="31" t="str">
        <f t="shared" si="64"/>
        <v/>
      </c>
      <c r="AO205" s="31" t="str">
        <f t="shared" si="64"/>
        <v/>
      </c>
      <c r="AP205" s="31" t="str">
        <f t="shared" si="64"/>
        <v/>
      </c>
      <c r="AQ205" s="31" t="str">
        <f t="shared" si="64"/>
        <v/>
      </c>
      <c r="AR205" s="31" t="str">
        <f t="shared" si="64"/>
        <v/>
      </c>
      <c r="AS205" s="31" t="str">
        <f t="shared" si="64"/>
        <v/>
      </c>
      <c r="AT205" s="31" t="str">
        <f t="shared" si="64"/>
        <v/>
      </c>
      <c r="AU205" s="31" t="str">
        <f t="shared" si="64"/>
        <v/>
      </c>
      <c r="AV205" s="31" t="str">
        <f t="shared" si="64"/>
        <v/>
      </c>
      <c r="AW205" s="31" t="str">
        <f t="shared" si="64"/>
        <v/>
      </c>
      <c r="AX205" s="31" t="str">
        <f t="shared" si="64"/>
        <v/>
      </c>
      <c r="AY205" s="31" t="str">
        <f t="shared" si="64"/>
        <v/>
      </c>
      <c r="AZ205" s="31" t="str">
        <f t="shared" si="64"/>
        <v/>
      </c>
      <c r="BA205" s="31" t="str">
        <f t="shared" si="64"/>
        <v/>
      </c>
      <c r="BB205" s="31" t="str">
        <f t="shared" si="64"/>
        <v/>
      </c>
      <c r="BC205" s="31" t="str">
        <f t="shared" si="64"/>
        <v/>
      </c>
      <c r="BD205" s="31" t="str">
        <f t="shared" si="64"/>
        <v/>
      </c>
      <c r="BE205" s="31" t="str">
        <f t="shared" si="64"/>
        <v/>
      </c>
      <c r="BF205" s="31" t="str">
        <f t="shared" si="64"/>
        <v/>
      </c>
      <c r="BG205" s="31" t="str">
        <f t="shared" si="64"/>
        <v/>
      </c>
    </row>
    <row r="206" spans="1:59" s="23" customFormat="1" ht="15" hidden="1" customHeight="1" x14ac:dyDescent="0.2">
      <c r="A206" s="110" t="s">
        <v>19</v>
      </c>
      <c r="B206" s="32" t="s">
        <v>75</v>
      </c>
      <c r="C206" s="33" t="s">
        <v>2</v>
      </c>
      <c r="D206" s="22" t="str">
        <f t="shared" si="3"/>
        <v/>
      </c>
      <c r="E206" s="22" t="str">
        <f t="shared" si="62"/>
        <v/>
      </c>
      <c r="F206" s="22" t="str">
        <f t="shared" si="62"/>
        <v/>
      </c>
      <c r="G206" s="22" t="str">
        <f t="shared" si="62"/>
        <v/>
      </c>
      <c r="H206" s="22" t="str">
        <f t="shared" si="62"/>
        <v/>
      </c>
      <c r="I206" s="22" t="str">
        <f t="shared" si="62"/>
        <v/>
      </c>
      <c r="J206" s="22" t="str">
        <f t="shared" si="62"/>
        <v/>
      </c>
      <c r="K206" s="22" t="str">
        <f t="shared" si="62"/>
        <v/>
      </c>
      <c r="L206" s="22" t="str">
        <f t="shared" si="62"/>
        <v/>
      </c>
      <c r="M206" s="22" t="str">
        <f t="shared" si="62"/>
        <v/>
      </c>
      <c r="N206" s="22" t="str">
        <f t="shared" si="62"/>
        <v/>
      </c>
      <c r="O206" s="22" t="str">
        <f t="shared" si="62"/>
        <v/>
      </c>
      <c r="P206" s="22" t="str">
        <f t="shared" si="62"/>
        <v/>
      </c>
      <c r="Q206" s="22" t="str">
        <f t="shared" si="62"/>
        <v/>
      </c>
      <c r="R206" s="22" t="str">
        <f t="shared" si="62"/>
        <v/>
      </c>
      <c r="S206" s="22" t="str">
        <f t="shared" si="62"/>
        <v/>
      </c>
      <c r="T206" s="22" t="str">
        <f t="shared" si="62"/>
        <v/>
      </c>
      <c r="U206" s="22" t="str">
        <f t="shared" si="62"/>
        <v/>
      </c>
      <c r="V206" s="22" t="str">
        <f t="shared" ref="V206:BG206" si="65">IF(V136=V62,"","*")</f>
        <v/>
      </c>
      <c r="W206" s="22" t="str">
        <f t="shared" si="65"/>
        <v/>
      </c>
      <c r="X206" s="22" t="str">
        <f t="shared" si="65"/>
        <v/>
      </c>
      <c r="Y206" s="22" t="str">
        <f t="shared" si="65"/>
        <v/>
      </c>
      <c r="Z206" s="22" t="str">
        <f t="shared" si="65"/>
        <v/>
      </c>
      <c r="AA206" s="22" t="str">
        <f t="shared" si="65"/>
        <v/>
      </c>
      <c r="AB206" s="22" t="str">
        <f t="shared" si="65"/>
        <v/>
      </c>
      <c r="AC206" s="22" t="str">
        <f t="shared" si="65"/>
        <v/>
      </c>
      <c r="AD206" s="22" t="str">
        <f t="shared" si="65"/>
        <v/>
      </c>
      <c r="AE206" s="22" t="str">
        <f t="shared" si="65"/>
        <v/>
      </c>
      <c r="AF206" s="22" t="str">
        <f t="shared" si="65"/>
        <v/>
      </c>
      <c r="AG206" s="22" t="str">
        <f t="shared" si="65"/>
        <v/>
      </c>
      <c r="AH206" s="22" t="str">
        <f t="shared" si="65"/>
        <v/>
      </c>
      <c r="AI206" s="22" t="str">
        <f t="shared" si="65"/>
        <v/>
      </c>
      <c r="AJ206" s="22" t="str">
        <f t="shared" si="65"/>
        <v/>
      </c>
      <c r="AK206" s="22" t="str">
        <f t="shared" si="65"/>
        <v/>
      </c>
      <c r="AL206" s="22" t="str">
        <f t="shared" si="65"/>
        <v/>
      </c>
      <c r="AM206" s="22" t="str">
        <f t="shared" si="65"/>
        <v/>
      </c>
      <c r="AN206" s="22" t="str">
        <f t="shared" si="65"/>
        <v/>
      </c>
      <c r="AO206" s="22" t="str">
        <f t="shared" si="65"/>
        <v/>
      </c>
      <c r="AP206" s="22" t="str">
        <f t="shared" si="65"/>
        <v/>
      </c>
      <c r="AQ206" s="22" t="str">
        <f t="shared" si="65"/>
        <v/>
      </c>
      <c r="AR206" s="22" t="str">
        <f t="shared" si="65"/>
        <v/>
      </c>
      <c r="AS206" s="22" t="str">
        <f t="shared" si="65"/>
        <v/>
      </c>
      <c r="AT206" s="22" t="str">
        <f t="shared" si="65"/>
        <v/>
      </c>
      <c r="AU206" s="22" t="str">
        <f t="shared" si="65"/>
        <v/>
      </c>
      <c r="AV206" s="22" t="str">
        <f t="shared" si="65"/>
        <v/>
      </c>
      <c r="AW206" s="22" t="str">
        <f t="shared" si="65"/>
        <v/>
      </c>
      <c r="AX206" s="22" t="str">
        <f t="shared" si="65"/>
        <v/>
      </c>
      <c r="AY206" s="22" t="str">
        <f t="shared" si="65"/>
        <v/>
      </c>
      <c r="AZ206" s="22" t="str">
        <f t="shared" si="65"/>
        <v/>
      </c>
      <c r="BA206" s="22" t="str">
        <f t="shared" si="65"/>
        <v/>
      </c>
      <c r="BB206" s="22" t="str">
        <f t="shared" si="65"/>
        <v/>
      </c>
      <c r="BC206" s="22" t="str">
        <f t="shared" si="65"/>
        <v/>
      </c>
      <c r="BD206" s="22" t="str">
        <f t="shared" si="65"/>
        <v/>
      </c>
      <c r="BE206" s="22" t="str">
        <f t="shared" si="65"/>
        <v/>
      </c>
      <c r="BF206" s="22" t="str">
        <f t="shared" si="65"/>
        <v/>
      </c>
      <c r="BG206" s="22" t="str">
        <f t="shared" si="65"/>
        <v/>
      </c>
    </row>
    <row r="207" spans="1:59" s="23" customFormat="1" ht="15" hidden="1" customHeight="1" x14ac:dyDescent="0.2">
      <c r="A207" s="111"/>
      <c r="B207" s="34" t="s">
        <v>76</v>
      </c>
      <c r="C207" s="35" t="s">
        <v>194</v>
      </c>
      <c r="D207" s="22" t="str">
        <f t="shared" si="3"/>
        <v/>
      </c>
      <c r="E207" s="22" t="str">
        <f t="shared" si="62"/>
        <v/>
      </c>
      <c r="F207" s="22" t="str">
        <f t="shared" si="62"/>
        <v/>
      </c>
      <c r="G207" s="22" t="str">
        <f t="shared" si="62"/>
        <v/>
      </c>
      <c r="H207" s="22" t="str">
        <f t="shared" si="62"/>
        <v/>
      </c>
      <c r="I207" s="22" t="str">
        <f t="shared" si="62"/>
        <v/>
      </c>
      <c r="J207" s="22" t="str">
        <f t="shared" si="62"/>
        <v/>
      </c>
      <c r="K207" s="22" t="str">
        <f t="shared" si="62"/>
        <v/>
      </c>
      <c r="L207" s="22" t="str">
        <f t="shared" si="62"/>
        <v/>
      </c>
      <c r="M207" s="22" t="str">
        <f t="shared" si="62"/>
        <v/>
      </c>
      <c r="N207" s="22" t="str">
        <f t="shared" si="62"/>
        <v/>
      </c>
      <c r="O207" s="22" t="str">
        <f t="shared" si="62"/>
        <v/>
      </c>
      <c r="P207" s="22" t="str">
        <f t="shared" si="62"/>
        <v/>
      </c>
      <c r="Q207" s="22" t="str">
        <f t="shared" si="62"/>
        <v/>
      </c>
      <c r="R207" s="22" t="str">
        <f t="shared" si="62"/>
        <v/>
      </c>
      <c r="S207" s="22" t="str">
        <f t="shared" si="62"/>
        <v/>
      </c>
      <c r="T207" s="22" t="str">
        <f t="shared" si="62"/>
        <v/>
      </c>
      <c r="U207" s="22" t="str">
        <f t="shared" si="62"/>
        <v/>
      </c>
      <c r="V207" s="22" t="str">
        <f t="shared" ref="V207:BG207" si="66">IF(V137=V63,"","*")</f>
        <v/>
      </c>
      <c r="W207" s="22" t="str">
        <f t="shared" si="66"/>
        <v/>
      </c>
      <c r="X207" s="22" t="str">
        <f t="shared" si="66"/>
        <v/>
      </c>
      <c r="Y207" s="22" t="str">
        <f t="shared" si="66"/>
        <v/>
      </c>
      <c r="Z207" s="22" t="str">
        <f t="shared" si="66"/>
        <v/>
      </c>
      <c r="AA207" s="22" t="str">
        <f t="shared" si="66"/>
        <v/>
      </c>
      <c r="AB207" s="22" t="str">
        <f t="shared" si="66"/>
        <v/>
      </c>
      <c r="AC207" s="22" t="str">
        <f t="shared" si="66"/>
        <v/>
      </c>
      <c r="AD207" s="22" t="str">
        <f t="shared" si="66"/>
        <v/>
      </c>
      <c r="AE207" s="22" t="str">
        <f t="shared" si="66"/>
        <v/>
      </c>
      <c r="AF207" s="22" t="str">
        <f t="shared" si="66"/>
        <v/>
      </c>
      <c r="AG207" s="22" t="str">
        <f t="shared" si="66"/>
        <v/>
      </c>
      <c r="AH207" s="22" t="str">
        <f t="shared" si="66"/>
        <v/>
      </c>
      <c r="AI207" s="22" t="str">
        <f t="shared" si="66"/>
        <v/>
      </c>
      <c r="AJ207" s="22" t="str">
        <f t="shared" si="66"/>
        <v/>
      </c>
      <c r="AK207" s="22" t="str">
        <f t="shared" si="66"/>
        <v/>
      </c>
      <c r="AL207" s="22" t="str">
        <f t="shared" si="66"/>
        <v/>
      </c>
      <c r="AM207" s="22" t="str">
        <f t="shared" si="66"/>
        <v/>
      </c>
      <c r="AN207" s="22" t="str">
        <f t="shared" si="66"/>
        <v/>
      </c>
      <c r="AO207" s="22" t="str">
        <f t="shared" si="66"/>
        <v/>
      </c>
      <c r="AP207" s="22" t="str">
        <f t="shared" si="66"/>
        <v/>
      </c>
      <c r="AQ207" s="22" t="str">
        <f t="shared" si="66"/>
        <v/>
      </c>
      <c r="AR207" s="22" t="str">
        <f t="shared" si="66"/>
        <v/>
      </c>
      <c r="AS207" s="22" t="str">
        <f t="shared" si="66"/>
        <v/>
      </c>
      <c r="AT207" s="22" t="str">
        <f t="shared" si="66"/>
        <v/>
      </c>
      <c r="AU207" s="22" t="str">
        <f t="shared" si="66"/>
        <v/>
      </c>
      <c r="AV207" s="22" t="str">
        <f t="shared" si="66"/>
        <v/>
      </c>
      <c r="AW207" s="22" t="str">
        <f t="shared" si="66"/>
        <v/>
      </c>
      <c r="AX207" s="22" t="str">
        <f t="shared" si="66"/>
        <v/>
      </c>
      <c r="AY207" s="22" t="str">
        <f t="shared" si="66"/>
        <v/>
      </c>
      <c r="AZ207" s="22" t="str">
        <f t="shared" si="66"/>
        <v/>
      </c>
      <c r="BA207" s="22" t="str">
        <f t="shared" si="66"/>
        <v/>
      </c>
      <c r="BB207" s="22" t="str">
        <f t="shared" si="66"/>
        <v/>
      </c>
      <c r="BC207" s="22" t="str">
        <f t="shared" si="66"/>
        <v/>
      </c>
      <c r="BD207" s="22" t="str">
        <f t="shared" si="66"/>
        <v/>
      </c>
      <c r="BE207" s="22" t="str">
        <f t="shared" si="66"/>
        <v/>
      </c>
      <c r="BF207" s="22" t="str">
        <f t="shared" si="66"/>
        <v/>
      </c>
      <c r="BG207" s="22" t="str">
        <f t="shared" si="66"/>
        <v/>
      </c>
    </row>
    <row r="208" spans="1:59" s="23" customFormat="1" ht="15" hidden="1" customHeight="1" x14ac:dyDescent="0.2">
      <c r="A208" s="26" t="s">
        <v>69</v>
      </c>
      <c r="B208" s="29" t="s">
        <v>74</v>
      </c>
      <c r="C208" s="30" t="s">
        <v>0</v>
      </c>
      <c r="D208" s="31" t="str">
        <f t="shared" si="3"/>
        <v/>
      </c>
      <c r="E208" s="31" t="str">
        <f t="shared" si="62"/>
        <v/>
      </c>
      <c r="F208" s="31" t="str">
        <f t="shared" si="62"/>
        <v/>
      </c>
      <c r="G208" s="31" t="str">
        <f t="shared" si="62"/>
        <v/>
      </c>
      <c r="H208" s="31" t="str">
        <f t="shared" si="62"/>
        <v/>
      </c>
      <c r="I208" s="31" t="str">
        <f t="shared" si="62"/>
        <v/>
      </c>
      <c r="J208" s="31" t="str">
        <f t="shared" si="62"/>
        <v/>
      </c>
      <c r="K208" s="31" t="str">
        <f t="shared" si="62"/>
        <v/>
      </c>
      <c r="L208" s="31" t="str">
        <f t="shared" si="62"/>
        <v/>
      </c>
      <c r="M208" s="31" t="str">
        <f t="shared" si="62"/>
        <v/>
      </c>
      <c r="N208" s="31" t="str">
        <f t="shared" si="62"/>
        <v/>
      </c>
      <c r="O208" s="31" t="str">
        <f t="shared" si="62"/>
        <v/>
      </c>
      <c r="P208" s="31" t="str">
        <f t="shared" si="62"/>
        <v/>
      </c>
      <c r="Q208" s="31" t="str">
        <f t="shared" si="62"/>
        <v/>
      </c>
      <c r="R208" s="31" t="str">
        <f t="shared" si="62"/>
        <v/>
      </c>
      <c r="S208" s="31" t="str">
        <f t="shared" si="62"/>
        <v/>
      </c>
      <c r="T208" s="31" t="str">
        <f t="shared" si="62"/>
        <v/>
      </c>
      <c r="U208" s="31" t="str">
        <f t="shared" si="62"/>
        <v/>
      </c>
      <c r="V208" s="31" t="str">
        <f t="shared" ref="V208:BG208" si="67">IF(V138=V64,"","*")</f>
        <v/>
      </c>
      <c r="W208" s="31" t="str">
        <f t="shared" si="67"/>
        <v/>
      </c>
      <c r="X208" s="31" t="str">
        <f t="shared" si="67"/>
        <v/>
      </c>
      <c r="Y208" s="31" t="str">
        <f t="shared" si="67"/>
        <v/>
      </c>
      <c r="Z208" s="31" t="str">
        <f t="shared" si="67"/>
        <v/>
      </c>
      <c r="AA208" s="31" t="str">
        <f t="shared" si="67"/>
        <v/>
      </c>
      <c r="AB208" s="31" t="str">
        <f t="shared" si="67"/>
        <v/>
      </c>
      <c r="AC208" s="31" t="str">
        <f t="shared" si="67"/>
        <v/>
      </c>
      <c r="AD208" s="31" t="str">
        <f t="shared" si="67"/>
        <v/>
      </c>
      <c r="AE208" s="31" t="str">
        <f t="shared" si="67"/>
        <v/>
      </c>
      <c r="AF208" s="31" t="str">
        <f t="shared" si="67"/>
        <v/>
      </c>
      <c r="AG208" s="31" t="str">
        <f t="shared" si="67"/>
        <v/>
      </c>
      <c r="AH208" s="31" t="str">
        <f t="shared" si="67"/>
        <v/>
      </c>
      <c r="AI208" s="31" t="str">
        <f t="shared" si="67"/>
        <v/>
      </c>
      <c r="AJ208" s="31" t="str">
        <f t="shared" si="67"/>
        <v/>
      </c>
      <c r="AK208" s="31" t="str">
        <f t="shared" si="67"/>
        <v/>
      </c>
      <c r="AL208" s="31" t="str">
        <f t="shared" si="67"/>
        <v/>
      </c>
      <c r="AM208" s="31" t="str">
        <f t="shared" si="67"/>
        <v/>
      </c>
      <c r="AN208" s="31" t="str">
        <f t="shared" si="67"/>
        <v/>
      </c>
      <c r="AO208" s="31" t="str">
        <f t="shared" si="67"/>
        <v/>
      </c>
      <c r="AP208" s="31" t="str">
        <f t="shared" si="67"/>
        <v/>
      </c>
      <c r="AQ208" s="31" t="str">
        <f t="shared" si="67"/>
        <v/>
      </c>
      <c r="AR208" s="31" t="str">
        <f t="shared" si="67"/>
        <v/>
      </c>
      <c r="AS208" s="31" t="str">
        <f t="shared" si="67"/>
        <v/>
      </c>
      <c r="AT208" s="31" t="str">
        <f t="shared" si="67"/>
        <v/>
      </c>
      <c r="AU208" s="31" t="str">
        <f t="shared" si="67"/>
        <v/>
      </c>
      <c r="AV208" s="31" t="str">
        <f t="shared" si="67"/>
        <v/>
      </c>
      <c r="AW208" s="31" t="str">
        <f t="shared" si="67"/>
        <v/>
      </c>
      <c r="AX208" s="31" t="str">
        <f t="shared" si="67"/>
        <v/>
      </c>
      <c r="AY208" s="31" t="str">
        <f t="shared" si="67"/>
        <v/>
      </c>
      <c r="AZ208" s="31" t="str">
        <f t="shared" si="67"/>
        <v/>
      </c>
      <c r="BA208" s="31" t="str">
        <f t="shared" si="67"/>
        <v/>
      </c>
      <c r="BB208" s="31" t="str">
        <f t="shared" si="67"/>
        <v/>
      </c>
      <c r="BC208" s="31" t="str">
        <f t="shared" si="67"/>
        <v/>
      </c>
      <c r="BD208" s="31" t="str">
        <f t="shared" si="67"/>
        <v/>
      </c>
      <c r="BE208" s="31" t="str">
        <f t="shared" si="67"/>
        <v/>
      </c>
      <c r="BF208" s="31" t="str">
        <f t="shared" si="67"/>
        <v/>
      </c>
      <c r="BG208" s="31" t="str">
        <f t="shared" si="67"/>
        <v/>
      </c>
    </row>
    <row r="209" spans="1:59" s="23" customFormat="1" ht="15" hidden="1" customHeight="1" x14ac:dyDescent="0.2">
      <c r="A209" s="110" t="s">
        <v>20</v>
      </c>
      <c r="B209" s="32" t="s">
        <v>75</v>
      </c>
      <c r="C209" s="33" t="s">
        <v>2</v>
      </c>
      <c r="D209" s="22" t="str">
        <f t="shared" si="3"/>
        <v/>
      </c>
      <c r="E209" s="22" t="str">
        <f t="shared" si="62"/>
        <v/>
      </c>
      <c r="F209" s="22" t="str">
        <f t="shared" si="62"/>
        <v/>
      </c>
      <c r="G209" s="22" t="str">
        <f t="shared" si="62"/>
        <v/>
      </c>
      <c r="H209" s="22" t="str">
        <f t="shared" si="62"/>
        <v/>
      </c>
      <c r="I209" s="22" t="str">
        <f t="shared" si="62"/>
        <v/>
      </c>
      <c r="J209" s="22" t="str">
        <f t="shared" si="62"/>
        <v/>
      </c>
      <c r="K209" s="22" t="str">
        <f t="shared" si="62"/>
        <v/>
      </c>
      <c r="L209" s="22" t="str">
        <f t="shared" si="62"/>
        <v/>
      </c>
      <c r="M209" s="22" t="str">
        <f t="shared" si="62"/>
        <v/>
      </c>
      <c r="N209" s="22" t="str">
        <f t="shared" si="62"/>
        <v/>
      </c>
      <c r="O209" s="22" t="str">
        <f t="shared" si="62"/>
        <v/>
      </c>
      <c r="P209" s="22" t="str">
        <f t="shared" si="62"/>
        <v/>
      </c>
      <c r="Q209" s="22" t="str">
        <f t="shared" si="62"/>
        <v/>
      </c>
      <c r="R209" s="22" t="str">
        <f t="shared" si="62"/>
        <v/>
      </c>
      <c r="S209" s="22" t="str">
        <f t="shared" si="62"/>
        <v/>
      </c>
      <c r="T209" s="22" t="str">
        <f t="shared" si="62"/>
        <v/>
      </c>
      <c r="U209" s="22" t="str">
        <f t="shared" si="62"/>
        <v/>
      </c>
      <c r="V209" s="22" t="str">
        <f t="shared" ref="V209:BG209" si="68">IF(V139=V65,"","*")</f>
        <v/>
      </c>
      <c r="W209" s="22" t="str">
        <f t="shared" si="68"/>
        <v/>
      </c>
      <c r="X209" s="22" t="str">
        <f t="shared" si="68"/>
        <v/>
      </c>
      <c r="Y209" s="22" t="str">
        <f t="shared" si="68"/>
        <v/>
      </c>
      <c r="Z209" s="22" t="str">
        <f t="shared" si="68"/>
        <v/>
      </c>
      <c r="AA209" s="22" t="str">
        <f t="shared" si="68"/>
        <v/>
      </c>
      <c r="AB209" s="22" t="str">
        <f t="shared" si="68"/>
        <v/>
      </c>
      <c r="AC209" s="22" t="str">
        <f t="shared" si="68"/>
        <v/>
      </c>
      <c r="AD209" s="22" t="str">
        <f t="shared" si="68"/>
        <v/>
      </c>
      <c r="AE209" s="22" t="str">
        <f t="shared" si="68"/>
        <v/>
      </c>
      <c r="AF209" s="22" t="str">
        <f t="shared" si="68"/>
        <v/>
      </c>
      <c r="AG209" s="22" t="str">
        <f t="shared" si="68"/>
        <v/>
      </c>
      <c r="AH209" s="22" t="str">
        <f t="shared" si="68"/>
        <v/>
      </c>
      <c r="AI209" s="22" t="str">
        <f t="shared" si="68"/>
        <v/>
      </c>
      <c r="AJ209" s="22" t="str">
        <f t="shared" si="68"/>
        <v/>
      </c>
      <c r="AK209" s="22" t="str">
        <f t="shared" si="68"/>
        <v/>
      </c>
      <c r="AL209" s="22" t="str">
        <f t="shared" si="68"/>
        <v/>
      </c>
      <c r="AM209" s="22" t="str">
        <f t="shared" si="68"/>
        <v/>
      </c>
      <c r="AN209" s="22" t="str">
        <f t="shared" si="68"/>
        <v/>
      </c>
      <c r="AO209" s="22" t="str">
        <f t="shared" si="68"/>
        <v/>
      </c>
      <c r="AP209" s="22" t="str">
        <f t="shared" si="68"/>
        <v/>
      </c>
      <c r="AQ209" s="22" t="str">
        <f t="shared" si="68"/>
        <v/>
      </c>
      <c r="AR209" s="22" t="str">
        <f t="shared" si="68"/>
        <v/>
      </c>
      <c r="AS209" s="22" t="str">
        <f t="shared" si="68"/>
        <v/>
      </c>
      <c r="AT209" s="22" t="str">
        <f t="shared" si="68"/>
        <v/>
      </c>
      <c r="AU209" s="22" t="str">
        <f t="shared" si="68"/>
        <v/>
      </c>
      <c r="AV209" s="22" t="str">
        <f t="shared" si="68"/>
        <v/>
      </c>
      <c r="AW209" s="22" t="str">
        <f t="shared" si="68"/>
        <v/>
      </c>
      <c r="AX209" s="22" t="str">
        <f t="shared" si="68"/>
        <v/>
      </c>
      <c r="AY209" s="22" t="str">
        <f t="shared" si="68"/>
        <v/>
      </c>
      <c r="AZ209" s="22" t="str">
        <f t="shared" si="68"/>
        <v/>
      </c>
      <c r="BA209" s="22" t="str">
        <f t="shared" si="68"/>
        <v/>
      </c>
      <c r="BB209" s="22" t="str">
        <f t="shared" si="68"/>
        <v/>
      </c>
      <c r="BC209" s="22" t="str">
        <f t="shared" si="68"/>
        <v/>
      </c>
      <c r="BD209" s="22" t="str">
        <f t="shared" si="68"/>
        <v/>
      </c>
      <c r="BE209" s="22" t="str">
        <f t="shared" si="68"/>
        <v/>
      </c>
      <c r="BF209" s="22" t="str">
        <f t="shared" si="68"/>
        <v/>
      </c>
      <c r="BG209" s="22" t="str">
        <f t="shared" si="68"/>
        <v/>
      </c>
    </row>
    <row r="210" spans="1:59" s="23" customFormat="1" ht="15" hidden="1" customHeight="1" x14ac:dyDescent="0.2">
      <c r="A210" s="111"/>
      <c r="B210" s="34" t="s">
        <v>76</v>
      </c>
      <c r="C210" s="35" t="s">
        <v>194</v>
      </c>
      <c r="D210" s="22" t="str">
        <f t="shared" si="3"/>
        <v/>
      </c>
      <c r="E210" s="22" t="str">
        <f t="shared" si="62"/>
        <v/>
      </c>
      <c r="F210" s="22" t="str">
        <f t="shared" si="62"/>
        <v/>
      </c>
      <c r="G210" s="22" t="str">
        <f t="shared" si="62"/>
        <v/>
      </c>
      <c r="H210" s="22" t="str">
        <f t="shared" si="62"/>
        <v/>
      </c>
      <c r="I210" s="22" t="str">
        <f t="shared" si="62"/>
        <v/>
      </c>
      <c r="J210" s="22" t="str">
        <f t="shared" si="62"/>
        <v/>
      </c>
      <c r="K210" s="22" t="str">
        <f t="shared" si="62"/>
        <v/>
      </c>
      <c r="L210" s="22" t="str">
        <f t="shared" si="62"/>
        <v/>
      </c>
      <c r="M210" s="22" t="str">
        <f t="shared" si="62"/>
        <v/>
      </c>
      <c r="N210" s="22" t="str">
        <f t="shared" si="62"/>
        <v/>
      </c>
      <c r="O210" s="22" t="str">
        <f t="shared" si="62"/>
        <v/>
      </c>
      <c r="P210" s="22" t="str">
        <f t="shared" si="62"/>
        <v/>
      </c>
      <c r="Q210" s="22" t="str">
        <f t="shared" si="62"/>
        <v/>
      </c>
      <c r="R210" s="22" t="str">
        <f t="shared" si="62"/>
        <v/>
      </c>
      <c r="S210" s="22" t="str">
        <f t="shared" si="62"/>
        <v/>
      </c>
      <c r="T210" s="22" t="str">
        <f t="shared" si="62"/>
        <v/>
      </c>
      <c r="U210" s="22" t="str">
        <f t="shared" si="62"/>
        <v/>
      </c>
      <c r="V210" s="22" t="str">
        <f t="shared" ref="V210:BG210" si="69">IF(V140=V66,"","*")</f>
        <v/>
      </c>
      <c r="W210" s="22" t="str">
        <f t="shared" si="69"/>
        <v/>
      </c>
      <c r="X210" s="22" t="str">
        <f t="shared" si="69"/>
        <v/>
      </c>
      <c r="Y210" s="22" t="str">
        <f t="shared" si="69"/>
        <v/>
      </c>
      <c r="Z210" s="22" t="str">
        <f t="shared" si="69"/>
        <v/>
      </c>
      <c r="AA210" s="22" t="str">
        <f t="shared" si="69"/>
        <v/>
      </c>
      <c r="AB210" s="22" t="str">
        <f t="shared" si="69"/>
        <v/>
      </c>
      <c r="AC210" s="22" t="str">
        <f t="shared" si="69"/>
        <v/>
      </c>
      <c r="AD210" s="22" t="str">
        <f t="shared" si="69"/>
        <v/>
      </c>
      <c r="AE210" s="22" t="str">
        <f t="shared" si="69"/>
        <v/>
      </c>
      <c r="AF210" s="22" t="str">
        <f t="shared" si="69"/>
        <v/>
      </c>
      <c r="AG210" s="22" t="str">
        <f t="shared" si="69"/>
        <v/>
      </c>
      <c r="AH210" s="22" t="str">
        <f t="shared" si="69"/>
        <v/>
      </c>
      <c r="AI210" s="22" t="str">
        <f t="shared" si="69"/>
        <v/>
      </c>
      <c r="AJ210" s="22" t="str">
        <f t="shared" si="69"/>
        <v/>
      </c>
      <c r="AK210" s="22" t="str">
        <f t="shared" si="69"/>
        <v/>
      </c>
      <c r="AL210" s="22" t="str">
        <f t="shared" si="69"/>
        <v/>
      </c>
      <c r="AM210" s="22" t="str">
        <f t="shared" si="69"/>
        <v/>
      </c>
      <c r="AN210" s="22" t="str">
        <f t="shared" si="69"/>
        <v/>
      </c>
      <c r="AO210" s="22" t="str">
        <f t="shared" si="69"/>
        <v/>
      </c>
      <c r="AP210" s="22" t="str">
        <f t="shared" si="69"/>
        <v/>
      </c>
      <c r="AQ210" s="22" t="str">
        <f t="shared" si="69"/>
        <v/>
      </c>
      <c r="AR210" s="22" t="str">
        <f t="shared" si="69"/>
        <v/>
      </c>
      <c r="AS210" s="22" t="str">
        <f t="shared" si="69"/>
        <v/>
      </c>
      <c r="AT210" s="22" t="str">
        <f t="shared" si="69"/>
        <v/>
      </c>
      <c r="AU210" s="22" t="str">
        <f t="shared" si="69"/>
        <v/>
      </c>
      <c r="AV210" s="22" t="str">
        <f t="shared" si="69"/>
        <v/>
      </c>
      <c r="AW210" s="22" t="str">
        <f t="shared" si="69"/>
        <v/>
      </c>
      <c r="AX210" s="22" t="str">
        <f t="shared" si="69"/>
        <v/>
      </c>
      <c r="AY210" s="22" t="str">
        <f t="shared" si="69"/>
        <v/>
      </c>
      <c r="AZ210" s="22" t="str">
        <f t="shared" si="69"/>
        <v/>
      </c>
      <c r="BA210" s="22" t="str">
        <f t="shared" si="69"/>
        <v/>
      </c>
      <c r="BB210" s="22" t="str">
        <f t="shared" si="69"/>
        <v/>
      </c>
      <c r="BC210" s="22" t="str">
        <f t="shared" si="69"/>
        <v/>
      </c>
      <c r="BD210" s="22" t="str">
        <f t="shared" si="69"/>
        <v/>
      </c>
      <c r="BE210" s="22" t="str">
        <f t="shared" si="69"/>
        <v/>
      </c>
      <c r="BF210" s="22" t="str">
        <f t="shared" si="69"/>
        <v/>
      </c>
      <c r="BG210" s="22" t="str">
        <f t="shared" si="69"/>
        <v/>
      </c>
    </row>
    <row r="211" spans="1:59" s="23" customFormat="1" ht="15" hidden="1" customHeight="1" x14ac:dyDescent="0.2">
      <c r="A211" s="26" t="s">
        <v>70</v>
      </c>
      <c r="B211" s="29" t="s">
        <v>74</v>
      </c>
      <c r="C211" s="30" t="s">
        <v>0</v>
      </c>
      <c r="D211" s="31" t="str">
        <f t="shared" si="3"/>
        <v/>
      </c>
      <c r="E211" s="31" t="str">
        <f t="shared" si="62"/>
        <v/>
      </c>
      <c r="F211" s="31" t="str">
        <f t="shared" si="62"/>
        <v/>
      </c>
      <c r="G211" s="31" t="str">
        <f t="shared" si="62"/>
        <v/>
      </c>
      <c r="H211" s="31" t="str">
        <f t="shared" si="62"/>
        <v/>
      </c>
      <c r="I211" s="31" t="str">
        <f t="shared" si="62"/>
        <v/>
      </c>
      <c r="J211" s="31" t="str">
        <f t="shared" si="62"/>
        <v/>
      </c>
      <c r="K211" s="31" t="str">
        <f t="shared" si="62"/>
        <v/>
      </c>
      <c r="L211" s="31" t="str">
        <f t="shared" si="62"/>
        <v/>
      </c>
      <c r="M211" s="31" t="str">
        <f t="shared" si="62"/>
        <v/>
      </c>
      <c r="N211" s="31" t="str">
        <f t="shared" si="62"/>
        <v/>
      </c>
      <c r="O211" s="31" t="str">
        <f t="shared" si="62"/>
        <v/>
      </c>
      <c r="P211" s="31" t="str">
        <f t="shared" si="62"/>
        <v/>
      </c>
      <c r="Q211" s="31" t="str">
        <f t="shared" si="62"/>
        <v/>
      </c>
      <c r="R211" s="31" t="str">
        <f t="shared" si="62"/>
        <v/>
      </c>
      <c r="S211" s="31" t="str">
        <f t="shared" si="62"/>
        <v/>
      </c>
      <c r="T211" s="31" t="str">
        <f t="shared" ref="E211:U219" si="70">IF(T141=T67,"","*")</f>
        <v/>
      </c>
      <c r="U211" s="31" t="str">
        <f t="shared" si="70"/>
        <v/>
      </c>
      <c r="V211" s="31" t="str">
        <f t="shared" ref="V211:BG211" si="71">IF(V141=V67,"","*")</f>
        <v/>
      </c>
      <c r="W211" s="31" t="str">
        <f t="shared" si="71"/>
        <v/>
      </c>
      <c r="X211" s="31" t="str">
        <f t="shared" si="71"/>
        <v/>
      </c>
      <c r="Y211" s="31" t="str">
        <f t="shared" si="71"/>
        <v/>
      </c>
      <c r="Z211" s="31" t="str">
        <f t="shared" si="71"/>
        <v/>
      </c>
      <c r="AA211" s="31" t="str">
        <f t="shared" si="71"/>
        <v/>
      </c>
      <c r="AB211" s="31" t="str">
        <f t="shared" si="71"/>
        <v/>
      </c>
      <c r="AC211" s="31" t="str">
        <f t="shared" si="71"/>
        <v/>
      </c>
      <c r="AD211" s="31" t="str">
        <f t="shared" si="71"/>
        <v/>
      </c>
      <c r="AE211" s="31" t="str">
        <f t="shared" si="71"/>
        <v/>
      </c>
      <c r="AF211" s="31" t="str">
        <f t="shared" si="71"/>
        <v/>
      </c>
      <c r="AG211" s="31" t="str">
        <f t="shared" si="71"/>
        <v/>
      </c>
      <c r="AH211" s="31" t="str">
        <f t="shared" si="71"/>
        <v/>
      </c>
      <c r="AI211" s="31" t="str">
        <f t="shared" si="71"/>
        <v/>
      </c>
      <c r="AJ211" s="31" t="str">
        <f t="shared" si="71"/>
        <v/>
      </c>
      <c r="AK211" s="31" t="str">
        <f t="shared" si="71"/>
        <v/>
      </c>
      <c r="AL211" s="31" t="str">
        <f t="shared" si="71"/>
        <v/>
      </c>
      <c r="AM211" s="31" t="str">
        <f t="shared" si="71"/>
        <v/>
      </c>
      <c r="AN211" s="31" t="str">
        <f t="shared" si="71"/>
        <v/>
      </c>
      <c r="AO211" s="31" t="str">
        <f t="shared" si="71"/>
        <v/>
      </c>
      <c r="AP211" s="31" t="str">
        <f t="shared" si="71"/>
        <v/>
      </c>
      <c r="AQ211" s="31" t="str">
        <f t="shared" si="71"/>
        <v/>
      </c>
      <c r="AR211" s="31" t="str">
        <f t="shared" si="71"/>
        <v/>
      </c>
      <c r="AS211" s="31" t="str">
        <f t="shared" si="71"/>
        <v/>
      </c>
      <c r="AT211" s="31" t="str">
        <f t="shared" si="71"/>
        <v/>
      </c>
      <c r="AU211" s="31" t="str">
        <f t="shared" si="71"/>
        <v/>
      </c>
      <c r="AV211" s="31" t="str">
        <f t="shared" si="71"/>
        <v/>
      </c>
      <c r="AW211" s="31" t="str">
        <f t="shared" si="71"/>
        <v/>
      </c>
      <c r="AX211" s="31" t="str">
        <f t="shared" si="71"/>
        <v/>
      </c>
      <c r="AY211" s="31" t="str">
        <f t="shared" si="71"/>
        <v/>
      </c>
      <c r="AZ211" s="31" t="str">
        <f t="shared" si="71"/>
        <v/>
      </c>
      <c r="BA211" s="31" t="str">
        <f t="shared" si="71"/>
        <v/>
      </c>
      <c r="BB211" s="31" t="str">
        <f t="shared" si="71"/>
        <v/>
      </c>
      <c r="BC211" s="31" t="str">
        <f t="shared" si="71"/>
        <v/>
      </c>
      <c r="BD211" s="31" t="str">
        <f t="shared" si="71"/>
        <v/>
      </c>
      <c r="BE211" s="31" t="str">
        <f t="shared" si="71"/>
        <v/>
      </c>
      <c r="BF211" s="31" t="str">
        <f t="shared" si="71"/>
        <v/>
      </c>
      <c r="BG211" s="31" t="str">
        <f t="shared" si="71"/>
        <v/>
      </c>
    </row>
    <row r="212" spans="1:59" s="23" customFormat="1" ht="15" hidden="1" customHeight="1" x14ac:dyDescent="0.2">
      <c r="A212" s="110" t="s">
        <v>21</v>
      </c>
      <c r="B212" s="32" t="s">
        <v>75</v>
      </c>
      <c r="C212" s="33" t="s">
        <v>2</v>
      </c>
      <c r="D212" s="22" t="str">
        <f t="shared" si="3"/>
        <v/>
      </c>
      <c r="E212" s="22" t="str">
        <f t="shared" si="70"/>
        <v/>
      </c>
      <c r="F212" s="22" t="str">
        <f t="shared" si="70"/>
        <v/>
      </c>
      <c r="G212" s="22" t="str">
        <f t="shared" si="70"/>
        <v/>
      </c>
      <c r="H212" s="22" t="str">
        <f t="shared" si="70"/>
        <v/>
      </c>
      <c r="I212" s="22" t="str">
        <f t="shared" si="70"/>
        <v/>
      </c>
      <c r="J212" s="22" t="str">
        <f t="shared" si="70"/>
        <v/>
      </c>
      <c r="K212" s="22" t="str">
        <f t="shared" si="70"/>
        <v/>
      </c>
      <c r="L212" s="22" t="str">
        <f t="shared" si="70"/>
        <v/>
      </c>
      <c r="M212" s="22" t="str">
        <f t="shared" si="70"/>
        <v/>
      </c>
      <c r="N212" s="22" t="str">
        <f t="shared" si="70"/>
        <v/>
      </c>
      <c r="O212" s="22" t="str">
        <f t="shared" si="70"/>
        <v/>
      </c>
      <c r="P212" s="22" t="str">
        <f t="shared" si="70"/>
        <v/>
      </c>
      <c r="Q212" s="22" t="str">
        <f t="shared" si="70"/>
        <v/>
      </c>
      <c r="R212" s="22" t="str">
        <f t="shared" si="70"/>
        <v/>
      </c>
      <c r="S212" s="22" t="str">
        <f t="shared" si="70"/>
        <v/>
      </c>
      <c r="T212" s="22" t="str">
        <f t="shared" si="70"/>
        <v/>
      </c>
      <c r="U212" s="22" t="str">
        <f t="shared" si="70"/>
        <v/>
      </c>
      <c r="V212" s="22" t="str">
        <f t="shared" ref="V212:BG212" si="72">IF(V142=V68,"","*")</f>
        <v/>
      </c>
      <c r="W212" s="22" t="str">
        <f t="shared" si="72"/>
        <v/>
      </c>
      <c r="X212" s="22" t="str">
        <f t="shared" si="72"/>
        <v/>
      </c>
      <c r="Y212" s="22" t="str">
        <f t="shared" si="72"/>
        <v/>
      </c>
      <c r="Z212" s="22" t="str">
        <f t="shared" si="72"/>
        <v/>
      </c>
      <c r="AA212" s="22" t="str">
        <f t="shared" si="72"/>
        <v/>
      </c>
      <c r="AB212" s="22" t="str">
        <f t="shared" si="72"/>
        <v/>
      </c>
      <c r="AC212" s="22" t="str">
        <f t="shared" si="72"/>
        <v/>
      </c>
      <c r="AD212" s="22" t="str">
        <f t="shared" si="72"/>
        <v/>
      </c>
      <c r="AE212" s="22" t="str">
        <f t="shared" si="72"/>
        <v/>
      </c>
      <c r="AF212" s="22" t="str">
        <f t="shared" si="72"/>
        <v/>
      </c>
      <c r="AG212" s="22" t="str">
        <f t="shared" si="72"/>
        <v/>
      </c>
      <c r="AH212" s="22" t="str">
        <f t="shared" si="72"/>
        <v/>
      </c>
      <c r="AI212" s="22" t="str">
        <f t="shared" si="72"/>
        <v/>
      </c>
      <c r="AJ212" s="22" t="str">
        <f t="shared" si="72"/>
        <v/>
      </c>
      <c r="AK212" s="22" t="str">
        <f t="shared" si="72"/>
        <v/>
      </c>
      <c r="AL212" s="22" t="str">
        <f t="shared" si="72"/>
        <v/>
      </c>
      <c r="AM212" s="22" t="str">
        <f t="shared" si="72"/>
        <v/>
      </c>
      <c r="AN212" s="22" t="str">
        <f t="shared" si="72"/>
        <v/>
      </c>
      <c r="AO212" s="22" t="str">
        <f t="shared" si="72"/>
        <v/>
      </c>
      <c r="AP212" s="22" t="str">
        <f t="shared" si="72"/>
        <v/>
      </c>
      <c r="AQ212" s="22" t="str">
        <f t="shared" si="72"/>
        <v/>
      </c>
      <c r="AR212" s="22" t="str">
        <f t="shared" si="72"/>
        <v/>
      </c>
      <c r="AS212" s="22" t="str">
        <f t="shared" si="72"/>
        <v/>
      </c>
      <c r="AT212" s="22" t="str">
        <f t="shared" si="72"/>
        <v/>
      </c>
      <c r="AU212" s="22" t="str">
        <f t="shared" si="72"/>
        <v/>
      </c>
      <c r="AV212" s="22" t="str">
        <f t="shared" si="72"/>
        <v/>
      </c>
      <c r="AW212" s="22" t="str">
        <f t="shared" si="72"/>
        <v/>
      </c>
      <c r="AX212" s="22" t="str">
        <f t="shared" si="72"/>
        <v/>
      </c>
      <c r="AY212" s="22" t="str">
        <f t="shared" si="72"/>
        <v/>
      </c>
      <c r="AZ212" s="22" t="str">
        <f t="shared" si="72"/>
        <v/>
      </c>
      <c r="BA212" s="22" t="str">
        <f t="shared" si="72"/>
        <v/>
      </c>
      <c r="BB212" s="22" t="str">
        <f t="shared" si="72"/>
        <v/>
      </c>
      <c r="BC212" s="22" t="str">
        <f t="shared" si="72"/>
        <v/>
      </c>
      <c r="BD212" s="22" t="str">
        <f t="shared" si="72"/>
        <v/>
      </c>
      <c r="BE212" s="22" t="str">
        <f t="shared" si="72"/>
        <v/>
      </c>
      <c r="BF212" s="22" t="str">
        <f t="shared" si="72"/>
        <v/>
      </c>
      <c r="BG212" s="22" t="str">
        <f t="shared" si="72"/>
        <v/>
      </c>
    </row>
    <row r="213" spans="1:59" s="23" customFormat="1" ht="15" hidden="1" customHeight="1" x14ac:dyDescent="0.2">
      <c r="A213" s="111"/>
      <c r="B213" s="34" t="s">
        <v>76</v>
      </c>
      <c r="C213" s="35" t="s">
        <v>194</v>
      </c>
      <c r="D213" s="22" t="str">
        <f t="shared" si="3"/>
        <v/>
      </c>
      <c r="E213" s="22" t="str">
        <f t="shared" si="70"/>
        <v/>
      </c>
      <c r="F213" s="22" t="str">
        <f t="shared" si="70"/>
        <v/>
      </c>
      <c r="G213" s="22" t="str">
        <f t="shared" si="70"/>
        <v/>
      </c>
      <c r="H213" s="22" t="str">
        <f t="shared" si="70"/>
        <v/>
      </c>
      <c r="I213" s="22" t="str">
        <f t="shared" si="70"/>
        <v/>
      </c>
      <c r="J213" s="22" t="str">
        <f t="shared" si="70"/>
        <v/>
      </c>
      <c r="K213" s="22" t="str">
        <f t="shared" si="70"/>
        <v/>
      </c>
      <c r="L213" s="22" t="str">
        <f t="shared" si="70"/>
        <v/>
      </c>
      <c r="M213" s="22" t="str">
        <f t="shared" si="70"/>
        <v/>
      </c>
      <c r="N213" s="22" t="str">
        <f t="shared" si="70"/>
        <v/>
      </c>
      <c r="O213" s="22" t="str">
        <f t="shared" si="70"/>
        <v/>
      </c>
      <c r="P213" s="22" t="str">
        <f t="shared" si="70"/>
        <v/>
      </c>
      <c r="Q213" s="22" t="str">
        <f t="shared" si="70"/>
        <v/>
      </c>
      <c r="R213" s="22" t="str">
        <f t="shared" si="70"/>
        <v/>
      </c>
      <c r="S213" s="22" t="str">
        <f t="shared" si="70"/>
        <v/>
      </c>
      <c r="T213" s="22" t="str">
        <f t="shared" si="70"/>
        <v/>
      </c>
      <c r="U213" s="22" t="str">
        <f t="shared" si="70"/>
        <v/>
      </c>
      <c r="V213" s="22" t="str">
        <f t="shared" ref="V213:BG213" si="73">IF(V143=V69,"","*")</f>
        <v/>
      </c>
      <c r="W213" s="22" t="str">
        <f t="shared" si="73"/>
        <v/>
      </c>
      <c r="X213" s="22" t="str">
        <f t="shared" si="73"/>
        <v/>
      </c>
      <c r="Y213" s="22" t="str">
        <f t="shared" si="73"/>
        <v/>
      </c>
      <c r="Z213" s="22" t="str">
        <f t="shared" si="73"/>
        <v/>
      </c>
      <c r="AA213" s="22" t="str">
        <f t="shared" si="73"/>
        <v/>
      </c>
      <c r="AB213" s="22" t="str">
        <f t="shared" si="73"/>
        <v/>
      </c>
      <c r="AC213" s="22" t="str">
        <f t="shared" si="73"/>
        <v/>
      </c>
      <c r="AD213" s="22" t="str">
        <f t="shared" si="73"/>
        <v/>
      </c>
      <c r="AE213" s="22" t="str">
        <f t="shared" si="73"/>
        <v/>
      </c>
      <c r="AF213" s="22" t="str">
        <f t="shared" si="73"/>
        <v/>
      </c>
      <c r="AG213" s="22" t="str">
        <f t="shared" si="73"/>
        <v/>
      </c>
      <c r="AH213" s="22" t="str">
        <f t="shared" si="73"/>
        <v/>
      </c>
      <c r="AI213" s="22" t="str">
        <f t="shared" si="73"/>
        <v/>
      </c>
      <c r="AJ213" s="22" t="str">
        <f t="shared" si="73"/>
        <v/>
      </c>
      <c r="AK213" s="22" t="str">
        <f t="shared" si="73"/>
        <v/>
      </c>
      <c r="AL213" s="22" t="str">
        <f t="shared" si="73"/>
        <v/>
      </c>
      <c r="AM213" s="22" t="str">
        <f t="shared" si="73"/>
        <v/>
      </c>
      <c r="AN213" s="22" t="str">
        <f t="shared" si="73"/>
        <v/>
      </c>
      <c r="AO213" s="22" t="str">
        <f t="shared" si="73"/>
        <v/>
      </c>
      <c r="AP213" s="22" t="str">
        <f t="shared" si="73"/>
        <v/>
      </c>
      <c r="AQ213" s="22" t="str">
        <f t="shared" si="73"/>
        <v/>
      </c>
      <c r="AR213" s="22" t="str">
        <f t="shared" si="73"/>
        <v/>
      </c>
      <c r="AS213" s="22" t="str">
        <f t="shared" si="73"/>
        <v/>
      </c>
      <c r="AT213" s="22" t="str">
        <f t="shared" si="73"/>
        <v/>
      </c>
      <c r="AU213" s="22" t="str">
        <f t="shared" si="73"/>
        <v/>
      </c>
      <c r="AV213" s="22" t="str">
        <f t="shared" si="73"/>
        <v/>
      </c>
      <c r="AW213" s="22" t="str">
        <f t="shared" si="73"/>
        <v/>
      </c>
      <c r="AX213" s="22" t="str">
        <f t="shared" si="73"/>
        <v/>
      </c>
      <c r="AY213" s="22" t="str">
        <f t="shared" si="73"/>
        <v/>
      </c>
      <c r="AZ213" s="22" t="str">
        <f t="shared" si="73"/>
        <v/>
      </c>
      <c r="BA213" s="22" t="str">
        <f t="shared" si="73"/>
        <v/>
      </c>
      <c r="BB213" s="22" t="str">
        <f t="shared" si="73"/>
        <v/>
      </c>
      <c r="BC213" s="22" t="str">
        <f t="shared" si="73"/>
        <v/>
      </c>
      <c r="BD213" s="22" t="str">
        <f t="shared" si="73"/>
        <v/>
      </c>
      <c r="BE213" s="22" t="str">
        <f t="shared" si="73"/>
        <v/>
      </c>
      <c r="BF213" s="22" t="str">
        <f t="shared" si="73"/>
        <v/>
      </c>
      <c r="BG213" s="22" t="str">
        <f t="shared" si="73"/>
        <v/>
      </c>
    </row>
    <row r="214" spans="1:59" s="23" customFormat="1" ht="15" hidden="1" customHeight="1" x14ac:dyDescent="0.2">
      <c r="A214" s="26" t="s">
        <v>71</v>
      </c>
      <c r="B214" s="29" t="s">
        <v>74</v>
      </c>
      <c r="C214" s="30" t="s">
        <v>0</v>
      </c>
      <c r="D214" s="31" t="str">
        <f t="shared" si="3"/>
        <v/>
      </c>
      <c r="E214" s="31" t="str">
        <f t="shared" si="70"/>
        <v/>
      </c>
      <c r="F214" s="31" t="str">
        <f t="shared" si="70"/>
        <v/>
      </c>
      <c r="G214" s="31" t="str">
        <f t="shared" si="70"/>
        <v/>
      </c>
      <c r="H214" s="31" t="str">
        <f t="shared" si="70"/>
        <v/>
      </c>
      <c r="I214" s="31" t="str">
        <f t="shared" si="70"/>
        <v/>
      </c>
      <c r="J214" s="31" t="str">
        <f t="shared" si="70"/>
        <v/>
      </c>
      <c r="K214" s="31" t="str">
        <f t="shared" si="70"/>
        <v/>
      </c>
      <c r="L214" s="31" t="str">
        <f t="shared" si="70"/>
        <v/>
      </c>
      <c r="M214" s="31" t="str">
        <f t="shared" si="70"/>
        <v/>
      </c>
      <c r="N214" s="31" t="str">
        <f t="shared" si="70"/>
        <v/>
      </c>
      <c r="O214" s="31" t="str">
        <f t="shared" si="70"/>
        <v/>
      </c>
      <c r="P214" s="31" t="str">
        <f t="shared" si="70"/>
        <v/>
      </c>
      <c r="Q214" s="31" t="str">
        <f t="shared" si="70"/>
        <v/>
      </c>
      <c r="R214" s="31" t="str">
        <f t="shared" si="70"/>
        <v/>
      </c>
      <c r="S214" s="31" t="str">
        <f t="shared" si="70"/>
        <v/>
      </c>
      <c r="T214" s="31" t="str">
        <f t="shared" si="70"/>
        <v/>
      </c>
      <c r="U214" s="31" t="str">
        <f t="shared" si="70"/>
        <v/>
      </c>
      <c r="V214" s="31" t="str">
        <f t="shared" ref="V214:BG214" si="74">IF(V144=V70,"","*")</f>
        <v/>
      </c>
      <c r="W214" s="31" t="str">
        <f t="shared" si="74"/>
        <v/>
      </c>
      <c r="X214" s="31" t="str">
        <f t="shared" si="74"/>
        <v/>
      </c>
      <c r="Y214" s="31" t="str">
        <f t="shared" si="74"/>
        <v/>
      </c>
      <c r="Z214" s="31" t="str">
        <f t="shared" si="74"/>
        <v/>
      </c>
      <c r="AA214" s="31" t="str">
        <f t="shared" si="74"/>
        <v/>
      </c>
      <c r="AB214" s="31" t="str">
        <f t="shared" si="74"/>
        <v/>
      </c>
      <c r="AC214" s="31" t="str">
        <f t="shared" si="74"/>
        <v/>
      </c>
      <c r="AD214" s="31" t="str">
        <f t="shared" si="74"/>
        <v/>
      </c>
      <c r="AE214" s="31" t="str">
        <f t="shared" si="74"/>
        <v/>
      </c>
      <c r="AF214" s="31" t="str">
        <f t="shared" si="74"/>
        <v/>
      </c>
      <c r="AG214" s="31" t="str">
        <f t="shared" si="74"/>
        <v/>
      </c>
      <c r="AH214" s="31" t="str">
        <f t="shared" si="74"/>
        <v/>
      </c>
      <c r="AI214" s="31" t="str">
        <f t="shared" si="74"/>
        <v/>
      </c>
      <c r="AJ214" s="31" t="str">
        <f t="shared" si="74"/>
        <v/>
      </c>
      <c r="AK214" s="31" t="str">
        <f t="shared" si="74"/>
        <v/>
      </c>
      <c r="AL214" s="31" t="str">
        <f t="shared" si="74"/>
        <v/>
      </c>
      <c r="AM214" s="31" t="str">
        <f t="shared" si="74"/>
        <v/>
      </c>
      <c r="AN214" s="31" t="str">
        <f t="shared" si="74"/>
        <v/>
      </c>
      <c r="AO214" s="31" t="str">
        <f t="shared" si="74"/>
        <v/>
      </c>
      <c r="AP214" s="31" t="str">
        <f t="shared" si="74"/>
        <v/>
      </c>
      <c r="AQ214" s="31" t="str">
        <f t="shared" si="74"/>
        <v>*</v>
      </c>
      <c r="AR214" s="31" t="str">
        <f t="shared" si="74"/>
        <v/>
      </c>
      <c r="AS214" s="31" t="str">
        <f t="shared" si="74"/>
        <v/>
      </c>
      <c r="AT214" s="31" t="str">
        <f t="shared" si="74"/>
        <v/>
      </c>
      <c r="AU214" s="31" t="str">
        <f t="shared" si="74"/>
        <v/>
      </c>
      <c r="AV214" s="31" t="str">
        <f t="shared" si="74"/>
        <v/>
      </c>
      <c r="AW214" s="31" t="str">
        <f t="shared" si="74"/>
        <v>*</v>
      </c>
      <c r="AX214" s="31" t="str">
        <f t="shared" si="74"/>
        <v/>
      </c>
      <c r="AY214" s="31" t="str">
        <f t="shared" si="74"/>
        <v/>
      </c>
      <c r="AZ214" s="31" t="str">
        <f t="shared" si="74"/>
        <v>*</v>
      </c>
      <c r="BA214" s="31" t="str">
        <f t="shared" si="74"/>
        <v/>
      </c>
      <c r="BB214" s="31" t="str">
        <f t="shared" si="74"/>
        <v/>
      </c>
      <c r="BC214" s="31" t="str">
        <f t="shared" si="74"/>
        <v>*</v>
      </c>
      <c r="BD214" s="31" t="str">
        <f t="shared" si="74"/>
        <v/>
      </c>
      <c r="BE214" s="31" t="str">
        <f t="shared" si="74"/>
        <v/>
      </c>
      <c r="BF214" s="31" t="str">
        <f t="shared" si="74"/>
        <v/>
      </c>
      <c r="BG214" s="31" t="str">
        <f t="shared" si="74"/>
        <v/>
      </c>
    </row>
    <row r="215" spans="1:59" s="23" customFormat="1" ht="15" hidden="1" customHeight="1" x14ac:dyDescent="0.2">
      <c r="A215" s="110" t="s">
        <v>22</v>
      </c>
      <c r="B215" s="32" t="s">
        <v>75</v>
      </c>
      <c r="C215" s="33" t="s">
        <v>2</v>
      </c>
      <c r="D215" s="22" t="str">
        <f t="shared" si="3"/>
        <v/>
      </c>
      <c r="E215" s="22" t="str">
        <f t="shared" si="70"/>
        <v/>
      </c>
      <c r="F215" s="22" t="str">
        <f t="shared" si="70"/>
        <v/>
      </c>
      <c r="G215" s="22" t="str">
        <f t="shared" si="70"/>
        <v/>
      </c>
      <c r="H215" s="22" t="str">
        <f t="shared" si="70"/>
        <v/>
      </c>
      <c r="I215" s="22" t="str">
        <f t="shared" si="70"/>
        <v/>
      </c>
      <c r="J215" s="22" t="str">
        <f t="shared" si="70"/>
        <v/>
      </c>
      <c r="K215" s="22" t="str">
        <f t="shared" si="70"/>
        <v/>
      </c>
      <c r="L215" s="22" t="str">
        <f t="shared" si="70"/>
        <v/>
      </c>
      <c r="M215" s="22" t="str">
        <f t="shared" si="70"/>
        <v/>
      </c>
      <c r="N215" s="22" t="str">
        <f t="shared" si="70"/>
        <v/>
      </c>
      <c r="O215" s="22" t="str">
        <f t="shared" si="70"/>
        <v/>
      </c>
      <c r="P215" s="22" t="str">
        <f t="shared" si="70"/>
        <v/>
      </c>
      <c r="Q215" s="22" t="str">
        <f t="shared" si="70"/>
        <v/>
      </c>
      <c r="R215" s="22" t="str">
        <f t="shared" si="70"/>
        <v/>
      </c>
      <c r="S215" s="22" t="str">
        <f t="shared" si="70"/>
        <v/>
      </c>
      <c r="T215" s="22" t="str">
        <f t="shared" si="70"/>
        <v/>
      </c>
      <c r="U215" s="22" t="str">
        <f t="shared" si="70"/>
        <v/>
      </c>
      <c r="V215" s="22" t="str">
        <f t="shared" ref="V215:BG215" si="75">IF(V145=V71,"","*")</f>
        <v/>
      </c>
      <c r="W215" s="22" t="str">
        <f t="shared" si="75"/>
        <v/>
      </c>
      <c r="X215" s="22" t="str">
        <f t="shared" si="75"/>
        <v/>
      </c>
      <c r="Y215" s="22" t="str">
        <f t="shared" si="75"/>
        <v/>
      </c>
      <c r="Z215" s="22" t="str">
        <f t="shared" si="75"/>
        <v/>
      </c>
      <c r="AA215" s="22" t="str">
        <f t="shared" si="75"/>
        <v/>
      </c>
      <c r="AB215" s="22" t="str">
        <f t="shared" si="75"/>
        <v/>
      </c>
      <c r="AC215" s="22" t="str">
        <f t="shared" si="75"/>
        <v/>
      </c>
      <c r="AD215" s="22" t="str">
        <f t="shared" si="75"/>
        <v/>
      </c>
      <c r="AE215" s="22" t="str">
        <f t="shared" si="75"/>
        <v/>
      </c>
      <c r="AF215" s="22" t="str">
        <f t="shared" si="75"/>
        <v/>
      </c>
      <c r="AG215" s="22" t="str">
        <f t="shared" si="75"/>
        <v/>
      </c>
      <c r="AH215" s="22" t="str">
        <f t="shared" si="75"/>
        <v/>
      </c>
      <c r="AI215" s="22" t="str">
        <f t="shared" si="75"/>
        <v/>
      </c>
      <c r="AJ215" s="22" t="str">
        <f t="shared" si="75"/>
        <v/>
      </c>
      <c r="AK215" s="22" t="str">
        <f t="shared" si="75"/>
        <v/>
      </c>
      <c r="AL215" s="22" t="str">
        <f t="shared" si="75"/>
        <v/>
      </c>
      <c r="AM215" s="22" t="str">
        <f t="shared" si="75"/>
        <v/>
      </c>
      <c r="AN215" s="22" t="str">
        <f t="shared" si="75"/>
        <v/>
      </c>
      <c r="AO215" s="22" t="str">
        <f t="shared" si="75"/>
        <v/>
      </c>
      <c r="AP215" s="22" t="str">
        <f t="shared" si="75"/>
        <v/>
      </c>
      <c r="AQ215" s="22" t="str">
        <f t="shared" si="75"/>
        <v>*</v>
      </c>
      <c r="AR215" s="22" t="str">
        <f t="shared" si="75"/>
        <v/>
      </c>
      <c r="AS215" s="22" t="str">
        <f t="shared" si="75"/>
        <v/>
      </c>
      <c r="AT215" s="22" t="str">
        <f t="shared" si="75"/>
        <v/>
      </c>
      <c r="AU215" s="22" t="str">
        <f t="shared" si="75"/>
        <v/>
      </c>
      <c r="AV215" s="22" t="str">
        <f t="shared" si="75"/>
        <v/>
      </c>
      <c r="AW215" s="22" t="str">
        <f t="shared" si="75"/>
        <v>*</v>
      </c>
      <c r="AX215" s="22" t="str">
        <f t="shared" si="75"/>
        <v/>
      </c>
      <c r="AY215" s="22" t="str">
        <f t="shared" si="75"/>
        <v/>
      </c>
      <c r="AZ215" s="22" t="str">
        <f t="shared" si="75"/>
        <v>*</v>
      </c>
      <c r="BA215" s="22" t="str">
        <f t="shared" si="75"/>
        <v/>
      </c>
      <c r="BB215" s="22" t="str">
        <f t="shared" si="75"/>
        <v/>
      </c>
      <c r="BC215" s="22" t="str">
        <f t="shared" si="75"/>
        <v>*</v>
      </c>
      <c r="BD215" s="22" t="str">
        <f t="shared" si="75"/>
        <v/>
      </c>
      <c r="BE215" s="22" t="str">
        <f t="shared" si="75"/>
        <v/>
      </c>
      <c r="BF215" s="22" t="str">
        <f t="shared" si="75"/>
        <v/>
      </c>
      <c r="BG215" s="22" t="str">
        <f t="shared" si="75"/>
        <v/>
      </c>
    </row>
    <row r="216" spans="1:59" s="23" customFormat="1" ht="15" hidden="1" customHeight="1" x14ac:dyDescent="0.2">
      <c r="A216" s="111"/>
      <c r="B216" s="34" t="s">
        <v>76</v>
      </c>
      <c r="C216" s="35" t="s">
        <v>194</v>
      </c>
      <c r="D216" s="22" t="str">
        <f t="shared" ref="D216:S219" si="76">IF(D146=D72,"","*")</f>
        <v/>
      </c>
      <c r="E216" s="22" t="str">
        <f t="shared" si="76"/>
        <v/>
      </c>
      <c r="F216" s="22" t="str">
        <f t="shared" si="76"/>
        <v/>
      </c>
      <c r="G216" s="22" t="str">
        <f t="shared" si="76"/>
        <v/>
      </c>
      <c r="H216" s="22" t="str">
        <f t="shared" si="76"/>
        <v/>
      </c>
      <c r="I216" s="22" t="str">
        <f t="shared" si="76"/>
        <v/>
      </c>
      <c r="J216" s="22" t="str">
        <f t="shared" si="76"/>
        <v/>
      </c>
      <c r="K216" s="22" t="str">
        <f t="shared" si="76"/>
        <v/>
      </c>
      <c r="L216" s="22" t="str">
        <f t="shared" si="76"/>
        <v/>
      </c>
      <c r="M216" s="22" t="str">
        <f t="shared" si="76"/>
        <v/>
      </c>
      <c r="N216" s="22" t="str">
        <f t="shared" si="76"/>
        <v/>
      </c>
      <c r="O216" s="22" t="str">
        <f t="shared" si="76"/>
        <v/>
      </c>
      <c r="P216" s="22" t="str">
        <f t="shared" si="76"/>
        <v/>
      </c>
      <c r="Q216" s="22" t="str">
        <f t="shared" si="76"/>
        <v/>
      </c>
      <c r="R216" s="22" t="str">
        <f t="shared" si="76"/>
        <v/>
      </c>
      <c r="S216" s="22" t="str">
        <f t="shared" si="76"/>
        <v/>
      </c>
      <c r="T216" s="22" t="str">
        <f t="shared" si="70"/>
        <v/>
      </c>
      <c r="U216" s="22" t="str">
        <f t="shared" si="70"/>
        <v/>
      </c>
      <c r="V216" s="22" t="str">
        <f t="shared" ref="V216:BG216" si="77">IF(V146=V72,"","*")</f>
        <v/>
      </c>
      <c r="W216" s="22" t="str">
        <f t="shared" si="77"/>
        <v/>
      </c>
      <c r="X216" s="22" t="str">
        <f t="shared" si="77"/>
        <v/>
      </c>
      <c r="Y216" s="22" t="str">
        <f t="shared" si="77"/>
        <v/>
      </c>
      <c r="Z216" s="22" t="str">
        <f t="shared" si="77"/>
        <v/>
      </c>
      <c r="AA216" s="22" t="str">
        <f t="shared" si="77"/>
        <v/>
      </c>
      <c r="AB216" s="22" t="str">
        <f t="shared" si="77"/>
        <v/>
      </c>
      <c r="AC216" s="22" t="str">
        <f t="shared" si="77"/>
        <v/>
      </c>
      <c r="AD216" s="22" t="str">
        <f t="shared" si="77"/>
        <v/>
      </c>
      <c r="AE216" s="22" t="str">
        <f t="shared" si="77"/>
        <v/>
      </c>
      <c r="AF216" s="22" t="str">
        <f t="shared" si="77"/>
        <v/>
      </c>
      <c r="AG216" s="22" t="str">
        <f t="shared" si="77"/>
        <v/>
      </c>
      <c r="AH216" s="22" t="str">
        <f t="shared" si="77"/>
        <v/>
      </c>
      <c r="AI216" s="22" t="str">
        <f t="shared" si="77"/>
        <v/>
      </c>
      <c r="AJ216" s="22" t="str">
        <f t="shared" si="77"/>
        <v/>
      </c>
      <c r="AK216" s="22" t="str">
        <f t="shared" si="77"/>
        <v/>
      </c>
      <c r="AL216" s="22" t="str">
        <f t="shared" si="77"/>
        <v/>
      </c>
      <c r="AM216" s="22" t="str">
        <f t="shared" si="77"/>
        <v/>
      </c>
      <c r="AN216" s="22" t="str">
        <f t="shared" si="77"/>
        <v/>
      </c>
      <c r="AO216" s="22" t="str">
        <f t="shared" si="77"/>
        <v/>
      </c>
      <c r="AP216" s="22" t="str">
        <f t="shared" si="77"/>
        <v/>
      </c>
      <c r="AQ216" s="22" t="str">
        <f t="shared" si="77"/>
        <v/>
      </c>
      <c r="AR216" s="22" t="str">
        <f t="shared" si="77"/>
        <v/>
      </c>
      <c r="AS216" s="22" t="str">
        <f t="shared" si="77"/>
        <v/>
      </c>
      <c r="AT216" s="22" t="str">
        <f t="shared" si="77"/>
        <v/>
      </c>
      <c r="AU216" s="22" t="str">
        <f t="shared" si="77"/>
        <v/>
      </c>
      <c r="AV216" s="22" t="str">
        <f t="shared" si="77"/>
        <v/>
      </c>
      <c r="AW216" s="22" t="str">
        <f t="shared" si="77"/>
        <v/>
      </c>
      <c r="AX216" s="22" t="str">
        <f t="shared" si="77"/>
        <v/>
      </c>
      <c r="AY216" s="22" t="str">
        <f t="shared" si="77"/>
        <v/>
      </c>
      <c r="AZ216" s="22" t="str">
        <f t="shared" si="77"/>
        <v/>
      </c>
      <c r="BA216" s="22" t="str">
        <f t="shared" si="77"/>
        <v/>
      </c>
      <c r="BB216" s="22" t="str">
        <f t="shared" si="77"/>
        <v/>
      </c>
      <c r="BC216" s="22" t="str">
        <f t="shared" si="77"/>
        <v/>
      </c>
      <c r="BD216" s="22" t="str">
        <f t="shared" si="77"/>
        <v/>
      </c>
      <c r="BE216" s="22" t="str">
        <f t="shared" si="77"/>
        <v/>
      </c>
      <c r="BF216" s="22" t="str">
        <f t="shared" si="77"/>
        <v/>
      </c>
      <c r="BG216" s="22" t="str">
        <f t="shared" si="77"/>
        <v/>
      </c>
    </row>
    <row r="217" spans="1:59" s="23" customFormat="1" ht="15" hidden="1" customHeight="1" x14ac:dyDescent="0.2">
      <c r="A217" s="26" t="s">
        <v>72</v>
      </c>
      <c r="B217" s="29" t="s">
        <v>74</v>
      </c>
      <c r="C217" s="30" t="s">
        <v>0</v>
      </c>
      <c r="D217" s="31" t="str">
        <f t="shared" si="76"/>
        <v/>
      </c>
      <c r="E217" s="31" t="str">
        <f t="shared" si="70"/>
        <v/>
      </c>
      <c r="F217" s="31" t="str">
        <f t="shared" si="70"/>
        <v/>
      </c>
      <c r="G217" s="31" t="str">
        <f t="shared" si="70"/>
        <v/>
      </c>
      <c r="H217" s="31" t="str">
        <f t="shared" si="70"/>
        <v/>
      </c>
      <c r="I217" s="31" t="str">
        <f t="shared" si="70"/>
        <v/>
      </c>
      <c r="J217" s="31" t="str">
        <f t="shared" si="70"/>
        <v/>
      </c>
      <c r="K217" s="31" t="str">
        <f t="shared" si="70"/>
        <v/>
      </c>
      <c r="L217" s="31" t="str">
        <f t="shared" si="70"/>
        <v/>
      </c>
      <c r="M217" s="31" t="str">
        <f t="shared" si="70"/>
        <v/>
      </c>
      <c r="N217" s="31" t="str">
        <f t="shared" si="70"/>
        <v/>
      </c>
      <c r="O217" s="31" t="str">
        <f t="shared" si="70"/>
        <v/>
      </c>
      <c r="P217" s="31" t="str">
        <f t="shared" si="70"/>
        <v/>
      </c>
      <c r="Q217" s="31" t="str">
        <f t="shared" si="70"/>
        <v/>
      </c>
      <c r="R217" s="31" t="str">
        <f t="shared" si="70"/>
        <v/>
      </c>
      <c r="S217" s="31" t="str">
        <f t="shared" si="70"/>
        <v/>
      </c>
      <c r="T217" s="31" t="str">
        <f t="shared" si="70"/>
        <v/>
      </c>
      <c r="U217" s="31" t="str">
        <f t="shared" si="70"/>
        <v/>
      </c>
      <c r="V217" s="31" t="str">
        <f t="shared" ref="V217:BG217" si="78">IF(V147=V73,"","*")</f>
        <v/>
      </c>
      <c r="W217" s="31" t="str">
        <f t="shared" si="78"/>
        <v/>
      </c>
      <c r="X217" s="31" t="str">
        <f t="shared" si="78"/>
        <v/>
      </c>
      <c r="Y217" s="31" t="str">
        <f t="shared" si="78"/>
        <v/>
      </c>
      <c r="Z217" s="31" t="str">
        <f t="shared" si="78"/>
        <v/>
      </c>
      <c r="AA217" s="31" t="str">
        <f t="shared" si="78"/>
        <v/>
      </c>
      <c r="AB217" s="31" t="str">
        <f t="shared" si="78"/>
        <v/>
      </c>
      <c r="AC217" s="31" t="str">
        <f t="shared" si="78"/>
        <v/>
      </c>
      <c r="AD217" s="31" t="str">
        <f t="shared" si="78"/>
        <v/>
      </c>
      <c r="AE217" s="31" t="str">
        <f t="shared" si="78"/>
        <v/>
      </c>
      <c r="AF217" s="31" t="str">
        <f t="shared" si="78"/>
        <v/>
      </c>
      <c r="AG217" s="31" t="str">
        <f t="shared" si="78"/>
        <v/>
      </c>
      <c r="AH217" s="31" t="str">
        <f t="shared" si="78"/>
        <v/>
      </c>
      <c r="AI217" s="31" t="str">
        <f t="shared" si="78"/>
        <v/>
      </c>
      <c r="AJ217" s="31" t="str">
        <f t="shared" si="78"/>
        <v/>
      </c>
      <c r="AK217" s="31" t="str">
        <f t="shared" si="78"/>
        <v/>
      </c>
      <c r="AL217" s="31" t="str">
        <f t="shared" si="78"/>
        <v/>
      </c>
      <c r="AM217" s="31" t="str">
        <f t="shared" si="78"/>
        <v/>
      </c>
      <c r="AN217" s="31" t="str">
        <f t="shared" si="78"/>
        <v/>
      </c>
      <c r="AO217" s="31" t="str">
        <f t="shared" si="78"/>
        <v/>
      </c>
      <c r="AP217" s="31" t="str">
        <f t="shared" si="78"/>
        <v/>
      </c>
      <c r="AQ217" s="31" t="str">
        <f t="shared" si="78"/>
        <v/>
      </c>
      <c r="AR217" s="31" t="str">
        <f t="shared" si="78"/>
        <v/>
      </c>
      <c r="AS217" s="31" t="str">
        <f t="shared" si="78"/>
        <v/>
      </c>
      <c r="AT217" s="31" t="str">
        <f t="shared" si="78"/>
        <v/>
      </c>
      <c r="AU217" s="31" t="str">
        <f t="shared" si="78"/>
        <v/>
      </c>
      <c r="AV217" s="31" t="str">
        <f t="shared" si="78"/>
        <v/>
      </c>
      <c r="AW217" s="31" t="str">
        <f t="shared" si="78"/>
        <v/>
      </c>
      <c r="AX217" s="31" t="str">
        <f t="shared" si="78"/>
        <v/>
      </c>
      <c r="AY217" s="31" t="str">
        <f t="shared" si="78"/>
        <v/>
      </c>
      <c r="AZ217" s="31" t="str">
        <f t="shared" si="78"/>
        <v/>
      </c>
      <c r="BA217" s="31" t="str">
        <f t="shared" si="78"/>
        <v/>
      </c>
      <c r="BB217" s="31" t="str">
        <f t="shared" si="78"/>
        <v/>
      </c>
      <c r="BC217" s="31" t="str">
        <f t="shared" si="78"/>
        <v/>
      </c>
      <c r="BD217" s="31" t="str">
        <f t="shared" si="78"/>
        <v/>
      </c>
      <c r="BE217" s="31" t="str">
        <f t="shared" si="78"/>
        <v/>
      </c>
      <c r="BF217" s="31" t="str">
        <f t="shared" si="78"/>
        <v/>
      </c>
      <c r="BG217" s="31" t="str">
        <f t="shared" si="78"/>
        <v/>
      </c>
    </row>
    <row r="218" spans="1:59" s="23" customFormat="1" ht="15" hidden="1" customHeight="1" x14ac:dyDescent="0.2">
      <c r="A218" s="110" t="s">
        <v>23</v>
      </c>
      <c r="B218" s="32" t="s">
        <v>75</v>
      </c>
      <c r="C218" s="33" t="s">
        <v>2</v>
      </c>
      <c r="D218" s="22" t="str">
        <f t="shared" si="76"/>
        <v/>
      </c>
      <c r="E218" s="22" t="str">
        <f t="shared" si="70"/>
        <v/>
      </c>
      <c r="F218" s="22" t="str">
        <f t="shared" si="70"/>
        <v/>
      </c>
      <c r="G218" s="22" t="str">
        <f t="shared" si="70"/>
        <v/>
      </c>
      <c r="H218" s="22" t="str">
        <f t="shared" si="70"/>
        <v/>
      </c>
      <c r="I218" s="22" t="str">
        <f t="shared" si="70"/>
        <v/>
      </c>
      <c r="J218" s="22" t="str">
        <f t="shared" si="70"/>
        <v/>
      </c>
      <c r="K218" s="22" t="str">
        <f t="shared" si="70"/>
        <v/>
      </c>
      <c r="L218" s="22" t="str">
        <f t="shared" si="70"/>
        <v/>
      </c>
      <c r="M218" s="22" t="str">
        <f t="shared" si="70"/>
        <v/>
      </c>
      <c r="N218" s="22" t="str">
        <f t="shared" si="70"/>
        <v/>
      </c>
      <c r="O218" s="22" t="str">
        <f t="shared" si="70"/>
        <v/>
      </c>
      <c r="P218" s="22" t="str">
        <f t="shared" si="70"/>
        <v/>
      </c>
      <c r="Q218" s="22" t="str">
        <f t="shared" si="70"/>
        <v/>
      </c>
      <c r="R218" s="22" t="str">
        <f t="shared" si="70"/>
        <v/>
      </c>
      <c r="S218" s="22" t="str">
        <f t="shared" si="70"/>
        <v/>
      </c>
      <c r="T218" s="22" t="str">
        <f t="shared" si="70"/>
        <v/>
      </c>
      <c r="U218" s="22" t="str">
        <f t="shared" si="70"/>
        <v/>
      </c>
      <c r="V218" s="22" t="str">
        <f t="shared" ref="V218:BG218" si="79">IF(V148=V74,"","*")</f>
        <v/>
      </c>
      <c r="W218" s="22" t="str">
        <f t="shared" si="79"/>
        <v/>
      </c>
      <c r="X218" s="22" t="str">
        <f t="shared" si="79"/>
        <v/>
      </c>
      <c r="Y218" s="22" t="str">
        <f t="shared" si="79"/>
        <v/>
      </c>
      <c r="Z218" s="22" t="str">
        <f t="shared" si="79"/>
        <v/>
      </c>
      <c r="AA218" s="22" t="str">
        <f t="shared" si="79"/>
        <v/>
      </c>
      <c r="AB218" s="22" t="str">
        <f t="shared" si="79"/>
        <v/>
      </c>
      <c r="AC218" s="22" t="str">
        <f t="shared" si="79"/>
        <v/>
      </c>
      <c r="AD218" s="22" t="str">
        <f t="shared" si="79"/>
        <v/>
      </c>
      <c r="AE218" s="22" t="str">
        <f t="shared" si="79"/>
        <v/>
      </c>
      <c r="AF218" s="22" t="str">
        <f t="shared" si="79"/>
        <v/>
      </c>
      <c r="AG218" s="22" t="str">
        <f t="shared" si="79"/>
        <v/>
      </c>
      <c r="AH218" s="22" t="str">
        <f t="shared" si="79"/>
        <v/>
      </c>
      <c r="AI218" s="22" t="str">
        <f t="shared" si="79"/>
        <v/>
      </c>
      <c r="AJ218" s="22" t="str">
        <f t="shared" si="79"/>
        <v/>
      </c>
      <c r="AK218" s="22" t="str">
        <f t="shared" si="79"/>
        <v/>
      </c>
      <c r="AL218" s="22" t="str">
        <f t="shared" si="79"/>
        <v/>
      </c>
      <c r="AM218" s="22" t="str">
        <f t="shared" si="79"/>
        <v/>
      </c>
      <c r="AN218" s="22" t="str">
        <f t="shared" si="79"/>
        <v/>
      </c>
      <c r="AO218" s="22" t="str">
        <f t="shared" si="79"/>
        <v/>
      </c>
      <c r="AP218" s="22" t="str">
        <f t="shared" si="79"/>
        <v/>
      </c>
      <c r="AQ218" s="22" t="str">
        <f t="shared" si="79"/>
        <v/>
      </c>
      <c r="AR218" s="22" t="str">
        <f t="shared" si="79"/>
        <v/>
      </c>
      <c r="AS218" s="22" t="str">
        <f t="shared" si="79"/>
        <v/>
      </c>
      <c r="AT218" s="22" t="str">
        <f t="shared" si="79"/>
        <v/>
      </c>
      <c r="AU218" s="22" t="str">
        <f t="shared" si="79"/>
        <v/>
      </c>
      <c r="AV218" s="22" t="str">
        <f t="shared" si="79"/>
        <v/>
      </c>
      <c r="AW218" s="22" t="str">
        <f t="shared" si="79"/>
        <v/>
      </c>
      <c r="AX218" s="22" t="str">
        <f t="shared" si="79"/>
        <v/>
      </c>
      <c r="AY218" s="22" t="str">
        <f t="shared" si="79"/>
        <v/>
      </c>
      <c r="AZ218" s="22" t="str">
        <f t="shared" si="79"/>
        <v/>
      </c>
      <c r="BA218" s="22" t="str">
        <f t="shared" si="79"/>
        <v/>
      </c>
      <c r="BB218" s="22" t="str">
        <f t="shared" si="79"/>
        <v/>
      </c>
      <c r="BC218" s="22" t="str">
        <f t="shared" si="79"/>
        <v/>
      </c>
      <c r="BD218" s="22" t="str">
        <f t="shared" si="79"/>
        <v/>
      </c>
      <c r="BE218" s="22" t="str">
        <f t="shared" si="79"/>
        <v/>
      </c>
      <c r="BF218" s="22" t="str">
        <f t="shared" si="79"/>
        <v/>
      </c>
      <c r="BG218" s="22" t="str">
        <f t="shared" si="79"/>
        <v/>
      </c>
    </row>
    <row r="219" spans="1:59" s="23" customFormat="1" ht="15" hidden="1" customHeight="1" x14ac:dyDescent="0.2">
      <c r="A219" s="111"/>
      <c r="B219" s="34" t="s">
        <v>76</v>
      </c>
      <c r="C219" s="35" t="s">
        <v>194</v>
      </c>
      <c r="D219" s="27" t="str">
        <f t="shared" si="76"/>
        <v/>
      </c>
      <c r="E219" s="27" t="str">
        <f t="shared" si="70"/>
        <v/>
      </c>
      <c r="F219" s="27" t="str">
        <f t="shared" si="70"/>
        <v/>
      </c>
      <c r="G219" s="27" t="str">
        <f t="shared" si="70"/>
        <v/>
      </c>
      <c r="H219" s="27" t="str">
        <f t="shared" si="70"/>
        <v/>
      </c>
      <c r="I219" s="27" t="str">
        <f t="shared" si="70"/>
        <v/>
      </c>
      <c r="J219" s="27" t="str">
        <f t="shared" si="70"/>
        <v/>
      </c>
      <c r="K219" s="27" t="str">
        <f t="shared" si="70"/>
        <v/>
      </c>
      <c r="L219" s="27" t="str">
        <f t="shared" si="70"/>
        <v/>
      </c>
      <c r="M219" s="27" t="str">
        <f t="shared" si="70"/>
        <v/>
      </c>
      <c r="N219" s="27" t="str">
        <f t="shared" si="70"/>
        <v/>
      </c>
      <c r="O219" s="27" t="str">
        <f t="shared" si="70"/>
        <v/>
      </c>
      <c r="P219" s="27" t="str">
        <f t="shared" si="70"/>
        <v/>
      </c>
      <c r="Q219" s="27" t="str">
        <f t="shared" si="70"/>
        <v/>
      </c>
      <c r="R219" s="27" t="str">
        <f t="shared" ref="R219:U219" si="80">IF(R149=R75,"","*")</f>
        <v/>
      </c>
      <c r="S219" s="27" t="str">
        <f t="shared" si="80"/>
        <v/>
      </c>
      <c r="T219" s="27" t="str">
        <f t="shared" si="80"/>
        <v/>
      </c>
      <c r="U219" s="27" t="str">
        <f t="shared" si="80"/>
        <v/>
      </c>
      <c r="V219" s="27" t="str">
        <f t="shared" ref="V219:BG219" si="81">IF(V149=V75,"","*")</f>
        <v/>
      </c>
      <c r="W219" s="27" t="str">
        <f t="shared" si="81"/>
        <v/>
      </c>
      <c r="X219" s="27" t="str">
        <f t="shared" si="81"/>
        <v/>
      </c>
      <c r="Y219" s="27" t="str">
        <f t="shared" si="81"/>
        <v/>
      </c>
      <c r="Z219" s="27" t="str">
        <f t="shared" si="81"/>
        <v/>
      </c>
      <c r="AA219" s="27" t="str">
        <f t="shared" si="81"/>
        <v/>
      </c>
      <c r="AB219" s="27" t="str">
        <f t="shared" si="81"/>
        <v/>
      </c>
      <c r="AC219" s="27" t="str">
        <f t="shared" si="81"/>
        <v/>
      </c>
      <c r="AD219" s="27" t="str">
        <f t="shared" si="81"/>
        <v/>
      </c>
      <c r="AE219" s="27" t="str">
        <f t="shared" si="81"/>
        <v/>
      </c>
      <c r="AF219" s="27" t="str">
        <f t="shared" si="81"/>
        <v/>
      </c>
      <c r="AG219" s="27" t="str">
        <f t="shared" si="81"/>
        <v/>
      </c>
      <c r="AH219" s="27" t="str">
        <f t="shared" si="81"/>
        <v/>
      </c>
      <c r="AI219" s="27" t="str">
        <f t="shared" si="81"/>
        <v/>
      </c>
      <c r="AJ219" s="27" t="str">
        <f t="shared" si="81"/>
        <v/>
      </c>
      <c r="AK219" s="27" t="str">
        <f t="shared" si="81"/>
        <v/>
      </c>
      <c r="AL219" s="27" t="str">
        <f t="shared" si="81"/>
        <v/>
      </c>
      <c r="AM219" s="27" t="str">
        <f t="shared" si="81"/>
        <v/>
      </c>
      <c r="AN219" s="27" t="str">
        <f t="shared" si="81"/>
        <v/>
      </c>
      <c r="AO219" s="27" t="str">
        <f t="shared" si="81"/>
        <v/>
      </c>
      <c r="AP219" s="27" t="str">
        <f t="shared" si="81"/>
        <v/>
      </c>
      <c r="AQ219" s="27" t="str">
        <f t="shared" si="81"/>
        <v/>
      </c>
      <c r="AR219" s="27" t="str">
        <f t="shared" si="81"/>
        <v/>
      </c>
      <c r="AS219" s="27" t="str">
        <f t="shared" si="81"/>
        <v/>
      </c>
      <c r="AT219" s="27" t="str">
        <f t="shared" si="81"/>
        <v/>
      </c>
      <c r="AU219" s="27" t="str">
        <f t="shared" si="81"/>
        <v/>
      </c>
      <c r="AV219" s="27" t="str">
        <f t="shared" si="81"/>
        <v/>
      </c>
      <c r="AW219" s="27" t="str">
        <f t="shared" si="81"/>
        <v/>
      </c>
      <c r="AX219" s="27" t="str">
        <f t="shared" si="81"/>
        <v/>
      </c>
      <c r="AY219" s="27" t="str">
        <f t="shared" si="81"/>
        <v/>
      </c>
      <c r="AZ219" s="27" t="str">
        <f t="shared" si="81"/>
        <v/>
      </c>
      <c r="BA219" s="27" t="str">
        <f t="shared" si="81"/>
        <v/>
      </c>
      <c r="BB219" s="27" t="str">
        <f t="shared" si="81"/>
        <v/>
      </c>
      <c r="BC219" s="27" t="str">
        <f t="shared" si="81"/>
        <v/>
      </c>
      <c r="BD219" s="27" t="str">
        <f t="shared" si="81"/>
        <v/>
      </c>
      <c r="BE219" s="27" t="str">
        <f t="shared" si="81"/>
        <v/>
      </c>
      <c r="BF219" s="27" t="str">
        <f t="shared" si="81"/>
        <v/>
      </c>
      <c r="BG219" s="27" t="str">
        <f t="shared" si="81"/>
        <v/>
      </c>
    </row>
  </sheetData>
  <mergeCells count="139">
    <mergeCell ref="A209:A210"/>
    <mergeCell ref="A212:A213"/>
    <mergeCell ref="A215:A216"/>
    <mergeCell ref="A218:A219"/>
    <mergeCell ref="A194:A195"/>
    <mergeCell ref="A197:A198"/>
    <mergeCell ref="A200:A201"/>
    <mergeCell ref="A203:A204"/>
    <mergeCell ref="A206:A207"/>
    <mergeCell ref="A179:A180"/>
    <mergeCell ref="A182:A183"/>
    <mergeCell ref="A185:A186"/>
    <mergeCell ref="A188:A189"/>
    <mergeCell ref="A191:A192"/>
    <mergeCell ref="A161:A162"/>
    <mergeCell ref="A164:A165"/>
    <mergeCell ref="A167:A168"/>
    <mergeCell ref="A170:A171"/>
    <mergeCell ref="A176:A177"/>
    <mergeCell ref="A145:A146"/>
    <mergeCell ref="A148:A149"/>
    <mergeCell ref="A152:A153"/>
    <mergeCell ref="A155:A156"/>
    <mergeCell ref="A158:A159"/>
    <mergeCell ref="A130:A131"/>
    <mergeCell ref="A133:A134"/>
    <mergeCell ref="A136:A137"/>
    <mergeCell ref="A139:A140"/>
    <mergeCell ref="A142:A143"/>
    <mergeCell ref="A115:A116"/>
    <mergeCell ref="A118:A119"/>
    <mergeCell ref="A121:A122"/>
    <mergeCell ref="A124:A125"/>
    <mergeCell ref="A127:A128"/>
    <mergeCell ref="A97:A98"/>
    <mergeCell ref="A100:A101"/>
    <mergeCell ref="A106:A107"/>
    <mergeCell ref="A109:A110"/>
    <mergeCell ref="A112:A113"/>
    <mergeCell ref="A91:A92"/>
    <mergeCell ref="A94:A95"/>
    <mergeCell ref="A74:A75"/>
    <mergeCell ref="A50:A51"/>
    <mergeCell ref="A53:A54"/>
    <mergeCell ref="A56:A57"/>
    <mergeCell ref="A59:A60"/>
    <mergeCell ref="A62:A63"/>
    <mergeCell ref="A65:A66"/>
    <mergeCell ref="A68:A69"/>
    <mergeCell ref="A71:A72"/>
    <mergeCell ref="A82:A83"/>
    <mergeCell ref="A85:A86"/>
    <mergeCell ref="A88:A89"/>
    <mergeCell ref="I5:I6"/>
    <mergeCell ref="M4:O4"/>
    <mergeCell ref="Q5:Q6"/>
    <mergeCell ref="K5:K6"/>
    <mergeCell ref="L5:L6"/>
    <mergeCell ref="M5:M6"/>
    <mergeCell ref="N5:N6"/>
    <mergeCell ref="O5:O6"/>
    <mergeCell ref="P5:P6"/>
    <mergeCell ref="J4:L4"/>
    <mergeCell ref="H4:I4"/>
    <mergeCell ref="J5:J6"/>
    <mergeCell ref="H5:H6"/>
    <mergeCell ref="A44:A45"/>
    <mergeCell ref="A47:A48"/>
    <mergeCell ref="A32:A33"/>
    <mergeCell ref="A38:A39"/>
    <mergeCell ref="A41:A42"/>
    <mergeCell ref="A8:A9"/>
    <mergeCell ref="A11:A12"/>
    <mergeCell ref="A14:A15"/>
    <mergeCell ref="A35:A36"/>
    <mergeCell ref="A4:C6"/>
    <mergeCell ref="A20:A21"/>
    <mergeCell ref="A23:A24"/>
    <mergeCell ref="A26:A27"/>
    <mergeCell ref="A17:A18"/>
    <mergeCell ref="D4:G4"/>
    <mergeCell ref="D5:D6"/>
    <mergeCell ref="E5:E6"/>
    <mergeCell ref="F5:F6"/>
    <mergeCell ref="G5:G6"/>
    <mergeCell ref="AL5:AL6"/>
    <mergeCell ref="AM5:AM6"/>
    <mergeCell ref="AN5:AN6"/>
    <mergeCell ref="AO5:AO6"/>
    <mergeCell ref="AE4:AG4"/>
    <mergeCell ref="AH4:AJ4"/>
    <mergeCell ref="AK4:AM4"/>
    <mergeCell ref="AN4:AP4"/>
    <mergeCell ref="BC4:BE4"/>
    <mergeCell ref="AY5:AY6"/>
    <mergeCell ref="AW4:AY4"/>
    <mergeCell ref="AE5:AE6"/>
    <mergeCell ref="AF5:AF6"/>
    <mergeCell ref="AG5:AG6"/>
    <mergeCell ref="AH5:AH6"/>
    <mergeCell ref="AI5:AI6"/>
    <mergeCell ref="AJ5:AJ6"/>
    <mergeCell ref="AK5:AK6"/>
    <mergeCell ref="AP5:AP6"/>
    <mergeCell ref="AQ5:AQ6"/>
    <mergeCell ref="AR5:AR6"/>
    <mergeCell ref="R5:R6"/>
    <mergeCell ref="S5:S6"/>
    <mergeCell ref="T5:T6"/>
    <mergeCell ref="U5:U6"/>
    <mergeCell ref="BC5:BC6"/>
    <mergeCell ref="BD5:BD6"/>
    <mergeCell ref="BE5:BE6"/>
    <mergeCell ref="AZ4:BB4"/>
    <mergeCell ref="AZ5:AZ6"/>
    <mergeCell ref="P4:R4"/>
    <mergeCell ref="S4:U4"/>
    <mergeCell ref="BA5:BA6"/>
    <mergeCell ref="BB5:BB6"/>
    <mergeCell ref="V4:X4"/>
    <mergeCell ref="Y4:AA4"/>
    <mergeCell ref="AB4:AD4"/>
    <mergeCell ref="AS5:AS6"/>
    <mergeCell ref="AT5:AT6"/>
    <mergeCell ref="AU5:AU6"/>
    <mergeCell ref="AV5:AV6"/>
    <mergeCell ref="AQ4:AS4"/>
    <mergeCell ref="AT4:AV4"/>
    <mergeCell ref="AW5:AW6"/>
    <mergeCell ref="AX5:AX6"/>
    <mergeCell ref="V5:V6"/>
    <mergeCell ref="W5:W6"/>
    <mergeCell ref="X5:X6"/>
    <mergeCell ref="Y5:Y6"/>
    <mergeCell ref="Z5:Z6"/>
    <mergeCell ref="AA5:AA6"/>
    <mergeCell ref="AB5:AB6"/>
    <mergeCell ref="AC5:AC6"/>
    <mergeCell ref="AD5:AD6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79"/>
  <sheetViews>
    <sheetView zoomScaleNormal="100" zoomScaleSheetLayoutView="100" workbookViewId="0">
      <pane xSplit="4" ySplit="7" topLeftCell="E56" activePane="bottomRight" state="frozen"/>
      <selection activeCell="L49" sqref="L49"/>
      <selection pane="topRight" activeCell="L49" sqref="L49"/>
      <selection pane="bottomLeft" activeCell="L49" sqref="L49"/>
      <selection pane="bottomRight" activeCell="D7" sqref="D7:AJ75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63" t="s">
        <v>195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AJ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87" t="s">
        <v>164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112" t="s">
        <v>158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10794</v>
      </c>
      <c r="E7" s="68">
        <v>7117</v>
      </c>
      <c r="F7" s="68">
        <v>3606</v>
      </c>
      <c r="G7" s="68">
        <v>71</v>
      </c>
      <c r="H7" s="68">
        <v>3473</v>
      </c>
      <c r="I7" s="68">
        <v>2748</v>
      </c>
      <c r="J7" s="68">
        <v>235</v>
      </c>
      <c r="K7" s="68">
        <v>59</v>
      </c>
      <c r="L7" s="68">
        <v>0</v>
      </c>
      <c r="M7" s="68">
        <v>145</v>
      </c>
      <c r="N7" s="68">
        <v>191</v>
      </c>
      <c r="O7" s="68">
        <v>0</v>
      </c>
      <c r="P7" s="68">
        <v>308</v>
      </c>
      <c r="Q7" s="68">
        <v>93</v>
      </c>
      <c r="R7" s="68">
        <v>0</v>
      </c>
      <c r="S7" s="68">
        <v>307</v>
      </c>
      <c r="T7" s="68">
        <v>66</v>
      </c>
      <c r="U7" s="68">
        <v>1</v>
      </c>
      <c r="V7" s="68">
        <v>110</v>
      </c>
      <c r="W7" s="68">
        <v>5</v>
      </c>
      <c r="X7" s="68">
        <v>0</v>
      </c>
      <c r="Y7" s="68">
        <v>256</v>
      </c>
      <c r="Z7" s="68">
        <v>52</v>
      </c>
      <c r="AA7" s="68">
        <v>0</v>
      </c>
      <c r="AB7" s="68">
        <v>1</v>
      </c>
      <c r="AC7" s="68">
        <v>13</v>
      </c>
      <c r="AD7" s="68">
        <v>0</v>
      </c>
      <c r="AE7" s="68">
        <v>1696</v>
      </c>
      <c r="AF7" s="68">
        <v>248</v>
      </c>
      <c r="AG7" s="68">
        <v>5</v>
      </c>
      <c r="AH7" s="68">
        <v>586</v>
      </c>
      <c r="AI7" s="68">
        <v>131</v>
      </c>
      <c r="AJ7" s="68">
        <v>65</v>
      </c>
    </row>
    <row r="8" spans="1:36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10124</v>
      </c>
      <c r="E8" s="72">
        <v>6684</v>
      </c>
      <c r="F8" s="72">
        <v>3370</v>
      </c>
      <c r="G8" s="72">
        <v>70</v>
      </c>
      <c r="H8" s="72">
        <v>3275</v>
      </c>
      <c r="I8" s="72">
        <v>2572</v>
      </c>
      <c r="J8" s="72">
        <v>214</v>
      </c>
      <c r="K8" s="72">
        <v>53</v>
      </c>
      <c r="L8" s="72">
        <v>0</v>
      </c>
      <c r="M8" s="72">
        <v>133</v>
      </c>
      <c r="N8" s="72">
        <v>176</v>
      </c>
      <c r="O8" s="72">
        <v>0</v>
      </c>
      <c r="P8" s="72">
        <v>257</v>
      </c>
      <c r="Q8" s="72">
        <v>84</v>
      </c>
      <c r="R8" s="72">
        <v>0</v>
      </c>
      <c r="S8" s="72">
        <v>287</v>
      </c>
      <c r="T8" s="72">
        <v>57</v>
      </c>
      <c r="U8" s="72">
        <v>1</v>
      </c>
      <c r="V8" s="72">
        <v>107</v>
      </c>
      <c r="W8" s="72">
        <v>5</v>
      </c>
      <c r="X8" s="72">
        <v>0</v>
      </c>
      <c r="Y8" s="72">
        <v>248</v>
      </c>
      <c r="Z8" s="72">
        <v>52</v>
      </c>
      <c r="AA8" s="72">
        <v>0</v>
      </c>
      <c r="AB8" s="72">
        <v>1</v>
      </c>
      <c r="AC8" s="72">
        <v>13</v>
      </c>
      <c r="AD8" s="72">
        <v>0</v>
      </c>
      <c r="AE8" s="72">
        <v>1621</v>
      </c>
      <c r="AF8" s="72">
        <v>232</v>
      </c>
      <c r="AG8" s="72">
        <v>5</v>
      </c>
      <c r="AH8" s="72">
        <v>541</v>
      </c>
      <c r="AI8" s="72">
        <v>126</v>
      </c>
      <c r="AJ8" s="72">
        <v>64</v>
      </c>
    </row>
    <row r="9" spans="1:36" s="69" customFormat="1" ht="15" customHeight="1" x14ac:dyDescent="0.2">
      <c r="A9" s="109"/>
      <c r="B9" s="70" t="s">
        <v>177</v>
      </c>
      <c r="C9" s="71" t="s">
        <v>194</v>
      </c>
      <c r="D9" s="72">
        <v>670</v>
      </c>
      <c r="E9" s="72">
        <v>433</v>
      </c>
      <c r="F9" s="72">
        <v>236</v>
      </c>
      <c r="G9" s="72">
        <v>1</v>
      </c>
      <c r="H9" s="72">
        <v>198</v>
      </c>
      <c r="I9" s="72">
        <v>176</v>
      </c>
      <c r="J9" s="72">
        <v>21</v>
      </c>
      <c r="K9" s="72">
        <v>6</v>
      </c>
      <c r="L9" s="72">
        <v>0</v>
      </c>
      <c r="M9" s="72">
        <v>12</v>
      </c>
      <c r="N9" s="72">
        <v>15</v>
      </c>
      <c r="O9" s="72">
        <v>0</v>
      </c>
      <c r="P9" s="72">
        <v>51</v>
      </c>
      <c r="Q9" s="72">
        <v>9</v>
      </c>
      <c r="R9" s="72">
        <v>0</v>
      </c>
      <c r="S9" s="72">
        <v>20</v>
      </c>
      <c r="T9" s="72">
        <v>9</v>
      </c>
      <c r="U9" s="72">
        <v>0</v>
      </c>
      <c r="V9" s="72">
        <v>3</v>
      </c>
      <c r="W9" s="72">
        <v>0</v>
      </c>
      <c r="X9" s="72">
        <v>0</v>
      </c>
      <c r="Y9" s="72">
        <v>8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75</v>
      </c>
      <c r="AF9" s="72">
        <v>16</v>
      </c>
      <c r="AG9" s="72">
        <v>0</v>
      </c>
      <c r="AH9" s="72">
        <v>45</v>
      </c>
      <c r="AI9" s="72">
        <v>5</v>
      </c>
      <c r="AJ9" s="72">
        <v>1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2225</v>
      </c>
      <c r="E10" s="31">
        <v>1575</v>
      </c>
      <c r="F10" s="31">
        <v>638</v>
      </c>
      <c r="G10" s="31">
        <v>12</v>
      </c>
      <c r="H10" s="31">
        <v>760</v>
      </c>
      <c r="I10" s="31">
        <v>513</v>
      </c>
      <c r="J10" s="31">
        <v>50</v>
      </c>
      <c r="K10" s="31">
        <v>12</v>
      </c>
      <c r="L10" s="31">
        <v>0</v>
      </c>
      <c r="M10" s="31">
        <v>30</v>
      </c>
      <c r="N10" s="31">
        <v>33</v>
      </c>
      <c r="O10" s="31">
        <v>0</v>
      </c>
      <c r="P10" s="31">
        <v>48</v>
      </c>
      <c r="Q10" s="31">
        <v>17</v>
      </c>
      <c r="R10" s="31">
        <v>0</v>
      </c>
      <c r="S10" s="31">
        <v>67</v>
      </c>
      <c r="T10" s="31">
        <v>12</v>
      </c>
      <c r="U10" s="31">
        <v>0</v>
      </c>
      <c r="V10" s="31">
        <v>37</v>
      </c>
      <c r="W10" s="31">
        <v>1</v>
      </c>
      <c r="X10" s="31">
        <v>0</v>
      </c>
      <c r="Y10" s="31">
        <v>47</v>
      </c>
      <c r="Z10" s="31">
        <v>8</v>
      </c>
      <c r="AA10" s="31">
        <v>0</v>
      </c>
      <c r="AB10" s="31">
        <v>0</v>
      </c>
      <c r="AC10" s="31">
        <v>2</v>
      </c>
      <c r="AD10" s="31">
        <v>0</v>
      </c>
      <c r="AE10" s="31">
        <v>423</v>
      </c>
      <c r="AF10" s="31">
        <v>26</v>
      </c>
      <c r="AG10" s="31">
        <v>1</v>
      </c>
      <c r="AH10" s="31">
        <v>113</v>
      </c>
      <c r="AI10" s="31">
        <v>14</v>
      </c>
      <c r="AJ10" s="31">
        <v>11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2151</v>
      </c>
      <c r="E11" s="22">
        <v>1529</v>
      </c>
      <c r="F11" s="22">
        <v>610</v>
      </c>
      <c r="G11" s="22">
        <v>12</v>
      </c>
      <c r="H11" s="22">
        <v>739</v>
      </c>
      <c r="I11" s="22">
        <v>490</v>
      </c>
      <c r="J11" s="22">
        <v>50</v>
      </c>
      <c r="K11" s="22">
        <v>12</v>
      </c>
      <c r="L11" s="22">
        <v>0</v>
      </c>
      <c r="M11" s="22">
        <v>28</v>
      </c>
      <c r="N11" s="22">
        <v>33</v>
      </c>
      <c r="O11" s="22">
        <v>0</v>
      </c>
      <c r="P11" s="22">
        <v>40</v>
      </c>
      <c r="Q11" s="22">
        <v>15</v>
      </c>
      <c r="R11" s="22">
        <v>0</v>
      </c>
      <c r="S11" s="22">
        <v>63</v>
      </c>
      <c r="T11" s="22">
        <v>9</v>
      </c>
      <c r="U11" s="22">
        <v>0</v>
      </c>
      <c r="V11" s="22">
        <v>37</v>
      </c>
      <c r="W11" s="22">
        <v>1</v>
      </c>
      <c r="X11" s="22">
        <v>0</v>
      </c>
      <c r="Y11" s="22">
        <v>46</v>
      </c>
      <c r="Z11" s="22">
        <v>8</v>
      </c>
      <c r="AA11" s="22">
        <v>0</v>
      </c>
      <c r="AB11" s="22">
        <v>0</v>
      </c>
      <c r="AC11" s="22">
        <v>2</v>
      </c>
      <c r="AD11" s="22">
        <v>0</v>
      </c>
      <c r="AE11" s="22">
        <v>419</v>
      </c>
      <c r="AF11" s="22">
        <v>26</v>
      </c>
      <c r="AG11" s="22">
        <v>1</v>
      </c>
      <c r="AH11" s="22">
        <v>107</v>
      </c>
      <c r="AI11" s="22">
        <v>14</v>
      </c>
      <c r="AJ11" s="22">
        <v>11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74</v>
      </c>
      <c r="E12" s="22">
        <v>46</v>
      </c>
      <c r="F12" s="22">
        <v>28</v>
      </c>
      <c r="G12" s="22">
        <v>0</v>
      </c>
      <c r="H12" s="22">
        <v>21</v>
      </c>
      <c r="I12" s="22">
        <v>23</v>
      </c>
      <c r="J12" s="22">
        <v>0</v>
      </c>
      <c r="K12" s="22">
        <v>0</v>
      </c>
      <c r="L12" s="22">
        <v>0</v>
      </c>
      <c r="M12" s="22">
        <v>2</v>
      </c>
      <c r="N12" s="22">
        <v>0</v>
      </c>
      <c r="O12" s="22">
        <v>0</v>
      </c>
      <c r="P12" s="22">
        <v>8</v>
      </c>
      <c r="Q12" s="22">
        <v>2</v>
      </c>
      <c r="R12" s="22">
        <v>0</v>
      </c>
      <c r="S12" s="22">
        <v>4</v>
      </c>
      <c r="T12" s="22">
        <v>3</v>
      </c>
      <c r="U12" s="22">
        <v>0</v>
      </c>
      <c r="V12" s="22">
        <v>0</v>
      </c>
      <c r="W12" s="22">
        <v>0</v>
      </c>
      <c r="X12" s="22">
        <v>0</v>
      </c>
      <c r="Y12" s="22">
        <v>1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4</v>
      </c>
      <c r="AF12" s="22">
        <v>0</v>
      </c>
      <c r="AG12" s="22">
        <v>0</v>
      </c>
      <c r="AH12" s="22">
        <v>6</v>
      </c>
      <c r="AI12" s="22">
        <v>0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1074</v>
      </c>
      <c r="E13" s="31">
        <v>657</v>
      </c>
      <c r="F13" s="31">
        <v>412</v>
      </c>
      <c r="G13" s="31">
        <v>5</v>
      </c>
      <c r="H13" s="31">
        <v>368</v>
      </c>
      <c r="I13" s="31">
        <v>315</v>
      </c>
      <c r="J13" s="31">
        <v>24</v>
      </c>
      <c r="K13" s="31">
        <v>8</v>
      </c>
      <c r="L13" s="31">
        <v>0</v>
      </c>
      <c r="M13" s="31">
        <v>8</v>
      </c>
      <c r="N13" s="31">
        <v>27</v>
      </c>
      <c r="O13" s="31">
        <v>0</v>
      </c>
      <c r="P13" s="31">
        <v>25</v>
      </c>
      <c r="Q13" s="31">
        <v>11</v>
      </c>
      <c r="R13" s="31">
        <v>0</v>
      </c>
      <c r="S13" s="31">
        <v>21</v>
      </c>
      <c r="T13" s="31">
        <v>7</v>
      </c>
      <c r="U13" s="31">
        <v>0</v>
      </c>
      <c r="V13" s="31">
        <v>25</v>
      </c>
      <c r="W13" s="31">
        <v>0</v>
      </c>
      <c r="X13" s="31">
        <v>0</v>
      </c>
      <c r="Y13" s="31">
        <v>55</v>
      </c>
      <c r="Z13" s="31">
        <v>12</v>
      </c>
      <c r="AA13" s="31">
        <v>0</v>
      </c>
      <c r="AB13" s="31">
        <v>0</v>
      </c>
      <c r="AC13" s="31">
        <v>1</v>
      </c>
      <c r="AD13" s="31">
        <v>0</v>
      </c>
      <c r="AE13" s="31">
        <v>98</v>
      </c>
      <c r="AF13" s="31">
        <v>18</v>
      </c>
      <c r="AG13" s="31">
        <v>0</v>
      </c>
      <c r="AH13" s="31">
        <v>33</v>
      </c>
      <c r="AI13" s="31">
        <v>13</v>
      </c>
      <c r="AJ13" s="31">
        <v>5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1059</v>
      </c>
      <c r="E14" s="22">
        <v>650</v>
      </c>
      <c r="F14" s="22">
        <v>404</v>
      </c>
      <c r="G14" s="22">
        <v>5</v>
      </c>
      <c r="H14" s="22">
        <v>362</v>
      </c>
      <c r="I14" s="22">
        <v>309</v>
      </c>
      <c r="J14" s="22">
        <v>23</v>
      </c>
      <c r="K14" s="22">
        <v>8</v>
      </c>
      <c r="L14" s="22">
        <v>0</v>
      </c>
      <c r="M14" s="22">
        <v>8</v>
      </c>
      <c r="N14" s="22">
        <v>26</v>
      </c>
      <c r="O14" s="22">
        <v>0</v>
      </c>
      <c r="P14" s="22">
        <v>25</v>
      </c>
      <c r="Q14" s="22">
        <v>11</v>
      </c>
      <c r="R14" s="22">
        <v>0</v>
      </c>
      <c r="S14" s="22">
        <v>21</v>
      </c>
      <c r="T14" s="22">
        <v>7</v>
      </c>
      <c r="U14" s="22">
        <v>0</v>
      </c>
      <c r="V14" s="22">
        <v>25</v>
      </c>
      <c r="W14" s="22">
        <v>0</v>
      </c>
      <c r="X14" s="22">
        <v>0</v>
      </c>
      <c r="Y14" s="22">
        <v>55</v>
      </c>
      <c r="Z14" s="22">
        <v>12</v>
      </c>
      <c r="AA14" s="22">
        <v>0</v>
      </c>
      <c r="AB14" s="22">
        <v>0</v>
      </c>
      <c r="AC14" s="22">
        <v>1</v>
      </c>
      <c r="AD14" s="22">
        <v>0</v>
      </c>
      <c r="AE14" s="22">
        <v>98</v>
      </c>
      <c r="AF14" s="22">
        <v>17</v>
      </c>
      <c r="AG14" s="22">
        <v>0</v>
      </c>
      <c r="AH14" s="22">
        <v>33</v>
      </c>
      <c r="AI14" s="22">
        <v>13</v>
      </c>
      <c r="AJ14" s="22">
        <v>5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15</v>
      </c>
      <c r="E15" s="22">
        <v>7</v>
      </c>
      <c r="F15" s="22">
        <v>8</v>
      </c>
      <c r="G15" s="22">
        <v>0</v>
      </c>
      <c r="H15" s="22">
        <v>6</v>
      </c>
      <c r="I15" s="22">
        <v>6</v>
      </c>
      <c r="J15" s="22">
        <v>1</v>
      </c>
      <c r="K15" s="22">
        <v>0</v>
      </c>
      <c r="L15" s="22">
        <v>0</v>
      </c>
      <c r="M15" s="22">
        <v>0</v>
      </c>
      <c r="N15" s="22">
        <v>1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1</v>
      </c>
      <c r="AG15" s="22">
        <v>0</v>
      </c>
      <c r="AH15" s="22">
        <v>0</v>
      </c>
      <c r="AI15" s="22">
        <v>0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1039</v>
      </c>
      <c r="E16" s="31">
        <v>691</v>
      </c>
      <c r="F16" s="31">
        <v>339</v>
      </c>
      <c r="G16" s="31">
        <v>9</v>
      </c>
      <c r="H16" s="31">
        <v>313</v>
      </c>
      <c r="I16" s="31">
        <v>223</v>
      </c>
      <c r="J16" s="31">
        <v>18</v>
      </c>
      <c r="K16" s="31">
        <v>6</v>
      </c>
      <c r="L16" s="31">
        <v>0</v>
      </c>
      <c r="M16" s="31">
        <v>10</v>
      </c>
      <c r="N16" s="31">
        <v>10</v>
      </c>
      <c r="O16" s="31">
        <v>0</v>
      </c>
      <c r="P16" s="31">
        <v>36</v>
      </c>
      <c r="Q16" s="31">
        <v>15</v>
      </c>
      <c r="R16" s="31">
        <v>0</v>
      </c>
      <c r="S16" s="31">
        <v>27</v>
      </c>
      <c r="T16" s="31">
        <v>7</v>
      </c>
      <c r="U16" s="31">
        <v>0</v>
      </c>
      <c r="V16" s="31">
        <v>2</v>
      </c>
      <c r="W16" s="31">
        <v>0</v>
      </c>
      <c r="X16" s="31">
        <v>0</v>
      </c>
      <c r="Y16" s="31">
        <v>29</v>
      </c>
      <c r="Z16" s="31">
        <v>11</v>
      </c>
      <c r="AA16" s="31">
        <v>0</v>
      </c>
      <c r="AB16" s="31">
        <v>0</v>
      </c>
      <c r="AC16" s="31">
        <v>1</v>
      </c>
      <c r="AD16" s="31">
        <v>0</v>
      </c>
      <c r="AE16" s="31">
        <v>167</v>
      </c>
      <c r="AF16" s="31">
        <v>45</v>
      </c>
      <c r="AG16" s="31">
        <v>2</v>
      </c>
      <c r="AH16" s="31">
        <v>89</v>
      </c>
      <c r="AI16" s="31">
        <v>21</v>
      </c>
      <c r="AJ16" s="31">
        <v>7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946</v>
      </c>
      <c r="E17" s="22">
        <v>632</v>
      </c>
      <c r="F17" s="22">
        <v>305</v>
      </c>
      <c r="G17" s="22">
        <v>9</v>
      </c>
      <c r="H17" s="22">
        <v>282</v>
      </c>
      <c r="I17" s="22">
        <v>205</v>
      </c>
      <c r="J17" s="22">
        <v>15</v>
      </c>
      <c r="K17" s="22">
        <v>5</v>
      </c>
      <c r="L17" s="22">
        <v>0</v>
      </c>
      <c r="M17" s="22">
        <v>8</v>
      </c>
      <c r="N17" s="22">
        <v>9</v>
      </c>
      <c r="O17" s="22">
        <v>0</v>
      </c>
      <c r="P17" s="22">
        <v>25</v>
      </c>
      <c r="Q17" s="22">
        <v>13</v>
      </c>
      <c r="R17" s="22">
        <v>0</v>
      </c>
      <c r="S17" s="22">
        <v>24</v>
      </c>
      <c r="T17" s="22">
        <v>5</v>
      </c>
      <c r="U17" s="22">
        <v>0</v>
      </c>
      <c r="V17" s="22">
        <v>2</v>
      </c>
      <c r="W17" s="22">
        <v>0</v>
      </c>
      <c r="X17" s="22">
        <v>0</v>
      </c>
      <c r="Y17" s="22">
        <v>29</v>
      </c>
      <c r="Z17" s="22">
        <v>11</v>
      </c>
      <c r="AA17" s="22">
        <v>0</v>
      </c>
      <c r="AB17" s="22">
        <v>0</v>
      </c>
      <c r="AC17" s="22">
        <v>1</v>
      </c>
      <c r="AD17" s="22">
        <v>0</v>
      </c>
      <c r="AE17" s="22">
        <v>163</v>
      </c>
      <c r="AF17" s="22">
        <v>35</v>
      </c>
      <c r="AG17" s="22">
        <v>2</v>
      </c>
      <c r="AH17" s="22">
        <v>84</v>
      </c>
      <c r="AI17" s="22">
        <v>21</v>
      </c>
      <c r="AJ17" s="22">
        <v>7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93</v>
      </c>
      <c r="E18" s="22">
        <v>59</v>
      </c>
      <c r="F18" s="22">
        <v>34</v>
      </c>
      <c r="G18" s="22">
        <v>0</v>
      </c>
      <c r="H18" s="22">
        <v>31</v>
      </c>
      <c r="I18" s="22">
        <v>18</v>
      </c>
      <c r="J18" s="22">
        <v>3</v>
      </c>
      <c r="K18" s="22">
        <v>1</v>
      </c>
      <c r="L18" s="22">
        <v>0</v>
      </c>
      <c r="M18" s="22">
        <v>2</v>
      </c>
      <c r="N18" s="22">
        <v>1</v>
      </c>
      <c r="O18" s="22">
        <v>0</v>
      </c>
      <c r="P18" s="22">
        <v>11</v>
      </c>
      <c r="Q18" s="22">
        <v>2</v>
      </c>
      <c r="R18" s="22">
        <v>0</v>
      </c>
      <c r="S18" s="22">
        <v>3</v>
      </c>
      <c r="T18" s="22">
        <v>2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4</v>
      </c>
      <c r="AF18" s="22">
        <v>10</v>
      </c>
      <c r="AG18" s="22">
        <v>0</v>
      </c>
      <c r="AH18" s="22">
        <v>5</v>
      </c>
      <c r="AI18" s="22">
        <v>0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1320</v>
      </c>
      <c r="E19" s="31">
        <v>896</v>
      </c>
      <c r="F19" s="31">
        <v>412</v>
      </c>
      <c r="G19" s="31">
        <v>12</v>
      </c>
      <c r="H19" s="31">
        <v>510</v>
      </c>
      <c r="I19" s="31">
        <v>345</v>
      </c>
      <c r="J19" s="31">
        <v>25</v>
      </c>
      <c r="K19" s="31">
        <v>3</v>
      </c>
      <c r="L19" s="31">
        <v>0</v>
      </c>
      <c r="M19" s="31">
        <v>23</v>
      </c>
      <c r="N19" s="31">
        <v>19</v>
      </c>
      <c r="O19" s="31">
        <v>0</v>
      </c>
      <c r="P19" s="31">
        <v>36</v>
      </c>
      <c r="Q19" s="31">
        <v>8</v>
      </c>
      <c r="R19" s="31">
        <v>0</v>
      </c>
      <c r="S19" s="31">
        <v>35</v>
      </c>
      <c r="T19" s="31">
        <v>5</v>
      </c>
      <c r="U19" s="31">
        <v>0</v>
      </c>
      <c r="V19" s="31">
        <v>7</v>
      </c>
      <c r="W19" s="31">
        <v>0</v>
      </c>
      <c r="X19" s="31">
        <v>0</v>
      </c>
      <c r="Y19" s="31">
        <v>27</v>
      </c>
      <c r="Z19" s="31">
        <v>0</v>
      </c>
      <c r="AA19" s="31">
        <v>0</v>
      </c>
      <c r="AB19" s="31">
        <v>0</v>
      </c>
      <c r="AC19" s="31">
        <v>2</v>
      </c>
      <c r="AD19" s="31">
        <v>0</v>
      </c>
      <c r="AE19" s="31">
        <v>179</v>
      </c>
      <c r="AF19" s="31">
        <v>21</v>
      </c>
      <c r="AG19" s="31">
        <v>0</v>
      </c>
      <c r="AH19" s="31">
        <v>54</v>
      </c>
      <c r="AI19" s="31">
        <v>9</v>
      </c>
      <c r="AJ19" s="31">
        <v>12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1256</v>
      </c>
      <c r="E20" s="22">
        <v>844</v>
      </c>
      <c r="F20" s="22">
        <v>400</v>
      </c>
      <c r="G20" s="22">
        <v>12</v>
      </c>
      <c r="H20" s="22">
        <v>494</v>
      </c>
      <c r="I20" s="22">
        <v>333</v>
      </c>
      <c r="J20" s="22">
        <v>19</v>
      </c>
      <c r="K20" s="22">
        <v>3</v>
      </c>
      <c r="L20" s="22">
        <v>0</v>
      </c>
      <c r="M20" s="22">
        <v>23</v>
      </c>
      <c r="N20" s="22">
        <v>19</v>
      </c>
      <c r="O20" s="22">
        <v>0</v>
      </c>
      <c r="P20" s="22">
        <v>33</v>
      </c>
      <c r="Q20" s="22">
        <v>8</v>
      </c>
      <c r="R20" s="22">
        <v>0</v>
      </c>
      <c r="S20" s="22">
        <v>35</v>
      </c>
      <c r="T20" s="22">
        <v>5</v>
      </c>
      <c r="U20" s="22">
        <v>0</v>
      </c>
      <c r="V20" s="22">
        <v>7</v>
      </c>
      <c r="W20" s="22">
        <v>0</v>
      </c>
      <c r="X20" s="22">
        <v>0</v>
      </c>
      <c r="Y20" s="22">
        <v>27</v>
      </c>
      <c r="Z20" s="22">
        <v>0</v>
      </c>
      <c r="AA20" s="22">
        <v>0</v>
      </c>
      <c r="AB20" s="22">
        <v>0</v>
      </c>
      <c r="AC20" s="22">
        <v>2</v>
      </c>
      <c r="AD20" s="22">
        <v>0</v>
      </c>
      <c r="AE20" s="22">
        <v>154</v>
      </c>
      <c r="AF20" s="22">
        <v>21</v>
      </c>
      <c r="AG20" s="22">
        <v>0</v>
      </c>
      <c r="AH20" s="22">
        <v>52</v>
      </c>
      <c r="AI20" s="22">
        <v>9</v>
      </c>
      <c r="AJ20" s="22">
        <v>12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64</v>
      </c>
      <c r="E21" s="22">
        <v>52</v>
      </c>
      <c r="F21" s="22">
        <v>12</v>
      </c>
      <c r="G21" s="22">
        <v>0</v>
      </c>
      <c r="H21" s="22">
        <v>16</v>
      </c>
      <c r="I21" s="22">
        <v>12</v>
      </c>
      <c r="J21" s="22">
        <v>6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3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25</v>
      </c>
      <c r="AF21" s="22">
        <v>0</v>
      </c>
      <c r="AG21" s="22">
        <v>0</v>
      </c>
      <c r="AH21" s="22">
        <v>2</v>
      </c>
      <c r="AI21" s="22">
        <v>0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600</v>
      </c>
      <c r="E22" s="31">
        <v>358</v>
      </c>
      <c r="F22" s="31">
        <v>241</v>
      </c>
      <c r="G22" s="31">
        <v>1</v>
      </c>
      <c r="H22" s="31">
        <v>194</v>
      </c>
      <c r="I22" s="31">
        <v>201</v>
      </c>
      <c r="J22" s="31">
        <v>5</v>
      </c>
      <c r="K22" s="31">
        <v>2</v>
      </c>
      <c r="L22" s="31">
        <v>0</v>
      </c>
      <c r="M22" s="31">
        <v>4</v>
      </c>
      <c r="N22" s="31">
        <v>16</v>
      </c>
      <c r="O22" s="31">
        <v>0</v>
      </c>
      <c r="P22" s="31">
        <v>13</v>
      </c>
      <c r="Q22" s="31">
        <v>4</v>
      </c>
      <c r="R22" s="31">
        <v>0</v>
      </c>
      <c r="S22" s="31">
        <v>27</v>
      </c>
      <c r="T22" s="31">
        <v>9</v>
      </c>
      <c r="U22" s="31">
        <v>1</v>
      </c>
      <c r="V22" s="31">
        <v>8</v>
      </c>
      <c r="W22" s="31">
        <v>0</v>
      </c>
      <c r="X22" s="31">
        <v>0</v>
      </c>
      <c r="Y22" s="31">
        <v>7</v>
      </c>
      <c r="Z22" s="31">
        <v>1</v>
      </c>
      <c r="AA22" s="31">
        <v>0</v>
      </c>
      <c r="AB22" s="31">
        <v>1</v>
      </c>
      <c r="AC22" s="31">
        <v>1</v>
      </c>
      <c r="AD22" s="31">
        <v>0</v>
      </c>
      <c r="AE22" s="31">
        <v>90</v>
      </c>
      <c r="AF22" s="31">
        <v>4</v>
      </c>
      <c r="AG22" s="31">
        <v>0</v>
      </c>
      <c r="AH22" s="31">
        <v>9</v>
      </c>
      <c r="AI22" s="31">
        <v>3</v>
      </c>
      <c r="AJ22" s="31">
        <v>0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577</v>
      </c>
      <c r="E23" s="22">
        <v>338</v>
      </c>
      <c r="F23" s="22">
        <v>238</v>
      </c>
      <c r="G23" s="22">
        <v>1</v>
      </c>
      <c r="H23" s="22">
        <v>182</v>
      </c>
      <c r="I23" s="22">
        <v>198</v>
      </c>
      <c r="J23" s="22">
        <v>5</v>
      </c>
      <c r="K23" s="22">
        <v>2</v>
      </c>
      <c r="L23" s="22">
        <v>0</v>
      </c>
      <c r="M23" s="22">
        <v>3</v>
      </c>
      <c r="N23" s="22">
        <v>16</v>
      </c>
      <c r="O23" s="22">
        <v>0</v>
      </c>
      <c r="P23" s="22">
        <v>10</v>
      </c>
      <c r="Q23" s="22">
        <v>4</v>
      </c>
      <c r="R23" s="22">
        <v>0</v>
      </c>
      <c r="S23" s="22">
        <v>26</v>
      </c>
      <c r="T23" s="22">
        <v>9</v>
      </c>
      <c r="U23" s="22">
        <v>1</v>
      </c>
      <c r="V23" s="22">
        <v>8</v>
      </c>
      <c r="W23" s="22">
        <v>0</v>
      </c>
      <c r="X23" s="22">
        <v>0</v>
      </c>
      <c r="Y23" s="22">
        <v>7</v>
      </c>
      <c r="Z23" s="22">
        <v>1</v>
      </c>
      <c r="AA23" s="22">
        <v>0</v>
      </c>
      <c r="AB23" s="22">
        <v>1</v>
      </c>
      <c r="AC23" s="22">
        <v>1</v>
      </c>
      <c r="AD23" s="22">
        <v>0</v>
      </c>
      <c r="AE23" s="22">
        <v>87</v>
      </c>
      <c r="AF23" s="22">
        <v>4</v>
      </c>
      <c r="AG23" s="22">
        <v>0</v>
      </c>
      <c r="AH23" s="22">
        <v>9</v>
      </c>
      <c r="AI23" s="22">
        <v>3</v>
      </c>
      <c r="AJ23" s="22">
        <v>0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23</v>
      </c>
      <c r="E24" s="22">
        <v>20</v>
      </c>
      <c r="F24" s="22">
        <v>3</v>
      </c>
      <c r="G24" s="22">
        <v>0</v>
      </c>
      <c r="H24" s="22">
        <v>12</v>
      </c>
      <c r="I24" s="22">
        <v>3</v>
      </c>
      <c r="J24" s="22">
        <v>0</v>
      </c>
      <c r="K24" s="22">
        <v>0</v>
      </c>
      <c r="L24" s="22">
        <v>0</v>
      </c>
      <c r="M24" s="22">
        <v>1</v>
      </c>
      <c r="N24" s="22">
        <v>0</v>
      </c>
      <c r="O24" s="22">
        <v>0</v>
      </c>
      <c r="P24" s="22">
        <v>3</v>
      </c>
      <c r="Q24" s="22">
        <v>0</v>
      </c>
      <c r="R24" s="22">
        <v>0</v>
      </c>
      <c r="S24" s="22">
        <v>1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3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1175</v>
      </c>
      <c r="E25" s="31">
        <v>728</v>
      </c>
      <c r="F25" s="31">
        <v>432</v>
      </c>
      <c r="G25" s="31">
        <v>15</v>
      </c>
      <c r="H25" s="31">
        <v>364</v>
      </c>
      <c r="I25" s="31">
        <v>335</v>
      </c>
      <c r="J25" s="31">
        <v>27</v>
      </c>
      <c r="K25" s="31">
        <v>7</v>
      </c>
      <c r="L25" s="31">
        <v>0</v>
      </c>
      <c r="M25" s="31">
        <v>15</v>
      </c>
      <c r="N25" s="31">
        <v>22</v>
      </c>
      <c r="O25" s="31">
        <v>0</v>
      </c>
      <c r="P25" s="31">
        <v>35</v>
      </c>
      <c r="Q25" s="31">
        <v>10</v>
      </c>
      <c r="R25" s="31">
        <v>0</v>
      </c>
      <c r="S25" s="31">
        <v>35</v>
      </c>
      <c r="T25" s="31">
        <v>9</v>
      </c>
      <c r="U25" s="31">
        <v>0</v>
      </c>
      <c r="V25" s="31">
        <v>10</v>
      </c>
      <c r="W25" s="31">
        <v>1</v>
      </c>
      <c r="X25" s="31">
        <v>0</v>
      </c>
      <c r="Y25" s="31">
        <v>14</v>
      </c>
      <c r="Z25" s="31">
        <v>6</v>
      </c>
      <c r="AA25" s="31">
        <v>0</v>
      </c>
      <c r="AB25" s="31">
        <v>0</v>
      </c>
      <c r="AC25" s="31">
        <v>5</v>
      </c>
      <c r="AD25" s="31">
        <v>0</v>
      </c>
      <c r="AE25" s="31">
        <v>156</v>
      </c>
      <c r="AF25" s="31">
        <v>27</v>
      </c>
      <c r="AG25" s="31">
        <v>1</v>
      </c>
      <c r="AH25" s="31">
        <v>72</v>
      </c>
      <c r="AI25" s="31">
        <v>10</v>
      </c>
      <c r="AJ25" s="31">
        <v>14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1134</v>
      </c>
      <c r="E26" s="22">
        <v>702</v>
      </c>
      <c r="F26" s="22">
        <v>417</v>
      </c>
      <c r="G26" s="22">
        <v>15</v>
      </c>
      <c r="H26" s="22">
        <v>354</v>
      </c>
      <c r="I26" s="22">
        <v>323</v>
      </c>
      <c r="J26" s="22">
        <v>26</v>
      </c>
      <c r="K26" s="22">
        <v>6</v>
      </c>
      <c r="L26" s="22">
        <v>0</v>
      </c>
      <c r="M26" s="22">
        <v>14</v>
      </c>
      <c r="N26" s="22">
        <v>22</v>
      </c>
      <c r="O26" s="22">
        <v>0</v>
      </c>
      <c r="P26" s="22">
        <v>33</v>
      </c>
      <c r="Q26" s="22">
        <v>10</v>
      </c>
      <c r="R26" s="22">
        <v>0</v>
      </c>
      <c r="S26" s="22">
        <v>35</v>
      </c>
      <c r="T26" s="22">
        <v>8</v>
      </c>
      <c r="U26" s="22">
        <v>0</v>
      </c>
      <c r="V26" s="22">
        <v>7</v>
      </c>
      <c r="W26" s="22">
        <v>1</v>
      </c>
      <c r="X26" s="22">
        <v>0</v>
      </c>
      <c r="Y26" s="22">
        <v>14</v>
      </c>
      <c r="Z26" s="22">
        <v>6</v>
      </c>
      <c r="AA26" s="22">
        <v>0</v>
      </c>
      <c r="AB26" s="22">
        <v>0</v>
      </c>
      <c r="AC26" s="22">
        <v>5</v>
      </c>
      <c r="AD26" s="22">
        <v>0</v>
      </c>
      <c r="AE26" s="22">
        <v>153</v>
      </c>
      <c r="AF26" s="22">
        <v>26</v>
      </c>
      <c r="AG26" s="22">
        <v>1</v>
      </c>
      <c r="AH26" s="22">
        <v>66</v>
      </c>
      <c r="AI26" s="22">
        <v>10</v>
      </c>
      <c r="AJ26" s="22">
        <v>14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41</v>
      </c>
      <c r="E27" s="22">
        <v>26</v>
      </c>
      <c r="F27" s="22">
        <v>15</v>
      </c>
      <c r="G27" s="22">
        <v>0</v>
      </c>
      <c r="H27" s="22">
        <v>10</v>
      </c>
      <c r="I27" s="22">
        <v>12</v>
      </c>
      <c r="J27" s="22">
        <v>1</v>
      </c>
      <c r="K27" s="22">
        <v>1</v>
      </c>
      <c r="L27" s="22">
        <v>0</v>
      </c>
      <c r="M27" s="22">
        <v>1</v>
      </c>
      <c r="N27" s="22">
        <v>0</v>
      </c>
      <c r="O27" s="22">
        <v>0</v>
      </c>
      <c r="P27" s="22">
        <v>2</v>
      </c>
      <c r="Q27" s="22">
        <v>0</v>
      </c>
      <c r="R27" s="22">
        <v>0</v>
      </c>
      <c r="S27" s="22">
        <v>0</v>
      </c>
      <c r="T27" s="22">
        <v>1</v>
      </c>
      <c r="U27" s="22">
        <v>0</v>
      </c>
      <c r="V27" s="22">
        <v>3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3</v>
      </c>
      <c r="AF27" s="22">
        <v>1</v>
      </c>
      <c r="AG27" s="22">
        <v>0</v>
      </c>
      <c r="AH27" s="22">
        <v>6</v>
      </c>
      <c r="AI27" s="22">
        <v>0</v>
      </c>
      <c r="AJ27" s="22">
        <v>0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141</v>
      </c>
      <c r="E28" s="31">
        <v>101</v>
      </c>
      <c r="F28" s="31">
        <v>40</v>
      </c>
      <c r="G28" s="31">
        <v>0</v>
      </c>
      <c r="H28" s="31">
        <v>35</v>
      </c>
      <c r="I28" s="31">
        <v>26</v>
      </c>
      <c r="J28" s="31">
        <v>4</v>
      </c>
      <c r="K28" s="31">
        <v>1</v>
      </c>
      <c r="L28" s="31">
        <v>0</v>
      </c>
      <c r="M28" s="31">
        <v>3</v>
      </c>
      <c r="N28" s="31">
        <v>4</v>
      </c>
      <c r="O28" s="31">
        <v>0</v>
      </c>
      <c r="P28" s="31">
        <v>6</v>
      </c>
      <c r="Q28" s="31">
        <v>1</v>
      </c>
      <c r="R28" s="31">
        <v>0</v>
      </c>
      <c r="S28" s="31">
        <v>7</v>
      </c>
      <c r="T28" s="31">
        <v>0</v>
      </c>
      <c r="U28" s="31">
        <v>0</v>
      </c>
      <c r="V28" s="31">
        <v>2</v>
      </c>
      <c r="W28" s="31">
        <v>0</v>
      </c>
      <c r="X28" s="31">
        <v>0</v>
      </c>
      <c r="Y28" s="31">
        <v>1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36</v>
      </c>
      <c r="AF28" s="31">
        <v>7</v>
      </c>
      <c r="AG28" s="31">
        <v>0</v>
      </c>
      <c r="AH28" s="31">
        <v>7</v>
      </c>
      <c r="AI28" s="31">
        <v>1</v>
      </c>
      <c r="AJ28" s="31">
        <v>0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137</v>
      </c>
      <c r="E29" s="22">
        <v>99</v>
      </c>
      <c r="F29" s="22">
        <v>38</v>
      </c>
      <c r="G29" s="22">
        <v>0</v>
      </c>
      <c r="H29" s="22">
        <v>35</v>
      </c>
      <c r="I29" s="22">
        <v>25</v>
      </c>
      <c r="J29" s="22">
        <v>4</v>
      </c>
      <c r="K29" s="22">
        <v>1</v>
      </c>
      <c r="L29" s="22">
        <v>0</v>
      </c>
      <c r="M29" s="22">
        <v>3</v>
      </c>
      <c r="N29" s="22">
        <v>4</v>
      </c>
      <c r="O29" s="22">
        <v>0</v>
      </c>
      <c r="P29" s="22">
        <v>5</v>
      </c>
      <c r="Q29" s="22">
        <v>1</v>
      </c>
      <c r="R29" s="22">
        <v>0</v>
      </c>
      <c r="S29" s="22">
        <v>7</v>
      </c>
      <c r="T29" s="22">
        <v>0</v>
      </c>
      <c r="U29" s="22">
        <v>0</v>
      </c>
      <c r="V29" s="22">
        <v>2</v>
      </c>
      <c r="W29" s="22">
        <v>0</v>
      </c>
      <c r="X29" s="22">
        <v>0</v>
      </c>
      <c r="Y29" s="22">
        <v>1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35</v>
      </c>
      <c r="AF29" s="22">
        <v>6</v>
      </c>
      <c r="AG29" s="22">
        <v>0</v>
      </c>
      <c r="AH29" s="22">
        <v>7</v>
      </c>
      <c r="AI29" s="22">
        <v>1</v>
      </c>
      <c r="AJ29" s="22">
        <v>0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4</v>
      </c>
      <c r="E30" s="22">
        <v>2</v>
      </c>
      <c r="F30" s="22">
        <v>2</v>
      </c>
      <c r="G30" s="22">
        <v>0</v>
      </c>
      <c r="H30" s="22">
        <v>0</v>
      </c>
      <c r="I30" s="22">
        <v>1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1</v>
      </c>
      <c r="AF30" s="22">
        <v>1</v>
      </c>
      <c r="AG30" s="22">
        <v>0</v>
      </c>
      <c r="AH30" s="22">
        <v>0</v>
      </c>
      <c r="AI30" s="22">
        <v>0</v>
      </c>
      <c r="AJ30" s="22">
        <v>0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372</v>
      </c>
      <c r="E31" s="31">
        <v>233</v>
      </c>
      <c r="F31" s="31">
        <v>136</v>
      </c>
      <c r="G31" s="31">
        <v>3</v>
      </c>
      <c r="H31" s="31">
        <v>113</v>
      </c>
      <c r="I31" s="31">
        <v>109</v>
      </c>
      <c r="J31" s="31">
        <v>11</v>
      </c>
      <c r="K31" s="31">
        <v>3</v>
      </c>
      <c r="L31" s="31">
        <v>0</v>
      </c>
      <c r="M31" s="31">
        <v>9</v>
      </c>
      <c r="N31" s="31">
        <v>9</v>
      </c>
      <c r="O31" s="31">
        <v>0</v>
      </c>
      <c r="P31" s="31">
        <v>11</v>
      </c>
      <c r="Q31" s="31">
        <v>4</v>
      </c>
      <c r="R31" s="31">
        <v>0</v>
      </c>
      <c r="S31" s="31">
        <v>15</v>
      </c>
      <c r="T31" s="31">
        <v>0</v>
      </c>
      <c r="U31" s="31">
        <v>0</v>
      </c>
      <c r="V31" s="31">
        <v>1</v>
      </c>
      <c r="W31" s="31">
        <v>1</v>
      </c>
      <c r="X31" s="31">
        <v>0</v>
      </c>
      <c r="Y31" s="31">
        <v>10</v>
      </c>
      <c r="Z31" s="31">
        <v>2</v>
      </c>
      <c r="AA31" s="31">
        <v>0</v>
      </c>
      <c r="AB31" s="31">
        <v>0</v>
      </c>
      <c r="AC31" s="31">
        <v>1</v>
      </c>
      <c r="AD31" s="31">
        <v>0</v>
      </c>
      <c r="AE31" s="31">
        <v>30</v>
      </c>
      <c r="AF31" s="31">
        <v>2</v>
      </c>
      <c r="AG31" s="31">
        <v>0</v>
      </c>
      <c r="AH31" s="31">
        <v>33</v>
      </c>
      <c r="AI31" s="31">
        <v>5</v>
      </c>
      <c r="AJ31" s="31">
        <v>3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325</v>
      </c>
      <c r="E32" s="22">
        <v>206</v>
      </c>
      <c r="F32" s="22">
        <v>116</v>
      </c>
      <c r="G32" s="22">
        <v>3</v>
      </c>
      <c r="H32" s="22">
        <v>103</v>
      </c>
      <c r="I32" s="22">
        <v>91</v>
      </c>
      <c r="J32" s="22">
        <v>9</v>
      </c>
      <c r="K32" s="22">
        <v>3</v>
      </c>
      <c r="L32" s="22">
        <v>0</v>
      </c>
      <c r="M32" s="22">
        <v>6</v>
      </c>
      <c r="N32" s="22">
        <v>8</v>
      </c>
      <c r="O32" s="22">
        <v>0</v>
      </c>
      <c r="P32" s="22">
        <v>10</v>
      </c>
      <c r="Q32" s="22">
        <v>4</v>
      </c>
      <c r="R32" s="22">
        <v>0</v>
      </c>
      <c r="S32" s="22">
        <v>8</v>
      </c>
      <c r="T32" s="22">
        <v>0</v>
      </c>
      <c r="U32" s="22">
        <v>0</v>
      </c>
      <c r="V32" s="22">
        <v>1</v>
      </c>
      <c r="W32" s="22">
        <v>1</v>
      </c>
      <c r="X32" s="22">
        <v>0</v>
      </c>
      <c r="Y32" s="22">
        <v>9</v>
      </c>
      <c r="Z32" s="22">
        <v>2</v>
      </c>
      <c r="AA32" s="22">
        <v>0</v>
      </c>
      <c r="AB32" s="22">
        <v>0</v>
      </c>
      <c r="AC32" s="22">
        <v>1</v>
      </c>
      <c r="AD32" s="22">
        <v>0</v>
      </c>
      <c r="AE32" s="22">
        <v>29</v>
      </c>
      <c r="AF32" s="22">
        <v>1</v>
      </c>
      <c r="AG32" s="22">
        <v>0</v>
      </c>
      <c r="AH32" s="22">
        <v>31</v>
      </c>
      <c r="AI32" s="22">
        <v>5</v>
      </c>
      <c r="AJ32" s="22">
        <v>3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47</v>
      </c>
      <c r="E33" s="22">
        <v>27</v>
      </c>
      <c r="F33" s="22">
        <v>20</v>
      </c>
      <c r="G33" s="22">
        <v>0</v>
      </c>
      <c r="H33" s="22">
        <v>10</v>
      </c>
      <c r="I33" s="22">
        <v>18</v>
      </c>
      <c r="J33" s="22">
        <v>2</v>
      </c>
      <c r="K33" s="22">
        <v>0</v>
      </c>
      <c r="L33" s="22">
        <v>0</v>
      </c>
      <c r="M33" s="22">
        <v>3</v>
      </c>
      <c r="N33" s="22">
        <v>1</v>
      </c>
      <c r="O33" s="22">
        <v>0</v>
      </c>
      <c r="P33" s="22">
        <v>1</v>
      </c>
      <c r="Q33" s="22">
        <v>0</v>
      </c>
      <c r="R33" s="22">
        <v>0</v>
      </c>
      <c r="S33" s="22">
        <v>7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1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1</v>
      </c>
      <c r="AF33" s="22">
        <v>1</v>
      </c>
      <c r="AG33" s="22">
        <v>0</v>
      </c>
      <c r="AH33" s="22">
        <v>2</v>
      </c>
      <c r="AI33" s="22">
        <v>0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159</v>
      </c>
      <c r="E34" s="31">
        <v>125</v>
      </c>
      <c r="F34" s="31">
        <v>34</v>
      </c>
      <c r="G34" s="31">
        <v>0</v>
      </c>
      <c r="H34" s="31">
        <v>45</v>
      </c>
      <c r="I34" s="31">
        <v>28</v>
      </c>
      <c r="J34" s="31">
        <v>6</v>
      </c>
      <c r="K34" s="31">
        <v>0</v>
      </c>
      <c r="L34" s="31">
        <v>0</v>
      </c>
      <c r="M34" s="31">
        <v>2</v>
      </c>
      <c r="N34" s="31">
        <v>3</v>
      </c>
      <c r="O34" s="31">
        <v>0</v>
      </c>
      <c r="P34" s="31">
        <v>8</v>
      </c>
      <c r="Q34" s="31">
        <v>1</v>
      </c>
      <c r="R34" s="31">
        <v>0</v>
      </c>
      <c r="S34" s="31">
        <v>7</v>
      </c>
      <c r="T34" s="31">
        <v>0</v>
      </c>
      <c r="U34" s="31">
        <v>0</v>
      </c>
      <c r="V34" s="31">
        <v>2</v>
      </c>
      <c r="W34" s="31">
        <v>0</v>
      </c>
      <c r="X34" s="31">
        <v>0</v>
      </c>
      <c r="Y34" s="31">
        <v>7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47</v>
      </c>
      <c r="AF34" s="31">
        <v>2</v>
      </c>
      <c r="AG34" s="31">
        <v>0</v>
      </c>
      <c r="AH34" s="31">
        <v>1</v>
      </c>
      <c r="AI34" s="31">
        <v>0</v>
      </c>
      <c r="AJ34" s="31">
        <v>0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153</v>
      </c>
      <c r="E35" s="22">
        <v>120</v>
      </c>
      <c r="F35" s="22">
        <v>33</v>
      </c>
      <c r="G35" s="22">
        <v>0</v>
      </c>
      <c r="H35" s="22">
        <v>42</v>
      </c>
      <c r="I35" s="22">
        <v>27</v>
      </c>
      <c r="J35" s="22">
        <v>6</v>
      </c>
      <c r="K35" s="22">
        <v>0</v>
      </c>
      <c r="L35" s="22">
        <v>0</v>
      </c>
      <c r="M35" s="22">
        <v>2</v>
      </c>
      <c r="N35" s="22">
        <v>3</v>
      </c>
      <c r="O35" s="22">
        <v>0</v>
      </c>
      <c r="P35" s="22">
        <v>8</v>
      </c>
      <c r="Q35" s="22">
        <v>1</v>
      </c>
      <c r="R35" s="22">
        <v>0</v>
      </c>
      <c r="S35" s="22">
        <v>7</v>
      </c>
      <c r="T35" s="22">
        <v>0</v>
      </c>
      <c r="U35" s="22">
        <v>0</v>
      </c>
      <c r="V35" s="22">
        <v>2</v>
      </c>
      <c r="W35" s="22">
        <v>0</v>
      </c>
      <c r="X35" s="22">
        <v>0</v>
      </c>
      <c r="Y35" s="22">
        <v>7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45</v>
      </c>
      <c r="AF35" s="22">
        <v>2</v>
      </c>
      <c r="AG35" s="22">
        <v>0</v>
      </c>
      <c r="AH35" s="22">
        <v>1</v>
      </c>
      <c r="AI35" s="22">
        <v>0</v>
      </c>
      <c r="AJ35" s="22">
        <v>0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6</v>
      </c>
      <c r="E36" s="22">
        <v>5</v>
      </c>
      <c r="F36" s="22">
        <v>1</v>
      </c>
      <c r="G36" s="22">
        <v>0</v>
      </c>
      <c r="H36" s="22">
        <v>3</v>
      </c>
      <c r="I36" s="22">
        <v>1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2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559</v>
      </c>
      <c r="E37" s="31">
        <v>330</v>
      </c>
      <c r="F37" s="31">
        <v>226</v>
      </c>
      <c r="G37" s="31">
        <v>3</v>
      </c>
      <c r="H37" s="31">
        <v>153</v>
      </c>
      <c r="I37" s="31">
        <v>154</v>
      </c>
      <c r="J37" s="31">
        <v>22</v>
      </c>
      <c r="K37" s="31">
        <v>6</v>
      </c>
      <c r="L37" s="31">
        <v>0</v>
      </c>
      <c r="M37" s="31">
        <v>10</v>
      </c>
      <c r="N37" s="31">
        <v>10</v>
      </c>
      <c r="O37" s="31">
        <v>0</v>
      </c>
      <c r="P37" s="31">
        <v>16</v>
      </c>
      <c r="Q37" s="31">
        <v>4</v>
      </c>
      <c r="R37" s="31">
        <v>0</v>
      </c>
      <c r="S37" s="31">
        <v>12</v>
      </c>
      <c r="T37" s="31">
        <v>3</v>
      </c>
      <c r="U37" s="31">
        <v>0</v>
      </c>
      <c r="V37" s="31">
        <v>2</v>
      </c>
      <c r="W37" s="31">
        <v>0</v>
      </c>
      <c r="X37" s="31">
        <v>0</v>
      </c>
      <c r="Y37" s="31">
        <v>8</v>
      </c>
      <c r="Z37" s="31">
        <v>2</v>
      </c>
      <c r="AA37" s="31">
        <v>0</v>
      </c>
      <c r="AB37" s="31">
        <v>0</v>
      </c>
      <c r="AC37" s="31">
        <v>0</v>
      </c>
      <c r="AD37" s="31">
        <v>0</v>
      </c>
      <c r="AE37" s="31">
        <v>94</v>
      </c>
      <c r="AF37" s="31">
        <v>31</v>
      </c>
      <c r="AG37" s="31">
        <v>0</v>
      </c>
      <c r="AH37" s="31">
        <v>13</v>
      </c>
      <c r="AI37" s="31">
        <v>16</v>
      </c>
      <c r="AJ37" s="31">
        <v>3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535</v>
      </c>
      <c r="E38" s="22">
        <v>322</v>
      </c>
      <c r="F38" s="22">
        <v>210</v>
      </c>
      <c r="G38" s="22">
        <v>3</v>
      </c>
      <c r="H38" s="22">
        <v>148</v>
      </c>
      <c r="I38" s="22">
        <v>140</v>
      </c>
      <c r="J38" s="22">
        <v>21</v>
      </c>
      <c r="K38" s="22">
        <v>6</v>
      </c>
      <c r="L38" s="22">
        <v>0</v>
      </c>
      <c r="M38" s="22">
        <v>9</v>
      </c>
      <c r="N38" s="22">
        <v>9</v>
      </c>
      <c r="O38" s="22">
        <v>0</v>
      </c>
      <c r="P38" s="22">
        <v>15</v>
      </c>
      <c r="Q38" s="22">
        <v>3</v>
      </c>
      <c r="R38" s="22">
        <v>0</v>
      </c>
      <c r="S38" s="22">
        <v>12</v>
      </c>
      <c r="T38" s="22">
        <v>3</v>
      </c>
      <c r="U38" s="22">
        <v>0</v>
      </c>
      <c r="V38" s="22">
        <v>2</v>
      </c>
      <c r="W38" s="22">
        <v>0</v>
      </c>
      <c r="X38" s="22">
        <v>0</v>
      </c>
      <c r="Y38" s="22">
        <v>8</v>
      </c>
      <c r="Z38" s="22">
        <v>2</v>
      </c>
      <c r="AA38" s="22">
        <v>0</v>
      </c>
      <c r="AB38" s="22">
        <v>0</v>
      </c>
      <c r="AC38" s="22">
        <v>0</v>
      </c>
      <c r="AD38" s="22">
        <v>0</v>
      </c>
      <c r="AE38" s="22">
        <v>94</v>
      </c>
      <c r="AF38" s="22">
        <v>31</v>
      </c>
      <c r="AG38" s="22">
        <v>0</v>
      </c>
      <c r="AH38" s="22">
        <v>13</v>
      </c>
      <c r="AI38" s="22">
        <v>16</v>
      </c>
      <c r="AJ38" s="22">
        <v>3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24</v>
      </c>
      <c r="E39" s="22">
        <v>8</v>
      </c>
      <c r="F39" s="22">
        <v>16</v>
      </c>
      <c r="G39" s="22">
        <v>0</v>
      </c>
      <c r="H39" s="22">
        <v>5</v>
      </c>
      <c r="I39" s="22">
        <v>14</v>
      </c>
      <c r="J39" s="22">
        <v>1</v>
      </c>
      <c r="K39" s="22">
        <v>0</v>
      </c>
      <c r="L39" s="22">
        <v>0</v>
      </c>
      <c r="M39" s="22">
        <v>1</v>
      </c>
      <c r="N39" s="22">
        <v>1</v>
      </c>
      <c r="O39" s="22">
        <v>0</v>
      </c>
      <c r="P39" s="22">
        <v>1</v>
      </c>
      <c r="Q39" s="22">
        <v>1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212</v>
      </c>
      <c r="E40" s="31">
        <v>148</v>
      </c>
      <c r="F40" s="31">
        <v>63</v>
      </c>
      <c r="G40" s="31">
        <v>1</v>
      </c>
      <c r="H40" s="31">
        <v>65</v>
      </c>
      <c r="I40" s="31">
        <v>55</v>
      </c>
      <c r="J40" s="31">
        <v>3</v>
      </c>
      <c r="K40" s="31">
        <v>0</v>
      </c>
      <c r="L40" s="31">
        <v>0</v>
      </c>
      <c r="M40" s="31">
        <v>2</v>
      </c>
      <c r="N40" s="31">
        <v>3</v>
      </c>
      <c r="O40" s="31">
        <v>0</v>
      </c>
      <c r="P40" s="31">
        <v>5</v>
      </c>
      <c r="Q40" s="31">
        <v>1</v>
      </c>
      <c r="R40" s="31">
        <v>0</v>
      </c>
      <c r="S40" s="31">
        <v>4</v>
      </c>
      <c r="T40" s="31">
        <v>2</v>
      </c>
      <c r="U40" s="31">
        <v>0</v>
      </c>
      <c r="V40" s="31">
        <v>1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23</v>
      </c>
      <c r="AF40" s="31">
        <v>1</v>
      </c>
      <c r="AG40" s="31">
        <v>1</v>
      </c>
      <c r="AH40" s="31">
        <v>45</v>
      </c>
      <c r="AI40" s="31">
        <v>1</v>
      </c>
      <c r="AJ40" s="31">
        <v>0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185</v>
      </c>
      <c r="E41" s="22">
        <v>128</v>
      </c>
      <c r="F41" s="22">
        <v>56</v>
      </c>
      <c r="G41" s="22">
        <v>1</v>
      </c>
      <c r="H41" s="22">
        <v>60</v>
      </c>
      <c r="I41" s="22">
        <v>48</v>
      </c>
      <c r="J41" s="22">
        <v>3</v>
      </c>
      <c r="K41" s="22">
        <v>0</v>
      </c>
      <c r="L41" s="22">
        <v>0</v>
      </c>
      <c r="M41" s="22">
        <v>2</v>
      </c>
      <c r="N41" s="22">
        <v>3</v>
      </c>
      <c r="O41" s="22">
        <v>0</v>
      </c>
      <c r="P41" s="22">
        <v>4</v>
      </c>
      <c r="Q41" s="22">
        <v>1</v>
      </c>
      <c r="R41" s="22">
        <v>0</v>
      </c>
      <c r="S41" s="22">
        <v>4</v>
      </c>
      <c r="T41" s="22">
        <v>2</v>
      </c>
      <c r="U41" s="22">
        <v>0</v>
      </c>
      <c r="V41" s="22">
        <v>1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20</v>
      </c>
      <c r="AF41" s="22">
        <v>1</v>
      </c>
      <c r="AG41" s="22">
        <v>1</v>
      </c>
      <c r="AH41" s="22">
        <v>34</v>
      </c>
      <c r="AI41" s="22">
        <v>1</v>
      </c>
      <c r="AJ41" s="22">
        <v>0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27</v>
      </c>
      <c r="E42" s="22">
        <v>20</v>
      </c>
      <c r="F42" s="22">
        <v>7</v>
      </c>
      <c r="G42" s="22">
        <v>0</v>
      </c>
      <c r="H42" s="22">
        <v>5</v>
      </c>
      <c r="I42" s="22">
        <v>7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1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3</v>
      </c>
      <c r="AF42" s="22">
        <v>0</v>
      </c>
      <c r="AG42" s="22">
        <v>0</v>
      </c>
      <c r="AH42" s="22">
        <v>11</v>
      </c>
      <c r="AI42" s="22">
        <v>0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296</v>
      </c>
      <c r="E43" s="31">
        <v>216</v>
      </c>
      <c r="F43" s="31">
        <v>80</v>
      </c>
      <c r="G43" s="31">
        <v>0</v>
      </c>
      <c r="H43" s="31">
        <v>94</v>
      </c>
      <c r="I43" s="31">
        <v>54</v>
      </c>
      <c r="J43" s="31">
        <v>3</v>
      </c>
      <c r="K43" s="31">
        <v>1</v>
      </c>
      <c r="L43" s="31">
        <v>0</v>
      </c>
      <c r="M43" s="31">
        <v>2</v>
      </c>
      <c r="N43" s="31">
        <v>4</v>
      </c>
      <c r="O43" s="31">
        <v>0</v>
      </c>
      <c r="P43" s="31">
        <v>13</v>
      </c>
      <c r="Q43" s="31">
        <v>2</v>
      </c>
      <c r="R43" s="31">
        <v>0</v>
      </c>
      <c r="S43" s="31">
        <v>5</v>
      </c>
      <c r="T43" s="31">
        <v>1</v>
      </c>
      <c r="U43" s="31">
        <v>0</v>
      </c>
      <c r="V43" s="31">
        <v>1</v>
      </c>
      <c r="W43" s="31">
        <v>0</v>
      </c>
      <c r="X43" s="31">
        <v>0</v>
      </c>
      <c r="Y43" s="31">
        <v>19</v>
      </c>
      <c r="Z43" s="31">
        <v>4</v>
      </c>
      <c r="AA43" s="31">
        <v>0</v>
      </c>
      <c r="AB43" s="31">
        <v>0</v>
      </c>
      <c r="AC43" s="31">
        <v>0</v>
      </c>
      <c r="AD43" s="31">
        <v>0</v>
      </c>
      <c r="AE43" s="31">
        <v>68</v>
      </c>
      <c r="AF43" s="31">
        <v>11</v>
      </c>
      <c r="AG43" s="31">
        <v>0</v>
      </c>
      <c r="AH43" s="31">
        <v>11</v>
      </c>
      <c r="AI43" s="31">
        <v>3</v>
      </c>
      <c r="AJ43" s="31">
        <v>0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291</v>
      </c>
      <c r="E44" s="22">
        <v>215</v>
      </c>
      <c r="F44" s="22">
        <v>76</v>
      </c>
      <c r="G44" s="22">
        <v>0</v>
      </c>
      <c r="H44" s="22">
        <v>94</v>
      </c>
      <c r="I44" s="22">
        <v>50</v>
      </c>
      <c r="J44" s="22">
        <v>2</v>
      </c>
      <c r="K44" s="22">
        <v>1</v>
      </c>
      <c r="L44" s="22">
        <v>0</v>
      </c>
      <c r="M44" s="22">
        <v>2</v>
      </c>
      <c r="N44" s="22">
        <v>4</v>
      </c>
      <c r="O44" s="22">
        <v>0</v>
      </c>
      <c r="P44" s="22">
        <v>13</v>
      </c>
      <c r="Q44" s="22">
        <v>2</v>
      </c>
      <c r="R44" s="22">
        <v>0</v>
      </c>
      <c r="S44" s="22">
        <v>5</v>
      </c>
      <c r="T44" s="22">
        <v>1</v>
      </c>
      <c r="U44" s="22">
        <v>0</v>
      </c>
      <c r="V44" s="22">
        <v>1</v>
      </c>
      <c r="W44" s="22">
        <v>0</v>
      </c>
      <c r="X44" s="22">
        <v>0</v>
      </c>
      <c r="Y44" s="22">
        <v>19</v>
      </c>
      <c r="Z44" s="22">
        <v>4</v>
      </c>
      <c r="AA44" s="22">
        <v>0</v>
      </c>
      <c r="AB44" s="22">
        <v>0</v>
      </c>
      <c r="AC44" s="22">
        <v>0</v>
      </c>
      <c r="AD44" s="22">
        <v>0</v>
      </c>
      <c r="AE44" s="22">
        <v>68</v>
      </c>
      <c r="AF44" s="22">
        <v>11</v>
      </c>
      <c r="AG44" s="22">
        <v>0</v>
      </c>
      <c r="AH44" s="22">
        <v>11</v>
      </c>
      <c r="AI44" s="22">
        <v>3</v>
      </c>
      <c r="AJ44" s="22">
        <v>0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5</v>
      </c>
      <c r="E45" s="22">
        <v>1</v>
      </c>
      <c r="F45" s="22">
        <v>4</v>
      </c>
      <c r="G45" s="22">
        <v>0</v>
      </c>
      <c r="H45" s="22">
        <v>0</v>
      </c>
      <c r="I45" s="22">
        <v>4</v>
      </c>
      <c r="J45" s="22">
        <v>1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199</v>
      </c>
      <c r="E46" s="31">
        <v>120</v>
      </c>
      <c r="F46" s="31">
        <v>79</v>
      </c>
      <c r="G46" s="31">
        <v>0</v>
      </c>
      <c r="H46" s="31">
        <v>65</v>
      </c>
      <c r="I46" s="31">
        <v>49</v>
      </c>
      <c r="J46" s="31">
        <v>3</v>
      </c>
      <c r="K46" s="31">
        <v>1</v>
      </c>
      <c r="L46" s="31">
        <v>0</v>
      </c>
      <c r="M46" s="31">
        <v>3</v>
      </c>
      <c r="N46" s="31">
        <v>9</v>
      </c>
      <c r="O46" s="31">
        <v>0</v>
      </c>
      <c r="P46" s="31">
        <v>3</v>
      </c>
      <c r="Q46" s="31">
        <v>5</v>
      </c>
      <c r="R46" s="31">
        <v>0</v>
      </c>
      <c r="S46" s="31">
        <v>7</v>
      </c>
      <c r="T46" s="31">
        <v>4</v>
      </c>
      <c r="U46" s="31">
        <v>0</v>
      </c>
      <c r="V46" s="31">
        <v>4</v>
      </c>
      <c r="W46" s="31">
        <v>0</v>
      </c>
      <c r="X46" s="31">
        <v>0</v>
      </c>
      <c r="Y46" s="31">
        <v>5</v>
      </c>
      <c r="Z46" s="31">
        <v>4</v>
      </c>
      <c r="AA46" s="31">
        <v>0</v>
      </c>
      <c r="AB46" s="31">
        <v>0</v>
      </c>
      <c r="AC46" s="31">
        <v>0</v>
      </c>
      <c r="AD46" s="31">
        <v>0</v>
      </c>
      <c r="AE46" s="31">
        <v>30</v>
      </c>
      <c r="AF46" s="31">
        <v>7</v>
      </c>
      <c r="AG46" s="31">
        <v>0</v>
      </c>
      <c r="AH46" s="31">
        <v>0</v>
      </c>
      <c r="AI46" s="31">
        <v>0</v>
      </c>
      <c r="AJ46" s="31">
        <v>0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189</v>
      </c>
      <c r="E47" s="22">
        <v>118</v>
      </c>
      <c r="F47" s="22">
        <v>71</v>
      </c>
      <c r="G47" s="22">
        <v>0</v>
      </c>
      <c r="H47" s="22">
        <v>64</v>
      </c>
      <c r="I47" s="22">
        <v>46</v>
      </c>
      <c r="J47" s="22">
        <v>3</v>
      </c>
      <c r="K47" s="22">
        <v>1</v>
      </c>
      <c r="L47" s="22">
        <v>0</v>
      </c>
      <c r="M47" s="22">
        <v>3</v>
      </c>
      <c r="N47" s="22">
        <v>6</v>
      </c>
      <c r="O47" s="22">
        <v>0</v>
      </c>
      <c r="P47" s="22">
        <v>3</v>
      </c>
      <c r="Q47" s="22">
        <v>3</v>
      </c>
      <c r="R47" s="22">
        <v>0</v>
      </c>
      <c r="S47" s="22">
        <v>7</v>
      </c>
      <c r="T47" s="22">
        <v>4</v>
      </c>
      <c r="U47" s="22">
        <v>0</v>
      </c>
      <c r="V47" s="22">
        <v>4</v>
      </c>
      <c r="W47" s="22">
        <v>0</v>
      </c>
      <c r="X47" s="22">
        <v>0</v>
      </c>
      <c r="Y47" s="22">
        <v>4</v>
      </c>
      <c r="Z47" s="22">
        <v>4</v>
      </c>
      <c r="AA47" s="22">
        <v>0</v>
      </c>
      <c r="AB47" s="22">
        <v>0</v>
      </c>
      <c r="AC47" s="22">
        <v>0</v>
      </c>
      <c r="AD47" s="22">
        <v>0</v>
      </c>
      <c r="AE47" s="22">
        <v>30</v>
      </c>
      <c r="AF47" s="22">
        <v>7</v>
      </c>
      <c r="AG47" s="22">
        <v>0</v>
      </c>
      <c r="AH47" s="22">
        <v>0</v>
      </c>
      <c r="AI47" s="22">
        <v>0</v>
      </c>
      <c r="AJ47" s="22">
        <v>0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10</v>
      </c>
      <c r="E48" s="22">
        <v>2</v>
      </c>
      <c r="F48" s="22">
        <v>8</v>
      </c>
      <c r="G48" s="22">
        <v>0</v>
      </c>
      <c r="H48" s="22">
        <v>1</v>
      </c>
      <c r="I48" s="22">
        <v>3</v>
      </c>
      <c r="J48" s="22">
        <v>0</v>
      </c>
      <c r="K48" s="22">
        <v>0</v>
      </c>
      <c r="L48" s="22">
        <v>0</v>
      </c>
      <c r="M48" s="22">
        <v>0</v>
      </c>
      <c r="N48" s="22">
        <v>3</v>
      </c>
      <c r="O48" s="22">
        <v>0</v>
      </c>
      <c r="P48" s="22">
        <v>0</v>
      </c>
      <c r="Q48" s="22">
        <v>2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1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370</v>
      </c>
      <c r="E49" s="31">
        <v>263</v>
      </c>
      <c r="F49" s="31">
        <v>106</v>
      </c>
      <c r="G49" s="31">
        <v>1</v>
      </c>
      <c r="H49" s="31">
        <v>134</v>
      </c>
      <c r="I49" s="31">
        <v>88</v>
      </c>
      <c r="J49" s="31">
        <v>14</v>
      </c>
      <c r="K49" s="31">
        <v>3</v>
      </c>
      <c r="L49" s="31">
        <v>0</v>
      </c>
      <c r="M49" s="31">
        <v>5</v>
      </c>
      <c r="N49" s="31">
        <v>5</v>
      </c>
      <c r="O49" s="31">
        <v>0</v>
      </c>
      <c r="P49" s="31">
        <v>13</v>
      </c>
      <c r="Q49" s="31">
        <v>3</v>
      </c>
      <c r="R49" s="31">
        <v>0</v>
      </c>
      <c r="S49" s="31">
        <v>9</v>
      </c>
      <c r="T49" s="31">
        <v>4</v>
      </c>
      <c r="U49" s="31">
        <v>0</v>
      </c>
      <c r="V49" s="31">
        <v>4</v>
      </c>
      <c r="W49" s="31">
        <v>0</v>
      </c>
      <c r="X49" s="31">
        <v>0</v>
      </c>
      <c r="Y49" s="31">
        <v>1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54</v>
      </c>
      <c r="AF49" s="31">
        <v>2</v>
      </c>
      <c r="AG49" s="31">
        <v>0</v>
      </c>
      <c r="AH49" s="31">
        <v>29</v>
      </c>
      <c r="AI49" s="31">
        <v>1</v>
      </c>
      <c r="AJ49" s="31">
        <v>1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328</v>
      </c>
      <c r="E50" s="22">
        <v>232</v>
      </c>
      <c r="F50" s="22">
        <v>95</v>
      </c>
      <c r="G50" s="22">
        <v>1</v>
      </c>
      <c r="H50" s="22">
        <v>115</v>
      </c>
      <c r="I50" s="22">
        <v>80</v>
      </c>
      <c r="J50" s="22">
        <v>14</v>
      </c>
      <c r="K50" s="22">
        <v>3</v>
      </c>
      <c r="L50" s="22">
        <v>0</v>
      </c>
      <c r="M50" s="22">
        <v>5</v>
      </c>
      <c r="N50" s="22">
        <v>5</v>
      </c>
      <c r="O50" s="22">
        <v>0</v>
      </c>
      <c r="P50" s="22">
        <v>9</v>
      </c>
      <c r="Q50" s="22">
        <v>2</v>
      </c>
      <c r="R50" s="22">
        <v>0</v>
      </c>
      <c r="S50" s="22">
        <v>7</v>
      </c>
      <c r="T50" s="22">
        <v>2</v>
      </c>
      <c r="U50" s="22">
        <v>0</v>
      </c>
      <c r="V50" s="22">
        <v>4</v>
      </c>
      <c r="W50" s="22">
        <v>0</v>
      </c>
      <c r="X50" s="22">
        <v>0</v>
      </c>
      <c r="Y50" s="22">
        <v>1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51</v>
      </c>
      <c r="AF50" s="22">
        <v>2</v>
      </c>
      <c r="AG50" s="22">
        <v>0</v>
      </c>
      <c r="AH50" s="22">
        <v>26</v>
      </c>
      <c r="AI50" s="22">
        <v>1</v>
      </c>
      <c r="AJ50" s="22">
        <v>1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42</v>
      </c>
      <c r="E51" s="22">
        <v>31</v>
      </c>
      <c r="F51" s="22">
        <v>11</v>
      </c>
      <c r="G51" s="22">
        <v>0</v>
      </c>
      <c r="H51" s="22">
        <v>19</v>
      </c>
      <c r="I51" s="22">
        <v>8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4</v>
      </c>
      <c r="Q51" s="22">
        <v>1</v>
      </c>
      <c r="R51" s="22">
        <v>0</v>
      </c>
      <c r="S51" s="22">
        <v>2</v>
      </c>
      <c r="T51" s="22">
        <v>2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3</v>
      </c>
      <c r="AF51" s="22">
        <v>0</v>
      </c>
      <c r="AG51" s="22">
        <v>0</v>
      </c>
      <c r="AH51" s="22">
        <v>3</v>
      </c>
      <c r="AI51" s="22">
        <v>0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102</v>
      </c>
      <c r="E52" s="31">
        <v>72</v>
      </c>
      <c r="F52" s="31">
        <v>29</v>
      </c>
      <c r="G52" s="31">
        <v>1</v>
      </c>
      <c r="H52" s="31">
        <v>22</v>
      </c>
      <c r="I52" s="31">
        <v>18</v>
      </c>
      <c r="J52" s="31">
        <v>5</v>
      </c>
      <c r="K52" s="31">
        <v>3</v>
      </c>
      <c r="L52" s="31">
        <v>0</v>
      </c>
      <c r="M52" s="31">
        <v>1</v>
      </c>
      <c r="N52" s="31">
        <v>1</v>
      </c>
      <c r="O52" s="31">
        <v>0</v>
      </c>
      <c r="P52" s="31">
        <v>4</v>
      </c>
      <c r="Q52" s="31">
        <v>1</v>
      </c>
      <c r="R52" s="31">
        <v>0</v>
      </c>
      <c r="S52" s="31">
        <v>1</v>
      </c>
      <c r="T52" s="31">
        <v>0</v>
      </c>
      <c r="U52" s="31">
        <v>0</v>
      </c>
      <c r="V52" s="31">
        <v>2</v>
      </c>
      <c r="W52" s="31">
        <v>0</v>
      </c>
      <c r="X52" s="31">
        <v>0</v>
      </c>
      <c r="Y52" s="31">
        <v>2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16</v>
      </c>
      <c r="AF52" s="31">
        <v>1</v>
      </c>
      <c r="AG52" s="31">
        <v>0</v>
      </c>
      <c r="AH52" s="31">
        <v>19</v>
      </c>
      <c r="AI52" s="31">
        <v>5</v>
      </c>
      <c r="AJ52" s="31">
        <v>1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56</v>
      </c>
      <c r="E53" s="22">
        <v>46</v>
      </c>
      <c r="F53" s="22">
        <v>10</v>
      </c>
      <c r="G53" s="22">
        <v>0</v>
      </c>
      <c r="H53" s="22">
        <v>15</v>
      </c>
      <c r="I53" s="22">
        <v>8</v>
      </c>
      <c r="J53" s="22">
        <v>3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3</v>
      </c>
      <c r="Q53" s="22">
        <v>1</v>
      </c>
      <c r="R53" s="22">
        <v>0</v>
      </c>
      <c r="S53" s="22">
        <v>1</v>
      </c>
      <c r="T53" s="22">
        <v>0</v>
      </c>
      <c r="U53" s="22">
        <v>0</v>
      </c>
      <c r="V53" s="22">
        <v>2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11</v>
      </c>
      <c r="AF53" s="22">
        <v>1</v>
      </c>
      <c r="AG53" s="22">
        <v>0</v>
      </c>
      <c r="AH53" s="22">
        <v>11</v>
      </c>
      <c r="AI53" s="22">
        <v>0</v>
      </c>
      <c r="AJ53" s="22">
        <v>0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46</v>
      </c>
      <c r="E54" s="22">
        <v>26</v>
      </c>
      <c r="F54" s="22">
        <v>19</v>
      </c>
      <c r="G54" s="22">
        <v>1</v>
      </c>
      <c r="H54" s="22">
        <v>7</v>
      </c>
      <c r="I54" s="22">
        <v>10</v>
      </c>
      <c r="J54" s="22">
        <v>2</v>
      </c>
      <c r="K54" s="22">
        <v>3</v>
      </c>
      <c r="L54" s="22">
        <v>0</v>
      </c>
      <c r="M54" s="22">
        <v>1</v>
      </c>
      <c r="N54" s="22">
        <v>1</v>
      </c>
      <c r="O54" s="22">
        <v>0</v>
      </c>
      <c r="P54" s="22">
        <v>1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2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5</v>
      </c>
      <c r="AF54" s="22">
        <v>0</v>
      </c>
      <c r="AG54" s="22">
        <v>0</v>
      </c>
      <c r="AH54" s="22">
        <v>8</v>
      </c>
      <c r="AI54" s="22">
        <v>5</v>
      </c>
      <c r="AJ54" s="22">
        <v>1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301</v>
      </c>
      <c r="E55" s="31">
        <v>213</v>
      </c>
      <c r="F55" s="31">
        <v>88</v>
      </c>
      <c r="G55" s="31">
        <v>0</v>
      </c>
      <c r="H55" s="31">
        <v>91</v>
      </c>
      <c r="I55" s="31">
        <v>69</v>
      </c>
      <c r="J55" s="31">
        <v>5</v>
      </c>
      <c r="K55" s="31">
        <v>1</v>
      </c>
      <c r="L55" s="31">
        <v>0</v>
      </c>
      <c r="M55" s="31">
        <v>3</v>
      </c>
      <c r="N55" s="31">
        <v>8</v>
      </c>
      <c r="O55" s="31">
        <v>0</v>
      </c>
      <c r="P55" s="31">
        <v>18</v>
      </c>
      <c r="Q55" s="31">
        <v>1</v>
      </c>
      <c r="R55" s="31">
        <v>0</v>
      </c>
      <c r="S55" s="31">
        <v>13</v>
      </c>
      <c r="T55" s="31">
        <v>3</v>
      </c>
      <c r="U55" s="31">
        <v>0</v>
      </c>
      <c r="V55" s="31">
        <v>0</v>
      </c>
      <c r="W55" s="31">
        <v>0</v>
      </c>
      <c r="X55" s="31">
        <v>0</v>
      </c>
      <c r="Y55" s="31">
        <v>6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77</v>
      </c>
      <c r="AF55" s="31">
        <v>6</v>
      </c>
      <c r="AG55" s="31">
        <v>0</v>
      </c>
      <c r="AH55" s="31">
        <v>0</v>
      </c>
      <c r="AI55" s="31">
        <v>0</v>
      </c>
      <c r="AJ55" s="31">
        <v>0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165</v>
      </c>
      <c r="E56" s="22">
        <v>123</v>
      </c>
      <c r="F56" s="22">
        <v>42</v>
      </c>
      <c r="G56" s="22">
        <v>0</v>
      </c>
      <c r="H56" s="22">
        <v>43</v>
      </c>
      <c r="I56" s="22">
        <v>34</v>
      </c>
      <c r="J56" s="22">
        <v>1</v>
      </c>
      <c r="K56" s="22">
        <v>0</v>
      </c>
      <c r="L56" s="22">
        <v>0</v>
      </c>
      <c r="M56" s="22">
        <v>2</v>
      </c>
      <c r="N56" s="22">
        <v>1</v>
      </c>
      <c r="O56" s="22">
        <v>0</v>
      </c>
      <c r="P56" s="22">
        <v>6</v>
      </c>
      <c r="Q56" s="22">
        <v>0</v>
      </c>
      <c r="R56" s="22">
        <v>0</v>
      </c>
      <c r="S56" s="22">
        <v>10</v>
      </c>
      <c r="T56" s="22">
        <v>2</v>
      </c>
      <c r="U56" s="22">
        <v>0</v>
      </c>
      <c r="V56" s="22">
        <v>0</v>
      </c>
      <c r="W56" s="22">
        <v>0</v>
      </c>
      <c r="X56" s="22">
        <v>0</v>
      </c>
      <c r="Y56" s="22">
        <v>3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58</v>
      </c>
      <c r="AF56" s="22">
        <v>5</v>
      </c>
      <c r="AG56" s="22">
        <v>0</v>
      </c>
      <c r="AH56" s="22">
        <v>0</v>
      </c>
      <c r="AI56" s="22">
        <v>0</v>
      </c>
      <c r="AJ56" s="22">
        <v>0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136</v>
      </c>
      <c r="E57" s="22">
        <v>90</v>
      </c>
      <c r="F57" s="22">
        <v>46</v>
      </c>
      <c r="G57" s="22">
        <v>0</v>
      </c>
      <c r="H57" s="22">
        <v>48</v>
      </c>
      <c r="I57" s="22">
        <v>35</v>
      </c>
      <c r="J57" s="22">
        <v>4</v>
      </c>
      <c r="K57" s="22">
        <v>1</v>
      </c>
      <c r="L57" s="22">
        <v>0</v>
      </c>
      <c r="M57" s="22">
        <v>1</v>
      </c>
      <c r="N57" s="22">
        <v>7</v>
      </c>
      <c r="O57" s="22">
        <v>0</v>
      </c>
      <c r="P57" s="22">
        <v>12</v>
      </c>
      <c r="Q57" s="22">
        <v>1</v>
      </c>
      <c r="R57" s="22">
        <v>0</v>
      </c>
      <c r="S57" s="22">
        <v>3</v>
      </c>
      <c r="T57" s="22">
        <v>1</v>
      </c>
      <c r="U57" s="22">
        <v>0</v>
      </c>
      <c r="V57" s="22">
        <v>0</v>
      </c>
      <c r="W57" s="22">
        <v>0</v>
      </c>
      <c r="X57" s="22">
        <v>0</v>
      </c>
      <c r="Y57" s="22">
        <v>3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19</v>
      </c>
      <c r="AF57" s="22">
        <v>1</v>
      </c>
      <c r="AG57" s="22">
        <v>0</v>
      </c>
      <c r="AH57" s="22">
        <v>0</v>
      </c>
      <c r="AI57" s="22">
        <v>0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31</v>
      </c>
      <c r="E58" s="31">
        <v>27</v>
      </c>
      <c r="F58" s="31">
        <v>3</v>
      </c>
      <c r="G58" s="31">
        <v>1</v>
      </c>
      <c r="H58" s="31">
        <v>5</v>
      </c>
      <c r="I58" s="31">
        <v>2</v>
      </c>
      <c r="J58" s="31">
        <v>3</v>
      </c>
      <c r="K58" s="31">
        <v>0</v>
      </c>
      <c r="L58" s="31">
        <v>0</v>
      </c>
      <c r="M58" s="31">
        <v>1</v>
      </c>
      <c r="N58" s="31">
        <v>1</v>
      </c>
      <c r="O58" s="31">
        <v>0</v>
      </c>
      <c r="P58" s="31">
        <v>1</v>
      </c>
      <c r="Q58" s="31">
        <v>0</v>
      </c>
      <c r="R58" s="31">
        <v>0</v>
      </c>
      <c r="S58" s="31">
        <v>2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3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9</v>
      </c>
      <c r="AF58" s="31">
        <v>0</v>
      </c>
      <c r="AG58" s="31">
        <v>0</v>
      </c>
      <c r="AH58" s="31">
        <v>3</v>
      </c>
      <c r="AI58" s="31">
        <v>0</v>
      </c>
      <c r="AJ58" s="31">
        <v>1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31</v>
      </c>
      <c r="E59" s="22">
        <v>27</v>
      </c>
      <c r="F59" s="22">
        <v>3</v>
      </c>
      <c r="G59" s="22">
        <v>1</v>
      </c>
      <c r="H59" s="22">
        <v>5</v>
      </c>
      <c r="I59" s="22">
        <v>2</v>
      </c>
      <c r="J59" s="22">
        <v>3</v>
      </c>
      <c r="K59" s="22">
        <v>0</v>
      </c>
      <c r="L59" s="22">
        <v>0</v>
      </c>
      <c r="M59" s="22">
        <v>1</v>
      </c>
      <c r="N59" s="22">
        <v>1</v>
      </c>
      <c r="O59" s="22">
        <v>0</v>
      </c>
      <c r="P59" s="22">
        <v>1</v>
      </c>
      <c r="Q59" s="22">
        <v>0</v>
      </c>
      <c r="R59" s="22">
        <v>0</v>
      </c>
      <c r="S59" s="22">
        <v>2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3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9</v>
      </c>
      <c r="AF59" s="22">
        <v>0</v>
      </c>
      <c r="AG59" s="22">
        <v>0</v>
      </c>
      <c r="AH59" s="22">
        <v>3</v>
      </c>
      <c r="AI59" s="22">
        <v>0</v>
      </c>
      <c r="AJ59" s="22">
        <v>1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149</v>
      </c>
      <c r="E61" s="31">
        <v>105</v>
      </c>
      <c r="F61" s="31">
        <v>44</v>
      </c>
      <c r="G61" s="31">
        <v>0</v>
      </c>
      <c r="H61" s="31">
        <v>44</v>
      </c>
      <c r="I61" s="31">
        <v>33</v>
      </c>
      <c r="J61" s="31">
        <v>1</v>
      </c>
      <c r="K61" s="31">
        <v>1</v>
      </c>
      <c r="L61" s="31">
        <v>0</v>
      </c>
      <c r="M61" s="31">
        <v>5</v>
      </c>
      <c r="N61" s="31">
        <v>3</v>
      </c>
      <c r="O61" s="31">
        <v>0</v>
      </c>
      <c r="P61" s="31">
        <v>8</v>
      </c>
      <c r="Q61" s="31">
        <v>2</v>
      </c>
      <c r="R61" s="31">
        <v>0</v>
      </c>
      <c r="S61" s="31">
        <v>1</v>
      </c>
      <c r="T61" s="31">
        <v>0</v>
      </c>
      <c r="U61" s="31">
        <v>0</v>
      </c>
      <c r="V61" s="31">
        <v>1</v>
      </c>
      <c r="W61" s="31">
        <v>0</v>
      </c>
      <c r="X61" s="31">
        <v>0</v>
      </c>
      <c r="Y61" s="31">
        <v>8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31</v>
      </c>
      <c r="AF61" s="31">
        <v>3</v>
      </c>
      <c r="AG61" s="31">
        <v>0</v>
      </c>
      <c r="AH61" s="31">
        <v>6</v>
      </c>
      <c r="AI61" s="31">
        <v>2</v>
      </c>
      <c r="AJ61" s="31">
        <v>0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141</v>
      </c>
      <c r="E62" s="22">
        <v>98</v>
      </c>
      <c r="F62" s="22">
        <v>43</v>
      </c>
      <c r="G62" s="22">
        <v>0</v>
      </c>
      <c r="H62" s="22">
        <v>41</v>
      </c>
      <c r="I62" s="22">
        <v>32</v>
      </c>
      <c r="J62" s="22">
        <v>1</v>
      </c>
      <c r="K62" s="22">
        <v>1</v>
      </c>
      <c r="L62" s="22">
        <v>0</v>
      </c>
      <c r="M62" s="22">
        <v>5</v>
      </c>
      <c r="N62" s="22">
        <v>3</v>
      </c>
      <c r="O62" s="22">
        <v>0</v>
      </c>
      <c r="P62" s="22">
        <v>6</v>
      </c>
      <c r="Q62" s="22">
        <v>2</v>
      </c>
      <c r="R62" s="22">
        <v>0</v>
      </c>
      <c r="S62" s="22">
        <v>1</v>
      </c>
      <c r="T62" s="22">
        <v>0</v>
      </c>
      <c r="U62" s="22">
        <v>0</v>
      </c>
      <c r="V62" s="22">
        <v>1</v>
      </c>
      <c r="W62" s="22">
        <v>0</v>
      </c>
      <c r="X62" s="22">
        <v>0</v>
      </c>
      <c r="Y62" s="22">
        <v>8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29</v>
      </c>
      <c r="AF62" s="22">
        <v>3</v>
      </c>
      <c r="AG62" s="22">
        <v>0</v>
      </c>
      <c r="AH62" s="22">
        <v>6</v>
      </c>
      <c r="AI62" s="22">
        <v>2</v>
      </c>
      <c r="AJ62" s="22">
        <v>0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8</v>
      </c>
      <c r="E63" s="22">
        <v>7</v>
      </c>
      <c r="F63" s="22">
        <v>1</v>
      </c>
      <c r="G63" s="22">
        <v>0</v>
      </c>
      <c r="H63" s="22">
        <v>3</v>
      </c>
      <c r="I63" s="22">
        <v>1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2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2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224</v>
      </c>
      <c r="E64" s="31">
        <v>124</v>
      </c>
      <c r="F64" s="31">
        <v>96</v>
      </c>
      <c r="G64" s="31">
        <v>4</v>
      </c>
      <c r="H64" s="31">
        <v>58</v>
      </c>
      <c r="I64" s="31">
        <v>70</v>
      </c>
      <c r="J64" s="31">
        <v>4</v>
      </c>
      <c r="K64" s="31">
        <v>1</v>
      </c>
      <c r="L64" s="31">
        <v>0</v>
      </c>
      <c r="M64" s="31">
        <v>4</v>
      </c>
      <c r="N64" s="31">
        <v>3</v>
      </c>
      <c r="O64" s="31">
        <v>0</v>
      </c>
      <c r="P64" s="31">
        <v>4</v>
      </c>
      <c r="Q64" s="31">
        <v>3</v>
      </c>
      <c r="R64" s="31">
        <v>0</v>
      </c>
      <c r="S64" s="31">
        <v>6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2</v>
      </c>
      <c r="Z64" s="31">
        <v>2</v>
      </c>
      <c r="AA64" s="31">
        <v>0</v>
      </c>
      <c r="AB64" s="31">
        <v>0</v>
      </c>
      <c r="AC64" s="31">
        <v>0</v>
      </c>
      <c r="AD64" s="31">
        <v>0</v>
      </c>
      <c r="AE64" s="31">
        <v>20</v>
      </c>
      <c r="AF64" s="31">
        <v>8</v>
      </c>
      <c r="AG64" s="31">
        <v>0</v>
      </c>
      <c r="AH64" s="31">
        <v>26</v>
      </c>
      <c r="AI64" s="31">
        <v>9</v>
      </c>
      <c r="AJ64" s="31">
        <v>4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221</v>
      </c>
      <c r="E65" s="22">
        <v>122</v>
      </c>
      <c r="F65" s="22">
        <v>95</v>
      </c>
      <c r="G65" s="22">
        <v>4</v>
      </c>
      <c r="H65" s="22">
        <v>58</v>
      </c>
      <c r="I65" s="22">
        <v>70</v>
      </c>
      <c r="J65" s="22">
        <v>4</v>
      </c>
      <c r="K65" s="22">
        <v>1</v>
      </c>
      <c r="L65" s="22">
        <v>0</v>
      </c>
      <c r="M65" s="22">
        <v>4</v>
      </c>
      <c r="N65" s="22">
        <v>3</v>
      </c>
      <c r="O65" s="22">
        <v>0</v>
      </c>
      <c r="P65" s="22">
        <v>3</v>
      </c>
      <c r="Q65" s="22">
        <v>3</v>
      </c>
      <c r="R65" s="22">
        <v>0</v>
      </c>
      <c r="S65" s="22">
        <v>6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2</v>
      </c>
      <c r="Z65" s="22">
        <v>2</v>
      </c>
      <c r="AA65" s="22">
        <v>0</v>
      </c>
      <c r="AB65" s="22">
        <v>0</v>
      </c>
      <c r="AC65" s="22">
        <v>0</v>
      </c>
      <c r="AD65" s="22">
        <v>0</v>
      </c>
      <c r="AE65" s="22">
        <v>20</v>
      </c>
      <c r="AF65" s="22">
        <v>7</v>
      </c>
      <c r="AG65" s="22">
        <v>0</v>
      </c>
      <c r="AH65" s="22">
        <v>25</v>
      </c>
      <c r="AI65" s="22">
        <v>9</v>
      </c>
      <c r="AJ65" s="22">
        <v>4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3</v>
      </c>
      <c r="E66" s="22">
        <v>2</v>
      </c>
      <c r="F66" s="22">
        <v>1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1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1</v>
      </c>
      <c r="AG66" s="22">
        <v>0</v>
      </c>
      <c r="AH66" s="22">
        <v>1</v>
      </c>
      <c r="AI66" s="22">
        <v>0</v>
      </c>
      <c r="AJ66" s="22">
        <v>0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183</v>
      </c>
      <c r="E67" s="31">
        <v>104</v>
      </c>
      <c r="F67" s="31">
        <v>77</v>
      </c>
      <c r="G67" s="31">
        <v>2</v>
      </c>
      <c r="H67" s="31">
        <v>22</v>
      </c>
      <c r="I67" s="31">
        <v>35</v>
      </c>
      <c r="J67" s="31">
        <v>1</v>
      </c>
      <c r="K67" s="31">
        <v>0</v>
      </c>
      <c r="L67" s="31">
        <v>0</v>
      </c>
      <c r="M67" s="31">
        <v>3</v>
      </c>
      <c r="N67" s="31">
        <v>1</v>
      </c>
      <c r="O67" s="31">
        <v>0</v>
      </c>
      <c r="P67" s="31">
        <v>5</v>
      </c>
      <c r="Q67" s="31">
        <v>0</v>
      </c>
      <c r="R67" s="31">
        <v>0</v>
      </c>
      <c r="S67" s="31">
        <v>6</v>
      </c>
      <c r="T67" s="31">
        <v>0</v>
      </c>
      <c r="U67" s="31">
        <v>0</v>
      </c>
      <c r="V67" s="31">
        <v>1</v>
      </c>
      <c r="W67" s="31">
        <v>0</v>
      </c>
      <c r="X67" s="31">
        <v>0</v>
      </c>
      <c r="Y67" s="31">
        <v>3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47</v>
      </c>
      <c r="AF67" s="31">
        <v>24</v>
      </c>
      <c r="AG67" s="31">
        <v>0</v>
      </c>
      <c r="AH67" s="31">
        <v>16</v>
      </c>
      <c r="AI67" s="31">
        <v>17</v>
      </c>
      <c r="AJ67" s="31">
        <v>2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183</v>
      </c>
      <c r="E68" s="22">
        <v>104</v>
      </c>
      <c r="F68" s="22">
        <v>77</v>
      </c>
      <c r="G68" s="22">
        <v>2</v>
      </c>
      <c r="H68" s="22">
        <v>22</v>
      </c>
      <c r="I68" s="22">
        <v>35</v>
      </c>
      <c r="J68" s="22">
        <v>1</v>
      </c>
      <c r="K68" s="22">
        <v>0</v>
      </c>
      <c r="L68" s="22">
        <v>0</v>
      </c>
      <c r="M68" s="22">
        <v>3</v>
      </c>
      <c r="N68" s="22">
        <v>1</v>
      </c>
      <c r="O68" s="22">
        <v>0</v>
      </c>
      <c r="P68" s="22">
        <v>5</v>
      </c>
      <c r="Q68" s="22">
        <v>0</v>
      </c>
      <c r="R68" s="22">
        <v>0</v>
      </c>
      <c r="S68" s="22">
        <v>6</v>
      </c>
      <c r="T68" s="22">
        <v>0</v>
      </c>
      <c r="U68" s="22">
        <v>0</v>
      </c>
      <c r="V68" s="22">
        <v>1</v>
      </c>
      <c r="W68" s="22">
        <v>0</v>
      </c>
      <c r="X68" s="22">
        <v>0</v>
      </c>
      <c r="Y68" s="22">
        <v>3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47</v>
      </c>
      <c r="AF68" s="22">
        <v>24</v>
      </c>
      <c r="AG68" s="22">
        <v>0</v>
      </c>
      <c r="AH68" s="22">
        <v>16</v>
      </c>
      <c r="AI68" s="22">
        <v>17</v>
      </c>
      <c r="AJ68" s="22">
        <v>2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50</v>
      </c>
      <c r="E70" s="31">
        <v>24</v>
      </c>
      <c r="F70" s="31">
        <v>25</v>
      </c>
      <c r="G70" s="31">
        <v>1</v>
      </c>
      <c r="H70" s="31">
        <v>13</v>
      </c>
      <c r="I70" s="31">
        <v>20</v>
      </c>
      <c r="J70" s="31">
        <v>1</v>
      </c>
      <c r="K70" s="31">
        <v>0</v>
      </c>
      <c r="L70" s="31">
        <v>0</v>
      </c>
      <c r="M70" s="31">
        <v>2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2</v>
      </c>
      <c r="X70" s="31">
        <v>0</v>
      </c>
      <c r="Y70" s="31">
        <v>2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1</v>
      </c>
      <c r="AF70" s="31">
        <v>2</v>
      </c>
      <c r="AG70" s="31">
        <v>0</v>
      </c>
      <c r="AH70" s="31">
        <v>5</v>
      </c>
      <c r="AI70" s="31">
        <v>1</v>
      </c>
      <c r="AJ70" s="31">
        <v>1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49</v>
      </c>
      <c r="E71" s="22">
        <v>23</v>
      </c>
      <c r="F71" s="22">
        <v>25</v>
      </c>
      <c r="G71" s="22">
        <v>1</v>
      </c>
      <c r="H71" s="22">
        <v>13</v>
      </c>
      <c r="I71" s="22">
        <v>20</v>
      </c>
      <c r="J71" s="22">
        <v>1</v>
      </c>
      <c r="K71" s="22">
        <v>0</v>
      </c>
      <c r="L71" s="22">
        <v>0</v>
      </c>
      <c r="M71" s="22">
        <v>2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2</v>
      </c>
      <c r="X71" s="22">
        <v>0</v>
      </c>
      <c r="Y71" s="22">
        <v>2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1</v>
      </c>
      <c r="AF71" s="22">
        <v>2</v>
      </c>
      <c r="AG71" s="22">
        <v>0</v>
      </c>
      <c r="AH71" s="22">
        <v>4</v>
      </c>
      <c r="AI71" s="22">
        <v>1</v>
      </c>
      <c r="AJ71" s="22">
        <v>1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1</v>
      </c>
      <c r="E72" s="22">
        <v>1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1</v>
      </c>
      <c r="AI72" s="22">
        <v>0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13</v>
      </c>
      <c r="E73" s="31">
        <v>7</v>
      </c>
      <c r="F73" s="31">
        <v>6</v>
      </c>
      <c r="G73" s="31">
        <v>0</v>
      </c>
      <c r="H73" s="31">
        <v>5</v>
      </c>
      <c r="I73" s="31">
        <v>6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2</v>
      </c>
      <c r="AI73" s="31">
        <v>0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12</v>
      </c>
      <c r="E74" s="22">
        <v>6</v>
      </c>
      <c r="F74" s="22">
        <v>6</v>
      </c>
      <c r="G74" s="22">
        <v>0</v>
      </c>
      <c r="H74" s="22">
        <v>4</v>
      </c>
      <c r="I74" s="22">
        <v>6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2</v>
      </c>
      <c r="AI74" s="22">
        <v>0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1</v>
      </c>
      <c r="E75" s="27">
        <v>1</v>
      </c>
      <c r="F75" s="27">
        <v>0</v>
      </c>
      <c r="G75" s="27">
        <v>0</v>
      </c>
      <c r="H75" s="27">
        <v>1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/>
    <row r="79" spans="1:36" ht="15.75" customHeight="1" x14ac:dyDescent="0.2">
      <c r="A79" s="64" t="s">
        <v>196</v>
      </c>
    </row>
  </sheetData>
  <mergeCells count="67">
    <mergeCell ref="AH4:AJ4"/>
    <mergeCell ref="A4:C6"/>
    <mergeCell ref="D4:G4"/>
    <mergeCell ref="H4:I4"/>
    <mergeCell ref="J4:L4"/>
    <mergeCell ref="M4:O4"/>
    <mergeCell ref="P4:R4"/>
    <mergeCell ref="D5:D6"/>
    <mergeCell ref="E5:E6"/>
    <mergeCell ref="F5:F6"/>
    <mergeCell ref="G5:G6"/>
    <mergeCell ref="M5:M6"/>
    <mergeCell ref="S4:U4"/>
    <mergeCell ref="V4:X4"/>
    <mergeCell ref="Y4:AA4"/>
    <mergeCell ref="AB4:AD4"/>
    <mergeCell ref="J5:J6"/>
    <mergeCell ref="K5:K6"/>
    <mergeCell ref="AD5:AD6"/>
    <mergeCell ref="AE5:AE6"/>
    <mergeCell ref="T5:T6"/>
    <mergeCell ref="U5:U6"/>
    <mergeCell ref="V5:V6"/>
    <mergeCell ref="W5:W6"/>
    <mergeCell ref="X5:X6"/>
    <mergeCell ref="Y5:Y6"/>
    <mergeCell ref="AH5:AH6"/>
    <mergeCell ref="AI5:AI6"/>
    <mergeCell ref="AE4:AG4"/>
    <mergeCell ref="A8:A9"/>
    <mergeCell ref="Z5:Z6"/>
    <mergeCell ref="AA5:AA6"/>
    <mergeCell ref="AB5:AB6"/>
    <mergeCell ref="AC5:AC6"/>
    <mergeCell ref="N5:N6"/>
    <mergeCell ref="O5:O6"/>
    <mergeCell ref="P5:P6"/>
    <mergeCell ref="Q5:Q6"/>
    <mergeCell ref="R5:R6"/>
    <mergeCell ref="S5:S6"/>
    <mergeCell ref="H5:H6"/>
    <mergeCell ref="I5:I6"/>
    <mergeCell ref="AJ5:AJ6"/>
    <mergeCell ref="A47:A48"/>
    <mergeCell ref="A11:A12"/>
    <mergeCell ref="A14:A15"/>
    <mergeCell ref="A17:A18"/>
    <mergeCell ref="A20:A21"/>
    <mergeCell ref="A23:A24"/>
    <mergeCell ref="A26:A27"/>
    <mergeCell ref="A32:A33"/>
    <mergeCell ref="A35:A36"/>
    <mergeCell ref="A38:A39"/>
    <mergeCell ref="A41:A42"/>
    <mergeCell ref="A44:A45"/>
    <mergeCell ref="L5:L6"/>
    <mergeCell ref="AF5:AF6"/>
    <mergeCell ref="AG5:AG6"/>
    <mergeCell ref="A68:A69"/>
    <mergeCell ref="A71:A72"/>
    <mergeCell ref="A74:A75"/>
    <mergeCell ref="A50:A51"/>
    <mergeCell ref="A53:A54"/>
    <mergeCell ref="A56:A57"/>
    <mergeCell ref="A59:A60"/>
    <mergeCell ref="A62:A63"/>
    <mergeCell ref="A65:A66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79"/>
  <sheetViews>
    <sheetView zoomScaleNormal="100" zoomScaleSheetLayoutView="100" workbookViewId="0">
      <pane xSplit="4" ySplit="7" topLeftCell="E8" activePane="bottomRight" state="frozen"/>
      <selection activeCell="K80" sqref="K80"/>
      <selection pane="topRight" activeCell="K80" sqref="K80"/>
      <selection pane="bottomLeft" activeCell="K80" sqref="K80"/>
      <selection pane="bottomRight" activeCell="K80" sqref="K80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63" t="s">
        <v>192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AJ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87" t="s">
        <v>164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112" t="s">
        <v>158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5063</v>
      </c>
      <c r="E7" s="68">
        <v>3221</v>
      </c>
      <c r="F7" s="68">
        <v>1802</v>
      </c>
      <c r="G7" s="68">
        <v>40</v>
      </c>
      <c r="H7" s="68">
        <v>1605</v>
      </c>
      <c r="I7" s="68">
        <v>1383</v>
      </c>
      <c r="J7" s="68">
        <v>110</v>
      </c>
      <c r="K7" s="68">
        <v>27</v>
      </c>
      <c r="L7" s="68">
        <v>0</v>
      </c>
      <c r="M7" s="68">
        <v>64</v>
      </c>
      <c r="N7" s="68">
        <v>92</v>
      </c>
      <c r="O7" s="68">
        <v>0</v>
      </c>
      <c r="P7" s="68">
        <v>135</v>
      </c>
      <c r="Q7" s="68">
        <v>44</v>
      </c>
      <c r="R7" s="68">
        <v>0</v>
      </c>
      <c r="S7" s="68">
        <v>130</v>
      </c>
      <c r="T7" s="68">
        <v>30</v>
      </c>
      <c r="U7" s="68">
        <v>1</v>
      </c>
      <c r="V7" s="68">
        <v>62</v>
      </c>
      <c r="W7" s="68">
        <v>1</v>
      </c>
      <c r="X7" s="68">
        <v>0</v>
      </c>
      <c r="Y7" s="68">
        <v>114</v>
      </c>
      <c r="Z7" s="68">
        <v>20</v>
      </c>
      <c r="AA7" s="68">
        <v>0</v>
      </c>
      <c r="AB7" s="68">
        <v>1</v>
      </c>
      <c r="AC7" s="68">
        <v>4</v>
      </c>
      <c r="AD7" s="68">
        <v>0</v>
      </c>
      <c r="AE7" s="68">
        <v>727</v>
      </c>
      <c r="AF7" s="68">
        <v>111</v>
      </c>
      <c r="AG7" s="68">
        <v>2</v>
      </c>
      <c r="AH7" s="68">
        <v>273</v>
      </c>
      <c r="AI7" s="68">
        <v>90</v>
      </c>
      <c r="AJ7" s="68">
        <v>37</v>
      </c>
    </row>
    <row r="8" spans="1:36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4721</v>
      </c>
      <c r="E8" s="72">
        <v>3011</v>
      </c>
      <c r="F8" s="72">
        <v>1670</v>
      </c>
      <c r="G8" s="72">
        <v>40</v>
      </c>
      <c r="H8" s="72">
        <v>1506</v>
      </c>
      <c r="I8" s="72">
        <v>1286</v>
      </c>
      <c r="J8" s="72">
        <v>98</v>
      </c>
      <c r="K8" s="72">
        <v>23</v>
      </c>
      <c r="L8" s="72">
        <v>0</v>
      </c>
      <c r="M8" s="72">
        <v>58</v>
      </c>
      <c r="N8" s="72">
        <v>80</v>
      </c>
      <c r="O8" s="72">
        <v>0</v>
      </c>
      <c r="P8" s="72">
        <v>114</v>
      </c>
      <c r="Q8" s="72">
        <v>39</v>
      </c>
      <c r="R8" s="72">
        <v>0</v>
      </c>
      <c r="S8" s="72">
        <v>123</v>
      </c>
      <c r="T8" s="72">
        <v>26</v>
      </c>
      <c r="U8" s="72">
        <v>1</v>
      </c>
      <c r="V8" s="72">
        <v>62</v>
      </c>
      <c r="W8" s="72">
        <v>1</v>
      </c>
      <c r="X8" s="72">
        <v>0</v>
      </c>
      <c r="Y8" s="72">
        <v>111</v>
      </c>
      <c r="Z8" s="72">
        <v>20</v>
      </c>
      <c r="AA8" s="72">
        <v>0</v>
      </c>
      <c r="AB8" s="72">
        <v>1</v>
      </c>
      <c r="AC8" s="72">
        <v>4</v>
      </c>
      <c r="AD8" s="72">
        <v>0</v>
      </c>
      <c r="AE8" s="72">
        <v>684</v>
      </c>
      <c r="AF8" s="72">
        <v>101</v>
      </c>
      <c r="AG8" s="72">
        <v>2</v>
      </c>
      <c r="AH8" s="72">
        <v>254</v>
      </c>
      <c r="AI8" s="72">
        <v>90</v>
      </c>
      <c r="AJ8" s="72">
        <v>37</v>
      </c>
    </row>
    <row r="9" spans="1:36" s="69" customFormat="1" ht="15" customHeight="1" x14ac:dyDescent="0.2">
      <c r="A9" s="109"/>
      <c r="B9" s="70" t="s">
        <v>177</v>
      </c>
      <c r="C9" s="71" t="s">
        <v>194</v>
      </c>
      <c r="D9" s="72">
        <v>342</v>
      </c>
      <c r="E9" s="72">
        <v>210</v>
      </c>
      <c r="F9" s="72">
        <v>132</v>
      </c>
      <c r="G9" s="72">
        <v>0</v>
      </c>
      <c r="H9" s="72">
        <v>99</v>
      </c>
      <c r="I9" s="72">
        <v>97</v>
      </c>
      <c r="J9" s="72">
        <v>12</v>
      </c>
      <c r="K9" s="72">
        <v>4</v>
      </c>
      <c r="L9" s="72">
        <v>0</v>
      </c>
      <c r="M9" s="72">
        <v>6</v>
      </c>
      <c r="N9" s="72">
        <v>12</v>
      </c>
      <c r="O9" s="72">
        <v>0</v>
      </c>
      <c r="P9" s="72">
        <v>21</v>
      </c>
      <c r="Q9" s="72">
        <v>5</v>
      </c>
      <c r="R9" s="72">
        <v>0</v>
      </c>
      <c r="S9" s="72">
        <v>7</v>
      </c>
      <c r="T9" s="72">
        <v>4</v>
      </c>
      <c r="U9" s="72">
        <v>0</v>
      </c>
      <c r="V9" s="72">
        <v>0</v>
      </c>
      <c r="W9" s="72">
        <v>0</v>
      </c>
      <c r="X9" s="72">
        <v>0</v>
      </c>
      <c r="Y9" s="72">
        <v>3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43</v>
      </c>
      <c r="AF9" s="72">
        <v>10</v>
      </c>
      <c r="AG9" s="72">
        <v>0</v>
      </c>
      <c r="AH9" s="72">
        <v>19</v>
      </c>
      <c r="AI9" s="72">
        <v>0</v>
      </c>
      <c r="AJ9" s="72">
        <v>0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1032</v>
      </c>
      <c r="E10" s="31">
        <v>724</v>
      </c>
      <c r="F10" s="31">
        <v>306</v>
      </c>
      <c r="G10" s="31">
        <v>2</v>
      </c>
      <c r="H10" s="31">
        <v>362</v>
      </c>
      <c r="I10" s="31">
        <v>258</v>
      </c>
      <c r="J10" s="31">
        <v>25</v>
      </c>
      <c r="K10" s="31">
        <v>2</v>
      </c>
      <c r="L10" s="31">
        <v>0</v>
      </c>
      <c r="M10" s="31">
        <v>14</v>
      </c>
      <c r="N10" s="31">
        <v>15</v>
      </c>
      <c r="O10" s="31">
        <v>0</v>
      </c>
      <c r="P10" s="31">
        <v>21</v>
      </c>
      <c r="Q10" s="31">
        <v>9</v>
      </c>
      <c r="R10" s="31">
        <v>0</v>
      </c>
      <c r="S10" s="31">
        <v>22</v>
      </c>
      <c r="T10" s="31">
        <v>6</v>
      </c>
      <c r="U10" s="31">
        <v>0</v>
      </c>
      <c r="V10" s="31">
        <v>24</v>
      </c>
      <c r="W10" s="31">
        <v>1</v>
      </c>
      <c r="X10" s="31">
        <v>0</v>
      </c>
      <c r="Y10" s="31">
        <v>23</v>
      </c>
      <c r="Z10" s="31">
        <v>4</v>
      </c>
      <c r="AA10" s="31">
        <v>0</v>
      </c>
      <c r="AB10" s="31">
        <v>0</v>
      </c>
      <c r="AC10" s="31">
        <v>1</v>
      </c>
      <c r="AD10" s="31">
        <v>0</v>
      </c>
      <c r="AE10" s="31">
        <v>179</v>
      </c>
      <c r="AF10" s="31">
        <v>8</v>
      </c>
      <c r="AG10" s="31">
        <v>0</v>
      </c>
      <c r="AH10" s="31">
        <v>54</v>
      </c>
      <c r="AI10" s="31">
        <v>2</v>
      </c>
      <c r="AJ10" s="31">
        <v>2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1008</v>
      </c>
      <c r="E11" s="22">
        <v>709</v>
      </c>
      <c r="F11" s="22">
        <v>297</v>
      </c>
      <c r="G11" s="22">
        <v>2</v>
      </c>
      <c r="H11" s="22">
        <v>353</v>
      </c>
      <c r="I11" s="22">
        <v>251</v>
      </c>
      <c r="J11" s="22">
        <v>25</v>
      </c>
      <c r="K11" s="22">
        <v>2</v>
      </c>
      <c r="L11" s="22">
        <v>0</v>
      </c>
      <c r="M11" s="22">
        <v>13</v>
      </c>
      <c r="N11" s="22">
        <v>15</v>
      </c>
      <c r="O11" s="22">
        <v>0</v>
      </c>
      <c r="P11" s="22">
        <v>18</v>
      </c>
      <c r="Q11" s="22">
        <v>9</v>
      </c>
      <c r="R11" s="22">
        <v>0</v>
      </c>
      <c r="S11" s="22">
        <v>22</v>
      </c>
      <c r="T11" s="22">
        <v>4</v>
      </c>
      <c r="U11" s="22">
        <v>0</v>
      </c>
      <c r="V11" s="22">
        <v>24</v>
      </c>
      <c r="W11" s="22">
        <v>1</v>
      </c>
      <c r="X11" s="22">
        <v>0</v>
      </c>
      <c r="Y11" s="22">
        <v>23</v>
      </c>
      <c r="Z11" s="22">
        <v>4</v>
      </c>
      <c r="AA11" s="22">
        <v>0</v>
      </c>
      <c r="AB11" s="22">
        <v>0</v>
      </c>
      <c r="AC11" s="22">
        <v>1</v>
      </c>
      <c r="AD11" s="22">
        <v>0</v>
      </c>
      <c r="AE11" s="22">
        <v>177</v>
      </c>
      <c r="AF11" s="22">
        <v>8</v>
      </c>
      <c r="AG11" s="22">
        <v>0</v>
      </c>
      <c r="AH11" s="22">
        <v>54</v>
      </c>
      <c r="AI11" s="22">
        <v>2</v>
      </c>
      <c r="AJ11" s="22">
        <v>2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24</v>
      </c>
      <c r="E12" s="22">
        <v>15</v>
      </c>
      <c r="F12" s="22">
        <v>9</v>
      </c>
      <c r="G12" s="22">
        <v>0</v>
      </c>
      <c r="H12" s="22">
        <v>9</v>
      </c>
      <c r="I12" s="22">
        <v>7</v>
      </c>
      <c r="J12" s="22">
        <v>0</v>
      </c>
      <c r="K12" s="22">
        <v>0</v>
      </c>
      <c r="L12" s="22">
        <v>0</v>
      </c>
      <c r="M12" s="22">
        <v>1</v>
      </c>
      <c r="N12" s="22">
        <v>0</v>
      </c>
      <c r="O12" s="22">
        <v>0</v>
      </c>
      <c r="P12" s="22">
        <v>3</v>
      </c>
      <c r="Q12" s="22">
        <v>0</v>
      </c>
      <c r="R12" s="22">
        <v>0</v>
      </c>
      <c r="S12" s="22">
        <v>0</v>
      </c>
      <c r="T12" s="22">
        <v>2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2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509</v>
      </c>
      <c r="E13" s="31">
        <v>298</v>
      </c>
      <c r="F13" s="31">
        <v>207</v>
      </c>
      <c r="G13" s="31">
        <v>4</v>
      </c>
      <c r="H13" s="31">
        <v>166</v>
      </c>
      <c r="I13" s="31">
        <v>158</v>
      </c>
      <c r="J13" s="31">
        <v>8</v>
      </c>
      <c r="K13" s="31">
        <v>5</v>
      </c>
      <c r="L13" s="31">
        <v>0</v>
      </c>
      <c r="M13" s="31">
        <v>4</v>
      </c>
      <c r="N13" s="31">
        <v>16</v>
      </c>
      <c r="O13" s="31">
        <v>0</v>
      </c>
      <c r="P13" s="31">
        <v>11</v>
      </c>
      <c r="Q13" s="31">
        <v>5</v>
      </c>
      <c r="R13" s="31">
        <v>0</v>
      </c>
      <c r="S13" s="31">
        <v>11</v>
      </c>
      <c r="T13" s="31">
        <v>4</v>
      </c>
      <c r="U13" s="31">
        <v>0</v>
      </c>
      <c r="V13" s="31">
        <v>15</v>
      </c>
      <c r="W13" s="31">
        <v>0</v>
      </c>
      <c r="X13" s="31">
        <v>0</v>
      </c>
      <c r="Y13" s="31">
        <v>30</v>
      </c>
      <c r="Z13" s="31">
        <v>5</v>
      </c>
      <c r="AA13" s="31">
        <v>0</v>
      </c>
      <c r="AB13" s="31">
        <v>0</v>
      </c>
      <c r="AC13" s="31">
        <v>0</v>
      </c>
      <c r="AD13" s="31">
        <v>0</v>
      </c>
      <c r="AE13" s="31">
        <v>44</v>
      </c>
      <c r="AF13" s="31">
        <v>5</v>
      </c>
      <c r="AG13" s="31">
        <v>0</v>
      </c>
      <c r="AH13" s="31">
        <v>9</v>
      </c>
      <c r="AI13" s="31">
        <v>9</v>
      </c>
      <c r="AJ13" s="31">
        <v>4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506</v>
      </c>
      <c r="E14" s="22">
        <v>298</v>
      </c>
      <c r="F14" s="22">
        <v>204</v>
      </c>
      <c r="G14" s="22">
        <v>4</v>
      </c>
      <c r="H14" s="22">
        <v>166</v>
      </c>
      <c r="I14" s="22">
        <v>155</v>
      </c>
      <c r="J14" s="22">
        <v>8</v>
      </c>
      <c r="K14" s="22">
        <v>5</v>
      </c>
      <c r="L14" s="22">
        <v>0</v>
      </c>
      <c r="M14" s="22">
        <v>4</v>
      </c>
      <c r="N14" s="22">
        <v>16</v>
      </c>
      <c r="O14" s="22">
        <v>0</v>
      </c>
      <c r="P14" s="22">
        <v>11</v>
      </c>
      <c r="Q14" s="22">
        <v>5</v>
      </c>
      <c r="R14" s="22">
        <v>0</v>
      </c>
      <c r="S14" s="22">
        <v>11</v>
      </c>
      <c r="T14" s="22">
        <v>4</v>
      </c>
      <c r="U14" s="22">
        <v>0</v>
      </c>
      <c r="V14" s="22">
        <v>15</v>
      </c>
      <c r="W14" s="22">
        <v>0</v>
      </c>
      <c r="X14" s="22">
        <v>0</v>
      </c>
      <c r="Y14" s="22">
        <v>30</v>
      </c>
      <c r="Z14" s="22">
        <v>5</v>
      </c>
      <c r="AA14" s="22">
        <v>0</v>
      </c>
      <c r="AB14" s="22">
        <v>0</v>
      </c>
      <c r="AC14" s="22">
        <v>0</v>
      </c>
      <c r="AD14" s="22">
        <v>0</v>
      </c>
      <c r="AE14" s="22">
        <v>44</v>
      </c>
      <c r="AF14" s="22">
        <v>5</v>
      </c>
      <c r="AG14" s="22">
        <v>0</v>
      </c>
      <c r="AH14" s="22">
        <v>9</v>
      </c>
      <c r="AI14" s="22">
        <v>9</v>
      </c>
      <c r="AJ14" s="22">
        <v>4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3</v>
      </c>
      <c r="E15" s="22">
        <v>0</v>
      </c>
      <c r="F15" s="22">
        <v>3</v>
      </c>
      <c r="G15" s="22">
        <v>0</v>
      </c>
      <c r="H15" s="22">
        <v>0</v>
      </c>
      <c r="I15" s="22">
        <v>3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555</v>
      </c>
      <c r="E16" s="31">
        <v>362</v>
      </c>
      <c r="F16" s="31">
        <v>188</v>
      </c>
      <c r="G16" s="31">
        <v>5</v>
      </c>
      <c r="H16" s="31">
        <v>162</v>
      </c>
      <c r="I16" s="31">
        <v>114</v>
      </c>
      <c r="J16" s="31">
        <v>12</v>
      </c>
      <c r="K16" s="31">
        <v>5</v>
      </c>
      <c r="L16" s="31">
        <v>0</v>
      </c>
      <c r="M16" s="31">
        <v>5</v>
      </c>
      <c r="N16" s="31">
        <v>5</v>
      </c>
      <c r="O16" s="31">
        <v>0</v>
      </c>
      <c r="P16" s="31">
        <v>18</v>
      </c>
      <c r="Q16" s="31">
        <v>8</v>
      </c>
      <c r="R16" s="31">
        <v>0</v>
      </c>
      <c r="S16" s="31">
        <v>10</v>
      </c>
      <c r="T16" s="31">
        <v>2</v>
      </c>
      <c r="U16" s="31">
        <v>0</v>
      </c>
      <c r="V16" s="31">
        <v>0</v>
      </c>
      <c r="W16" s="31">
        <v>0</v>
      </c>
      <c r="X16" s="31">
        <v>0</v>
      </c>
      <c r="Y16" s="31">
        <v>13</v>
      </c>
      <c r="Z16" s="31">
        <v>4</v>
      </c>
      <c r="AA16" s="31">
        <v>0</v>
      </c>
      <c r="AB16" s="31">
        <v>0</v>
      </c>
      <c r="AC16" s="31">
        <v>1</v>
      </c>
      <c r="AD16" s="31">
        <v>0</v>
      </c>
      <c r="AE16" s="31">
        <v>90</v>
      </c>
      <c r="AF16" s="31">
        <v>29</v>
      </c>
      <c r="AG16" s="31">
        <v>1</v>
      </c>
      <c r="AH16" s="31">
        <v>52</v>
      </c>
      <c r="AI16" s="31">
        <v>20</v>
      </c>
      <c r="AJ16" s="31">
        <v>4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504</v>
      </c>
      <c r="E17" s="22">
        <v>329</v>
      </c>
      <c r="F17" s="22">
        <v>170</v>
      </c>
      <c r="G17" s="22">
        <v>5</v>
      </c>
      <c r="H17" s="22">
        <v>142</v>
      </c>
      <c r="I17" s="22">
        <v>106</v>
      </c>
      <c r="J17" s="22">
        <v>10</v>
      </c>
      <c r="K17" s="22">
        <v>4</v>
      </c>
      <c r="L17" s="22">
        <v>0</v>
      </c>
      <c r="M17" s="22">
        <v>4</v>
      </c>
      <c r="N17" s="22">
        <v>5</v>
      </c>
      <c r="O17" s="22">
        <v>0</v>
      </c>
      <c r="P17" s="22">
        <v>14</v>
      </c>
      <c r="Q17" s="22">
        <v>7</v>
      </c>
      <c r="R17" s="22">
        <v>0</v>
      </c>
      <c r="S17" s="22">
        <v>10</v>
      </c>
      <c r="T17" s="22">
        <v>2</v>
      </c>
      <c r="U17" s="22">
        <v>0</v>
      </c>
      <c r="V17" s="22">
        <v>0</v>
      </c>
      <c r="W17" s="22">
        <v>0</v>
      </c>
      <c r="X17" s="22">
        <v>0</v>
      </c>
      <c r="Y17" s="22">
        <v>13</v>
      </c>
      <c r="Z17" s="22">
        <v>4</v>
      </c>
      <c r="AA17" s="22">
        <v>0</v>
      </c>
      <c r="AB17" s="22">
        <v>0</v>
      </c>
      <c r="AC17" s="22">
        <v>1</v>
      </c>
      <c r="AD17" s="22">
        <v>0</v>
      </c>
      <c r="AE17" s="22">
        <v>88</v>
      </c>
      <c r="AF17" s="22">
        <v>21</v>
      </c>
      <c r="AG17" s="22">
        <v>1</v>
      </c>
      <c r="AH17" s="22">
        <v>48</v>
      </c>
      <c r="AI17" s="22">
        <v>20</v>
      </c>
      <c r="AJ17" s="22">
        <v>4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51</v>
      </c>
      <c r="E18" s="22">
        <v>33</v>
      </c>
      <c r="F18" s="22">
        <v>18</v>
      </c>
      <c r="G18" s="22">
        <v>0</v>
      </c>
      <c r="H18" s="22">
        <v>20</v>
      </c>
      <c r="I18" s="22">
        <v>8</v>
      </c>
      <c r="J18" s="22">
        <v>2</v>
      </c>
      <c r="K18" s="22">
        <v>1</v>
      </c>
      <c r="L18" s="22">
        <v>0</v>
      </c>
      <c r="M18" s="22">
        <v>1</v>
      </c>
      <c r="N18" s="22">
        <v>0</v>
      </c>
      <c r="O18" s="22">
        <v>0</v>
      </c>
      <c r="P18" s="22">
        <v>4</v>
      </c>
      <c r="Q18" s="22">
        <v>1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2</v>
      </c>
      <c r="AF18" s="22">
        <v>8</v>
      </c>
      <c r="AG18" s="22">
        <v>0</v>
      </c>
      <c r="AH18" s="22">
        <v>4</v>
      </c>
      <c r="AI18" s="22">
        <v>0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615</v>
      </c>
      <c r="E19" s="31">
        <v>412</v>
      </c>
      <c r="F19" s="31">
        <v>192</v>
      </c>
      <c r="G19" s="31">
        <v>11</v>
      </c>
      <c r="H19" s="31">
        <v>228</v>
      </c>
      <c r="I19" s="31">
        <v>157</v>
      </c>
      <c r="J19" s="31">
        <v>11</v>
      </c>
      <c r="K19" s="31">
        <v>2</v>
      </c>
      <c r="L19" s="31">
        <v>0</v>
      </c>
      <c r="M19" s="31">
        <v>14</v>
      </c>
      <c r="N19" s="31">
        <v>10</v>
      </c>
      <c r="O19" s="31">
        <v>0</v>
      </c>
      <c r="P19" s="31">
        <v>19</v>
      </c>
      <c r="Q19" s="31">
        <v>3</v>
      </c>
      <c r="R19" s="31">
        <v>0</v>
      </c>
      <c r="S19" s="31">
        <v>13</v>
      </c>
      <c r="T19" s="31">
        <v>3</v>
      </c>
      <c r="U19" s="31">
        <v>0</v>
      </c>
      <c r="V19" s="31">
        <v>6</v>
      </c>
      <c r="W19" s="31">
        <v>0</v>
      </c>
      <c r="X19" s="31">
        <v>0</v>
      </c>
      <c r="Y19" s="31">
        <v>8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84</v>
      </c>
      <c r="AF19" s="31">
        <v>8</v>
      </c>
      <c r="AG19" s="31">
        <v>0</v>
      </c>
      <c r="AH19" s="31">
        <v>29</v>
      </c>
      <c r="AI19" s="31">
        <v>9</v>
      </c>
      <c r="AJ19" s="31">
        <v>11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577</v>
      </c>
      <c r="E20" s="22">
        <v>381</v>
      </c>
      <c r="F20" s="22">
        <v>185</v>
      </c>
      <c r="G20" s="22">
        <v>11</v>
      </c>
      <c r="H20" s="22">
        <v>222</v>
      </c>
      <c r="I20" s="22">
        <v>150</v>
      </c>
      <c r="J20" s="22">
        <v>10</v>
      </c>
      <c r="K20" s="22">
        <v>2</v>
      </c>
      <c r="L20" s="22">
        <v>0</v>
      </c>
      <c r="M20" s="22">
        <v>14</v>
      </c>
      <c r="N20" s="22">
        <v>10</v>
      </c>
      <c r="O20" s="22">
        <v>0</v>
      </c>
      <c r="P20" s="22">
        <v>19</v>
      </c>
      <c r="Q20" s="22">
        <v>3</v>
      </c>
      <c r="R20" s="22">
        <v>0</v>
      </c>
      <c r="S20" s="22">
        <v>13</v>
      </c>
      <c r="T20" s="22">
        <v>3</v>
      </c>
      <c r="U20" s="22">
        <v>0</v>
      </c>
      <c r="V20" s="22">
        <v>6</v>
      </c>
      <c r="W20" s="22">
        <v>0</v>
      </c>
      <c r="X20" s="22">
        <v>0</v>
      </c>
      <c r="Y20" s="22">
        <v>8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60</v>
      </c>
      <c r="AF20" s="22">
        <v>8</v>
      </c>
      <c r="AG20" s="22">
        <v>0</v>
      </c>
      <c r="AH20" s="22">
        <v>29</v>
      </c>
      <c r="AI20" s="22">
        <v>9</v>
      </c>
      <c r="AJ20" s="22">
        <v>11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38</v>
      </c>
      <c r="E21" s="22">
        <v>31</v>
      </c>
      <c r="F21" s="22">
        <v>7</v>
      </c>
      <c r="G21" s="22">
        <v>0</v>
      </c>
      <c r="H21" s="22">
        <v>6</v>
      </c>
      <c r="I21" s="22">
        <v>7</v>
      </c>
      <c r="J21" s="22">
        <v>1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24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273</v>
      </c>
      <c r="E22" s="31">
        <v>159</v>
      </c>
      <c r="F22" s="31">
        <v>113</v>
      </c>
      <c r="G22" s="31">
        <v>1</v>
      </c>
      <c r="H22" s="31">
        <v>81</v>
      </c>
      <c r="I22" s="31">
        <v>92</v>
      </c>
      <c r="J22" s="31">
        <v>1</v>
      </c>
      <c r="K22" s="31">
        <v>1</v>
      </c>
      <c r="L22" s="31">
        <v>0</v>
      </c>
      <c r="M22" s="31">
        <v>1</v>
      </c>
      <c r="N22" s="31">
        <v>6</v>
      </c>
      <c r="O22" s="31">
        <v>0</v>
      </c>
      <c r="P22" s="31">
        <v>5</v>
      </c>
      <c r="Q22" s="31">
        <v>3</v>
      </c>
      <c r="R22" s="31">
        <v>0</v>
      </c>
      <c r="S22" s="31">
        <v>13</v>
      </c>
      <c r="T22" s="31">
        <v>6</v>
      </c>
      <c r="U22" s="31">
        <v>1</v>
      </c>
      <c r="V22" s="31">
        <v>3</v>
      </c>
      <c r="W22" s="31">
        <v>0</v>
      </c>
      <c r="X22" s="31">
        <v>0</v>
      </c>
      <c r="Y22" s="31">
        <v>3</v>
      </c>
      <c r="Z22" s="31">
        <v>0</v>
      </c>
      <c r="AA22" s="31">
        <v>0</v>
      </c>
      <c r="AB22" s="31">
        <v>1</v>
      </c>
      <c r="AC22" s="31">
        <v>1</v>
      </c>
      <c r="AD22" s="31">
        <v>0</v>
      </c>
      <c r="AE22" s="31">
        <v>46</v>
      </c>
      <c r="AF22" s="31">
        <v>1</v>
      </c>
      <c r="AG22" s="31">
        <v>0</v>
      </c>
      <c r="AH22" s="31">
        <v>5</v>
      </c>
      <c r="AI22" s="31">
        <v>3</v>
      </c>
      <c r="AJ22" s="31">
        <v>0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258</v>
      </c>
      <c r="E23" s="22">
        <v>146</v>
      </c>
      <c r="F23" s="22">
        <v>111</v>
      </c>
      <c r="G23" s="22">
        <v>1</v>
      </c>
      <c r="H23" s="22">
        <v>71</v>
      </c>
      <c r="I23" s="22">
        <v>90</v>
      </c>
      <c r="J23" s="22">
        <v>1</v>
      </c>
      <c r="K23" s="22">
        <v>1</v>
      </c>
      <c r="L23" s="22">
        <v>0</v>
      </c>
      <c r="M23" s="22">
        <v>1</v>
      </c>
      <c r="N23" s="22">
        <v>6</v>
      </c>
      <c r="O23" s="22">
        <v>0</v>
      </c>
      <c r="P23" s="22">
        <v>3</v>
      </c>
      <c r="Q23" s="22">
        <v>3</v>
      </c>
      <c r="R23" s="22">
        <v>0</v>
      </c>
      <c r="S23" s="22">
        <v>12</v>
      </c>
      <c r="T23" s="22">
        <v>6</v>
      </c>
      <c r="U23" s="22">
        <v>1</v>
      </c>
      <c r="V23" s="22">
        <v>3</v>
      </c>
      <c r="W23" s="22">
        <v>0</v>
      </c>
      <c r="X23" s="22">
        <v>0</v>
      </c>
      <c r="Y23" s="22">
        <v>3</v>
      </c>
      <c r="Z23" s="22">
        <v>0</v>
      </c>
      <c r="AA23" s="22">
        <v>0</v>
      </c>
      <c r="AB23" s="22">
        <v>1</v>
      </c>
      <c r="AC23" s="22">
        <v>1</v>
      </c>
      <c r="AD23" s="22">
        <v>0</v>
      </c>
      <c r="AE23" s="22">
        <v>46</v>
      </c>
      <c r="AF23" s="22">
        <v>1</v>
      </c>
      <c r="AG23" s="22">
        <v>0</v>
      </c>
      <c r="AH23" s="22">
        <v>5</v>
      </c>
      <c r="AI23" s="22">
        <v>3</v>
      </c>
      <c r="AJ23" s="22">
        <v>0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15</v>
      </c>
      <c r="E24" s="22">
        <v>13</v>
      </c>
      <c r="F24" s="22">
        <v>2</v>
      </c>
      <c r="G24" s="22">
        <v>0</v>
      </c>
      <c r="H24" s="22">
        <v>10</v>
      </c>
      <c r="I24" s="22">
        <v>2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2</v>
      </c>
      <c r="Q24" s="22">
        <v>0</v>
      </c>
      <c r="R24" s="22">
        <v>0</v>
      </c>
      <c r="S24" s="22">
        <v>1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579</v>
      </c>
      <c r="E25" s="31">
        <v>366</v>
      </c>
      <c r="F25" s="31">
        <v>202</v>
      </c>
      <c r="G25" s="31">
        <v>11</v>
      </c>
      <c r="H25" s="31">
        <v>181</v>
      </c>
      <c r="I25" s="31">
        <v>162</v>
      </c>
      <c r="J25" s="31">
        <v>11</v>
      </c>
      <c r="K25" s="31">
        <v>1</v>
      </c>
      <c r="L25" s="31">
        <v>0</v>
      </c>
      <c r="M25" s="31">
        <v>7</v>
      </c>
      <c r="N25" s="31">
        <v>9</v>
      </c>
      <c r="O25" s="31">
        <v>0</v>
      </c>
      <c r="P25" s="31">
        <v>16</v>
      </c>
      <c r="Q25" s="31">
        <v>4</v>
      </c>
      <c r="R25" s="31">
        <v>0</v>
      </c>
      <c r="S25" s="31">
        <v>20</v>
      </c>
      <c r="T25" s="31">
        <v>4</v>
      </c>
      <c r="U25" s="31">
        <v>0</v>
      </c>
      <c r="V25" s="31">
        <v>3</v>
      </c>
      <c r="W25" s="31">
        <v>0</v>
      </c>
      <c r="X25" s="31">
        <v>0</v>
      </c>
      <c r="Y25" s="31">
        <v>5</v>
      </c>
      <c r="Z25" s="31">
        <v>3</v>
      </c>
      <c r="AA25" s="31">
        <v>0</v>
      </c>
      <c r="AB25" s="31">
        <v>0</v>
      </c>
      <c r="AC25" s="31">
        <v>1</v>
      </c>
      <c r="AD25" s="31">
        <v>0</v>
      </c>
      <c r="AE25" s="31">
        <v>75</v>
      </c>
      <c r="AF25" s="31">
        <v>14</v>
      </c>
      <c r="AG25" s="31">
        <v>0</v>
      </c>
      <c r="AH25" s="31">
        <v>48</v>
      </c>
      <c r="AI25" s="31">
        <v>4</v>
      </c>
      <c r="AJ25" s="31">
        <v>11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559</v>
      </c>
      <c r="E26" s="22">
        <v>354</v>
      </c>
      <c r="F26" s="22">
        <v>194</v>
      </c>
      <c r="G26" s="22">
        <v>11</v>
      </c>
      <c r="H26" s="22">
        <v>177</v>
      </c>
      <c r="I26" s="22">
        <v>155</v>
      </c>
      <c r="J26" s="22">
        <v>10</v>
      </c>
      <c r="K26" s="22">
        <v>0</v>
      </c>
      <c r="L26" s="22">
        <v>0</v>
      </c>
      <c r="M26" s="22">
        <v>7</v>
      </c>
      <c r="N26" s="22">
        <v>9</v>
      </c>
      <c r="O26" s="22">
        <v>0</v>
      </c>
      <c r="P26" s="22">
        <v>14</v>
      </c>
      <c r="Q26" s="22">
        <v>4</v>
      </c>
      <c r="R26" s="22">
        <v>0</v>
      </c>
      <c r="S26" s="22">
        <v>20</v>
      </c>
      <c r="T26" s="22">
        <v>4</v>
      </c>
      <c r="U26" s="22">
        <v>0</v>
      </c>
      <c r="V26" s="22">
        <v>3</v>
      </c>
      <c r="W26" s="22">
        <v>0</v>
      </c>
      <c r="X26" s="22">
        <v>0</v>
      </c>
      <c r="Y26" s="22">
        <v>5</v>
      </c>
      <c r="Z26" s="22">
        <v>3</v>
      </c>
      <c r="AA26" s="22">
        <v>0</v>
      </c>
      <c r="AB26" s="22">
        <v>0</v>
      </c>
      <c r="AC26" s="22">
        <v>1</v>
      </c>
      <c r="AD26" s="22">
        <v>0</v>
      </c>
      <c r="AE26" s="22">
        <v>74</v>
      </c>
      <c r="AF26" s="22">
        <v>14</v>
      </c>
      <c r="AG26" s="22">
        <v>0</v>
      </c>
      <c r="AH26" s="22">
        <v>44</v>
      </c>
      <c r="AI26" s="22">
        <v>4</v>
      </c>
      <c r="AJ26" s="22">
        <v>11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20</v>
      </c>
      <c r="E27" s="22">
        <v>12</v>
      </c>
      <c r="F27" s="22">
        <v>8</v>
      </c>
      <c r="G27" s="22">
        <v>0</v>
      </c>
      <c r="H27" s="22">
        <v>4</v>
      </c>
      <c r="I27" s="22">
        <v>7</v>
      </c>
      <c r="J27" s="22">
        <v>1</v>
      </c>
      <c r="K27" s="22">
        <v>1</v>
      </c>
      <c r="L27" s="22">
        <v>0</v>
      </c>
      <c r="M27" s="22">
        <v>0</v>
      </c>
      <c r="N27" s="22">
        <v>0</v>
      </c>
      <c r="O27" s="22">
        <v>0</v>
      </c>
      <c r="P27" s="22">
        <v>2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1</v>
      </c>
      <c r="AF27" s="22">
        <v>0</v>
      </c>
      <c r="AG27" s="22">
        <v>0</v>
      </c>
      <c r="AH27" s="22">
        <v>4</v>
      </c>
      <c r="AI27" s="22">
        <v>0</v>
      </c>
      <c r="AJ27" s="22">
        <v>0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47</v>
      </c>
      <c r="E28" s="31">
        <v>30</v>
      </c>
      <c r="F28" s="31">
        <v>17</v>
      </c>
      <c r="G28" s="31">
        <v>0</v>
      </c>
      <c r="H28" s="31">
        <v>7</v>
      </c>
      <c r="I28" s="31">
        <v>12</v>
      </c>
      <c r="J28" s="31">
        <v>2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1</v>
      </c>
      <c r="R28" s="31">
        <v>0</v>
      </c>
      <c r="S28" s="31">
        <v>4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15</v>
      </c>
      <c r="AF28" s="31">
        <v>4</v>
      </c>
      <c r="AG28" s="31">
        <v>0</v>
      </c>
      <c r="AH28" s="31">
        <v>2</v>
      </c>
      <c r="AI28" s="31">
        <v>0</v>
      </c>
      <c r="AJ28" s="31">
        <v>0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46</v>
      </c>
      <c r="E29" s="22">
        <v>29</v>
      </c>
      <c r="F29" s="22">
        <v>17</v>
      </c>
      <c r="G29" s="22">
        <v>0</v>
      </c>
      <c r="H29" s="22">
        <v>7</v>
      </c>
      <c r="I29" s="22">
        <v>12</v>
      </c>
      <c r="J29" s="22">
        <v>2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1</v>
      </c>
      <c r="R29" s="22">
        <v>0</v>
      </c>
      <c r="S29" s="22">
        <v>4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14</v>
      </c>
      <c r="AF29" s="22">
        <v>4</v>
      </c>
      <c r="AG29" s="22">
        <v>0</v>
      </c>
      <c r="AH29" s="22">
        <v>2</v>
      </c>
      <c r="AI29" s="22">
        <v>0</v>
      </c>
      <c r="AJ29" s="22">
        <v>0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1</v>
      </c>
      <c r="E30" s="22">
        <v>1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1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195</v>
      </c>
      <c r="E31" s="31">
        <v>113</v>
      </c>
      <c r="F31" s="31">
        <v>81</v>
      </c>
      <c r="G31" s="31">
        <v>1</v>
      </c>
      <c r="H31" s="31">
        <v>60</v>
      </c>
      <c r="I31" s="31">
        <v>70</v>
      </c>
      <c r="J31" s="31">
        <v>7</v>
      </c>
      <c r="K31" s="31">
        <v>3</v>
      </c>
      <c r="L31" s="31">
        <v>0</v>
      </c>
      <c r="M31" s="31">
        <v>3</v>
      </c>
      <c r="N31" s="31">
        <v>5</v>
      </c>
      <c r="O31" s="31">
        <v>0</v>
      </c>
      <c r="P31" s="31">
        <v>3</v>
      </c>
      <c r="Q31" s="31">
        <v>2</v>
      </c>
      <c r="R31" s="31">
        <v>0</v>
      </c>
      <c r="S31" s="31">
        <v>9</v>
      </c>
      <c r="T31" s="31">
        <v>0</v>
      </c>
      <c r="U31" s="31">
        <v>0</v>
      </c>
      <c r="V31" s="31">
        <v>1</v>
      </c>
      <c r="W31" s="31">
        <v>0</v>
      </c>
      <c r="X31" s="31">
        <v>0</v>
      </c>
      <c r="Y31" s="31">
        <v>6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16</v>
      </c>
      <c r="AF31" s="31">
        <v>1</v>
      </c>
      <c r="AG31" s="31">
        <v>0</v>
      </c>
      <c r="AH31" s="31">
        <v>8</v>
      </c>
      <c r="AI31" s="31">
        <v>0</v>
      </c>
      <c r="AJ31" s="31">
        <v>1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166</v>
      </c>
      <c r="E32" s="22">
        <v>98</v>
      </c>
      <c r="F32" s="22">
        <v>67</v>
      </c>
      <c r="G32" s="22">
        <v>1</v>
      </c>
      <c r="H32" s="22">
        <v>56</v>
      </c>
      <c r="I32" s="22">
        <v>58</v>
      </c>
      <c r="J32" s="22">
        <v>6</v>
      </c>
      <c r="K32" s="22">
        <v>3</v>
      </c>
      <c r="L32" s="22">
        <v>0</v>
      </c>
      <c r="M32" s="22">
        <v>1</v>
      </c>
      <c r="N32" s="22">
        <v>4</v>
      </c>
      <c r="O32" s="22">
        <v>0</v>
      </c>
      <c r="P32" s="22">
        <v>2</v>
      </c>
      <c r="Q32" s="22">
        <v>2</v>
      </c>
      <c r="R32" s="22">
        <v>0</v>
      </c>
      <c r="S32" s="22">
        <v>3</v>
      </c>
      <c r="T32" s="22">
        <v>0</v>
      </c>
      <c r="U32" s="22">
        <v>0</v>
      </c>
      <c r="V32" s="22">
        <v>1</v>
      </c>
      <c r="W32" s="22">
        <v>0</v>
      </c>
      <c r="X32" s="22">
        <v>0</v>
      </c>
      <c r="Y32" s="22">
        <v>5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16</v>
      </c>
      <c r="AF32" s="22">
        <v>0</v>
      </c>
      <c r="AG32" s="22">
        <v>0</v>
      </c>
      <c r="AH32" s="22">
        <v>8</v>
      </c>
      <c r="AI32" s="22">
        <v>0</v>
      </c>
      <c r="AJ32" s="22">
        <v>1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29</v>
      </c>
      <c r="E33" s="22">
        <v>15</v>
      </c>
      <c r="F33" s="22">
        <v>14</v>
      </c>
      <c r="G33" s="22">
        <v>0</v>
      </c>
      <c r="H33" s="22">
        <v>4</v>
      </c>
      <c r="I33" s="22">
        <v>12</v>
      </c>
      <c r="J33" s="22">
        <v>1</v>
      </c>
      <c r="K33" s="22">
        <v>0</v>
      </c>
      <c r="L33" s="22">
        <v>0</v>
      </c>
      <c r="M33" s="22">
        <v>2</v>
      </c>
      <c r="N33" s="22">
        <v>1</v>
      </c>
      <c r="O33" s="22">
        <v>0</v>
      </c>
      <c r="P33" s="22">
        <v>1</v>
      </c>
      <c r="Q33" s="22">
        <v>0</v>
      </c>
      <c r="R33" s="22">
        <v>0</v>
      </c>
      <c r="S33" s="22">
        <v>6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1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1</v>
      </c>
      <c r="AG33" s="22">
        <v>0</v>
      </c>
      <c r="AH33" s="22">
        <v>0</v>
      </c>
      <c r="AI33" s="22">
        <v>0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81</v>
      </c>
      <c r="E34" s="31">
        <v>67</v>
      </c>
      <c r="F34" s="31">
        <v>14</v>
      </c>
      <c r="G34" s="31">
        <v>0</v>
      </c>
      <c r="H34" s="31">
        <v>29</v>
      </c>
      <c r="I34" s="31">
        <v>11</v>
      </c>
      <c r="J34" s="31">
        <v>3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7</v>
      </c>
      <c r="Q34" s="31">
        <v>1</v>
      </c>
      <c r="R34" s="31">
        <v>0</v>
      </c>
      <c r="S34" s="31">
        <v>5</v>
      </c>
      <c r="T34" s="31">
        <v>0</v>
      </c>
      <c r="U34" s="31">
        <v>0</v>
      </c>
      <c r="V34" s="31">
        <v>1</v>
      </c>
      <c r="W34" s="31">
        <v>0</v>
      </c>
      <c r="X34" s="31">
        <v>0</v>
      </c>
      <c r="Y34" s="31">
        <v>3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19</v>
      </c>
      <c r="AF34" s="31">
        <v>2</v>
      </c>
      <c r="AG34" s="31">
        <v>0</v>
      </c>
      <c r="AH34" s="31">
        <v>0</v>
      </c>
      <c r="AI34" s="31">
        <v>0</v>
      </c>
      <c r="AJ34" s="31">
        <v>0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79</v>
      </c>
      <c r="E35" s="22">
        <v>65</v>
      </c>
      <c r="F35" s="22">
        <v>14</v>
      </c>
      <c r="G35" s="22">
        <v>0</v>
      </c>
      <c r="H35" s="22">
        <v>27</v>
      </c>
      <c r="I35" s="22">
        <v>11</v>
      </c>
      <c r="J35" s="22">
        <v>3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7</v>
      </c>
      <c r="Q35" s="22">
        <v>1</v>
      </c>
      <c r="R35" s="22">
        <v>0</v>
      </c>
      <c r="S35" s="22">
        <v>5</v>
      </c>
      <c r="T35" s="22">
        <v>0</v>
      </c>
      <c r="U35" s="22">
        <v>0</v>
      </c>
      <c r="V35" s="22">
        <v>1</v>
      </c>
      <c r="W35" s="22">
        <v>0</v>
      </c>
      <c r="X35" s="22">
        <v>0</v>
      </c>
      <c r="Y35" s="22">
        <v>3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19</v>
      </c>
      <c r="AF35" s="22">
        <v>2</v>
      </c>
      <c r="AG35" s="22">
        <v>0</v>
      </c>
      <c r="AH35" s="22">
        <v>0</v>
      </c>
      <c r="AI35" s="22">
        <v>0</v>
      </c>
      <c r="AJ35" s="22">
        <v>0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2</v>
      </c>
      <c r="E36" s="22">
        <v>2</v>
      </c>
      <c r="F36" s="22">
        <v>0</v>
      </c>
      <c r="G36" s="22">
        <v>0</v>
      </c>
      <c r="H36" s="22">
        <v>2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260</v>
      </c>
      <c r="E37" s="31">
        <v>107</v>
      </c>
      <c r="F37" s="31">
        <v>153</v>
      </c>
      <c r="G37" s="31">
        <v>0</v>
      </c>
      <c r="H37" s="31">
        <v>59</v>
      </c>
      <c r="I37" s="31">
        <v>99</v>
      </c>
      <c r="J37" s="31">
        <v>11</v>
      </c>
      <c r="K37" s="31">
        <v>5</v>
      </c>
      <c r="L37" s="31">
        <v>0</v>
      </c>
      <c r="M37" s="31">
        <v>5</v>
      </c>
      <c r="N37" s="31">
        <v>5</v>
      </c>
      <c r="O37" s="31">
        <v>0</v>
      </c>
      <c r="P37" s="31">
        <v>4</v>
      </c>
      <c r="Q37" s="31">
        <v>2</v>
      </c>
      <c r="R37" s="31">
        <v>0</v>
      </c>
      <c r="S37" s="31">
        <v>6</v>
      </c>
      <c r="T37" s="31">
        <v>2</v>
      </c>
      <c r="U37" s="31">
        <v>0</v>
      </c>
      <c r="V37" s="31">
        <v>0</v>
      </c>
      <c r="W37" s="31">
        <v>0</v>
      </c>
      <c r="X37" s="31">
        <v>0</v>
      </c>
      <c r="Y37" s="31">
        <v>3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19</v>
      </c>
      <c r="AF37" s="31">
        <v>27</v>
      </c>
      <c r="AG37" s="31">
        <v>0</v>
      </c>
      <c r="AH37" s="31">
        <v>0</v>
      </c>
      <c r="AI37" s="31">
        <v>13</v>
      </c>
      <c r="AJ37" s="31">
        <v>0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242</v>
      </c>
      <c r="E38" s="22">
        <v>103</v>
      </c>
      <c r="F38" s="22">
        <v>139</v>
      </c>
      <c r="G38" s="22">
        <v>0</v>
      </c>
      <c r="H38" s="22">
        <v>57</v>
      </c>
      <c r="I38" s="22">
        <v>87</v>
      </c>
      <c r="J38" s="22">
        <v>11</v>
      </c>
      <c r="K38" s="22">
        <v>5</v>
      </c>
      <c r="L38" s="22">
        <v>0</v>
      </c>
      <c r="M38" s="22">
        <v>4</v>
      </c>
      <c r="N38" s="22">
        <v>4</v>
      </c>
      <c r="O38" s="22">
        <v>0</v>
      </c>
      <c r="P38" s="22">
        <v>3</v>
      </c>
      <c r="Q38" s="22">
        <v>1</v>
      </c>
      <c r="R38" s="22">
        <v>0</v>
      </c>
      <c r="S38" s="22">
        <v>6</v>
      </c>
      <c r="T38" s="22">
        <v>2</v>
      </c>
      <c r="U38" s="22">
        <v>0</v>
      </c>
      <c r="V38" s="22">
        <v>0</v>
      </c>
      <c r="W38" s="22">
        <v>0</v>
      </c>
      <c r="X38" s="22">
        <v>0</v>
      </c>
      <c r="Y38" s="22">
        <v>3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19</v>
      </c>
      <c r="AF38" s="22">
        <v>27</v>
      </c>
      <c r="AG38" s="22">
        <v>0</v>
      </c>
      <c r="AH38" s="22">
        <v>0</v>
      </c>
      <c r="AI38" s="22">
        <v>13</v>
      </c>
      <c r="AJ38" s="22">
        <v>0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18</v>
      </c>
      <c r="E39" s="22">
        <v>4</v>
      </c>
      <c r="F39" s="22">
        <v>14</v>
      </c>
      <c r="G39" s="22">
        <v>0</v>
      </c>
      <c r="H39" s="22">
        <v>2</v>
      </c>
      <c r="I39" s="22">
        <v>12</v>
      </c>
      <c r="J39" s="22">
        <v>0</v>
      </c>
      <c r="K39" s="22">
        <v>0</v>
      </c>
      <c r="L39" s="22">
        <v>0</v>
      </c>
      <c r="M39" s="22">
        <v>1</v>
      </c>
      <c r="N39" s="22">
        <v>1</v>
      </c>
      <c r="O39" s="22">
        <v>0</v>
      </c>
      <c r="P39" s="22">
        <v>1</v>
      </c>
      <c r="Q39" s="22">
        <v>1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100</v>
      </c>
      <c r="E40" s="31">
        <v>67</v>
      </c>
      <c r="F40" s="31">
        <v>32</v>
      </c>
      <c r="G40" s="31">
        <v>1</v>
      </c>
      <c r="H40" s="31">
        <v>32</v>
      </c>
      <c r="I40" s="31">
        <v>29</v>
      </c>
      <c r="J40" s="31">
        <v>1</v>
      </c>
      <c r="K40" s="31">
        <v>0</v>
      </c>
      <c r="L40" s="31">
        <v>0</v>
      </c>
      <c r="M40" s="31">
        <v>1</v>
      </c>
      <c r="N40" s="31">
        <v>1</v>
      </c>
      <c r="O40" s="31">
        <v>0</v>
      </c>
      <c r="P40" s="31">
        <v>4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12</v>
      </c>
      <c r="AF40" s="31">
        <v>1</v>
      </c>
      <c r="AG40" s="31">
        <v>1</v>
      </c>
      <c r="AH40" s="31">
        <v>17</v>
      </c>
      <c r="AI40" s="31">
        <v>1</v>
      </c>
      <c r="AJ40" s="31">
        <v>0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89</v>
      </c>
      <c r="E41" s="22">
        <v>58</v>
      </c>
      <c r="F41" s="22">
        <v>30</v>
      </c>
      <c r="G41" s="22">
        <v>1</v>
      </c>
      <c r="H41" s="22">
        <v>30</v>
      </c>
      <c r="I41" s="22">
        <v>27</v>
      </c>
      <c r="J41" s="22">
        <v>1</v>
      </c>
      <c r="K41" s="22">
        <v>0</v>
      </c>
      <c r="L41" s="22">
        <v>0</v>
      </c>
      <c r="M41" s="22">
        <v>1</v>
      </c>
      <c r="N41" s="22">
        <v>1</v>
      </c>
      <c r="O41" s="22">
        <v>0</v>
      </c>
      <c r="P41" s="22">
        <v>3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11</v>
      </c>
      <c r="AF41" s="22">
        <v>1</v>
      </c>
      <c r="AG41" s="22">
        <v>1</v>
      </c>
      <c r="AH41" s="22">
        <v>12</v>
      </c>
      <c r="AI41" s="22">
        <v>1</v>
      </c>
      <c r="AJ41" s="22">
        <v>0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11</v>
      </c>
      <c r="E42" s="22">
        <v>9</v>
      </c>
      <c r="F42" s="22">
        <v>2</v>
      </c>
      <c r="G42" s="22">
        <v>0</v>
      </c>
      <c r="H42" s="22">
        <v>2</v>
      </c>
      <c r="I42" s="22">
        <v>2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1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1</v>
      </c>
      <c r="AF42" s="22">
        <v>0</v>
      </c>
      <c r="AG42" s="22">
        <v>0</v>
      </c>
      <c r="AH42" s="22">
        <v>5</v>
      </c>
      <c r="AI42" s="22">
        <v>0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128</v>
      </c>
      <c r="E43" s="31">
        <v>84</v>
      </c>
      <c r="F43" s="31">
        <v>44</v>
      </c>
      <c r="G43" s="31">
        <v>0</v>
      </c>
      <c r="H43" s="31">
        <v>34</v>
      </c>
      <c r="I43" s="31">
        <v>32</v>
      </c>
      <c r="J43" s="31">
        <v>3</v>
      </c>
      <c r="K43" s="31">
        <v>0</v>
      </c>
      <c r="L43" s="31">
        <v>0</v>
      </c>
      <c r="M43" s="31">
        <v>1</v>
      </c>
      <c r="N43" s="31">
        <v>3</v>
      </c>
      <c r="O43" s="31">
        <v>0</v>
      </c>
      <c r="P43" s="31">
        <v>7</v>
      </c>
      <c r="Q43" s="31">
        <v>1</v>
      </c>
      <c r="R43" s="31">
        <v>0</v>
      </c>
      <c r="S43" s="31">
        <v>2</v>
      </c>
      <c r="T43" s="31">
        <v>0</v>
      </c>
      <c r="U43" s="31">
        <v>0</v>
      </c>
      <c r="V43" s="31">
        <v>1</v>
      </c>
      <c r="W43" s="31">
        <v>0</v>
      </c>
      <c r="X43" s="31">
        <v>0</v>
      </c>
      <c r="Y43" s="31">
        <v>8</v>
      </c>
      <c r="Z43" s="31">
        <v>2</v>
      </c>
      <c r="AA43" s="31">
        <v>0</v>
      </c>
      <c r="AB43" s="31">
        <v>0</v>
      </c>
      <c r="AC43" s="31">
        <v>0</v>
      </c>
      <c r="AD43" s="31">
        <v>0</v>
      </c>
      <c r="AE43" s="31">
        <v>25</v>
      </c>
      <c r="AF43" s="31">
        <v>4</v>
      </c>
      <c r="AG43" s="31">
        <v>0</v>
      </c>
      <c r="AH43" s="31">
        <v>3</v>
      </c>
      <c r="AI43" s="31">
        <v>2</v>
      </c>
      <c r="AJ43" s="31">
        <v>0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123</v>
      </c>
      <c r="E44" s="22">
        <v>83</v>
      </c>
      <c r="F44" s="22">
        <v>40</v>
      </c>
      <c r="G44" s="22">
        <v>0</v>
      </c>
      <c r="H44" s="22">
        <v>34</v>
      </c>
      <c r="I44" s="22">
        <v>28</v>
      </c>
      <c r="J44" s="22">
        <v>2</v>
      </c>
      <c r="K44" s="22">
        <v>0</v>
      </c>
      <c r="L44" s="22">
        <v>0</v>
      </c>
      <c r="M44" s="22">
        <v>1</v>
      </c>
      <c r="N44" s="22">
        <v>3</v>
      </c>
      <c r="O44" s="22">
        <v>0</v>
      </c>
      <c r="P44" s="22">
        <v>7</v>
      </c>
      <c r="Q44" s="22">
        <v>1</v>
      </c>
      <c r="R44" s="22">
        <v>0</v>
      </c>
      <c r="S44" s="22">
        <v>2</v>
      </c>
      <c r="T44" s="22">
        <v>0</v>
      </c>
      <c r="U44" s="22">
        <v>0</v>
      </c>
      <c r="V44" s="22">
        <v>1</v>
      </c>
      <c r="W44" s="22">
        <v>0</v>
      </c>
      <c r="X44" s="22">
        <v>0</v>
      </c>
      <c r="Y44" s="22">
        <v>8</v>
      </c>
      <c r="Z44" s="22">
        <v>2</v>
      </c>
      <c r="AA44" s="22">
        <v>0</v>
      </c>
      <c r="AB44" s="22">
        <v>0</v>
      </c>
      <c r="AC44" s="22">
        <v>0</v>
      </c>
      <c r="AD44" s="22">
        <v>0</v>
      </c>
      <c r="AE44" s="22">
        <v>25</v>
      </c>
      <c r="AF44" s="22">
        <v>4</v>
      </c>
      <c r="AG44" s="22">
        <v>0</v>
      </c>
      <c r="AH44" s="22">
        <v>3</v>
      </c>
      <c r="AI44" s="22">
        <v>2</v>
      </c>
      <c r="AJ44" s="22">
        <v>0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5</v>
      </c>
      <c r="E45" s="22">
        <v>1</v>
      </c>
      <c r="F45" s="22">
        <v>4</v>
      </c>
      <c r="G45" s="22">
        <v>0</v>
      </c>
      <c r="H45" s="22">
        <v>0</v>
      </c>
      <c r="I45" s="22">
        <v>4</v>
      </c>
      <c r="J45" s="22">
        <v>1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82</v>
      </c>
      <c r="E46" s="31">
        <v>50</v>
      </c>
      <c r="F46" s="31">
        <v>32</v>
      </c>
      <c r="G46" s="31">
        <v>0</v>
      </c>
      <c r="H46" s="31">
        <v>24</v>
      </c>
      <c r="I46" s="31">
        <v>21</v>
      </c>
      <c r="J46" s="31">
        <v>0</v>
      </c>
      <c r="K46" s="31">
        <v>0</v>
      </c>
      <c r="L46" s="31">
        <v>0</v>
      </c>
      <c r="M46" s="31">
        <v>1</v>
      </c>
      <c r="N46" s="31">
        <v>5</v>
      </c>
      <c r="O46" s="31">
        <v>0</v>
      </c>
      <c r="P46" s="31">
        <v>1</v>
      </c>
      <c r="Q46" s="31">
        <v>3</v>
      </c>
      <c r="R46" s="31">
        <v>0</v>
      </c>
      <c r="S46" s="31">
        <v>0</v>
      </c>
      <c r="T46" s="31">
        <v>0</v>
      </c>
      <c r="U46" s="31">
        <v>0</v>
      </c>
      <c r="V46" s="31">
        <v>4</v>
      </c>
      <c r="W46" s="31">
        <v>0</v>
      </c>
      <c r="X46" s="31">
        <v>0</v>
      </c>
      <c r="Y46" s="31">
        <v>3</v>
      </c>
      <c r="Z46" s="31">
        <v>1</v>
      </c>
      <c r="AA46" s="31">
        <v>0</v>
      </c>
      <c r="AB46" s="31">
        <v>0</v>
      </c>
      <c r="AC46" s="31">
        <v>0</v>
      </c>
      <c r="AD46" s="31">
        <v>0</v>
      </c>
      <c r="AE46" s="31">
        <v>17</v>
      </c>
      <c r="AF46" s="31">
        <v>2</v>
      </c>
      <c r="AG46" s="31">
        <v>0</v>
      </c>
      <c r="AH46" s="31">
        <v>0</v>
      </c>
      <c r="AI46" s="31">
        <v>0</v>
      </c>
      <c r="AJ46" s="31">
        <v>0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74</v>
      </c>
      <c r="E47" s="22">
        <v>49</v>
      </c>
      <c r="F47" s="22">
        <v>25</v>
      </c>
      <c r="G47" s="22">
        <v>0</v>
      </c>
      <c r="H47" s="22">
        <v>24</v>
      </c>
      <c r="I47" s="22">
        <v>19</v>
      </c>
      <c r="J47" s="22">
        <v>0</v>
      </c>
      <c r="K47" s="22">
        <v>0</v>
      </c>
      <c r="L47" s="22">
        <v>0</v>
      </c>
      <c r="M47" s="22">
        <v>1</v>
      </c>
      <c r="N47" s="22">
        <v>2</v>
      </c>
      <c r="O47" s="22">
        <v>0</v>
      </c>
      <c r="P47" s="22">
        <v>1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4</v>
      </c>
      <c r="W47" s="22">
        <v>0</v>
      </c>
      <c r="X47" s="22">
        <v>0</v>
      </c>
      <c r="Y47" s="22">
        <v>2</v>
      </c>
      <c r="Z47" s="22">
        <v>1</v>
      </c>
      <c r="AA47" s="22">
        <v>0</v>
      </c>
      <c r="AB47" s="22">
        <v>0</v>
      </c>
      <c r="AC47" s="22">
        <v>0</v>
      </c>
      <c r="AD47" s="22">
        <v>0</v>
      </c>
      <c r="AE47" s="22">
        <v>17</v>
      </c>
      <c r="AF47" s="22">
        <v>2</v>
      </c>
      <c r="AG47" s="22">
        <v>0</v>
      </c>
      <c r="AH47" s="22">
        <v>0</v>
      </c>
      <c r="AI47" s="22">
        <v>0</v>
      </c>
      <c r="AJ47" s="22">
        <v>0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8</v>
      </c>
      <c r="E48" s="22">
        <v>1</v>
      </c>
      <c r="F48" s="22">
        <v>7</v>
      </c>
      <c r="G48" s="22">
        <v>0</v>
      </c>
      <c r="H48" s="22">
        <v>0</v>
      </c>
      <c r="I48" s="22">
        <v>2</v>
      </c>
      <c r="J48" s="22">
        <v>0</v>
      </c>
      <c r="K48" s="22">
        <v>0</v>
      </c>
      <c r="L48" s="22">
        <v>0</v>
      </c>
      <c r="M48" s="22">
        <v>0</v>
      </c>
      <c r="N48" s="22">
        <v>3</v>
      </c>
      <c r="O48" s="22">
        <v>0</v>
      </c>
      <c r="P48" s="22">
        <v>0</v>
      </c>
      <c r="Q48" s="22">
        <v>2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1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161</v>
      </c>
      <c r="E49" s="31">
        <v>109</v>
      </c>
      <c r="F49" s="31">
        <v>51</v>
      </c>
      <c r="G49" s="31">
        <v>1</v>
      </c>
      <c r="H49" s="31">
        <v>63</v>
      </c>
      <c r="I49" s="31">
        <v>46</v>
      </c>
      <c r="J49" s="31">
        <v>5</v>
      </c>
      <c r="K49" s="31">
        <v>0</v>
      </c>
      <c r="L49" s="31">
        <v>0</v>
      </c>
      <c r="M49" s="31">
        <v>3</v>
      </c>
      <c r="N49" s="31">
        <v>2</v>
      </c>
      <c r="O49" s="31">
        <v>0</v>
      </c>
      <c r="P49" s="31">
        <v>6</v>
      </c>
      <c r="Q49" s="31">
        <v>1</v>
      </c>
      <c r="R49" s="31">
        <v>0</v>
      </c>
      <c r="S49" s="31">
        <v>4</v>
      </c>
      <c r="T49" s="31">
        <v>1</v>
      </c>
      <c r="U49" s="31">
        <v>0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19</v>
      </c>
      <c r="AF49" s="31">
        <v>1</v>
      </c>
      <c r="AG49" s="31">
        <v>0</v>
      </c>
      <c r="AH49" s="31">
        <v>8</v>
      </c>
      <c r="AI49" s="31">
        <v>0</v>
      </c>
      <c r="AJ49" s="31">
        <v>1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146</v>
      </c>
      <c r="E50" s="22">
        <v>101</v>
      </c>
      <c r="F50" s="22">
        <v>44</v>
      </c>
      <c r="G50" s="22">
        <v>1</v>
      </c>
      <c r="H50" s="22">
        <v>58</v>
      </c>
      <c r="I50" s="22">
        <v>41</v>
      </c>
      <c r="J50" s="22">
        <v>5</v>
      </c>
      <c r="K50" s="22">
        <v>0</v>
      </c>
      <c r="L50" s="22">
        <v>0</v>
      </c>
      <c r="M50" s="22">
        <v>3</v>
      </c>
      <c r="N50" s="22">
        <v>2</v>
      </c>
      <c r="O50" s="22">
        <v>0</v>
      </c>
      <c r="P50" s="22">
        <v>4</v>
      </c>
      <c r="Q50" s="22">
        <v>0</v>
      </c>
      <c r="R50" s="22">
        <v>0</v>
      </c>
      <c r="S50" s="22">
        <v>4</v>
      </c>
      <c r="T50" s="22">
        <v>0</v>
      </c>
      <c r="U50" s="22">
        <v>0</v>
      </c>
      <c r="V50" s="22">
        <v>1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19</v>
      </c>
      <c r="AF50" s="22">
        <v>1</v>
      </c>
      <c r="AG50" s="22">
        <v>0</v>
      </c>
      <c r="AH50" s="22">
        <v>7</v>
      </c>
      <c r="AI50" s="22">
        <v>0</v>
      </c>
      <c r="AJ50" s="22">
        <v>1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15</v>
      </c>
      <c r="E51" s="22">
        <v>8</v>
      </c>
      <c r="F51" s="22">
        <v>7</v>
      </c>
      <c r="G51" s="22">
        <v>0</v>
      </c>
      <c r="H51" s="22">
        <v>5</v>
      </c>
      <c r="I51" s="22">
        <v>5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2</v>
      </c>
      <c r="Q51" s="22">
        <v>1</v>
      </c>
      <c r="R51" s="22">
        <v>0</v>
      </c>
      <c r="S51" s="22">
        <v>0</v>
      </c>
      <c r="T51" s="22">
        <v>1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1</v>
      </c>
      <c r="AI51" s="22">
        <v>0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39</v>
      </c>
      <c r="E52" s="31">
        <v>29</v>
      </c>
      <c r="F52" s="31">
        <v>10</v>
      </c>
      <c r="G52" s="31">
        <v>0</v>
      </c>
      <c r="H52" s="31">
        <v>7</v>
      </c>
      <c r="I52" s="31">
        <v>9</v>
      </c>
      <c r="J52" s="31">
        <v>4</v>
      </c>
      <c r="K52" s="31">
        <v>1</v>
      </c>
      <c r="L52" s="31">
        <v>0</v>
      </c>
      <c r="M52" s="31">
        <v>1</v>
      </c>
      <c r="N52" s="31">
        <v>0</v>
      </c>
      <c r="O52" s="31">
        <v>0</v>
      </c>
      <c r="P52" s="31">
        <v>1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1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7</v>
      </c>
      <c r="AF52" s="31">
        <v>0</v>
      </c>
      <c r="AG52" s="31">
        <v>0</v>
      </c>
      <c r="AH52" s="31">
        <v>7</v>
      </c>
      <c r="AI52" s="31">
        <v>0</v>
      </c>
      <c r="AJ52" s="31">
        <v>0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18</v>
      </c>
      <c r="E53" s="22">
        <v>15</v>
      </c>
      <c r="F53" s="22">
        <v>3</v>
      </c>
      <c r="G53" s="22">
        <v>0</v>
      </c>
      <c r="H53" s="22">
        <v>3</v>
      </c>
      <c r="I53" s="22">
        <v>3</v>
      </c>
      <c r="J53" s="22">
        <v>2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1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5</v>
      </c>
      <c r="AF53" s="22">
        <v>0</v>
      </c>
      <c r="AG53" s="22">
        <v>0</v>
      </c>
      <c r="AH53" s="22">
        <v>4</v>
      </c>
      <c r="AI53" s="22">
        <v>0</v>
      </c>
      <c r="AJ53" s="22">
        <v>0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21</v>
      </c>
      <c r="E54" s="22">
        <v>14</v>
      </c>
      <c r="F54" s="22">
        <v>7</v>
      </c>
      <c r="G54" s="22">
        <v>0</v>
      </c>
      <c r="H54" s="22">
        <v>4</v>
      </c>
      <c r="I54" s="22">
        <v>6</v>
      </c>
      <c r="J54" s="22">
        <v>2</v>
      </c>
      <c r="K54" s="22">
        <v>1</v>
      </c>
      <c r="L54" s="22">
        <v>0</v>
      </c>
      <c r="M54" s="22">
        <v>1</v>
      </c>
      <c r="N54" s="22">
        <v>0</v>
      </c>
      <c r="O54" s="22">
        <v>0</v>
      </c>
      <c r="P54" s="22">
        <v>1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1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2</v>
      </c>
      <c r="AF54" s="22">
        <v>0</v>
      </c>
      <c r="AG54" s="22">
        <v>0</v>
      </c>
      <c r="AH54" s="22">
        <v>3</v>
      </c>
      <c r="AI54" s="22">
        <v>0</v>
      </c>
      <c r="AJ54" s="22">
        <v>0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136</v>
      </c>
      <c r="E55" s="31">
        <v>92</v>
      </c>
      <c r="F55" s="31">
        <v>44</v>
      </c>
      <c r="G55" s="31">
        <v>0</v>
      </c>
      <c r="H55" s="31">
        <v>45</v>
      </c>
      <c r="I55" s="31">
        <v>33</v>
      </c>
      <c r="J55" s="31">
        <v>4</v>
      </c>
      <c r="K55" s="31">
        <v>1</v>
      </c>
      <c r="L55" s="31">
        <v>0</v>
      </c>
      <c r="M55" s="31">
        <v>0</v>
      </c>
      <c r="N55" s="31">
        <v>7</v>
      </c>
      <c r="O55" s="31">
        <v>0</v>
      </c>
      <c r="P55" s="31">
        <v>5</v>
      </c>
      <c r="Q55" s="31">
        <v>0</v>
      </c>
      <c r="R55" s="31">
        <v>0</v>
      </c>
      <c r="S55" s="31">
        <v>6</v>
      </c>
      <c r="T55" s="31">
        <v>2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31</v>
      </c>
      <c r="AF55" s="31">
        <v>1</v>
      </c>
      <c r="AG55" s="31">
        <v>0</v>
      </c>
      <c r="AH55" s="31">
        <v>0</v>
      </c>
      <c r="AI55" s="31">
        <v>0</v>
      </c>
      <c r="AJ55" s="31">
        <v>0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63</v>
      </c>
      <c r="E56" s="22">
        <v>48</v>
      </c>
      <c r="F56" s="22">
        <v>15</v>
      </c>
      <c r="G56" s="22">
        <v>0</v>
      </c>
      <c r="H56" s="22">
        <v>17</v>
      </c>
      <c r="I56" s="22">
        <v>14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2</v>
      </c>
      <c r="Q56" s="22">
        <v>0</v>
      </c>
      <c r="R56" s="22">
        <v>0</v>
      </c>
      <c r="S56" s="22">
        <v>6</v>
      </c>
      <c r="T56" s="22">
        <v>1</v>
      </c>
      <c r="U56" s="22">
        <v>0</v>
      </c>
      <c r="V56" s="22">
        <v>0</v>
      </c>
      <c r="W56" s="22">
        <v>0</v>
      </c>
      <c r="X56" s="22">
        <v>0</v>
      </c>
      <c r="Y56" s="22">
        <v>1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22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73</v>
      </c>
      <c r="E57" s="22">
        <v>44</v>
      </c>
      <c r="F57" s="22">
        <v>29</v>
      </c>
      <c r="G57" s="22">
        <v>0</v>
      </c>
      <c r="H57" s="22">
        <v>28</v>
      </c>
      <c r="I57" s="22">
        <v>19</v>
      </c>
      <c r="J57" s="22">
        <v>4</v>
      </c>
      <c r="K57" s="22">
        <v>1</v>
      </c>
      <c r="L57" s="22">
        <v>0</v>
      </c>
      <c r="M57" s="22">
        <v>0</v>
      </c>
      <c r="N57" s="22">
        <v>7</v>
      </c>
      <c r="O57" s="22">
        <v>0</v>
      </c>
      <c r="P57" s="22">
        <v>3</v>
      </c>
      <c r="Q57" s="22">
        <v>0</v>
      </c>
      <c r="R57" s="22">
        <v>0</v>
      </c>
      <c r="S57" s="22">
        <v>0</v>
      </c>
      <c r="T57" s="22">
        <v>1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9</v>
      </c>
      <c r="AF57" s="22">
        <v>1</v>
      </c>
      <c r="AG57" s="22">
        <v>0</v>
      </c>
      <c r="AH57" s="22">
        <v>0</v>
      </c>
      <c r="AI57" s="22">
        <v>0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6</v>
      </c>
      <c r="E58" s="31">
        <v>4</v>
      </c>
      <c r="F58" s="31">
        <v>2</v>
      </c>
      <c r="G58" s="31">
        <v>0</v>
      </c>
      <c r="H58" s="31">
        <v>0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1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3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6</v>
      </c>
      <c r="E59" s="22">
        <v>4</v>
      </c>
      <c r="F59" s="22">
        <v>2</v>
      </c>
      <c r="G59" s="22">
        <v>0</v>
      </c>
      <c r="H59" s="22">
        <v>0</v>
      </c>
      <c r="I59" s="22">
        <v>2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1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3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62</v>
      </c>
      <c r="E61" s="31">
        <v>41</v>
      </c>
      <c r="F61" s="31">
        <v>21</v>
      </c>
      <c r="G61" s="31">
        <v>0</v>
      </c>
      <c r="H61" s="31">
        <v>19</v>
      </c>
      <c r="I61" s="31">
        <v>17</v>
      </c>
      <c r="J61" s="31">
        <v>0</v>
      </c>
      <c r="K61" s="31">
        <v>0</v>
      </c>
      <c r="L61" s="31">
        <v>0</v>
      </c>
      <c r="M61" s="31">
        <v>1</v>
      </c>
      <c r="N61" s="31">
        <v>2</v>
      </c>
      <c r="O61" s="31">
        <v>0</v>
      </c>
      <c r="P61" s="31">
        <v>4</v>
      </c>
      <c r="Q61" s="31">
        <v>1</v>
      </c>
      <c r="R61" s="31">
        <v>0</v>
      </c>
      <c r="S61" s="31">
        <v>1</v>
      </c>
      <c r="T61" s="31">
        <v>0</v>
      </c>
      <c r="U61" s="31">
        <v>0</v>
      </c>
      <c r="V61" s="31">
        <v>1</v>
      </c>
      <c r="W61" s="31">
        <v>0</v>
      </c>
      <c r="X61" s="31">
        <v>0</v>
      </c>
      <c r="Y61" s="31">
        <v>3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10</v>
      </c>
      <c r="AF61" s="31">
        <v>0</v>
      </c>
      <c r="AG61" s="31">
        <v>0</v>
      </c>
      <c r="AH61" s="31">
        <v>2</v>
      </c>
      <c r="AI61" s="31">
        <v>1</v>
      </c>
      <c r="AJ61" s="31">
        <v>0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57</v>
      </c>
      <c r="E62" s="22">
        <v>37</v>
      </c>
      <c r="F62" s="22">
        <v>20</v>
      </c>
      <c r="G62" s="22">
        <v>0</v>
      </c>
      <c r="H62" s="22">
        <v>17</v>
      </c>
      <c r="I62" s="22">
        <v>16</v>
      </c>
      <c r="J62" s="22">
        <v>0</v>
      </c>
      <c r="K62" s="22">
        <v>0</v>
      </c>
      <c r="L62" s="22">
        <v>0</v>
      </c>
      <c r="M62" s="22">
        <v>1</v>
      </c>
      <c r="N62" s="22">
        <v>2</v>
      </c>
      <c r="O62" s="22">
        <v>0</v>
      </c>
      <c r="P62" s="22">
        <v>3</v>
      </c>
      <c r="Q62" s="22">
        <v>1</v>
      </c>
      <c r="R62" s="22">
        <v>0</v>
      </c>
      <c r="S62" s="22">
        <v>1</v>
      </c>
      <c r="T62" s="22">
        <v>0</v>
      </c>
      <c r="U62" s="22">
        <v>0</v>
      </c>
      <c r="V62" s="22">
        <v>1</v>
      </c>
      <c r="W62" s="22">
        <v>0</v>
      </c>
      <c r="X62" s="22">
        <v>0</v>
      </c>
      <c r="Y62" s="22">
        <v>3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9</v>
      </c>
      <c r="AF62" s="22">
        <v>0</v>
      </c>
      <c r="AG62" s="22">
        <v>0</v>
      </c>
      <c r="AH62" s="22">
        <v>2</v>
      </c>
      <c r="AI62" s="22">
        <v>1</v>
      </c>
      <c r="AJ62" s="22">
        <v>0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5</v>
      </c>
      <c r="E63" s="22">
        <v>4</v>
      </c>
      <c r="F63" s="22">
        <v>1</v>
      </c>
      <c r="G63" s="22">
        <v>0</v>
      </c>
      <c r="H63" s="22">
        <v>2</v>
      </c>
      <c r="I63" s="22">
        <v>1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1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1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103</v>
      </c>
      <c r="E64" s="31">
        <v>55</v>
      </c>
      <c r="F64" s="31">
        <v>46</v>
      </c>
      <c r="G64" s="31">
        <v>2</v>
      </c>
      <c r="H64" s="31">
        <v>29</v>
      </c>
      <c r="I64" s="31">
        <v>32</v>
      </c>
      <c r="J64" s="31">
        <v>1</v>
      </c>
      <c r="K64" s="31">
        <v>1</v>
      </c>
      <c r="L64" s="31">
        <v>0</v>
      </c>
      <c r="M64" s="31">
        <v>0</v>
      </c>
      <c r="N64" s="31">
        <v>1</v>
      </c>
      <c r="O64" s="31">
        <v>0</v>
      </c>
      <c r="P64" s="31">
        <v>0</v>
      </c>
      <c r="Q64" s="31">
        <v>0</v>
      </c>
      <c r="R64" s="31">
        <v>0</v>
      </c>
      <c r="S64" s="31">
        <v>2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1</v>
      </c>
      <c r="Z64" s="31">
        <v>1</v>
      </c>
      <c r="AA64" s="31">
        <v>0</v>
      </c>
      <c r="AB64" s="31">
        <v>0</v>
      </c>
      <c r="AC64" s="31">
        <v>0</v>
      </c>
      <c r="AD64" s="31">
        <v>0</v>
      </c>
      <c r="AE64" s="31">
        <v>12</v>
      </c>
      <c r="AF64" s="31">
        <v>2</v>
      </c>
      <c r="AG64" s="31">
        <v>0</v>
      </c>
      <c r="AH64" s="31">
        <v>10</v>
      </c>
      <c r="AI64" s="31">
        <v>9</v>
      </c>
      <c r="AJ64" s="31">
        <v>2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102</v>
      </c>
      <c r="E65" s="22">
        <v>54</v>
      </c>
      <c r="F65" s="22">
        <v>46</v>
      </c>
      <c r="G65" s="22">
        <v>2</v>
      </c>
      <c r="H65" s="22">
        <v>29</v>
      </c>
      <c r="I65" s="22">
        <v>32</v>
      </c>
      <c r="J65" s="22">
        <v>1</v>
      </c>
      <c r="K65" s="22">
        <v>1</v>
      </c>
      <c r="L65" s="22">
        <v>0</v>
      </c>
      <c r="M65" s="22">
        <v>0</v>
      </c>
      <c r="N65" s="22">
        <v>1</v>
      </c>
      <c r="O65" s="22">
        <v>0</v>
      </c>
      <c r="P65" s="22">
        <v>0</v>
      </c>
      <c r="Q65" s="22">
        <v>0</v>
      </c>
      <c r="R65" s="22">
        <v>0</v>
      </c>
      <c r="S65" s="22">
        <v>2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1</v>
      </c>
      <c r="Z65" s="22">
        <v>1</v>
      </c>
      <c r="AA65" s="22">
        <v>0</v>
      </c>
      <c r="AB65" s="22">
        <v>0</v>
      </c>
      <c r="AC65" s="22">
        <v>0</v>
      </c>
      <c r="AD65" s="22">
        <v>0</v>
      </c>
      <c r="AE65" s="22">
        <v>12</v>
      </c>
      <c r="AF65" s="22">
        <v>2</v>
      </c>
      <c r="AG65" s="22">
        <v>0</v>
      </c>
      <c r="AH65" s="22">
        <v>9</v>
      </c>
      <c r="AI65" s="22">
        <v>9</v>
      </c>
      <c r="AJ65" s="22">
        <v>2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1</v>
      </c>
      <c r="E66" s="22">
        <v>1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1</v>
      </c>
      <c r="AI66" s="22">
        <v>0</v>
      </c>
      <c r="AJ66" s="22">
        <v>0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68</v>
      </c>
      <c r="E67" s="31">
        <v>35</v>
      </c>
      <c r="F67" s="31">
        <v>32</v>
      </c>
      <c r="G67" s="31">
        <v>1</v>
      </c>
      <c r="H67" s="31">
        <v>9</v>
      </c>
      <c r="I67" s="31">
        <v>14</v>
      </c>
      <c r="J67" s="31">
        <v>0</v>
      </c>
      <c r="K67" s="31">
        <v>0</v>
      </c>
      <c r="L67" s="31">
        <v>0</v>
      </c>
      <c r="M67" s="31">
        <v>2</v>
      </c>
      <c r="N67" s="31">
        <v>0</v>
      </c>
      <c r="O67" s="31">
        <v>0</v>
      </c>
      <c r="P67" s="31">
        <v>3</v>
      </c>
      <c r="Q67" s="31">
        <v>0</v>
      </c>
      <c r="R67" s="31">
        <v>0</v>
      </c>
      <c r="S67" s="31">
        <v>2</v>
      </c>
      <c r="T67" s="31">
        <v>0</v>
      </c>
      <c r="U67" s="31">
        <v>0</v>
      </c>
      <c r="V67" s="31">
        <v>1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4</v>
      </c>
      <c r="AF67" s="31">
        <v>1</v>
      </c>
      <c r="AG67" s="31">
        <v>0</v>
      </c>
      <c r="AH67" s="31">
        <v>14</v>
      </c>
      <c r="AI67" s="31">
        <v>17</v>
      </c>
      <c r="AJ67" s="31">
        <v>1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68</v>
      </c>
      <c r="E68" s="22">
        <v>35</v>
      </c>
      <c r="F68" s="22">
        <v>32</v>
      </c>
      <c r="G68" s="22">
        <v>1</v>
      </c>
      <c r="H68" s="22">
        <v>9</v>
      </c>
      <c r="I68" s="22">
        <v>14</v>
      </c>
      <c r="J68" s="22">
        <v>0</v>
      </c>
      <c r="K68" s="22">
        <v>0</v>
      </c>
      <c r="L68" s="22">
        <v>0</v>
      </c>
      <c r="M68" s="22">
        <v>2</v>
      </c>
      <c r="N68" s="22">
        <v>0</v>
      </c>
      <c r="O68" s="22">
        <v>0</v>
      </c>
      <c r="P68" s="22">
        <v>3</v>
      </c>
      <c r="Q68" s="22">
        <v>0</v>
      </c>
      <c r="R68" s="22">
        <v>0</v>
      </c>
      <c r="S68" s="22">
        <v>2</v>
      </c>
      <c r="T68" s="22">
        <v>0</v>
      </c>
      <c r="U68" s="22">
        <v>0</v>
      </c>
      <c r="V68" s="22">
        <v>1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4</v>
      </c>
      <c r="AF68" s="22">
        <v>1</v>
      </c>
      <c r="AG68" s="22">
        <v>0</v>
      </c>
      <c r="AH68" s="22">
        <v>14</v>
      </c>
      <c r="AI68" s="22">
        <v>17</v>
      </c>
      <c r="AJ68" s="22">
        <v>1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26</v>
      </c>
      <c r="E70" s="31">
        <v>14</v>
      </c>
      <c r="F70" s="31">
        <v>12</v>
      </c>
      <c r="G70" s="31">
        <v>0</v>
      </c>
      <c r="H70" s="31">
        <v>5</v>
      </c>
      <c r="I70" s="31">
        <v>12</v>
      </c>
      <c r="J70" s="31">
        <v>1</v>
      </c>
      <c r="K70" s="31">
        <v>0</v>
      </c>
      <c r="L70" s="31">
        <v>0</v>
      </c>
      <c r="M70" s="31">
        <v>1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2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5</v>
      </c>
      <c r="AI70" s="31">
        <v>0</v>
      </c>
      <c r="AJ70" s="31">
        <v>0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25</v>
      </c>
      <c r="E71" s="22">
        <v>13</v>
      </c>
      <c r="F71" s="22">
        <v>12</v>
      </c>
      <c r="G71" s="22">
        <v>0</v>
      </c>
      <c r="H71" s="22">
        <v>5</v>
      </c>
      <c r="I71" s="22">
        <v>12</v>
      </c>
      <c r="J71" s="22">
        <v>1</v>
      </c>
      <c r="K71" s="22">
        <v>0</v>
      </c>
      <c r="L71" s="22">
        <v>0</v>
      </c>
      <c r="M71" s="22">
        <v>1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2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4</v>
      </c>
      <c r="AI71" s="22">
        <v>0</v>
      </c>
      <c r="AJ71" s="22">
        <v>0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1</v>
      </c>
      <c r="E72" s="22">
        <v>1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1</v>
      </c>
      <c r="AI72" s="22">
        <v>0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6</v>
      </c>
      <c r="E73" s="31">
        <v>3</v>
      </c>
      <c r="F73" s="31">
        <v>3</v>
      </c>
      <c r="G73" s="31">
        <v>0</v>
      </c>
      <c r="H73" s="31">
        <v>3</v>
      </c>
      <c r="I73" s="31">
        <v>3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5</v>
      </c>
      <c r="E74" s="22">
        <v>2</v>
      </c>
      <c r="F74" s="22">
        <v>3</v>
      </c>
      <c r="G74" s="22">
        <v>0</v>
      </c>
      <c r="H74" s="22">
        <v>2</v>
      </c>
      <c r="I74" s="22">
        <v>3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1</v>
      </c>
      <c r="E75" s="27">
        <v>1</v>
      </c>
      <c r="F75" s="27">
        <v>0</v>
      </c>
      <c r="G75" s="27">
        <v>0</v>
      </c>
      <c r="H75" s="27">
        <v>1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/>
    <row r="79" spans="1:36" ht="15.75" customHeight="1" x14ac:dyDescent="0.2">
      <c r="A79" s="64" t="s">
        <v>196</v>
      </c>
    </row>
  </sheetData>
  <mergeCells count="67">
    <mergeCell ref="A68:A69"/>
    <mergeCell ref="A71:A72"/>
    <mergeCell ref="A74:A75"/>
    <mergeCell ref="A50:A51"/>
    <mergeCell ref="A53:A54"/>
    <mergeCell ref="A56:A57"/>
    <mergeCell ref="A59:A60"/>
    <mergeCell ref="A62:A63"/>
    <mergeCell ref="A65:A66"/>
    <mergeCell ref="AJ5:AJ6"/>
    <mergeCell ref="A47:A48"/>
    <mergeCell ref="A11:A12"/>
    <mergeCell ref="A14:A15"/>
    <mergeCell ref="A17:A18"/>
    <mergeCell ref="A20:A21"/>
    <mergeCell ref="A23:A24"/>
    <mergeCell ref="A26:A27"/>
    <mergeCell ref="A32:A33"/>
    <mergeCell ref="A35:A36"/>
    <mergeCell ref="A38:A39"/>
    <mergeCell ref="A41:A42"/>
    <mergeCell ref="A44:A45"/>
    <mergeCell ref="L5:L6"/>
    <mergeCell ref="AF5:AF6"/>
    <mergeCell ref="AG5:AG6"/>
    <mergeCell ref="AH5:AH6"/>
    <mergeCell ref="AI5:AI6"/>
    <mergeCell ref="AE4:AG4"/>
    <mergeCell ref="A8:A9"/>
    <mergeCell ref="Z5:Z6"/>
    <mergeCell ref="AA5:AA6"/>
    <mergeCell ref="AB5:AB6"/>
    <mergeCell ref="AC5:AC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AD5:AD6"/>
    <mergeCell ref="AE5:AE6"/>
    <mergeCell ref="T5:T6"/>
    <mergeCell ref="U5:U6"/>
    <mergeCell ref="V5:V6"/>
    <mergeCell ref="W5:W6"/>
    <mergeCell ref="X5:X6"/>
    <mergeCell ref="Y5:Y6"/>
    <mergeCell ref="AH4:AJ4"/>
    <mergeCell ref="A4:C6"/>
    <mergeCell ref="D4:G4"/>
    <mergeCell ref="H4:I4"/>
    <mergeCell ref="J4:L4"/>
    <mergeCell ref="M4:O4"/>
    <mergeCell ref="P4:R4"/>
    <mergeCell ref="D5:D6"/>
    <mergeCell ref="E5:E6"/>
    <mergeCell ref="F5:F6"/>
    <mergeCell ref="G5:G6"/>
    <mergeCell ref="M5:M6"/>
    <mergeCell ref="S4:U4"/>
    <mergeCell ref="V4:X4"/>
    <mergeCell ref="Y4:AA4"/>
    <mergeCell ref="AB4:AD4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219"/>
  <sheetViews>
    <sheetView zoomScaleNormal="100" zoomScaleSheetLayoutView="100" workbookViewId="0">
      <pane xSplit="4" ySplit="7" topLeftCell="E59" activePane="bottomRight" state="frozen"/>
      <selection activeCell="K80" sqref="K80"/>
      <selection pane="topRight" activeCell="K80" sqref="K80"/>
      <selection pane="bottomLeft" activeCell="K80" sqref="K80"/>
      <selection pane="bottomRight" activeCell="K80" sqref="K80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63" t="s">
        <v>193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AJ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98" t="s">
        <v>156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83" t="s">
        <v>155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5731</v>
      </c>
      <c r="E7" s="68">
        <v>3896</v>
      </c>
      <c r="F7" s="68">
        <v>1804</v>
      </c>
      <c r="G7" s="68">
        <v>31</v>
      </c>
      <c r="H7" s="68">
        <v>1868</v>
      </c>
      <c r="I7" s="68">
        <v>1365</v>
      </c>
      <c r="J7" s="68">
        <v>125</v>
      </c>
      <c r="K7" s="68">
        <v>32</v>
      </c>
      <c r="L7" s="68">
        <v>0</v>
      </c>
      <c r="M7" s="68">
        <v>81</v>
      </c>
      <c r="N7" s="68">
        <v>99</v>
      </c>
      <c r="O7" s="68">
        <v>0</v>
      </c>
      <c r="P7" s="68">
        <v>173</v>
      </c>
      <c r="Q7" s="68">
        <v>49</v>
      </c>
      <c r="R7" s="68">
        <v>0</v>
      </c>
      <c r="S7" s="68">
        <v>177</v>
      </c>
      <c r="T7" s="68">
        <v>36</v>
      </c>
      <c r="U7" s="68">
        <v>0</v>
      </c>
      <c r="V7" s="68">
        <v>48</v>
      </c>
      <c r="W7" s="68">
        <v>4</v>
      </c>
      <c r="X7" s="68">
        <v>0</v>
      </c>
      <c r="Y7" s="68">
        <v>142</v>
      </c>
      <c r="Z7" s="68">
        <v>32</v>
      </c>
      <c r="AA7" s="68">
        <v>0</v>
      </c>
      <c r="AB7" s="68">
        <v>0</v>
      </c>
      <c r="AC7" s="68">
        <v>9</v>
      </c>
      <c r="AD7" s="68">
        <v>0</v>
      </c>
      <c r="AE7" s="68">
        <v>969</v>
      </c>
      <c r="AF7" s="68">
        <v>137</v>
      </c>
      <c r="AG7" s="68">
        <v>3</v>
      </c>
      <c r="AH7" s="68">
        <v>313</v>
      </c>
      <c r="AI7" s="68">
        <v>41</v>
      </c>
      <c r="AJ7" s="68">
        <v>28</v>
      </c>
    </row>
    <row r="8" spans="1:36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5403</v>
      </c>
      <c r="E8" s="72">
        <v>3673</v>
      </c>
      <c r="F8" s="72">
        <v>1700</v>
      </c>
      <c r="G8" s="72">
        <v>30</v>
      </c>
      <c r="H8" s="72">
        <v>1769</v>
      </c>
      <c r="I8" s="72">
        <v>1286</v>
      </c>
      <c r="J8" s="72">
        <v>116</v>
      </c>
      <c r="K8" s="72">
        <v>30</v>
      </c>
      <c r="L8" s="72">
        <v>0</v>
      </c>
      <c r="M8" s="72">
        <v>75</v>
      </c>
      <c r="N8" s="72">
        <v>96</v>
      </c>
      <c r="O8" s="72">
        <v>0</v>
      </c>
      <c r="P8" s="72">
        <v>143</v>
      </c>
      <c r="Q8" s="72">
        <v>45</v>
      </c>
      <c r="R8" s="72">
        <v>0</v>
      </c>
      <c r="S8" s="72">
        <v>164</v>
      </c>
      <c r="T8" s="72">
        <v>31</v>
      </c>
      <c r="U8" s="72">
        <v>0</v>
      </c>
      <c r="V8" s="72">
        <v>45</v>
      </c>
      <c r="W8" s="72">
        <v>4</v>
      </c>
      <c r="X8" s="72">
        <v>0</v>
      </c>
      <c r="Y8" s="72">
        <v>137</v>
      </c>
      <c r="Z8" s="72">
        <v>32</v>
      </c>
      <c r="AA8" s="72">
        <v>0</v>
      </c>
      <c r="AB8" s="72">
        <v>0</v>
      </c>
      <c r="AC8" s="72">
        <v>9</v>
      </c>
      <c r="AD8" s="72">
        <v>0</v>
      </c>
      <c r="AE8" s="72">
        <v>937</v>
      </c>
      <c r="AF8" s="72">
        <v>131</v>
      </c>
      <c r="AG8" s="72">
        <v>3</v>
      </c>
      <c r="AH8" s="72">
        <v>287</v>
      </c>
      <c r="AI8" s="72">
        <v>36</v>
      </c>
      <c r="AJ8" s="72">
        <v>27</v>
      </c>
    </row>
    <row r="9" spans="1:36" s="69" customFormat="1" ht="15" customHeight="1" x14ac:dyDescent="0.2">
      <c r="A9" s="109"/>
      <c r="B9" s="70" t="s">
        <v>177</v>
      </c>
      <c r="C9" s="71" t="s">
        <v>194</v>
      </c>
      <c r="D9" s="72">
        <v>328</v>
      </c>
      <c r="E9" s="72">
        <v>223</v>
      </c>
      <c r="F9" s="72">
        <v>104</v>
      </c>
      <c r="G9" s="72">
        <v>1</v>
      </c>
      <c r="H9" s="72">
        <v>99</v>
      </c>
      <c r="I9" s="72">
        <v>79</v>
      </c>
      <c r="J9" s="72">
        <v>9</v>
      </c>
      <c r="K9" s="72">
        <v>2</v>
      </c>
      <c r="L9" s="72">
        <v>0</v>
      </c>
      <c r="M9" s="72">
        <v>6</v>
      </c>
      <c r="N9" s="72">
        <v>3</v>
      </c>
      <c r="O9" s="72">
        <v>0</v>
      </c>
      <c r="P9" s="72">
        <v>30</v>
      </c>
      <c r="Q9" s="72">
        <v>4</v>
      </c>
      <c r="R9" s="72">
        <v>0</v>
      </c>
      <c r="S9" s="72">
        <v>13</v>
      </c>
      <c r="T9" s="72">
        <v>5</v>
      </c>
      <c r="U9" s="72">
        <v>0</v>
      </c>
      <c r="V9" s="72">
        <v>3</v>
      </c>
      <c r="W9" s="72">
        <v>0</v>
      </c>
      <c r="X9" s="72">
        <v>0</v>
      </c>
      <c r="Y9" s="72">
        <v>5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32</v>
      </c>
      <c r="AF9" s="72">
        <v>6</v>
      </c>
      <c r="AG9" s="72">
        <v>0</v>
      </c>
      <c r="AH9" s="72">
        <v>26</v>
      </c>
      <c r="AI9" s="72">
        <v>5</v>
      </c>
      <c r="AJ9" s="72">
        <v>1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1193</v>
      </c>
      <c r="E10" s="31">
        <v>851</v>
      </c>
      <c r="F10" s="31">
        <v>332</v>
      </c>
      <c r="G10" s="31">
        <v>10</v>
      </c>
      <c r="H10" s="31">
        <v>398</v>
      </c>
      <c r="I10" s="31">
        <v>255</v>
      </c>
      <c r="J10" s="31">
        <v>25</v>
      </c>
      <c r="K10" s="31">
        <v>10</v>
      </c>
      <c r="L10" s="31">
        <v>0</v>
      </c>
      <c r="M10" s="31">
        <v>16</v>
      </c>
      <c r="N10" s="31">
        <v>18</v>
      </c>
      <c r="O10" s="31">
        <v>0</v>
      </c>
      <c r="P10" s="31">
        <v>27</v>
      </c>
      <c r="Q10" s="31">
        <v>8</v>
      </c>
      <c r="R10" s="31">
        <v>0</v>
      </c>
      <c r="S10" s="31">
        <v>45</v>
      </c>
      <c r="T10" s="31">
        <v>6</v>
      </c>
      <c r="U10" s="31">
        <v>0</v>
      </c>
      <c r="V10" s="31">
        <v>13</v>
      </c>
      <c r="W10" s="31">
        <v>0</v>
      </c>
      <c r="X10" s="31">
        <v>0</v>
      </c>
      <c r="Y10" s="31">
        <v>24</v>
      </c>
      <c r="Z10" s="31">
        <v>4</v>
      </c>
      <c r="AA10" s="31">
        <v>0</v>
      </c>
      <c r="AB10" s="31">
        <v>0</v>
      </c>
      <c r="AC10" s="31">
        <v>1</v>
      </c>
      <c r="AD10" s="31">
        <v>0</v>
      </c>
      <c r="AE10" s="31">
        <v>244</v>
      </c>
      <c r="AF10" s="31">
        <v>18</v>
      </c>
      <c r="AG10" s="31">
        <v>1</v>
      </c>
      <c r="AH10" s="31">
        <v>59</v>
      </c>
      <c r="AI10" s="31">
        <v>12</v>
      </c>
      <c r="AJ10" s="31">
        <v>9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1143</v>
      </c>
      <c r="E11" s="22">
        <v>820</v>
      </c>
      <c r="F11" s="22">
        <v>313</v>
      </c>
      <c r="G11" s="22">
        <v>10</v>
      </c>
      <c r="H11" s="22">
        <v>386</v>
      </c>
      <c r="I11" s="22">
        <v>239</v>
      </c>
      <c r="J11" s="22">
        <v>25</v>
      </c>
      <c r="K11" s="22">
        <v>10</v>
      </c>
      <c r="L11" s="22">
        <v>0</v>
      </c>
      <c r="M11" s="22">
        <v>15</v>
      </c>
      <c r="N11" s="22">
        <v>18</v>
      </c>
      <c r="O11" s="22">
        <v>0</v>
      </c>
      <c r="P11" s="22">
        <v>22</v>
      </c>
      <c r="Q11" s="22">
        <v>6</v>
      </c>
      <c r="R11" s="22">
        <v>0</v>
      </c>
      <c r="S11" s="22">
        <v>41</v>
      </c>
      <c r="T11" s="22">
        <v>5</v>
      </c>
      <c r="U11" s="22">
        <v>0</v>
      </c>
      <c r="V11" s="22">
        <v>13</v>
      </c>
      <c r="W11" s="22">
        <v>0</v>
      </c>
      <c r="X11" s="22">
        <v>0</v>
      </c>
      <c r="Y11" s="22">
        <v>23</v>
      </c>
      <c r="Z11" s="22">
        <v>4</v>
      </c>
      <c r="AA11" s="22">
        <v>0</v>
      </c>
      <c r="AB11" s="22">
        <v>0</v>
      </c>
      <c r="AC11" s="22">
        <v>1</v>
      </c>
      <c r="AD11" s="22">
        <v>0</v>
      </c>
      <c r="AE11" s="22">
        <v>242</v>
      </c>
      <c r="AF11" s="22">
        <v>18</v>
      </c>
      <c r="AG11" s="22">
        <v>1</v>
      </c>
      <c r="AH11" s="22">
        <v>53</v>
      </c>
      <c r="AI11" s="22">
        <v>12</v>
      </c>
      <c r="AJ11" s="22">
        <v>9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50</v>
      </c>
      <c r="E12" s="22">
        <v>31</v>
      </c>
      <c r="F12" s="22">
        <v>19</v>
      </c>
      <c r="G12" s="22">
        <v>0</v>
      </c>
      <c r="H12" s="22">
        <v>12</v>
      </c>
      <c r="I12" s="22">
        <v>16</v>
      </c>
      <c r="J12" s="22">
        <v>0</v>
      </c>
      <c r="K12" s="22">
        <v>0</v>
      </c>
      <c r="L12" s="22">
        <v>0</v>
      </c>
      <c r="M12" s="22">
        <v>1</v>
      </c>
      <c r="N12" s="22">
        <v>0</v>
      </c>
      <c r="O12" s="22">
        <v>0</v>
      </c>
      <c r="P12" s="22">
        <v>5</v>
      </c>
      <c r="Q12" s="22">
        <v>2</v>
      </c>
      <c r="R12" s="22">
        <v>0</v>
      </c>
      <c r="S12" s="22">
        <v>4</v>
      </c>
      <c r="T12" s="22">
        <v>1</v>
      </c>
      <c r="U12" s="22">
        <v>0</v>
      </c>
      <c r="V12" s="22">
        <v>0</v>
      </c>
      <c r="W12" s="22">
        <v>0</v>
      </c>
      <c r="X12" s="22">
        <v>0</v>
      </c>
      <c r="Y12" s="22">
        <v>1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2</v>
      </c>
      <c r="AF12" s="22">
        <v>0</v>
      </c>
      <c r="AG12" s="22">
        <v>0</v>
      </c>
      <c r="AH12" s="22">
        <v>6</v>
      </c>
      <c r="AI12" s="22">
        <v>0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565</v>
      </c>
      <c r="E13" s="31">
        <v>359</v>
      </c>
      <c r="F13" s="31">
        <v>205</v>
      </c>
      <c r="G13" s="31">
        <v>1</v>
      </c>
      <c r="H13" s="31">
        <v>202</v>
      </c>
      <c r="I13" s="31">
        <v>157</v>
      </c>
      <c r="J13" s="31">
        <v>16</v>
      </c>
      <c r="K13" s="31">
        <v>3</v>
      </c>
      <c r="L13" s="31">
        <v>0</v>
      </c>
      <c r="M13" s="31">
        <v>4</v>
      </c>
      <c r="N13" s="31">
        <v>11</v>
      </c>
      <c r="O13" s="31">
        <v>0</v>
      </c>
      <c r="P13" s="31">
        <v>14</v>
      </c>
      <c r="Q13" s="31">
        <v>6</v>
      </c>
      <c r="R13" s="31">
        <v>0</v>
      </c>
      <c r="S13" s="31">
        <v>10</v>
      </c>
      <c r="T13" s="31">
        <v>3</v>
      </c>
      <c r="U13" s="31">
        <v>0</v>
      </c>
      <c r="V13" s="31">
        <v>10</v>
      </c>
      <c r="W13" s="31">
        <v>0</v>
      </c>
      <c r="X13" s="31">
        <v>0</v>
      </c>
      <c r="Y13" s="31">
        <v>25</v>
      </c>
      <c r="Z13" s="31">
        <v>7</v>
      </c>
      <c r="AA13" s="31">
        <v>0</v>
      </c>
      <c r="AB13" s="31">
        <v>0</v>
      </c>
      <c r="AC13" s="31">
        <v>1</v>
      </c>
      <c r="AD13" s="31">
        <v>0</v>
      </c>
      <c r="AE13" s="31">
        <v>54</v>
      </c>
      <c r="AF13" s="31">
        <v>13</v>
      </c>
      <c r="AG13" s="31">
        <v>0</v>
      </c>
      <c r="AH13" s="31">
        <v>24</v>
      </c>
      <c r="AI13" s="31">
        <v>4</v>
      </c>
      <c r="AJ13" s="31">
        <v>1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553</v>
      </c>
      <c r="E14" s="22">
        <v>352</v>
      </c>
      <c r="F14" s="22">
        <v>200</v>
      </c>
      <c r="G14" s="22">
        <v>1</v>
      </c>
      <c r="H14" s="22">
        <v>196</v>
      </c>
      <c r="I14" s="22">
        <v>154</v>
      </c>
      <c r="J14" s="22">
        <v>15</v>
      </c>
      <c r="K14" s="22">
        <v>3</v>
      </c>
      <c r="L14" s="22">
        <v>0</v>
      </c>
      <c r="M14" s="22">
        <v>4</v>
      </c>
      <c r="N14" s="22">
        <v>10</v>
      </c>
      <c r="O14" s="22">
        <v>0</v>
      </c>
      <c r="P14" s="22">
        <v>14</v>
      </c>
      <c r="Q14" s="22">
        <v>6</v>
      </c>
      <c r="R14" s="22">
        <v>0</v>
      </c>
      <c r="S14" s="22">
        <v>10</v>
      </c>
      <c r="T14" s="22">
        <v>3</v>
      </c>
      <c r="U14" s="22">
        <v>0</v>
      </c>
      <c r="V14" s="22">
        <v>10</v>
      </c>
      <c r="W14" s="22">
        <v>0</v>
      </c>
      <c r="X14" s="22">
        <v>0</v>
      </c>
      <c r="Y14" s="22">
        <v>25</v>
      </c>
      <c r="Z14" s="22">
        <v>7</v>
      </c>
      <c r="AA14" s="22">
        <v>0</v>
      </c>
      <c r="AB14" s="22">
        <v>0</v>
      </c>
      <c r="AC14" s="22">
        <v>1</v>
      </c>
      <c r="AD14" s="22">
        <v>0</v>
      </c>
      <c r="AE14" s="22">
        <v>54</v>
      </c>
      <c r="AF14" s="22">
        <v>12</v>
      </c>
      <c r="AG14" s="22">
        <v>0</v>
      </c>
      <c r="AH14" s="22">
        <v>24</v>
      </c>
      <c r="AI14" s="22">
        <v>4</v>
      </c>
      <c r="AJ14" s="22">
        <v>1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12</v>
      </c>
      <c r="E15" s="22">
        <v>7</v>
      </c>
      <c r="F15" s="22">
        <v>5</v>
      </c>
      <c r="G15" s="22">
        <v>0</v>
      </c>
      <c r="H15" s="22">
        <v>6</v>
      </c>
      <c r="I15" s="22">
        <v>3</v>
      </c>
      <c r="J15" s="22">
        <v>1</v>
      </c>
      <c r="K15" s="22">
        <v>0</v>
      </c>
      <c r="L15" s="22">
        <v>0</v>
      </c>
      <c r="M15" s="22">
        <v>0</v>
      </c>
      <c r="N15" s="22">
        <v>1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1</v>
      </c>
      <c r="AG15" s="22">
        <v>0</v>
      </c>
      <c r="AH15" s="22">
        <v>0</v>
      </c>
      <c r="AI15" s="22">
        <v>0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484</v>
      </c>
      <c r="E16" s="31">
        <v>329</v>
      </c>
      <c r="F16" s="31">
        <v>151</v>
      </c>
      <c r="G16" s="31">
        <v>4</v>
      </c>
      <c r="H16" s="31">
        <v>151</v>
      </c>
      <c r="I16" s="31">
        <v>109</v>
      </c>
      <c r="J16" s="31">
        <v>6</v>
      </c>
      <c r="K16" s="31">
        <v>1</v>
      </c>
      <c r="L16" s="31">
        <v>0</v>
      </c>
      <c r="M16" s="31">
        <v>5</v>
      </c>
      <c r="N16" s="31">
        <v>5</v>
      </c>
      <c r="O16" s="31">
        <v>0</v>
      </c>
      <c r="P16" s="31">
        <v>18</v>
      </c>
      <c r="Q16" s="31">
        <v>7</v>
      </c>
      <c r="R16" s="31">
        <v>0</v>
      </c>
      <c r="S16" s="31">
        <v>17</v>
      </c>
      <c r="T16" s="31">
        <v>5</v>
      </c>
      <c r="U16" s="31">
        <v>0</v>
      </c>
      <c r="V16" s="31">
        <v>2</v>
      </c>
      <c r="W16" s="31">
        <v>0</v>
      </c>
      <c r="X16" s="31">
        <v>0</v>
      </c>
      <c r="Y16" s="31">
        <v>16</v>
      </c>
      <c r="Z16" s="31">
        <v>7</v>
      </c>
      <c r="AA16" s="31">
        <v>0</v>
      </c>
      <c r="AB16" s="31">
        <v>0</v>
      </c>
      <c r="AC16" s="31">
        <v>0</v>
      </c>
      <c r="AD16" s="31">
        <v>0</v>
      </c>
      <c r="AE16" s="31">
        <v>77</v>
      </c>
      <c r="AF16" s="31">
        <v>16</v>
      </c>
      <c r="AG16" s="31">
        <v>1</v>
      </c>
      <c r="AH16" s="31">
        <v>37</v>
      </c>
      <c r="AI16" s="31">
        <v>1</v>
      </c>
      <c r="AJ16" s="31">
        <v>3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442</v>
      </c>
      <c r="E17" s="22">
        <v>303</v>
      </c>
      <c r="F17" s="22">
        <v>135</v>
      </c>
      <c r="G17" s="22">
        <v>4</v>
      </c>
      <c r="H17" s="22">
        <v>140</v>
      </c>
      <c r="I17" s="22">
        <v>99</v>
      </c>
      <c r="J17" s="22">
        <v>5</v>
      </c>
      <c r="K17" s="22">
        <v>1</v>
      </c>
      <c r="L17" s="22">
        <v>0</v>
      </c>
      <c r="M17" s="22">
        <v>4</v>
      </c>
      <c r="N17" s="22">
        <v>4</v>
      </c>
      <c r="O17" s="22">
        <v>0</v>
      </c>
      <c r="P17" s="22">
        <v>11</v>
      </c>
      <c r="Q17" s="22">
        <v>6</v>
      </c>
      <c r="R17" s="22">
        <v>0</v>
      </c>
      <c r="S17" s="22">
        <v>14</v>
      </c>
      <c r="T17" s="22">
        <v>3</v>
      </c>
      <c r="U17" s="22">
        <v>0</v>
      </c>
      <c r="V17" s="22">
        <v>2</v>
      </c>
      <c r="W17" s="22">
        <v>0</v>
      </c>
      <c r="X17" s="22">
        <v>0</v>
      </c>
      <c r="Y17" s="22">
        <v>16</v>
      </c>
      <c r="Z17" s="22">
        <v>7</v>
      </c>
      <c r="AA17" s="22">
        <v>0</v>
      </c>
      <c r="AB17" s="22">
        <v>0</v>
      </c>
      <c r="AC17" s="22">
        <v>0</v>
      </c>
      <c r="AD17" s="22">
        <v>0</v>
      </c>
      <c r="AE17" s="22">
        <v>75</v>
      </c>
      <c r="AF17" s="22">
        <v>14</v>
      </c>
      <c r="AG17" s="22">
        <v>1</v>
      </c>
      <c r="AH17" s="22">
        <v>36</v>
      </c>
      <c r="AI17" s="22">
        <v>1</v>
      </c>
      <c r="AJ17" s="22">
        <v>3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42</v>
      </c>
      <c r="E18" s="22">
        <v>26</v>
      </c>
      <c r="F18" s="22">
        <v>16</v>
      </c>
      <c r="G18" s="22">
        <v>0</v>
      </c>
      <c r="H18" s="22">
        <v>11</v>
      </c>
      <c r="I18" s="22">
        <v>10</v>
      </c>
      <c r="J18" s="22">
        <v>1</v>
      </c>
      <c r="K18" s="22">
        <v>0</v>
      </c>
      <c r="L18" s="22">
        <v>0</v>
      </c>
      <c r="M18" s="22">
        <v>1</v>
      </c>
      <c r="N18" s="22">
        <v>1</v>
      </c>
      <c r="O18" s="22">
        <v>0</v>
      </c>
      <c r="P18" s="22">
        <v>7</v>
      </c>
      <c r="Q18" s="22">
        <v>1</v>
      </c>
      <c r="R18" s="22">
        <v>0</v>
      </c>
      <c r="S18" s="22">
        <v>3</v>
      </c>
      <c r="T18" s="22">
        <v>2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2</v>
      </c>
      <c r="AF18" s="22">
        <v>2</v>
      </c>
      <c r="AG18" s="22">
        <v>0</v>
      </c>
      <c r="AH18" s="22">
        <v>1</v>
      </c>
      <c r="AI18" s="22">
        <v>0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705</v>
      </c>
      <c r="E19" s="31">
        <v>484</v>
      </c>
      <c r="F19" s="31">
        <v>220</v>
      </c>
      <c r="G19" s="31">
        <v>1</v>
      </c>
      <c r="H19" s="31">
        <v>282</v>
      </c>
      <c r="I19" s="31">
        <v>188</v>
      </c>
      <c r="J19" s="31">
        <v>14</v>
      </c>
      <c r="K19" s="31">
        <v>1</v>
      </c>
      <c r="L19" s="31">
        <v>0</v>
      </c>
      <c r="M19" s="31">
        <v>9</v>
      </c>
      <c r="N19" s="31">
        <v>9</v>
      </c>
      <c r="O19" s="31">
        <v>0</v>
      </c>
      <c r="P19" s="31">
        <v>17</v>
      </c>
      <c r="Q19" s="31">
        <v>5</v>
      </c>
      <c r="R19" s="31">
        <v>0</v>
      </c>
      <c r="S19" s="31">
        <v>22</v>
      </c>
      <c r="T19" s="31">
        <v>2</v>
      </c>
      <c r="U19" s="31">
        <v>0</v>
      </c>
      <c r="V19" s="31">
        <v>1</v>
      </c>
      <c r="W19" s="31">
        <v>0</v>
      </c>
      <c r="X19" s="31">
        <v>0</v>
      </c>
      <c r="Y19" s="31">
        <v>19</v>
      </c>
      <c r="Z19" s="31">
        <v>0</v>
      </c>
      <c r="AA19" s="31">
        <v>0</v>
      </c>
      <c r="AB19" s="31">
        <v>0</v>
      </c>
      <c r="AC19" s="31">
        <v>2</v>
      </c>
      <c r="AD19" s="31">
        <v>0</v>
      </c>
      <c r="AE19" s="31">
        <v>95</v>
      </c>
      <c r="AF19" s="31">
        <v>13</v>
      </c>
      <c r="AG19" s="31">
        <v>0</v>
      </c>
      <c r="AH19" s="31">
        <v>25</v>
      </c>
      <c r="AI19" s="31">
        <v>0</v>
      </c>
      <c r="AJ19" s="31">
        <v>1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679</v>
      </c>
      <c r="E20" s="22">
        <v>463</v>
      </c>
      <c r="F20" s="22">
        <v>215</v>
      </c>
      <c r="G20" s="22">
        <v>1</v>
      </c>
      <c r="H20" s="22">
        <v>272</v>
      </c>
      <c r="I20" s="22">
        <v>183</v>
      </c>
      <c r="J20" s="22">
        <v>9</v>
      </c>
      <c r="K20" s="22">
        <v>1</v>
      </c>
      <c r="L20" s="22">
        <v>0</v>
      </c>
      <c r="M20" s="22">
        <v>9</v>
      </c>
      <c r="N20" s="22">
        <v>9</v>
      </c>
      <c r="O20" s="22">
        <v>0</v>
      </c>
      <c r="P20" s="22">
        <v>14</v>
      </c>
      <c r="Q20" s="22">
        <v>5</v>
      </c>
      <c r="R20" s="22">
        <v>0</v>
      </c>
      <c r="S20" s="22">
        <v>22</v>
      </c>
      <c r="T20" s="22">
        <v>2</v>
      </c>
      <c r="U20" s="22">
        <v>0</v>
      </c>
      <c r="V20" s="22">
        <v>1</v>
      </c>
      <c r="W20" s="22">
        <v>0</v>
      </c>
      <c r="X20" s="22">
        <v>0</v>
      </c>
      <c r="Y20" s="22">
        <v>19</v>
      </c>
      <c r="Z20" s="22">
        <v>0</v>
      </c>
      <c r="AA20" s="22">
        <v>0</v>
      </c>
      <c r="AB20" s="22">
        <v>0</v>
      </c>
      <c r="AC20" s="22">
        <v>2</v>
      </c>
      <c r="AD20" s="22">
        <v>0</v>
      </c>
      <c r="AE20" s="22">
        <v>94</v>
      </c>
      <c r="AF20" s="22">
        <v>13</v>
      </c>
      <c r="AG20" s="22">
        <v>0</v>
      </c>
      <c r="AH20" s="22">
        <v>23</v>
      </c>
      <c r="AI20" s="22">
        <v>0</v>
      </c>
      <c r="AJ20" s="22">
        <v>1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26</v>
      </c>
      <c r="E21" s="22">
        <v>21</v>
      </c>
      <c r="F21" s="22">
        <v>5</v>
      </c>
      <c r="G21" s="22">
        <v>0</v>
      </c>
      <c r="H21" s="22">
        <v>10</v>
      </c>
      <c r="I21" s="22">
        <v>5</v>
      </c>
      <c r="J21" s="22">
        <v>5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3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1</v>
      </c>
      <c r="AF21" s="22">
        <v>0</v>
      </c>
      <c r="AG21" s="22">
        <v>0</v>
      </c>
      <c r="AH21" s="22">
        <v>2</v>
      </c>
      <c r="AI21" s="22">
        <v>0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327</v>
      </c>
      <c r="E22" s="31">
        <v>199</v>
      </c>
      <c r="F22" s="31">
        <v>128</v>
      </c>
      <c r="G22" s="31">
        <v>0</v>
      </c>
      <c r="H22" s="31">
        <v>113</v>
      </c>
      <c r="I22" s="31">
        <v>109</v>
      </c>
      <c r="J22" s="31">
        <v>4</v>
      </c>
      <c r="K22" s="31">
        <v>1</v>
      </c>
      <c r="L22" s="31">
        <v>0</v>
      </c>
      <c r="M22" s="31">
        <v>3</v>
      </c>
      <c r="N22" s="31">
        <v>10</v>
      </c>
      <c r="O22" s="31">
        <v>0</v>
      </c>
      <c r="P22" s="31">
        <v>8</v>
      </c>
      <c r="Q22" s="31">
        <v>1</v>
      </c>
      <c r="R22" s="31">
        <v>0</v>
      </c>
      <c r="S22" s="31">
        <v>14</v>
      </c>
      <c r="T22" s="31">
        <v>3</v>
      </c>
      <c r="U22" s="31">
        <v>0</v>
      </c>
      <c r="V22" s="31">
        <v>5</v>
      </c>
      <c r="W22" s="31">
        <v>0</v>
      </c>
      <c r="X22" s="31">
        <v>0</v>
      </c>
      <c r="Y22" s="31">
        <v>4</v>
      </c>
      <c r="Z22" s="31">
        <v>1</v>
      </c>
      <c r="AA22" s="31">
        <v>0</v>
      </c>
      <c r="AB22" s="31">
        <v>0</v>
      </c>
      <c r="AC22" s="31">
        <v>0</v>
      </c>
      <c r="AD22" s="31">
        <v>0</v>
      </c>
      <c r="AE22" s="31">
        <v>44</v>
      </c>
      <c r="AF22" s="31">
        <v>3</v>
      </c>
      <c r="AG22" s="31">
        <v>0</v>
      </c>
      <c r="AH22" s="31">
        <v>4</v>
      </c>
      <c r="AI22" s="31">
        <v>0</v>
      </c>
      <c r="AJ22" s="31">
        <v>0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319</v>
      </c>
      <c r="E23" s="22">
        <v>192</v>
      </c>
      <c r="F23" s="22">
        <v>127</v>
      </c>
      <c r="G23" s="22">
        <v>0</v>
      </c>
      <c r="H23" s="22">
        <v>111</v>
      </c>
      <c r="I23" s="22">
        <v>108</v>
      </c>
      <c r="J23" s="22">
        <v>4</v>
      </c>
      <c r="K23" s="22">
        <v>1</v>
      </c>
      <c r="L23" s="22">
        <v>0</v>
      </c>
      <c r="M23" s="22">
        <v>2</v>
      </c>
      <c r="N23" s="22">
        <v>10</v>
      </c>
      <c r="O23" s="22">
        <v>0</v>
      </c>
      <c r="P23" s="22">
        <v>7</v>
      </c>
      <c r="Q23" s="22">
        <v>1</v>
      </c>
      <c r="R23" s="22">
        <v>0</v>
      </c>
      <c r="S23" s="22">
        <v>14</v>
      </c>
      <c r="T23" s="22">
        <v>3</v>
      </c>
      <c r="U23" s="22">
        <v>0</v>
      </c>
      <c r="V23" s="22">
        <v>5</v>
      </c>
      <c r="W23" s="22">
        <v>0</v>
      </c>
      <c r="X23" s="22">
        <v>0</v>
      </c>
      <c r="Y23" s="22">
        <v>4</v>
      </c>
      <c r="Z23" s="22">
        <v>1</v>
      </c>
      <c r="AA23" s="22">
        <v>0</v>
      </c>
      <c r="AB23" s="22">
        <v>0</v>
      </c>
      <c r="AC23" s="22">
        <v>0</v>
      </c>
      <c r="AD23" s="22">
        <v>0</v>
      </c>
      <c r="AE23" s="22">
        <v>41</v>
      </c>
      <c r="AF23" s="22">
        <v>3</v>
      </c>
      <c r="AG23" s="22">
        <v>0</v>
      </c>
      <c r="AH23" s="22">
        <v>4</v>
      </c>
      <c r="AI23" s="22">
        <v>0</v>
      </c>
      <c r="AJ23" s="22">
        <v>0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8</v>
      </c>
      <c r="E24" s="22">
        <v>7</v>
      </c>
      <c r="F24" s="22">
        <v>1</v>
      </c>
      <c r="G24" s="22">
        <v>0</v>
      </c>
      <c r="H24" s="22">
        <v>2</v>
      </c>
      <c r="I24" s="22">
        <v>1</v>
      </c>
      <c r="J24" s="22">
        <v>0</v>
      </c>
      <c r="K24" s="22">
        <v>0</v>
      </c>
      <c r="L24" s="22">
        <v>0</v>
      </c>
      <c r="M24" s="22">
        <v>1</v>
      </c>
      <c r="N24" s="22">
        <v>0</v>
      </c>
      <c r="O24" s="22">
        <v>0</v>
      </c>
      <c r="P24" s="22">
        <v>1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3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596</v>
      </c>
      <c r="E25" s="31">
        <v>362</v>
      </c>
      <c r="F25" s="31">
        <v>230</v>
      </c>
      <c r="G25" s="31">
        <v>4</v>
      </c>
      <c r="H25" s="31">
        <v>183</v>
      </c>
      <c r="I25" s="31">
        <v>173</v>
      </c>
      <c r="J25" s="31">
        <v>16</v>
      </c>
      <c r="K25" s="31">
        <v>6</v>
      </c>
      <c r="L25" s="31">
        <v>0</v>
      </c>
      <c r="M25" s="31">
        <v>8</v>
      </c>
      <c r="N25" s="31">
        <v>13</v>
      </c>
      <c r="O25" s="31">
        <v>0</v>
      </c>
      <c r="P25" s="31">
        <v>19</v>
      </c>
      <c r="Q25" s="31">
        <v>6</v>
      </c>
      <c r="R25" s="31">
        <v>0</v>
      </c>
      <c r="S25" s="31">
        <v>15</v>
      </c>
      <c r="T25" s="31">
        <v>5</v>
      </c>
      <c r="U25" s="31">
        <v>0</v>
      </c>
      <c r="V25" s="31">
        <v>7</v>
      </c>
      <c r="W25" s="31">
        <v>1</v>
      </c>
      <c r="X25" s="31">
        <v>0</v>
      </c>
      <c r="Y25" s="31">
        <v>9</v>
      </c>
      <c r="Z25" s="31">
        <v>3</v>
      </c>
      <c r="AA25" s="31">
        <v>0</v>
      </c>
      <c r="AB25" s="31">
        <v>0</v>
      </c>
      <c r="AC25" s="31">
        <v>4</v>
      </c>
      <c r="AD25" s="31">
        <v>0</v>
      </c>
      <c r="AE25" s="31">
        <v>81</v>
      </c>
      <c r="AF25" s="31">
        <v>13</v>
      </c>
      <c r="AG25" s="31">
        <v>1</v>
      </c>
      <c r="AH25" s="31">
        <v>24</v>
      </c>
      <c r="AI25" s="31">
        <v>6</v>
      </c>
      <c r="AJ25" s="31">
        <v>3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575</v>
      </c>
      <c r="E26" s="22">
        <v>348</v>
      </c>
      <c r="F26" s="22">
        <v>223</v>
      </c>
      <c r="G26" s="22">
        <v>4</v>
      </c>
      <c r="H26" s="22">
        <v>177</v>
      </c>
      <c r="I26" s="22">
        <v>168</v>
      </c>
      <c r="J26" s="22">
        <v>16</v>
      </c>
      <c r="K26" s="22">
        <v>6</v>
      </c>
      <c r="L26" s="22">
        <v>0</v>
      </c>
      <c r="M26" s="22">
        <v>7</v>
      </c>
      <c r="N26" s="22">
        <v>13</v>
      </c>
      <c r="O26" s="22">
        <v>0</v>
      </c>
      <c r="P26" s="22">
        <v>19</v>
      </c>
      <c r="Q26" s="22">
        <v>6</v>
      </c>
      <c r="R26" s="22">
        <v>0</v>
      </c>
      <c r="S26" s="22">
        <v>15</v>
      </c>
      <c r="T26" s="22">
        <v>4</v>
      </c>
      <c r="U26" s="22">
        <v>0</v>
      </c>
      <c r="V26" s="22">
        <v>4</v>
      </c>
      <c r="W26" s="22">
        <v>1</v>
      </c>
      <c r="X26" s="22">
        <v>0</v>
      </c>
      <c r="Y26" s="22">
        <v>9</v>
      </c>
      <c r="Z26" s="22">
        <v>3</v>
      </c>
      <c r="AA26" s="22">
        <v>0</v>
      </c>
      <c r="AB26" s="22">
        <v>0</v>
      </c>
      <c r="AC26" s="22">
        <v>4</v>
      </c>
      <c r="AD26" s="22">
        <v>0</v>
      </c>
      <c r="AE26" s="22">
        <v>79</v>
      </c>
      <c r="AF26" s="22">
        <v>12</v>
      </c>
      <c r="AG26" s="22">
        <v>1</v>
      </c>
      <c r="AH26" s="22">
        <v>22</v>
      </c>
      <c r="AI26" s="22">
        <v>6</v>
      </c>
      <c r="AJ26" s="22">
        <v>3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21</v>
      </c>
      <c r="E27" s="22">
        <v>14</v>
      </c>
      <c r="F27" s="22">
        <v>7</v>
      </c>
      <c r="G27" s="22">
        <v>0</v>
      </c>
      <c r="H27" s="22">
        <v>6</v>
      </c>
      <c r="I27" s="22">
        <v>5</v>
      </c>
      <c r="J27" s="22">
        <v>0</v>
      </c>
      <c r="K27" s="22">
        <v>0</v>
      </c>
      <c r="L27" s="22">
        <v>0</v>
      </c>
      <c r="M27" s="22">
        <v>1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1</v>
      </c>
      <c r="U27" s="22">
        <v>0</v>
      </c>
      <c r="V27" s="22">
        <v>3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2</v>
      </c>
      <c r="AF27" s="22">
        <v>1</v>
      </c>
      <c r="AG27" s="22">
        <v>0</v>
      </c>
      <c r="AH27" s="22">
        <v>2</v>
      </c>
      <c r="AI27" s="22">
        <v>0</v>
      </c>
      <c r="AJ27" s="22">
        <v>0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94</v>
      </c>
      <c r="E28" s="31">
        <v>71</v>
      </c>
      <c r="F28" s="31">
        <v>23</v>
      </c>
      <c r="G28" s="31">
        <v>0</v>
      </c>
      <c r="H28" s="31">
        <v>28</v>
      </c>
      <c r="I28" s="31">
        <v>14</v>
      </c>
      <c r="J28" s="31">
        <v>2</v>
      </c>
      <c r="K28" s="31">
        <v>1</v>
      </c>
      <c r="L28" s="31">
        <v>0</v>
      </c>
      <c r="M28" s="31">
        <v>3</v>
      </c>
      <c r="N28" s="31">
        <v>4</v>
      </c>
      <c r="O28" s="31">
        <v>0</v>
      </c>
      <c r="P28" s="31">
        <v>6</v>
      </c>
      <c r="Q28" s="31">
        <v>0</v>
      </c>
      <c r="R28" s="31">
        <v>0</v>
      </c>
      <c r="S28" s="31">
        <v>3</v>
      </c>
      <c r="T28" s="31">
        <v>0</v>
      </c>
      <c r="U28" s="31">
        <v>0</v>
      </c>
      <c r="V28" s="31">
        <v>2</v>
      </c>
      <c r="W28" s="31">
        <v>0</v>
      </c>
      <c r="X28" s="31">
        <v>0</v>
      </c>
      <c r="Y28" s="31">
        <v>1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21</v>
      </c>
      <c r="AF28" s="31">
        <v>3</v>
      </c>
      <c r="AG28" s="31">
        <v>0</v>
      </c>
      <c r="AH28" s="31">
        <v>5</v>
      </c>
      <c r="AI28" s="31">
        <v>1</v>
      </c>
      <c r="AJ28" s="31">
        <v>0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91</v>
      </c>
      <c r="E29" s="22">
        <v>70</v>
      </c>
      <c r="F29" s="22">
        <v>21</v>
      </c>
      <c r="G29" s="22">
        <v>0</v>
      </c>
      <c r="H29" s="22">
        <v>28</v>
      </c>
      <c r="I29" s="22">
        <v>13</v>
      </c>
      <c r="J29" s="22">
        <v>2</v>
      </c>
      <c r="K29" s="22">
        <v>1</v>
      </c>
      <c r="L29" s="22">
        <v>0</v>
      </c>
      <c r="M29" s="22">
        <v>3</v>
      </c>
      <c r="N29" s="22">
        <v>4</v>
      </c>
      <c r="O29" s="22">
        <v>0</v>
      </c>
      <c r="P29" s="22">
        <v>5</v>
      </c>
      <c r="Q29" s="22">
        <v>0</v>
      </c>
      <c r="R29" s="22">
        <v>0</v>
      </c>
      <c r="S29" s="22">
        <v>3</v>
      </c>
      <c r="T29" s="22">
        <v>0</v>
      </c>
      <c r="U29" s="22">
        <v>0</v>
      </c>
      <c r="V29" s="22">
        <v>2</v>
      </c>
      <c r="W29" s="22">
        <v>0</v>
      </c>
      <c r="X29" s="22">
        <v>0</v>
      </c>
      <c r="Y29" s="22">
        <v>1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21</v>
      </c>
      <c r="AF29" s="22">
        <v>2</v>
      </c>
      <c r="AG29" s="22">
        <v>0</v>
      </c>
      <c r="AH29" s="22">
        <v>5</v>
      </c>
      <c r="AI29" s="22">
        <v>1</v>
      </c>
      <c r="AJ29" s="22">
        <v>0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3</v>
      </c>
      <c r="E30" s="22">
        <v>1</v>
      </c>
      <c r="F30" s="22">
        <v>2</v>
      </c>
      <c r="G30" s="22">
        <v>0</v>
      </c>
      <c r="H30" s="22">
        <v>0</v>
      </c>
      <c r="I30" s="22">
        <v>1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1</v>
      </c>
      <c r="AG30" s="22">
        <v>0</v>
      </c>
      <c r="AH30" s="22">
        <v>0</v>
      </c>
      <c r="AI30" s="22">
        <v>0</v>
      </c>
      <c r="AJ30" s="22">
        <v>0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177</v>
      </c>
      <c r="E31" s="31">
        <v>120</v>
      </c>
      <c r="F31" s="31">
        <v>55</v>
      </c>
      <c r="G31" s="31">
        <v>2</v>
      </c>
      <c r="H31" s="31">
        <v>53</v>
      </c>
      <c r="I31" s="31">
        <v>39</v>
      </c>
      <c r="J31" s="31">
        <v>4</v>
      </c>
      <c r="K31" s="31">
        <v>0</v>
      </c>
      <c r="L31" s="31">
        <v>0</v>
      </c>
      <c r="M31" s="31">
        <v>6</v>
      </c>
      <c r="N31" s="31">
        <v>4</v>
      </c>
      <c r="O31" s="31">
        <v>0</v>
      </c>
      <c r="P31" s="31">
        <v>8</v>
      </c>
      <c r="Q31" s="31">
        <v>2</v>
      </c>
      <c r="R31" s="31">
        <v>0</v>
      </c>
      <c r="S31" s="31">
        <v>6</v>
      </c>
      <c r="T31" s="31">
        <v>0</v>
      </c>
      <c r="U31" s="31">
        <v>0</v>
      </c>
      <c r="V31" s="31">
        <v>0</v>
      </c>
      <c r="W31" s="31">
        <v>1</v>
      </c>
      <c r="X31" s="31">
        <v>0</v>
      </c>
      <c r="Y31" s="31">
        <v>4</v>
      </c>
      <c r="Z31" s="31">
        <v>2</v>
      </c>
      <c r="AA31" s="31">
        <v>0</v>
      </c>
      <c r="AB31" s="31">
        <v>0</v>
      </c>
      <c r="AC31" s="31">
        <v>1</v>
      </c>
      <c r="AD31" s="31">
        <v>0</v>
      </c>
      <c r="AE31" s="31">
        <v>14</v>
      </c>
      <c r="AF31" s="31">
        <v>1</v>
      </c>
      <c r="AG31" s="31">
        <v>0</v>
      </c>
      <c r="AH31" s="31">
        <v>25</v>
      </c>
      <c r="AI31" s="31">
        <v>5</v>
      </c>
      <c r="AJ31" s="31">
        <v>2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159</v>
      </c>
      <c r="E32" s="22">
        <v>108</v>
      </c>
      <c r="F32" s="22">
        <v>49</v>
      </c>
      <c r="G32" s="22">
        <v>2</v>
      </c>
      <c r="H32" s="22">
        <v>47</v>
      </c>
      <c r="I32" s="22">
        <v>33</v>
      </c>
      <c r="J32" s="22">
        <v>3</v>
      </c>
      <c r="K32" s="22">
        <v>0</v>
      </c>
      <c r="L32" s="22">
        <v>0</v>
      </c>
      <c r="M32" s="22">
        <v>5</v>
      </c>
      <c r="N32" s="22">
        <v>4</v>
      </c>
      <c r="O32" s="22">
        <v>0</v>
      </c>
      <c r="P32" s="22">
        <v>8</v>
      </c>
      <c r="Q32" s="22">
        <v>2</v>
      </c>
      <c r="R32" s="22">
        <v>0</v>
      </c>
      <c r="S32" s="22">
        <v>5</v>
      </c>
      <c r="T32" s="22">
        <v>0</v>
      </c>
      <c r="U32" s="22">
        <v>0</v>
      </c>
      <c r="V32" s="22">
        <v>0</v>
      </c>
      <c r="W32" s="22">
        <v>1</v>
      </c>
      <c r="X32" s="22">
        <v>0</v>
      </c>
      <c r="Y32" s="22">
        <v>4</v>
      </c>
      <c r="Z32" s="22">
        <v>2</v>
      </c>
      <c r="AA32" s="22">
        <v>0</v>
      </c>
      <c r="AB32" s="22">
        <v>0</v>
      </c>
      <c r="AC32" s="22">
        <v>1</v>
      </c>
      <c r="AD32" s="22">
        <v>0</v>
      </c>
      <c r="AE32" s="22">
        <v>13</v>
      </c>
      <c r="AF32" s="22">
        <v>1</v>
      </c>
      <c r="AG32" s="22">
        <v>0</v>
      </c>
      <c r="AH32" s="22">
        <v>23</v>
      </c>
      <c r="AI32" s="22">
        <v>5</v>
      </c>
      <c r="AJ32" s="22">
        <v>2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18</v>
      </c>
      <c r="E33" s="22">
        <v>12</v>
      </c>
      <c r="F33" s="22">
        <v>6</v>
      </c>
      <c r="G33" s="22">
        <v>0</v>
      </c>
      <c r="H33" s="22">
        <v>6</v>
      </c>
      <c r="I33" s="22">
        <v>6</v>
      </c>
      <c r="J33" s="22">
        <v>1</v>
      </c>
      <c r="K33" s="22">
        <v>0</v>
      </c>
      <c r="L33" s="22">
        <v>0</v>
      </c>
      <c r="M33" s="22">
        <v>1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1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1</v>
      </c>
      <c r="AF33" s="22">
        <v>0</v>
      </c>
      <c r="AG33" s="22">
        <v>0</v>
      </c>
      <c r="AH33" s="22">
        <v>2</v>
      </c>
      <c r="AI33" s="22">
        <v>0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78</v>
      </c>
      <c r="E34" s="31">
        <v>58</v>
      </c>
      <c r="F34" s="31">
        <v>20</v>
      </c>
      <c r="G34" s="31">
        <v>0</v>
      </c>
      <c r="H34" s="31">
        <v>16</v>
      </c>
      <c r="I34" s="31">
        <v>17</v>
      </c>
      <c r="J34" s="31">
        <v>3</v>
      </c>
      <c r="K34" s="31">
        <v>0</v>
      </c>
      <c r="L34" s="31">
        <v>0</v>
      </c>
      <c r="M34" s="31">
        <v>2</v>
      </c>
      <c r="N34" s="31">
        <v>3</v>
      </c>
      <c r="O34" s="31">
        <v>0</v>
      </c>
      <c r="P34" s="31">
        <v>1</v>
      </c>
      <c r="Q34" s="31">
        <v>0</v>
      </c>
      <c r="R34" s="31">
        <v>0</v>
      </c>
      <c r="S34" s="31">
        <v>2</v>
      </c>
      <c r="T34" s="31">
        <v>0</v>
      </c>
      <c r="U34" s="31">
        <v>0</v>
      </c>
      <c r="V34" s="31">
        <v>1</v>
      </c>
      <c r="W34" s="31">
        <v>0</v>
      </c>
      <c r="X34" s="31">
        <v>0</v>
      </c>
      <c r="Y34" s="31">
        <v>4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28</v>
      </c>
      <c r="AF34" s="31">
        <v>0</v>
      </c>
      <c r="AG34" s="31">
        <v>0</v>
      </c>
      <c r="AH34" s="31">
        <v>1</v>
      </c>
      <c r="AI34" s="31">
        <v>0</v>
      </c>
      <c r="AJ34" s="31">
        <v>0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74</v>
      </c>
      <c r="E35" s="22">
        <v>55</v>
      </c>
      <c r="F35" s="22">
        <v>19</v>
      </c>
      <c r="G35" s="22">
        <v>0</v>
      </c>
      <c r="H35" s="22">
        <v>15</v>
      </c>
      <c r="I35" s="22">
        <v>16</v>
      </c>
      <c r="J35" s="22">
        <v>3</v>
      </c>
      <c r="K35" s="22">
        <v>0</v>
      </c>
      <c r="L35" s="22">
        <v>0</v>
      </c>
      <c r="M35" s="22">
        <v>2</v>
      </c>
      <c r="N35" s="22">
        <v>3</v>
      </c>
      <c r="O35" s="22">
        <v>0</v>
      </c>
      <c r="P35" s="22">
        <v>1</v>
      </c>
      <c r="Q35" s="22">
        <v>0</v>
      </c>
      <c r="R35" s="22">
        <v>0</v>
      </c>
      <c r="S35" s="22">
        <v>2</v>
      </c>
      <c r="T35" s="22">
        <v>0</v>
      </c>
      <c r="U35" s="22">
        <v>0</v>
      </c>
      <c r="V35" s="22">
        <v>1</v>
      </c>
      <c r="W35" s="22">
        <v>0</v>
      </c>
      <c r="X35" s="22">
        <v>0</v>
      </c>
      <c r="Y35" s="22">
        <v>4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26</v>
      </c>
      <c r="AF35" s="22">
        <v>0</v>
      </c>
      <c r="AG35" s="22">
        <v>0</v>
      </c>
      <c r="AH35" s="22">
        <v>1</v>
      </c>
      <c r="AI35" s="22">
        <v>0</v>
      </c>
      <c r="AJ35" s="22">
        <v>0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4</v>
      </c>
      <c r="E36" s="22">
        <v>3</v>
      </c>
      <c r="F36" s="22">
        <v>1</v>
      </c>
      <c r="G36" s="22">
        <v>0</v>
      </c>
      <c r="H36" s="22">
        <v>1</v>
      </c>
      <c r="I36" s="22">
        <v>1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2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299</v>
      </c>
      <c r="E37" s="31">
        <v>223</v>
      </c>
      <c r="F37" s="31">
        <v>73</v>
      </c>
      <c r="G37" s="31">
        <v>3</v>
      </c>
      <c r="H37" s="31">
        <v>94</v>
      </c>
      <c r="I37" s="31">
        <v>55</v>
      </c>
      <c r="J37" s="31">
        <v>11</v>
      </c>
      <c r="K37" s="31">
        <v>1</v>
      </c>
      <c r="L37" s="31">
        <v>0</v>
      </c>
      <c r="M37" s="31">
        <v>5</v>
      </c>
      <c r="N37" s="31">
        <v>5</v>
      </c>
      <c r="O37" s="31">
        <v>0</v>
      </c>
      <c r="P37" s="31">
        <v>12</v>
      </c>
      <c r="Q37" s="31">
        <v>2</v>
      </c>
      <c r="R37" s="31">
        <v>0</v>
      </c>
      <c r="S37" s="31">
        <v>6</v>
      </c>
      <c r="T37" s="31">
        <v>1</v>
      </c>
      <c r="U37" s="31">
        <v>0</v>
      </c>
      <c r="V37" s="31">
        <v>2</v>
      </c>
      <c r="W37" s="31">
        <v>0</v>
      </c>
      <c r="X37" s="31">
        <v>0</v>
      </c>
      <c r="Y37" s="31">
        <v>5</v>
      </c>
      <c r="Z37" s="31">
        <v>2</v>
      </c>
      <c r="AA37" s="31">
        <v>0</v>
      </c>
      <c r="AB37" s="31">
        <v>0</v>
      </c>
      <c r="AC37" s="31">
        <v>0</v>
      </c>
      <c r="AD37" s="31">
        <v>0</v>
      </c>
      <c r="AE37" s="31">
        <v>75</v>
      </c>
      <c r="AF37" s="31">
        <v>4</v>
      </c>
      <c r="AG37" s="31">
        <v>0</v>
      </c>
      <c r="AH37" s="31">
        <v>13</v>
      </c>
      <c r="AI37" s="31">
        <v>3</v>
      </c>
      <c r="AJ37" s="31">
        <v>3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293</v>
      </c>
      <c r="E38" s="22">
        <v>219</v>
      </c>
      <c r="F38" s="22">
        <v>71</v>
      </c>
      <c r="G38" s="22">
        <v>3</v>
      </c>
      <c r="H38" s="22">
        <v>91</v>
      </c>
      <c r="I38" s="22">
        <v>53</v>
      </c>
      <c r="J38" s="22">
        <v>10</v>
      </c>
      <c r="K38" s="22">
        <v>1</v>
      </c>
      <c r="L38" s="22">
        <v>0</v>
      </c>
      <c r="M38" s="22">
        <v>5</v>
      </c>
      <c r="N38" s="22">
        <v>5</v>
      </c>
      <c r="O38" s="22">
        <v>0</v>
      </c>
      <c r="P38" s="22">
        <v>12</v>
      </c>
      <c r="Q38" s="22">
        <v>2</v>
      </c>
      <c r="R38" s="22">
        <v>0</v>
      </c>
      <c r="S38" s="22">
        <v>6</v>
      </c>
      <c r="T38" s="22">
        <v>1</v>
      </c>
      <c r="U38" s="22">
        <v>0</v>
      </c>
      <c r="V38" s="22">
        <v>2</v>
      </c>
      <c r="W38" s="22">
        <v>0</v>
      </c>
      <c r="X38" s="22">
        <v>0</v>
      </c>
      <c r="Y38" s="22">
        <v>5</v>
      </c>
      <c r="Z38" s="22">
        <v>2</v>
      </c>
      <c r="AA38" s="22">
        <v>0</v>
      </c>
      <c r="AB38" s="22">
        <v>0</v>
      </c>
      <c r="AC38" s="22">
        <v>0</v>
      </c>
      <c r="AD38" s="22">
        <v>0</v>
      </c>
      <c r="AE38" s="22">
        <v>75</v>
      </c>
      <c r="AF38" s="22">
        <v>4</v>
      </c>
      <c r="AG38" s="22">
        <v>0</v>
      </c>
      <c r="AH38" s="22">
        <v>13</v>
      </c>
      <c r="AI38" s="22">
        <v>3</v>
      </c>
      <c r="AJ38" s="22">
        <v>3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6</v>
      </c>
      <c r="E39" s="22">
        <v>4</v>
      </c>
      <c r="F39" s="22">
        <v>2</v>
      </c>
      <c r="G39" s="22">
        <v>0</v>
      </c>
      <c r="H39" s="22">
        <v>3</v>
      </c>
      <c r="I39" s="22">
        <v>2</v>
      </c>
      <c r="J39" s="22">
        <v>1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112</v>
      </c>
      <c r="E40" s="31">
        <v>81</v>
      </c>
      <c r="F40" s="31">
        <v>31</v>
      </c>
      <c r="G40" s="31">
        <v>0</v>
      </c>
      <c r="H40" s="31">
        <v>33</v>
      </c>
      <c r="I40" s="31">
        <v>26</v>
      </c>
      <c r="J40" s="31">
        <v>2</v>
      </c>
      <c r="K40" s="31">
        <v>0</v>
      </c>
      <c r="L40" s="31">
        <v>0</v>
      </c>
      <c r="M40" s="31">
        <v>1</v>
      </c>
      <c r="N40" s="31">
        <v>2</v>
      </c>
      <c r="O40" s="31">
        <v>0</v>
      </c>
      <c r="P40" s="31">
        <v>1</v>
      </c>
      <c r="Q40" s="31">
        <v>1</v>
      </c>
      <c r="R40" s="31">
        <v>0</v>
      </c>
      <c r="S40" s="31">
        <v>4</v>
      </c>
      <c r="T40" s="31">
        <v>2</v>
      </c>
      <c r="U40" s="31">
        <v>0</v>
      </c>
      <c r="V40" s="31">
        <v>1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11</v>
      </c>
      <c r="AF40" s="31">
        <v>0</v>
      </c>
      <c r="AG40" s="31">
        <v>0</v>
      </c>
      <c r="AH40" s="31">
        <v>28</v>
      </c>
      <c r="AI40" s="31">
        <v>0</v>
      </c>
      <c r="AJ40" s="31">
        <v>0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96</v>
      </c>
      <c r="E41" s="22">
        <v>70</v>
      </c>
      <c r="F41" s="22">
        <v>26</v>
      </c>
      <c r="G41" s="22">
        <v>0</v>
      </c>
      <c r="H41" s="22">
        <v>30</v>
      </c>
      <c r="I41" s="22">
        <v>21</v>
      </c>
      <c r="J41" s="22">
        <v>2</v>
      </c>
      <c r="K41" s="22">
        <v>0</v>
      </c>
      <c r="L41" s="22">
        <v>0</v>
      </c>
      <c r="M41" s="22">
        <v>1</v>
      </c>
      <c r="N41" s="22">
        <v>2</v>
      </c>
      <c r="O41" s="22">
        <v>0</v>
      </c>
      <c r="P41" s="22">
        <v>1</v>
      </c>
      <c r="Q41" s="22">
        <v>1</v>
      </c>
      <c r="R41" s="22">
        <v>0</v>
      </c>
      <c r="S41" s="22">
        <v>4</v>
      </c>
      <c r="T41" s="22">
        <v>2</v>
      </c>
      <c r="U41" s="22">
        <v>0</v>
      </c>
      <c r="V41" s="22">
        <v>1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9</v>
      </c>
      <c r="AF41" s="22">
        <v>0</v>
      </c>
      <c r="AG41" s="22">
        <v>0</v>
      </c>
      <c r="AH41" s="22">
        <v>22</v>
      </c>
      <c r="AI41" s="22">
        <v>0</v>
      </c>
      <c r="AJ41" s="22">
        <v>0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16</v>
      </c>
      <c r="E42" s="22">
        <v>11</v>
      </c>
      <c r="F42" s="22">
        <v>5</v>
      </c>
      <c r="G42" s="22">
        <v>0</v>
      </c>
      <c r="H42" s="22">
        <v>3</v>
      </c>
      <c r="I42" s="22">
        <v>5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2</v>
      </c>
      <c r="AF42" s="22">
        <v>0</v>
      </c>
      <c r="AG42" s="22">
        <v>0</v>
      </c>
      <c r="AH42" s="22">
        <v>6</v>
      </c>
      <c r="AI42" s="22">
        <v>0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168</v>
      </c>
      <c r="E43" s="31">
        <v>132</v>
      </c>
      <c r="F43" s="31">
        <v>36</v>
      </c>
      <c r="G43" s="31">
        <v>0</v>
      </c>
      <c r="H43" s="31">
        <v>60</v>
      </c>
      <c r="I43" s="31">
        <v>22</v>
      </c>
      <c r="J43" s="31">
        <v>0</v>
      </c>
      <c r="K43" s="31">
        <v>1</v>
      </c>
      <c r="L43" s="31">
        <v>0</v>
      </c>
      <c r="M43" s="31">
        <v>1</v>
      </c>
      <c r="N43" s="31">
        <v>1</v>
      </c>
      <c r="O43" s="31">
        <v>0</v>
      </c>
      <c r="P43" s="31">
        <v>6</v>
      </c>
      <c r="Q43" s="31">
        <v>1</v>
      </c>
      <c r="R43" s="31">
        <v>0</v>
      </c>
      <c r="S43" s="31">
        <v>3</v>
      </c>
      <c r="T43" s="31">
        <v>1</v>
      </c>
      <c r="U43" s="31">
        <v>0</v>
      </c>
      <c r="V43" s="31">
        <v>0</v>
      </c>
      <c r="W43" s="31">
        <v>0</v>
      </c>
      <c r="X43" s="31">
        <v>0</v>
      </c>
      <c r="Y43" s="31">
        <v>11</v>
      </c>
      <c r="Z43" s="31">
        <v>2</v>
      </c>
      <c r="AA43" s="31">
        <v>0</v>
      </c>
      <c r="AB43" s="31">
        <v>0</v>
      </c>
      <c r="AC43" s="31">
        <v>0</v>
      </c>
      <c r="AD43" s="31">
        <v>0</v>
      </c>
      <c r="AE43" s="31">
        <v>43</v>
      </c>
      <c r="AF43" s="31">
        <v>7</v>
      </c>
      <c r="AG43" s="31">
        <v>0</v>
      </c>
      <c r="AH43" s="31">
        <v>8</v>
      </c>
      <c r="AI43" s="31">
        <v>1</v>
      </c>
      <c r="AJ43" s="31">
        <v>0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168</v>
      </c>
      <c r="E44" s="22">
        <v>132</v>
      </c>
      <c r="F44" s="22">
        <v>36</v>
      </c>
      <c r="G44" s="22">
        <v>0</v>
      </c>
      <c r="H44" s="22">
        <v>60</v>
      </c>
      <c r="I44" s="22">
        <v>22</v>
      </c>
      <c r="J44" s="22">
        <v>0</v>
      </c>
      <c r="K44" s="22">
        <v>1</v>
      </c>
      <c r="L44" s="22">
        <v>0</v>
      </c>
      <c r="M44" s="22">
        <v>1</v>
      </c>
      <c r="N44" s="22">
        <v>1</v>
      </c>
      <c r="O44" s="22">
        <v>0</v>
      </c>
      <c r="P44" s="22">
        <v>6</v>
      </c>
      <c r="Q44" s="22">
        <v>1</v>
      </c>
      <c r="R44" s="22">
        <v>0</v>
      </c>
      <c r="S44" s="22">
        <v>3</v>
      </c>
      <c r="T44" s="22">
        <v>1</v>
      </c>
      <c r="U44" s="22">
        <v>0</v>
      </c>
      <c r="V44" s="22">
        <v>0</v>
      </c>
      <c r="W44" s="22">
        <v>0</v>
      </c>
      <c r="X44" s="22">
        <v>0</v>
      </c>
      <c r="Y44" s="22">
        <v>11</v>
      </c>
      <c r="Z44" s="22">
        <v>2</v>
      </c>
      <c r="AA44" s="22">
        <v>0</v>
      </c>
      <c r="AB44" s="22">
        <v>0</v>
      </c>
      <c r="AC44" s="22">
        <v>0</v>
      </c>
      <c r="AD44" s="22">
        <v>0</v>
      </c>
      <c r="AE44" s="22">
        <v>43</v>
      </c>
      <c r="AF44" s="22">
        <v>7</v>
      </c>
      <c r="AG44" s="22">
        <v>0</v>
      </c>
      <c r="AH44" s="22">
        <v>8</v>
      </c>
      <c r="AI44" s="22">
        <v>1</v>
      </c>
      <c r="AJ44" s="22">
        <v>0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117</v>
      </c>
      <c r="E46" s="31">
        <v>70</v>
      </c>
      <c r="F46" s="31">
        <v>47</v>
      </c>
      <c r="G46" s="31">
        <v>0</v>
      </c>
      <c r="H46" s="31">
        <v>41</v>
      </c>
      <c r="I46" s="31">
        <v>28</v>
      </c>
      <c r="J46" s="31">
        <v>3</v>
      </c>
      <c r="K46" s="31">
        <v>1</v>
      </c>
      <c r="L46" s="31">
        <v>0</v>
      </c>
      <c r="M46" s="31">
        <v>2</v>
      </c>
      <c r="N46" s="31">
        <v>4</v>
      </c>
      <c r="O46" s="31">
        <v>0</v>
      </c>
      <c r="P46" s="31">
        <v>2</v>
      </c>
      <c r="Q46" s="31">
        <v>2</v>
      </c>
      <c r="R46" s="31">
        <v>0</v>
      </c>
      <c r="S46" s="31">
        <v>7</v>
      </c>
      <c r="T46" s="31">
        <v>4</v>
      </c>
      <c r="U46" s="31">
        <v>0</v>
      </c>
      <c r="V46" s="31">
        <v>0</v>
      </c>
      <c r="W46" s="31">
        <v>0</v>
      </c>
      <c r="X46" s="31">
        <v>0</v>
      </c>
      <c r="Y46" s="31">
        <v>2</v>
      </c>
      <c r="Z46" s="31">
        <v>3</v>
      </c>
      <c r="AA46" s="31">
        <v>0</v>
      </c>
      <c r="AB46" s="31">
        <v>0</v>
      </c>
      <c r="AC46" s="31">
        <v>0</v>
      </c>
      <c r="AD46" s="31">
        <v>0</v>
      </c>
      <c r="AE46" s="31">
        <v>13</v>
      </c>
      <c r="AF46" s="31">
        <v>5</v>
      </c>
      <c r="AG46" s="31">
        <v>0</v>
      </c>
      <c r="AH46" s="31">
        <v>0</v>
      </c>
      <c r="AI46" s="31">
        <v>0</v>
      </c>
      <c r="AJ46" s="31">
        <v>0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115</v>
      </c>
      <c r="E47" s="22">
        <v>69</v>
      </c>
      <c r="F47" s="22">
        <v>46</v>
      </c>
      <c r="G47" s="22">
        <v>0</v>
      </c>
      <c r="H47" s="22">
        <v>40</v>
      </c>
      <c r="I47" s="22">
        <v>27</v>
      </c>
      <c r="J47" s="22">
        <v>3</v>
      </c>
      <c r="K47" s="22">
        <v>1</v>
      </c>
      <c r="L47" s="22">
        <v>0</v>
      </c>
      <c r="M47" s="22">
        <v>2</v>
      </c>
      <c r="N47" s="22">
        <v>4</v>
      </c>
      <c r="O47" s="22">
        <v>0</v>
      </c>
      <c r="P47" s="22">
        <v>2</v>
      </c>
      <c r="Q47" s="22">
        <v>2</v>
      </c>
      <c r="R47" s="22">
        <v>0</v>
      </c>
      <c r="S47" s="22">
        <v>7</v>
      </c>
      <c r="T47" s="22">
        <v>4</v>
      </c>
      <c r="U47" s="22">
        <v>0</v>
      </c>
      <c r="V47" s="22">
        <v>0</v>
      </c>
      <c r="W47" s="22">
        <v>0</v>
      </c>
      <c r="X47" s="22">
        <v>0</v>
      </c>
      <c r="Y47" s="22">
        <v>2</v>
      </c>
      <c r="Z47" s="22">
        <v>3</v>
      </c>
      <c r="AA47" s="22">
        <v>0</v>
      </c>
      <c r="AB47" s="22">
        <v>0</v>
      </c>
      <c r="AC47" s="22">
        <v>0</v>
      </c>
      <c r="AD47" s="22">
        <v>0</v>
      </c>
      <c r="AE47" s="22">
        <v>13</v>
      </c>
      <c r="AF47" s="22">
        <v>5</v>
      </c>
      <c r="AG47" s="22">
        <v>0</v>
      </c>
      <c r="AH47" s="22">
        <v>0</v>
      </c>
      <c r="AI47" s="22">
        <v>0</v>
      </c>
      <c r="AJ47" s="22">
        <v>0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2</v>
      </c>
      <c r="E48" s="22">
        <v>1</v>
      </c>
      <c r="F48" s="22">
        <v>1</v>
      </c>
      <c r="G48" s="22">
        <v>0</v>
      </c>
      <c r="H48" s="22">
        <v>1</v>
      </c>
      <c r="I48" s="22">
        <v>1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209</v>
      </c>
      <c r="E49" s="31">
        <v>154</v>
      </c>
      <c r="F49" s="31">
        <v>55</v>
      </c>
      <c r="G49" s="31">
        <v>0</v>
      </c>
      <c r="H49" s="31">
        <v>71</v>
      </c>
      <c r="I49" s="31">
        <v>42</v>
      </c>
      <c r="J49" s="31">
        <v>9</v>
      </c>
      <c r="K49" s="31">
        <v>3</v>
      </c>
      <c r="L49" s="31">
        <v>0</v>
      </c>
      <c r="M49" s="31">
        <v>2</v>
      </c>
      <c r="N49" s="31">
        <v>3</v>
      </c>
      <c r="O49" s="31">
        <v>0</v>
      </c>
      <c r="P49" s="31">
        <v>7</v>
      </c>
      <c r="Q49" s="31">
        <v>2</v>
      </c>
      <c r="R49" s="31">
        <v>0</v>
      </c>
      <c r="S49" s="31">
        <v>5</v>
      </c>
      <c r="T49" s="31">
        <v>3</v>
      </c>
      <c r="U49" s="31">
        <v>0</v>
      </c>
      <c r="V49" s="31">
        <v>3</v>
      </c>
      <c r="W49" s="31">
        <v>0</v>
      </c>
      <c r="X49" s="31">
        <v>0</v>
      </c>
      <c r="Y49" s="31">
        <v>1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35</v>
      </c>
      <c r="AF49" s="31">
        <v>1</v>
      </c>
      <c r="AG49" s="31">
        <v>0</v>
      </c>
      <c r="AH49" s="31">
        <v>21</v>
      </c>
      <c r="AI49" s="31">
        <v>1</v>
      </c>
      <c r="AJ49" s="31">
        <v>0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182</v>
      </c>
      <c r="E50" s="22">
        <v>131</v>
      </c>
      <c r="F50" s="22">
        <v>51</v>
      </c>
      <c r="G50" s="22">
        <v>0</v>
      </c>
      <c r="H50" s="22">
        <v>57</v>
      </c>
      <c r="I50" s="22">
        <v>39</v>
      </c>
      <c r="J50" s="22">
        <v>9</v>
      </c>
      <c r="K50" s="22">
        <v>3</v>
      </c>
      <c r="L50" s="22">
        <v>0</v>
      </c>
      <c r="M50" s="22">
        <v>2</v>
      </c>
      <c r="N50" s="22">
        <v>3</v>
      </c>
      <c r="O50" s="22">
        <v>0</v>
      </c>
      <c r="P50" s="22">
        <v>5</v>
      </c>
      <c r="Q50" s="22">
        <v>2</v>
      </c>
      <c r="R50" s="22">
        <v>0</v>
      </c>
      <c r="S50" s="22">
        <v>3</v>
      </c>
      <c r="T50" s="22">
        <v>2</v>
      </c>
      <c r="U50" s="22">
        <v>0</v>
      </c>
      <c r="V50" s="22">
        <v>3</v>
      </c>
      <c r="W50" s="22">
        <v>0</v>
      </c>
      <c r="X50" s="22">
        <v>0</v>
      </c>
      <c r="Y50" s="22">
        <v>1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32</v>
      </c>
      <c r="AF50" s="22">
        <v>1</v>
      </c>
      <c r="AG50" s="22">
        <v>0</v>
      </c>
      <c r="AH50" s="22">
        <v>19</v>
      </c>
      <c r="AI50" s="22">
        <v>1</v>
      </c>
      <c r="AJ50" s="22">
        <v>0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27</v>
      </c>
      <c r="E51" s="22">
        <v>23</v>
      </c>
      <c r="F51" s="22">
        <v>4</v>
      </c>
      <c r="G51" s="22">
        <v>0</v>
      </c>
      <c r="H51" s="22">
        <v>14</v>
      </c>
      <c r="I51" s="22">
        <v>3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2</v>
      </c>
      <c r="Q51" s="22">
        <v>0</v>
      </c>
      <c r="R51" s="22">
        <v>0</v>
      </c>
      <c r="S51" s="22">
        <v>2</v>
      </c>
      <c r="T51" s="22">
        <v>1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3</v>
      </c>
      <c r="AF51" s="22">
        <v>0</v>
      </c>
      <c r="AG51" s="22">
        <v>0</v>
      </c>
      <c r="AH51" s="22">
        <v>2</v>
      </c>
      <c r="AI51" s="22">
        <v>0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63</v>
      </c>
      <c r="E52" s="31">
        <v>43</v>
      </c>
      <c r="F52" s="31">
        <v>19</v>
      </c>
      <c r="G52" s="31">
        <v>1</v>
      </c>
      <c r="H52" s="31">
        <v>15</v>
      </c>
      <c r="I52" s="31">
        <v>9</v>
      </c>
      <c r="J52" s="31">
        <v>1</v>
      </c>
      <c r="K52" s="31">
        <v>2</v>
      </c>
      <c r="L52" s="31">
        <v>0</v>
      </c>
      <c r="M52" s="31">
        <v>0</v>
      </c>
      <c r="N52" s="31">
        <v>1</v>
      </c>
      <c r="O52" s="31">
        <v>0</v>
      </c>
      <c r="P52" s="31">
        <v>3</v>
      </c>
      <c r="Q52" s="31">
        <v>1</v>
      </c>
      <c r="R52" s="31">
        <v>0</v>
      </c>
      <c r="S52" s="31">
        <v>1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1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9</v>
      </c>
      <c r="AF52" s="31">
        <v>1</v>
      </c>
      <c r="AG52" s="31">
        <v>0</v>
      </c>
      <c r="AH52" s="31">
        <v>12</v>
      </c>
      <c r="AI52" s="31">
        <v>5</v>
      </c>
      <c r="AJ52" s="31">
        <v>1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38</v>
      </c>
      <c r="E53" s="22">
        <v>31</v>
      </c>
      <c r="F53" s="22">
        <v>7</v>
      </c>
      <c r="G53" s="22">
        <v>0</v>
      </c>
      <c r="H53" s="22">
        <v>12</v>
      </c>
      <c r="I53" s="22">
        <v>5</v>
      </c>
      <c r="J53" s="22">
        <v>1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3</v>
      </c>
      <c r="Q53" s="22">
        <v>1</v>
      </c>
      <c r="R53" s="22">
        <v>0</v>
      </c>
      <c r="S53" s="22">
        <v>1</v>
      </c>
      <c r="T53" s="22">
        <v>0</v>
      </c>
      <c r="U53" s="22">
        <v>0</v>
      </c>
      <c r="V53" s="22">
        <v>1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6</v>
      </c>
      <c r="AF53" s="22">
        <v>1</v>
      </c>
      <c r="AG53" s="22">
        <v>0</v>
      </c>
      <c r="AH53" s="22">
        <v>7</v>
      </c>
      <c r="AI53" s="22">
        <v>0</v>
      </c>
      <c r="AJ53" s="22">
        <v>0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25</v>
      </c>
      <c r="E54" s="22">
        <v>12</v>
      </c>
      <c r="F54" s="22">
        <v>12</v>
      </c>
      <c r="G54" s="22">
        <v>1</v>
      </c>
      <c r="H54" s="22">
        <v>3</v>
      </c>
      <c r="I54" s="22">
        <v>4</v>
      </c>
      <c r="J54" s="22">
        <v>0</v>
      </c>
      <c r="K54" s="22">
        <v>2</v>
      </c>
      <c r="L54" s="22">
        <v>0</v>
      </c>
      <c r="M54" s="22">
        <v>0</v>
      </c>
      <c r="N54" s="22">
        <v>1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1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3</v>
      </c>
      <c r="AF54" s="22">
        <v>0</v>
      </c>
      <c r="AG54" s="22">
        <v>0</v>
      </c>
      <c r="AH54" s="22">
        <v>5</v>
      </c>
      <c r="AI54" s="22">
        <v>5</v>
      </c>
      <c r="AJ54" s="22">
        <v>1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165</v>
      </c>
      <c r="E55" s="31">
        <v>121</v>
      </c>
      <c r="F55" s="31">
        <v>44</v>
      </c>
      <c r="G55" s="31">
        <v>0</v>
      </c>
      <c r="H55" s="31">
        <v>46</v>
      </c>
      <c r="I55" s="31">
        <v>36</v>
      </c>
      <c r="J55" s="31">
        <v>1</v>
      </c>
      <c r="K55" s="31">
        <v>0</v>
      </c>
      <c r="L55" s="31">
        <v>0</v>
      </c>
      <c r="M55" s="31">
        <v>3</v>
      </c>
      <c r="N55" s="31">
        <v>1</v>
      </c>
      <c r="O55" s="31">
        <v>0</v>
      </c>
      <c r="P55" s="31">
        <v>13</v>
      </c>
      <c r="Q55" s="31">
        <v>1</v>
      </c>
      <c r="R55" s="31">
        <v>0</v>
      </c>
      <c r="S55" s="31">
        <v>7</v>
      </c>
      <c r="T55" s="31">
        <v>1</v>
      </c>
      <c r="U55" s="31">
        <v>0</v>
      </c>
      <c r="V55" s="31">
        <v>0</v>
      </c>
      <c r="W55" s="31">
        <v>0</v>
      </c>
      <c r="X55" s="31">
        <v>0</v>
      </c>
      <c r="Y55" s="31">
        <v>5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46</v>
      </c>
      <c r="AF55" s="31">
        <v>5</v>
      </c>
      <c r="AG55" s="31">
        <v>0</v>
      </c>
      <c r="AH55" s="31">
        <v>0</v>
      </c>
      <c r="AI55" s="31">
        <v>0</v>
      </c>
      <c r="AJ55" s="31">
        <v>0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102</v>
      </c>
      <c r="E56" s="22">
        <v>75</v>
      </c>
      <c r="F56" s="22">
        <v>27</v>
      </c>
      <c r="G56" s="22">
        <v>0</v>
      </c>
      <c r="H56" s="22">
        <v>26</v>
      </c>
      <c r="I56" s="22">
        <v>20</v>
      </c>
      <c r="J56" s="22">
        <v>1</v>
      </c>
      <c r="K56" s="22">
        <v>0</v>
      </c>
      <c r="L56" s="22">
        <v>0</v>
      </c>
      <c r="M56" s="22">
        <v>2</v>
      </c>
      <c r="N56" s="22">
        <v>1</v>
      </c>
      <c r="O56" s="22">
        <v>0</v>
      </c>
      <c r="P56" s="22">
        <v>4</v>
      </c>
      <c r="Q56" s="22">
        <v>0</v>
      </c>
      <c r="R56" s="22">
        <v>0</v>
      </c>
      <c r="S56" s="22">
        <v>4</v>
      </c>
      <c r="T56" s="22">
        <v>1</v>
      </c>
      <c r="U56" s="22">
        <v>0</v>
      </c>
      <c r="V56" s="22">
        <v>0</v>
      </c>
      <c r="W56" s="22">
        <v>0</v>
      </c>
      <c r="X56" s="22">
        <v>0</v>
      </c>
      <c r="Y56" s="22">
        <v>2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36</v>
      </c>
      <c r="AF56" s="22">
        <v>5</v>
      </c>
      <c r="AG56" s="22">
        <v>0</v>
      </c>
      <c r="AH56" s="22">
        <v>0</v>
      </c>
      <c r="AI56" s="22">
        <v>0</v>
      </c>
      <c r="AJ56" s="22">
        <v>0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63</v>
      </c>
      <c r="E57" s="22">
        <v>46</v>
      </c>
      <c r="F57" s="22">
        <v>17</v>
      </c>
      <c r="G57" s="22">
        <v>0</v>
      </c>
      <c r="H57" s="22">
        <v>20</v>
      </c>
      <c r="I57" s="22">
        <v>16</v>
      </c>
      <c r="J57" s="22">
        <v>0</v>
      </c>
      <c r="K57" s="22">
        <v>0</v>
      </c>
      <c r="L57" s="22">
        <v>0</v>
      </c>
      <c r="M57" s="22">
        <v>1</v>
      </c>
      <c r="N57" s="22">
        <v>0</v>
      </c>
      <c r="O57" s="22">
        <v>0</v>
      </c>
      <c r="P57" s="22">
        <v>9</v>
      </c>
      <c r="Q57" s="22">
        <v>1</v>
      </c>
      <c r="R57" s="22">
        <v>0</v>
      </c>
      <c r="S57" s="22">
        <v>3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3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10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25</v>
      </c>
      <c r="E58" s="31">
        <v>23</v>
      </c>
      <c r="F58" s="31">
        <v>1</v>
      </c>
      <c r="G58" s="31">
        <v>1</v>
      </c>
      <c r="H58" s="31">
        <v>5</v>
      </c>
      <c r="I58" s="31">
        <v>0</v>
      </c>
      <c r="J58" s="31">
        <v>3</v>
      </c>
      <c r="K58" s="31">
        <v>0</v>
      </c>
      <c r="L58" s="31">
        <v>0</v>
      </c>
      <c r="M58" s="31">
        <v>1</v>
      </c>
      <c r="N58" s="31">
        <v>1</v>
      </c>
      <c r="O58" s="31">
        <v>0</v>
      </c>
      <c r="P58" s="31">
        <v>1</v>
      </c>
      <c r="Q58" s="31">
        <v>0</v>
      </c>
      <c r="R58" s="31">
        <v>0</v>
      </c>
      <c r="S58" s="31">
        <v>2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2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6</v>
      </c>
      <c r="AF58" s="31">
        <v>0</v>
      </c>
      <c r="AG58" s="31">
        <v>0</v>
      </c>
      <c r="AH58" s="31">
        <v>3</v>
      </c>
      <c r="AI58" s="31">
        <v>0</v>
      </c>
      <c r="AJ58" s="31">
        <v>1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25</v>
      </c>
      <c r="E59" s="22">
        <v>23</v>
      </c>
      <c r="F59" s="22">
        <v>1</v>
      </c>
      <c r="G59" s="22">
        <v>1</v>
      </c>
      <c r="H59" s="22">
        <v>5</v>
      </c>
      <c r="I59" s="22">
        <v>0</v>
      </c>
      <c r="J59" s="22">
        <v>3</v>
      </c>
      <c r="K59" s="22">
        <v>0</v>
      </c>
      <c r="L59" s="22">
        <v>0</v>
      </c>
      <c r="M59" s="22">
        <v>1</v>
      </c>
      <c r="N59" s="22">
        <v>1</v>
      </c>
      <c r="O59" s="22">
        <v>0</v>
      </c>
      <c r="P59" s="22">
        <v>1</v>
      </c>
      <c r="Q59" s="22">
        <v>0</v>
      </c>
      <c r="R59" s="22">
        <v>0</v>
      </c>
      <c r="S59" s="22">
        <v>2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2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6</v>
      </c>
      <c r="AF59" s="22">
        <v>0</v>
      </c>
      <c r="AG59" s="22">
        <v>0</v>
      </c>
      <c r="AH59" s="22">
        <v>3</v>
      </c>
      <c r="AI59" s="22">
        <v>0</v>
      </c>
      <c r="AJ59" s="22">
        <v>1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87</v>
      </c>
      <c r="E61" s="31">
        <v>64</v>
      </c>
      <c r="F61" s="31">
        <v>23</v>
      </c>
      <c r="G61" s="31">
        <v>0</v>
      </c>
      <c r="H61" s="31">
        <v>25</v>
      </c>
      <c r="I61" s="31">
        <v>16</v>
      </c>
      <c r="J61" s="31">
        <v>1</v>
      </c>
      <c r="K61" s="31">
        <v>1</v>
      </c>
      <c r="L61" s="31">
        <v>0</v>
      </c>
      <c r="M61" s="31">
        <v>4</v>
      </c>
      <c r="N61" s="31">
        <v>1</v>
      </c>
      <c r="O61" s="31">
        <v>0</v>
      </c>
      <c r="P61" s="31">
        <v>4</v>
      </c>
      <c r="Q61" s="31">
        <v>1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5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21</v>
      </c>
      <c r="AF61" s="31">
        <v>3</v>
      </c>
      <c r="AG61" s="31">
        <v>0</v>
      </c>
      <c r="AH61" s="31">
        <v>4</v>
      </c>
      <c r="AI61" s="31">
        <v>1</v>
      </c>
      <c r="AJ61" s="31">
        <v>0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84</v>
      </c>
      <c r="E62" s="22">
        <v>61</v>
      </c>
      <c r="F62" s="22">
        <v>23</v>
      </c>
      <c r="G62" s="22">
        <v>0</v>
      </c>
      <c r="H62" s="22">
        <v>24</v>
      </c>
      <c r="I62" s="22">
        <v>16</v>
      </c>
      <c r="J62" s="22">
        <v>1</v>
      </c>
      <c r="K62" s="22">
        <v>1</v>
      </c>
      <c r="L62" s="22">
        <v>0</v>
      </c>
      <c r="M62" s="22">
        <v>4</v>
      </c>
      <c r="N62" s="22">
        <v>1</v>
      </c>
      <c r="O62" s="22">
        <v>0</v>
      </c>
      <c r="P62" s="22">
        <v>3</v>
      </c>
      <c r="Q62" s="22">
        <v>1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5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20</v>
      </c>
      <c r="AF62" s="22">
        <v>3</v>
      </c>
      <c r="AG62" s="22">
        <v>0</v>
      </c>
      <c r="AH62" s="22">
        <v>4</v>
      </c>
      <c r="AI62" s="22">
        <v>1</v>
      </c>
      <c r="AJ62" s="22">
        <v>0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3</v>
      </c>
      <c r="E63" s="22">
        <v>3</v>
      </c>
      <c r="F63" s="22">
        <v>0</v>
      </c>
      <c r="G63" s="22">
        <v>0</v>
      </c>
      <c r="H63" s="22">
        <v>1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1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1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121</v>
      </c>
      <c r="E64" s="31">
        <v>69</v>
      </c>
      <c r="F64" s="31">
        <v>50</v>
      </c>
      <c r="G64" s="31">
        <v>2</v>
      </c>
      <c r="H64" s="31">
        <v>29</v>
      </c>
      <c r="I64" s="31">
        <v>38</v>
      </c>
      <c r="J64" s="31">
        <v>3</v>
      </c>
      <c r="K64" s="31">
        <v>0</v>
      </c>
      <c r="L64" s="31">
        <v>0</v>
      </c>
      <c r="M64" s="31">
        <v>4</v>
      </c>
      <c r="N64" s="31">
        <v>2</v>
      </c>
      <c r="O64" s="31">
        <v>0</v>
      </c>
      <c r="P64" s="31">
        <v>4</v>
      </c>
      <c r="Q64" s="31">
        <v>3</v>
      </c>
      <c r="R64" s="31">
        <v>0</v>
      </c>
      <c r="S64" s="31">
        <v>4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1</v>
      </c>
      <c r="Z64" s="31">
        <v>1</v>
      </c>
      <c r="AA64" s="31">
        <v>0</v>
      </c>
      <c r="AB64" s="31">
        <v>0</v>
      </c>
      <c r="AC64" s="31">
        <v>0</v>
      </c>
      <c r="AD64" s="31">
        <v>0</v>
      </c>
      <c r="AE64" s="31">
        <v>8</v>
      </c>
      <c r="AF64" s="31">
        <v>6</v>
      </c>
      <c r="AG64" s="31">
        <v>0</v>
      </c>
      <c r="AH64" s="31">
        <v>16</v>
      </c>
      <c r="AI64" s="31">
        <v>0</v>
      </c>
      <c r="AJ64" s="31">
        <v>2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119</v>
      </c>
      <c r="E65" s="22">
        <v>68</v>
      </c>
      <c r="F65" s="22">
        <v>49</v>
      </c>
      <c r="G65" s="22">
        <v>2</v>
      </c>
      <c r="H65" s="22">
        <v>29</v>
      </c>
      <c r="I65" s="22">
        <v>38</v>
      </c>
      <c r="J65" s="22">
        <v>3</v>
      </c>
      <c r="K65" s="22">
        <v>0</v>
      </c>
      <c r="L65" s="22">
        <v>0</v>
      </c>
      <c r="M65" s="22">
        <v>4</v>
      </c>
      <c r="N65" s="22">
        <v>2</v>
      </c>
      <c r="O65" s="22">
        <v>0</v>
      </c>
      <c r="P65" s="22">
        <v>3</v>
      </c>
      <c r="Q65" s="22">
        <v>3</v>
      </c>
      <c r="R65" s="22">
        <v>0</v>
      </c>
      <c r="S65" s="22">
        <v>4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1</v>
      </c>
      <c r="Z65" s="22">
        <v>1</v>
      </c>
      <c r="AA65" s="22">
        <v>0</v>
      </c>
      <c r="AB65" s="22">
        <v>0</v>
      </c>
      <c r="AC65" s="22">
        <v>0</v>
      </c>
      <c r="AD65" s="22">
        <v>0</v>
      </c>
      <c r="AE65" s="22">
        <v>8</v>
      </c>
      <c r="AF65" s="22">
        <v>5</v>
      </c>
      <c r="AG65" s="22">
        <v>0</v>
      </c>
      <c r="AH65" s="22">
        <v>16</v>
      </c>
      <c r="AI65" s="22">
        <v>0</v>
      </c>
      <c r="AJ65" s="22">
        <v>2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2</v>
      </c>
      <c r="E66" s="22">
        <v>1</v>
      </c>
      <c r="F66" s="22">
        <v>1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1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1</v>
      </c>
      <c r="AG66" s="22">
        <v>0</v>
      </c>
      <c r="AH66" s="22">
        <v>0</v>
      </c>
      <c r="AI66" s="22">
        <v>0</v>
      </c>
      <c r="AJ66" s="22">
        <v>0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115</v>
      </c>
      <c r="E67" s="31">
        <v>69</v>
      </c>
      <c r="F67" s="31">
        <v>45</v>
      </c>
      <c r="G67" s="31">
        <v>1</v>
      </c>
      <c r="H67" s="31">
        <v>13</v>
      </c>
      <c r="I67" s="31">
        <v>21</v>
      </c>
      <c r="J67" s="31">
        <v>1</v>
      </c>
      <c r="K67" s="31">
        <v>0</v>
      </c>
      <c r="L67" s="31">
        <v>0</v>
      </c>
      <c r="M67" s="31">
        <v>1</v>
      </c>
      <c r="N67" s="31">
        <v>1</v>
      </c>
      <c r="O67" s="31">
        <v>0</v>
      </c>
      <c r="P67" s="31">
        <v>2</v>
      </c>
      <c r="Q67" s="31">
        <v>0</v>
      </c>
      <c r="R67" s="31">
        <v>0</v>
      </c>
      <c r="S67" s="31">
        <v>4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3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43</v>
      </c>
      <c r="AF67" s="31">
        <v>23</v>
      </c>
      <c r="AG67" s="31">
        <v>0</v>
      </c>
      <c r="AH67" s="31">
        <v>2</v>
      </c>
      <c r="AI67" s="31">
        <v>0</v>
      </c>
      <c r="AJ67" s="31">
        <v>1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115</v>
      </c>
      <c r="E68" s="22">
        <v>69</v>
      </c>
      <c r="F68" s="22">
        <v>45</v>
      </c>
      <c r="G68" s="22">
        <v>1</v>
      </c>
      <c r="H68" s="22">
        <v>13</v>
      </c>
      <c r="I68" s="22">
        <v>21</v>
      </c>
      <c r="J68" s="22">
        <v>1</v>
      </c>
      <c r="K68" s="22">
        <v>0</v>
      </c>
      <c r="L68" s="22">
        <v>0</v>
      </c>
      <c r="M68" s="22">
        <v>1</v>
      </c>
      <c r="N68" s="22">
        <v>1</v>
      </c>
      <c r="O68" s="22">
        <v>0</v>
      </c>
      <c r="P68" s="22">
        <v>2</v>
      </c>
      <c r="Q68" s="22">
        <v>0</v>
      </c>
      <c r="R68" s="22">
        <v>0</v>
      </c>
      <c r="S68" s="22">
        <v>4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3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43</v>
      </c>
      <c r="AF68" s="22">
        <v>23</v>
      </c>
      <c r="AG68" s="22">
        <v>0</v>
      </c>
      <c r="AH68" s="22">
        <v>2</v>
      </c>
      <c r="AI68" s="22">
        <v>0</v>
      </c>
      <c r="AJ68" s="22">
        <v>1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24</v>
      </c>
      <c r="E70" s="31">
        <v>10</v>
      </c>
      <c r="F70" s="31">
        <v>13</v>
      </c>
      <c r="G70" s="31">
        <v>1</v>
      </c>
      <c r="H70" s="31">
        <v>8</v>
      </c>
      <c r="I70" s="31">
        <v>8</v>
      </c>
      <c r="J70" s="31">
        <v>0</v>
      </c>
      <c r="K70" s="31">
        <v>0</v>
      </c>
      <c r="L70" s="31">
        <v>0</v>
      </c>
      <c r="M70" s="31">
        <v>1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2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1</v>
      </c>
      <c r="AF70" s="31">
        <v>2</v>
      </c>
      <c r="AG70" s="31">
        <v>0</v>
      </c>
      <c r="AH70" s="31">
        <v>0</v>
      </c>
      <c r="AI70" s="31">
        <v>1</v>
      </c>
      <c r="AJ70" s="31">
        <v>1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24</v>
      </c>
      <c r="E71" s="22">
        <v>10</v>
      </c>
      <c r="F71" s="22">
        <v>13</v>
      </c>
      <c r="G71" s="22">
        <v>1</v>
      </c>
      <c r="H71" s="22">
        <v>8</v>
      </c>
      <c r="I71" s="22">
        <v>8</v>
      </c>
      <c r="J71" s="22">
        <v>0</v>
      </c>
      <c r="K71" s="22">
        <v>0</v>
      </c>
      <c r="L71" s="22">
        <v>0</v>
      </c>
      <c r="M71" s="22">
        <v>1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2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1</v>
      </c>
      <c r="AF71" s="22">
        <v>2</v>
      </c>
      <c r="AG71" s="22">
        <v>0</v>
      </c>
      <c r="AH71" s="22">
        <v>0</v>
      </c>
      <c r="AI71" s="22">
        <v>1</v>
      </c>
      <c r="AJ71" s="22">
        <v>1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7</v>
      </c>
      <c r="E73" s="31">
        <v>4</v>
      </c>
      <c r="F73" s="31">
        <v>3</v>
      </c>
      <c r="G73" s="31">
        <v>0</v>
      </c>
      <c r="H73" s="31">
        <v>2</v>
      </c>
      <c r="I73" s="31">
        <v>3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2</v>
      </c>
      <c r="AI73" s="31">
        <v>0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7</v>
      </c>
      <c r="E74" s="22">
        <v>4</v>
      </c>
      <c r="F74" s="22">
        <v>3</v>
      </c>
      <c r="G74" s="22">
        <v>0</v>
      </c>
      <c r="H74" s="22">
        <v>2</v>
      </c>
      <c r="I74" s="22">
        <v>3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2</v>
      </c>
      <c r="AI74" s="22">
        <v>0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>
      <c r="A78" s="50"/>
    </row>
    <row r="79" spans="1:36" ht="15.75" customHeight="1" x14ac:dyDescent="0.2">
      <c r="A79" s="64" t="s">
        <v>191</v>
      </c>
    </row>
    <row r="81" spans="1:36" s="69" customFormat="1" ht="16.5" hidden="1" customHeight="1" x14ac:dyDescent="0.2">
      <c r="A81" s="65" t="s">
        <v>174</v>
      </c>
      <c r="B81" s="66" t="s">
        <v>175</v>
      </c>
      <c r="C81" s="67" t="s">
        <v>0</v>
      </c>
      <c r="D81" s="68">
        <v>5381</v>
      </c>
      <c r="E81" s="68">
        <v>3534</v>
      </c>
      <c r="F81" s="68">
        <v>1805</v>
      </c>
      <c r="G81" s="68">
        <v>42</v>
      </c>
      <c r="H81" s="68">
        <v>1567</v>
      </c>
      <c r="I81" s="68">
        <v>1271</v>
      </c>
      <c r="J81" s="68">
        <v>97</v>
      </c>
      <c r="K81" s="68">
        <v>28</v>
      </c>
      <c r="L81" s="68">
        <v>0</v>
      </c>
      <c r="M81" s="68">
        <v>67</v>
      </c>
      <c r="N81" s="68">
        <v>102</v>
      </c>
      <c r="O81" s="68">
        <v>0</v>
      </c>
      <c r="P81" s="68">
        <v>155</v>
      </c>
      <c r="Q81" s="68">
        <v>42</v>
      </c>
      <c r="R81" s="68">
        <v>0</v>
      </c>
      <c r="S81" s="68">
        <v>139</v>
      </c>
      <c r="T81" s="68">
        <v>36</v>
      </c>
      <c r="U81" s="68">
        <v>0</v>
      </c>
      <c r="V81" s="68">
        <v>37</v>
      </c>
      <c r="W81" s="68">
        <v>20</v>
      </c>
      <c r="X81" s="68">
        <v>0</v>
      </c>
      <c r="Y81" s="68">
        <v>122</v>
      </c>
      <c r="Z81" s="68">
        <v>27</v>
      </c>
      <c r="AA81" s="68">
        <v>0</v>
      </c>
      <c r="AB81" s="68">
        <v>3</v>
      </c>
      <c r="AC81" s="68">
        <v>19</v>
      </c>
      <c r="AD81" s="68">
        <v>0</v>
      </c>
      <c r="AE81" s="68">
        <v>875</v>
      </c>
      <c r="AF81" s="68">
        <v>162</v>
      </c>
      <c r="AG81" s="68">
        <v>0</v>
      </c>
      <c r="AH81" s="68">
        <v>472</v>
      </c>
      <c r="AI81" s="68">
        <v>98</v>
      </c>
      <c r="AJ81" s="68">
        <v>42</v>
      </c>
    </row>
    <row r="82" spans="1:36" s="69" customFormat="1" ht="15" hidden="1" customHeight="1" x14ac:dyDescent="0.2">
      <c r="A82" s="108" t="s">
        <v>1</v>
      </c>
      <c r="B82" s="70" t="s">
        <v>176</v>
      </c>
      <c r="C82" s="71" t="s">
        <v>2</v>
      </c>
      <c r="D82" s="72">
        <v>5042</v>
      </c>
      <c r="E82" s="72">
        <v>3344</v>
      </c>
      <c r="F82" s="72">
        <v>1663</v>
      </c>
      <c r="G82" s="72">
        <v>35</v>
      </c>
      <c r="H82" s="72">
        <v>1480</v>
      </c>
      <c r="I82" s="72">
        <v>1163</v>
      </c>
      <c r="J82" s="72">
        <v>87</v>
      </c>
      <c r="K82" s="72">
        <v>25</v>
      </c>
      <c r="L82" s="72">
        <v>0</v>
      </c>
      <c r="M82" s="72">
        <v>64</v>
      </c>
      <c r="N82" s="72">
        <v>94</v>
      </c>
      <c r="O82" s="72">
        <v>0</v>
      </c>
      <c r="P82" s="72">
        <v>130</v>
      </c>
      <c r="Q82" s="72">
        <v>36</v>
      </c>
      <c r="R82" s="72">
        <v>0</v>
      </c>
      <c r="S82" s="72">
        <v>127</v>
      </c>
      <c r="T82" s="72">
        <v>32</v>
      </c>
      <c r="U82" s="72">
        <v>0</v>
      </c>
      <c r="V82" s="72">
        <v>37</v>
      </c>
      <c r="W82" s="72">
        <v>20</v>
      </c>
      <c r="X82" s="72">
        <v>0</v>
      </c>
      <c r="Y82" s="72">
        <v>119</v>
      </c>
      <c r="Z82" s="72">
        <v>25</v>
      </c>
      <c r="AA82" s="72">
        <v>0</v>
      </c>
      <c r="AB82" s="72">
        <v>3</v>
      </c>
      <c r="AC82" s="72">
        <v>19</v>
      </c>
      <c r="AD82" s="72">
        <v>0</v>
      </c>
      <c r="AE82" s="72">
        <v>837</v>
      </c>
      <c r="AF82" s="72">
        <v>157</v>
      </c>
      <c r="AG82" s="72">
        <v>0</v>
      </c>
      <c r="AH82" s="72">
        <v>460</v>
      </c>
      <c r="AI82" s="72">
        <v>92</v>
      </c>
      <c r="AJ82" s="72">
        <v>35</v>
      </c>
    </row>
    <row r="83" spans="1:36" s="69" customFormat="1" ht="15" hidden="1" customHeight="1" x14ac:dyDescent="0.2">
      <c r="A83" s="109"/>
      <c r="B83" s="70" t="s">
        <v>177</v>
      </c>
      <c r="C83" s="71" t="s">
        <v>194</v>
      </c>
      <c r="D83" s="72">
        <v>339</v>
      </c>
      <c r="E83" s="72">
        <v>190</v>
      </c>
      <c r="F83" s="72">
        <v>142</v>
      </c>
      <c r="G83" s="72">
        <v>7</v>
      </c>
      <c r="H83" s="72">
        <v>87</v>
      </c>
      <c r="I83" s="72">
        <v>108</v>
      </c>
      <c r="J83" s="72">
        <v>10</v>
      </c>
      <c r="K83" s="72">
        <v>3</v>
      </c>
      <c r="L83" s="72">
        <v>0</v>
      </c>
      <c r="M83" s="72">
        <v>3</v>
      </c>
      <c r="N83" s="72">
        <v>8</v>
      </c>
      <c r="O83" s="72">
        <v>0</v>
      </c>
      <c r="P83" s="72">
        <v>25</v>
      </c>
      <c r="Q83" s="72">
        <v>6</v>
      </c>
      <c r="R83" s="72">
        <v>0</v>
      </c>
      <c r="S83" s="72">
        <v>12</v>
      </c>
      <c r="T83" s="72">
        <v>4</v>
      </c>
      <c r="U83" s="72">
        <v>0</v>
      </c>
      <c r="V83" s="72">
        <v>0</v>
      </c>
      <c r="W83" s="72">
        <v>0</v>
      </c>
      <c r="X83" s="72">
        <v>0</v>
      </c>
      <c r="Y83" s="72">
        <v>3</v>
      </c>
      <c r="Z83" s="72">
        <v>2</v>
      </c>
      <c r="AA83" s="72">
        <v>0</v>
      </c>
      <c r="AB83" s="72">
        <v>0</v>
      </c>
      <c r="AC83" s="72">
        <v>0</v>
      </c>
      <c r="AD83" s="72">
        <v>0</v>
      </c>
      <c r="AE83" s="72">
        <v>38</v>
      </c>
      <c r="AF83" s="72">
        <v>5</v>
      </c>
      <c r="AG83" s="72">
        <v>0</v>
      </c>
      <c r="AH83" s="72">
        <v>12</v>
      </c>
      <c r="AI83" s="72">
        <v>6</v>
      </c>
      <c r="AJ83" s="72">
        <v>7</v>
      </c>
    </row>
    <row r="84" spans="1:36" s="23" customFormat="1" ht="15" hidden="1" customHeight="1" x14ac:dyDescent="0.2">
      <c r="A84" s="56" t="s">
        <v>119</v>
      </c>
      <c r="B84" s="29" t="s">
        <v>74</v>
      </c>
      <c r="C84" s="30" t="s">
        <v>0</v>
      </c>
      <c r="D84" s="31">
        <v>1062</v>
      </c>
      <c r="E84" s="31">
        <v>734</v>
      </c>
      <c r="F84" s="31">
        <v>322</v>
      </c>
      <c r="G84" s="31">
        <v>6</v>
      </c>
      <c r="H84" s="31">
        <v>310</v>
      </c>
      <c r="I84" s="31">
        <v>216</v>
      </c>
      <c r="J84" s="31">
        <v>17</v>
      </c>
      <c r="K84" s="31">
        <v>3</v>
      </c>
      <c r="L84" s="31">
        <v>0</v>
      </c>
      <c r="M84" s="31">
        <v>16</v>
      </c>
      <c r="N84" s="31">
        <v>17</v>
      </c>
      <c r="O84" s="31">
        <v>0</v>
      </c>
      <c r="P84" s="31">
        <v>42</v>
      </c>
      <c r="Q84" s="31">
        <v>10</v>
      </c>
      <c r="R84" s="31">
        <v>0</v>
      </c>
      <c r="S84" s="31">
        <v>23</v>
      </c>
      <c r="T84" s="31">
        <v>5</v>
      </c>
      <c r="U84" s="31">
        <v>0</v>
      </c>
      <c r="V84" s="31">
        <v>8</v>
      </c>
      <c r="W84" s="31">
        <v>1</v>
      </c>
      <c r="X84" s="31">
        <v>0</v>
      </c>
      <c r="Y84" s="31">
        <v>35</v>
      </c>
      <c r="Z84" s="31">
        <v>11</v>
      </c>
      <c r="AA84" s="31">
        <v>0</v>
      </c>
      <c r="AB84" s="31">
        <v>0</v>
      </c>
      <c r="AC84" s="31">
        <v>0</v>
      </c>
      <c r="AD84" s="31">
        <v>0</v>
      </c>
      <c r="AE84" s="31">
        <v>203</v>
      </c>
      <c r="AF84" s="31">
        <v>43</v>
      </c>
      <c r="AG84" s="31">
        <v>0</v>
      </c>
      <c r="AH84" s="31">
        <v>80</v>
      </c>
      <c r="AI84" s="31">
        <v>16</v>
      </c>
      <c r="AJ84" s="31">
        <v>6</v>
      </c>
    </row>
    <row r="85" spans="1:36" s="23" customFormat="1" ht="15" hidden="1" customHeight="1" x14ac:dyDescent="0.2">
      <c r="A85" s="110" t="s">
        <v>3</v>
      </c>
      <c r="B85" s="32" t="s">
        <v>75</v>
      </c>
      <c r="C85" s="33" t="s">
        <v>2</v>
      </c>
      <c r="D85" s="22">
        <v>1026</v>
      </c>
      <c r="E85" s="22">
        <v>717</v>
      </c>
      <c r="F85" s="22">
        <v>303</v>
      </c>
      <c r="G85" s="22">
        <v>6</v>
      </c>
      <c r="H85" s="22">
        <v>302</v>
      </c>
      <c r="I85" s="22">
        <v>200</v>
      </c>
      <c r="J85" s="22">
        <v>17</v>
      </c>
      <c r="K85" s="22">
        <v>2</v>
      </c>
      <c r="L85" s="22">
        <v>0</v>
      </c>
      <c r="M85" s="22">
        <v>16</v>
      </c>
      <c r="N85" s="22">
        <v>17</v>
      </c>
      <c r="O85" s="22">
        <v>0</v>
      </c>
      <c r="P85" s="22">
        <v>37</v>
      </c>
      <c r="Q85" s="22">
        <v>9</v>
      </c>
      <c r="R85" s="22">
        <v>0</v>
      </c>
      <c r="S85" s="22">
        <v>20</v>
      </c>
      <c r="T85" s="22">
        <v>5</v>
      </c>
      <c r="U85" s="22">
        <v>0</v>
      </c>
      <c r="V85" s="22">
        <v>8</v>
      </c>
      <c r="W85" s="22">
        <v>1</v>
      </c>
      <c r="X85" s="22">
        <v>0</v>
      </c>
      <c r="Y85" s="22">
        <v>35</v>
      </c>
      <c r="Z85" s="22">
        <v>11</v>
      </c>
      <c r="AA85" s="22">
        <v>0</v>
      </c>
      <c r="AB85" s="22">
        <v>0</v>
      </c>
      <c r="AC85" s="22">
        <v>0</v>
      </c>
      <c r="AD85" s="22">
        <v>0</v>
      </c>
      <c r="AE85" s="22">
        <v>202</v>
      </c>
      <c r="AF85" s="22">
        <v>42</v>
      </c>
      <c r="AG85" s="22">
        <v>0</v>
      </c>
      <c r="AH85" s="22">
        <v>80</v>
      </c>
      <c r="AI85" s="22">
        <v>16</v>
      </c>
      <c r="AJ85" s="22">
        <v>6</v>
      </c>
    </row>
    <row r="86" spans="1:36" s="23" customFormat="1" ht="15" hidden="1" customHeight="1" x14ac:dyDescent="0.2">
      <c r="A86" s="111"/>
      <c r="B86" s="32" t="s">
        <v>76</v>
      </c>
      <c r="C86" s="33" t="s">
        <v>194</v>
      </c>
      <c r="D86" s="22">
        <v>36</v>
      </c>
      <c r="E86" s="22">
        <v>17</v>
      </c>
      <c r="F86" s="22">
        <v>19</v>
      </c>
      <c r="G86" s="22">
        <v>0</v>
      </c>
      <c r="H86" s="22">
        <v>8</v>
      </c>
      <c r="I86" s="22">
        <v>16</v>
      </c>
      <c r="J86" s="22">
        <v>0</v>
      </c>
      <c r="K86" s="22">
        <v>1</v>
      </c>
      <c r="L86" s="22">
        <v>0</v>
      </c>
      <c r="M86" s="22">
        <v>0</v>
      </c>
      <c r="N86" s="22">
        <v>0</v>
      </c>
      <c r="O86" s="22">
        <v>0</v>
      </c>
      <c r="P86" s="22">
        <v>5</v>
      </c>
      <c r="Q86" s="22">
        <v>1</v>
      </c>
      <c r="R86" s="22">
        <v>0</v>
      </c>
      <c r="S86" s="22">
        <v>3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1</v>
      </c>
      <c r="AF86" s="22">
        <v>1</v>
      </c>
      <c r="AG86" s="22">
        <v>0</v>
      </c>
      <c r="AH86" s="22">
        <v>0</v>
      </c>
      <c r="AI86" s="22">
        <v>0</v>
      </c>
      <c r="AJ86" s="22">
        <v>0</v>
      </c>
    </row>
    <row r="87" spans="1:36" s="23" customFormat="1" ht="15" hidden="1" customHeight="1" x14ac:dyDescent="0.2">
      <c r="A87" s="56" t="s">
        <v>121</v>
      </c>
      <c r="B87" s="29" t="s">
        <v>74</v>
      </c>
      <c r="C87" s="30" t="s">
        <v>0</v>
      </c>
      <c r="D87" s="31">
        <v>437</v>
      </c>
      <c r="E87" s="31">
        <v>263</v>
      </c>
      <c r="F87" s="31">
        <v>172</v>
      </c>
      <c r="G87" s="31">
        <v>2</v>
      </c>
      <c r="H87" s="31">
        <v>143</v>
      </c>
      <c r="I87" s="31">
        <v>131</v>
      </c>
      <c r="J87" s="31">
        <v>17</v>
      </c>
      <c r="K87" s="31">
        <v>5</v>
      </c>
      <c r="L87" s="31">
        <v>0</v>
      </c>
      <c r="M87" s="31">
        <v>3</v>
      </c>
      <c r="N87" s="31">
        <v>10</v>
      </c>
      <c r="O87" s="31">
        <v>0</v>
      </c>
      <c r="P87" s="31">
        <v>11</v>
      </c>
      <c r="Q87" s="31">
        <v>5</v>
      </c>
      <c r="R87" s="31">
        <v>0</v>
      </c>
      <c r="S87" s="31">
        <v>5</v>
      </c>
      <c r="T87" s="31">
        <v>1</v>
      </c>
      <c r="U87" s="31">
        <v>0</v>
      </c>
      <c r="V87" s="31">
        <v>1</v>
      </c>
      <c r="W87" s="31">
        <v>0</v>
      </c>
      <c r="X87" s="31">
        <v>0</v>
      </c>
      <c r="Y87" s="31">
        <v>18</v>
      </c>
      <c r="Z87" s="31">
        <v>6</v>
      </c>
      <c r="AA87" s="31">
        <v>0</v>
      </c>
      <c r="AB87" s="31">
        <v>0</v>
      </c>
      <c r="AC87" s="31">
        <v>0</v>
      </c>
      <c r="AD87" s="31">
        <v>0</v>
      </c>
      <c r="AE87" s="31">
        <v>51</v>
      </c>
      <c r="AF87" s="31">
        <v>12</v>
      </c>
      <c r="AG87" s="31">
        <v>0</v>
      </c>
      <c r="AH87" s="31">
        <v>14</v>
      </c>
      <c r="AI87" s="31">
        <v>2</v>
      </c>
      <c r="AJ87" s="31">
        <v>2</v>
      </c>
    </row>
    <row r="88" spans="1:36" s="23" customFormat="1" ht="15" hidden="1" customHeight="1" x14ac:dyDescent="0.2">
      <c r="A88" s="110" t="s">
        <v>4</v>
      </c>
      <c r="B88" s="32" t="s">
        <v>75</v>
      </c>
      <c r="C88" s="33" t="s">
        <v>2</v>
      </c>
      <c r="D88" s="22">
        <v>431</v>
      </c>
      <c r="E88" s="22">
        <v>262</v>
      </c>
      <c r="F88" s="22">
        <v>167</v>
      </c>
      <c r="G88" s="22">
        <v>2</v>
      </c>
      <c r="H88" s="22">
        <v>142</v>
      </c>
      <c r="I88" s="22">
        <v>127</v>
      </c>
      <c r="J88" s="22">
        <v>17</v>
      </c>
      <c r="K88" s="22">
        <v>5</v>
      </c>
      <c r="L88" s="22">
        <v>0</v>
      </c>
      <c r="M88" s="22">
        <v>3</v>
      </c>
      <c r="N88" s="22">
        <v>9</v>
      </c>
      <c r="O88" s="22">
        <v>0</v>
      </c>
      <c r="P88" s="22">
        <v>11</v>
      </c>
      <c r="Q88" s="22">
        <v>5</v>
      </c>
      <c r="R88" s="22">
        <v>0</v>
      </c>
      <c r="S88" s="22">
        <v>5</v>
      </c>
      <c r="T88" s="22">
        <v>1</v>
      </c>
      <c r="U88" s="22">
        <v>0</v>
      </c>
      <c r="V88" s="22">
        <v>1</v>
      </c>
      <c r="W88" s="22">
        <v>0</v>
      </c>
      <c r="X88" s="22">
        <v>0</v>
      </c>
      <c r="Y88" s="22">
        <v>18</v>
      </c>
      <c r="Z88" s="22">
        <v>6</v>
      </c>
      <c r="AA88" s="22">
        <v>0</v>
      </c>
      <c r="AB88" s="22">
        <v>0</v>
      </c>
      <c r="AC88" s="22">
        <v>0</v>
      </c>
      <c r="AD88" s="22">
        <v>0</v>
      </c>
      <c r="AE88" s="22">
        <v>51</v>
      </c>
      <c r="AF88" s="22">
        <v>12</v>
      </c>
      <c r="AG88" s="22">
        <v>0</v>
      </c>
      <c r="AH88" s="22">
        <v>14</v>
      </c>
      <c r="AI88" s="22">
        <v>2</v>
      </c>
      <c r="AJ88" s="22">
        <v>2</v>
      </c>
    </row>
    <row r="89" spans="1:36" s="23" customFormat="1" ht="15" hidden="1" customHeight="1" x14ac:dyDescent="0.2">
      <c r="A89" s="111"/>
      <c r="B89" s="34" t="s">
        <v>76</v>
      </c>
      <c r="C89" s="35" t="s">
        <v>194</v>
      </c>
      <c r="D89" s="22">
        <v>6</v>
      </c>
      <c r="E89" s="22">
        <v>1</v>
      </c>
      <c r="F89" s="22">
        <v>5</v>
      </c>
      <c r="G89" s="22">
        <v>0</v>
      </c>
      <c r="H89" s="22">
        <v>1</v>
      </c>
      <c r="I89" s="22">
        <v>4</v>
      </c>
      <c r="J89" s="22">
        <v>0</v>
      </c>
      <c r="K89" s="22">
        <v>0</v>
      </c>
      <c r="L89" s="22">
        <v>0</v>
      </c>
      <c r="M89" s="22">
        <v>0</v>
      </c>
      <c r="N89" s="22">
        <v>1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</row>
    <row r="90" spans="1:36" s="23" customFormat="1" ht="15" hidden="1" customHeight="1" x14ac:dyDescent="0.2">
      <c r="A90" s="56" t="s">
        <v>124</v>
      </c>
      <c r="B90" s="29" t="s">
        <v>74</v>
      </c>
      <c r="C90" s="30" t="s">
        <v>0</v>
      </c>
      <c r="D90" s="31">
        <v>612</v>
      </c>
      <c r="E90" s="31">
        <v>393</v>
      </c>
      <c r="F90" s="31">
        <v>209</v>
      </c>
      <c r="G90" s="31">
        <v>10</v>
      </c>
      <c r="H90" s="31">
        <v>172</v>
      </c>
      <c r="I90" s="31">
        <v>153</v>
      </c>
      <c r="J90" s="31">
        <v>12</v>
      </c>
      <c r="K90" s="31">
        <v>0</v>
      </c>
      <c r="L90" s="31">
        <v>0</v>
      </c>
      <c r="M90" s="31">
        <v>9</v>
      </c>
      <c r="N90" s="31">
        <v>9</v>
      </c>
      <c r="O90" s="31">
        <v>0</v>
      </c>
      <c r="P90" s="31">
        <v>7</v>
      </c>
      <c r="Q90" s="31">
        <v>6</v>
      </c>
      <c r="R90" s="31">
        <v>0</v>
      </c>
      <c r="S90" s="31">
        <v>23</v>
      </c>
      <c r="T90" s="31">
        <v>6</v>
      </c>
      <c r="U90" s="31">
        <v>0</v>
      </c>
      <c r="V90" s="31">
        <v>0</v>
      </c>
      <c r="W90" s="31">
        <v>1</v>
      </c>
      <c r="X90" s="31">
        <v>0</v>
      </c>
      <c r="Y90" s="31">
        <v>10</v>
      </c>
      <c r="Z90" s="31">
        <v>0</v>
      </c>
      <c r="AA90" s="31">
        <v>0</v>
      </c>
      <c r="AB90" s="31">
        <v>0</v>
      </c>
      <c r="AC90" s="31">
        <v>1</v>
      </c>
      <c r="AD90" s="31">
        <v>0</v>
      </c>
      <c r="AE90" s="31">
        <v>64</v>
      </c>
      <c r="AF90" s="31">
        <v>16</v>
      </c>
      <c r="AG90" s="31">
        <v>0</v>
      </c>
      <c r="AH90" s="31">
        <v>96</v>
      </c>
      <c r="AI90" s="31">
        <v>17</v>
      </c>
      <c r="AJ90" s="31">
        <v>10</v>
      </c>
    </row>
    <row r="91" spans="1:36" s="23" customFormat="1" ht="15" hidden="1" customHeight="1" x14ac:dyDescent="0.2">
      <c r="A91" s="110" t="s">
        <v>25</v>
      </c>
      <c r="B91" s="32" t="s">
        <v>75</v>
      </c>
      <c r="C91" s="33" t="s">
        <v>2</v>
      </c>
      <c r="D91" s="22">
        <v>538</v>
      </c>
      <c r="E91" s="22">
        <v>350</v>
      </c>
      <c r="F91" s="22">
        <v>178</v>
      </c>
      <c r="G91" s="22">
        <v>10</v>
      </c>
      <c r="H91" s="22">
        <v>152</v>
      </c>
      <c r="I91" s="22">
        <v>131</v>
      </c>
      <c r="J91" s="22">
        <v>6</v>
      </c>
      <c r="K91" s="22">
        <v>0</v>
      </c>
      <c r="L91" s="22">
        <v>0</v>
      </c>
      <c r="M91" s="22">
        <v>9</v>
      </c>
      <c r="N91" s="22">
        <v>7</v>
      </c>
      <c r="O91" s="22">
        <v>0</v>
      </c>
      <c r="P91" s="22">
        <v>4</v>
      </c>
      <c r="Q91" s="22">
        <v>4</v>
      </c>
      <c r="R91" s="22">
        <v>0</v>
      </c>
      <c r="S91" s="22">
        <v>21</v>
      </c>
      <c r="T91" s="22">
        <v>4</v>
      </c>
      <c r="U91" s="22">
        <v>0</v>
      </c>
      <c r="V91" s="22">
        <v>0</v>
      </c>
      <c r="W91" s="22">
        <v>1</v>
      </c>
      <c r="X91" s="22">
        <v>0</v>
      </c>
      <c r="Y91" s="22">
        <v>10</v>
      </c>
      <c r="Z91" s="22">
        <v>0</v>
      </c>
      <c r="AA91" s="22">
        <v>0</v>
      </c>
      <c r="AB91" s="22">
        <v>0</v>
      </c>
      <c r="AC91" s="22">
        <v>1</v>
      </c>
      <c r="AD91" s="22">
        <v>0</v>
      </c>
      <c r="AE91" s="22">
        <v>56</v>
      </c>
      <c r="AF91" s="22">
        <v>15</v>
      </c>
      <c r="AG91" s="22">
        <v>0</v>
      </c>
      <c r="AH91" s="22">
        <v>92</v>
      </c>
      <c r="AI91" s="22">
        <v>15</v>
      </c>
      <c r="AJ91" s="22">
        <v>10</v>
      </c>
    </row>
    <row r="92" spans="1:36" s="23" customFormat="1" ht="15" hidden="1" customHeight="1" x14ac:dyDescent="0.2">
      <c r="A92" s="111"/>
      <c r="B92" s="34" t="s">
        <v>76</v>
      </c>
      <c r="C92" s="35" t="s">
        <v>194</v>
      </c>
      <c r="D92" s="22">
        <v>74</v>
      </c>
      <c r="E92" s="22">
        <v>43</v>
      </c>
      <c r="F92" s="22">
        <v>31</v>
      </c>
      <c r="G92" s="22">
        <v>0</v>
      </c>
      <c r="H92" s="22">
        <v>20</v>
      </c>
      <c r="I92" s="22">
        <v>22</v>
      </c>
      <c r="J92" s="22">
        <v>6</v>
      </c>
      <c r="K92" s="22">
        <v>0</v>
      </c>
      <c r="L92" s="22">
        <v>0</v>
      </c>
      <c r="M92" s="22">
        <v>0</v>
      </c>
      <c r="N92" s="22">
        <v>2</v>
      </c>
      <c r="O92" s="22">
        <v>0</v>
      </c>
      <c r="P92" s="22">
        <v>3</v>
      </c>
      <c r="Q92" s="22">
        <v>2</v>
      </c>
      <c r="R92" s="22">
        <v>0</v>
      </c>
      <c r="S92" s="22">
        <v>2</v>
      </c>
      <c r="T92" s="22">
        <v>2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8</v>
      </c>
      <c r="AF92" s="22">
        <v>1</v>
      </c>
      <c r="AG92" s="22">
        <v>0</v>
      </c>
      <c r="AH92" s="22">
        <v>4</v>
      </c>
      <c r="AI92" s="22">
        <v>2</v>
      </c>
      <c r="AJ92" s="22">
        <v>0</v>
      </c>
    </row>
    <row r="93" spans="1:36" s="23" customFormat="1" ht="15" hidden="1" customHeight="1" x14ac:dyDescent="0.2">
      <c r="A93" s="56" t="s">
        <v>126</v>
      </c>
      <c r="B93" s="29" t="s">
        <v>74</v>
      </c>
      <c r="C93" s="30" t="s">
        <v>0</v>
      </c>
      <c r="D93" s="31">
        <v>884</v>
      </c>
      <c r="E93" s="31">
        <v>498</v>
      </c>
      <c r="F93" s="31">
        <v>381</v>
      </c>
      <c r="G93" s="31">
        <v>5</v>
      </c>
      <c r="H93" s="31">
        <v>279</v>
      </c>
      <c r="I93" s="31">
        <v>273</v>
      </c>
      <c r="J93" s="31">
        <v>15</v>
      </c>
      <c r="K93" s="31">
        <v>6</v>
      </c>
      <c r="L93" s="31">
        <v>0</v>
      </c>
      <c r="M93" s="31">
        <v>6</v>
      </c>
      <c r="N93" s="31">
        <v>23</v>
      </c>
      <c r="O93" s="31">
        <v>0</v>
      </c>
      <c r="P93" s="31">
        <v>21</v>
      </c>
      <c r="Q93" s="31">
        <v>7</v>
      </c>
      <c r="R93" s="31">
        <v>0</v>
      </c>
      <c r="S93" s="31">
        <v>19</v>
      </c>
      <c r="T93" s="31">
        <v>2</v>
      </c>
      <c r="U93" s="31">
        <v>0</v>
      </c>
      <c r="V93" s="31">
        <v>5</v>
      </c>
      <c r="W93" s="31">
        <v>15</v>
      </c>
      <c r="X93" s="31">
        <v>0</v>
      </c>
      <c r="Y93" s="31">
        <v>7</v>
      </c>
      <c r="Z93" s="31">
        <v>1</v>
      </c>
      <c r="AA93" s="31">
        <v>0</v>
      </c>
      <c r="AB93" s="31">
        <v>2</v>
      </c>
      <c r="AC93" s="31">
        <v>11</v>
      </c>
      <c r="AD93" s="31">
        <v>0</v>
      </c>
      <c r="AE93" s="31">
        <v>71</v>
      </c>
      <c r="AF93" s="31">
        <v>14</v>
      </c>
      <c r="AG93" s="31">
        <v>0</v>
      </c>
      <c r="AH93" s="31">
        <v>73</v>
      </c>
      <c r="AI93" s="31">
        <v>29</v>
      </c>
      <c r="AJ93" s="31">
        <v>5</v>
      </c>
    </row>
    <row r="94" spans="1:36" s="23" customFormat="1" ht="15" hidden="1" customHeight="1" x14ac:dyDescent="0.2">
      <c r="A94" s="110" t="s">
        <v>5</v>
      </c>
      <c r="B94" s="32" t="s">
        <v>75</v>
      </c>
      <c r="C94" s="33" t="s">
        <v>2</v>
      </c>
      <c r="D94" s="22">
        <v>855</v>
      </c>
      <c r="E94" s="22">
        <v>485</v>
      </c>
      <c r="F94" s="22">
        <v>365</v>
      </c>
      <c r="G94" s="22">
        <v>5</v>
      </c>
      <c r="H94" s="22">
        <v>271</v>
      </c>
      <c r="I94" s="22">
        <v>262</v>
      </c>
      <c r="J94" s="22">
        <v>14</v>
      </c>
      <c r="K94" s="22">
        <v>5</v>
      </c>
      <c r="L94" s="22">
        <v>0</v>
      </c>
      <c r="M94" s="22">
        <v>6</v>
      </c>
      <c r="N94" s="22">
        <v>20</v>
      </c>
      <c r="O94" s="22">
        <v>0</v>
      </c>
      <c r="P94" s="22">
        <v>19</v>
      </c>
      <c r="Q94" s="22">
        <v>6</v>
      </c>
      <c r="R94" s="22">
        <v>0</v>
      </c>
      <c r="S94" s="22">
        <v>19</v>
      </c>
      <c r="T94" s="22">
        <v>2</v>
      </c>
      <c r="U94" s="22">
        <v>0</v>
      </c>
      <c r="V94" s="22">
        <v>5</v>
      </c>
      <c r="W94" s="22">
        <v>15</v>
      </c>
      <c r="X94" s="22">
        <v>0</v>
      </c>
      <c r="Y94" s="22">
        <v>7</v>
      </c>
      <c r="Z94" s="22">
        <v>1</v>
      </c>
      <c r="AA94" s="22">
        <v>0</v>
      </c>
      <c r="AB94" s="22">
        <v>2</v>
      </c>
      <c r="AC94" s="22">
        <v>11</v>
      </c>
      <c r="AD94" s="22">
        <v>0</v>
      </c>
      <c r="AE94" s="22">
        <v>70</v>
      </c>
      <c r="AF94" s="22">
        <v>14</v>
      </c>
      <c r="AG94" s="22">
        <v>0</v>
      </c>
      <c r="AH94" s="22">
        <v>72</v>
      </c>
      <c r="AI94" s="22">
        <v>29</v>
      </c>
      <c r="AJ94" s="22">
        <v>5</v>
      </c>
    </row>
    <row r="95" spans="1:36" s="23" customFormat="1" ht="15" hidden="1" customHeight="1" x14ac:dyDescent="0.2">
      <c r="A95" s="111"/>
      <c r="B95" s="34" t="s">
        <v>76</v>
      </c>
      <c r="C95" s="35" t="s">
        <v>194</v>
      </c>
      <c r="D95" s="22">
        <v>29</v>
      </c>
      <c r="E95" s="22">
        <v>13</v>
      </c>
      <c r="F95" s="22">
        <v>16</v>
      </c>
      <c r="G95" s="22">
        <v>0</v>
      </c>
      <c r="H95" s="22">
        <v>8</v>
      </c>
      <c r="I95" s="22">
        <v>11</v>
      </c>
      <c r="J95" s="22">
        <v>1</v>
      </c>
      <c r="K95" s="22">
        <v>1</v>
      </c>
      <c r="L95" s="22">
        <v>0</v>
      </c>
      <c r="M95" s="22">
        <v>0</v>
      </c>
      <c r="N95" s="22">
        <v>3</v>
      </c>
      <c r="O95" s="22">
        <v>0</v>
      </c>
      <c r="P95" s="22">
        <v>2</v>
      </c>
      <c r="Q95" s="22">
        <v>1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1</v>
      </c>
      <c r="AF95" s="22">
        <v>0</v>
      </c>
      <c r="AG95" s="22">
        <v>0</v>
      </c>
      <c r="AH95" s="22">
        <v>1</v>
      </c>
      <c r="AI95" s="22">
        <v>0</v>
      </c>
      <c r="AJ95" s="22">
        <v>0</v>
      </c>
    </row>
    <row r="96" spans="1:36" s="23" customFormat="1" ht="15" hidden="1" customHeight="1" x14ac:dyDescent="0.2">
      <c r="A96" s="56" t="s">
        <v>128</v>
      </c>
      <c r="B96" s="29" t="s">
        <v>74</v>
      </c>
      <c r="C96" s="30" t="s">
        <v>0</v>
      </c>
      <c r="D96" s="31">
        <v>344</v>
      </c>
      <c r="E96" s="31">
        <v>240</v>
      </c>
      <c r="F96" s="31">
        <v>104</v>
      </c>
      <c r="G96" s="31">
        <v>0</v>
      </c>
      <c r="H96" s="31">
        <v>108</v>
      </c>
      <c r="I96" s="31">
        <v>72</v>
      </c>
      <c r="J96" s="31">
        <v>7</v>
      </c>
      <c r="K96" s="31">
        <v>3</v>
      </c>
      <c r="L96" s="31">
        <v>0</v>
      </c>
      <c r="M96" s="31">
        <v>5</v>
      </c>
      <c r="N96" s="31">
        <v>4</v>
      </c>
      <c r="O96" s="31">
        <v>0</v>
      </c>
      <c r="P96" s="31">
        <v>9</v>
      </c>
      <c r="Q96" s="31">
        <v>3</v>
      </c>
      <c r="R96" s="31">
        <v>0</v>
      </c>
      <c r="S96" s="31">
        <v>15</v>
      </c>
      <c r="T96" s="31">
        <v>2</v>
      </c>
      <c r="U96" s="31">
        <v>0</v>
      </c>
      <c r="V96" s="31">
        <v>4</v>
      </c>
      <c r="W96" s="31">
        <v>2</v>
      </c>
      <c r="X96" s="31">
        <v>0</v>
      </c>
      <c r="Y96" s="31">
        <v>5</v>
      </c>
      <c r="Z96" s="31">
        <v>2</v>
      </c>
      <c r="AA96" s="31">
        <v>0</v>
      </c>
      <c r="AB96" s="31">
        <v>0</v>
      </c>
      <c r="AC96" s="31">
        <v>4</v>
      </c>
      <c r="AD96" s="31">
        <v>0</v>
      </c>
      <c r="AE96" s="31">
        <v>71</v>
      </c>
      <c r="AF96" s="31">
        <v>10</v>
      </c>
      <c r="AG96" s="31">
        <v>0</v>
      </c>
      <c r="AH96" s="31">
        <v>16</v>
      </c>
      <c r="AI96" s="31">
        <v>2</v>
      </c>
      <c r="AJ96" s="31">
        <v>0</v>
      </c>
    </row>
    <row r="97" spans="1:36" s="23" customFormat="1" ht="15" hidden="1" customHeight="1" x14ac:dyDescent="0.2">
      <c r="A97" s="110" t="s">
        <v>6</v>
      </c>
      <c r="B97" s="32" t="s">
        <v>75</v>
      </c>
      <c r="C97" s="33" t="s">
        <v>2</v>
      </c>
      <c r="D97" s="22">
        <v>340</v>
      </c>
      <c r="E97" s="22">
        <v>237</v>
      </c>
      <c r="F97" s="22">
        <v>103</v>
      </c>
      <c r="G97" s="22">
        <v>0</v>
      </c>
      <c r="H97" s="22">
        <v>105</v>
      </c>
      <c r="I97" s="22">
        <v>71</v>
      </c>
      <c r="J97" s="22">
        <v>7</v>
      </c>
      <c r="K97" s="22">
        <v>3</v>
      </c>
      <c r="L97" s="22">
        <v>0</v>
      </c>
      <c r="M97" s="22">
        <v>5</v>
      </c>
      <c r="N97" s="22">
        <v>4</v>
      </c>
      <c r="O97" s="22">
        <v>0</v>
      </c>
      <c r="P97" s="22">
        <v>9</v>
      </c>
      <c r="Q97" s="22">
        <v>3</v>
      </c>
      <c r="R97" s="22">
        <v>0</v>
      </c>
      <c r="S97" s="22">
        <v>15</v>
      </c>
      <c r="T97" s="22">
        <v>2</v>
      </c>
      <c r="U97" s="22">
        <v>0</v>
      </c>
      <c r="V97" s="22">
        <v>4</v>
      </c>
      <c r="W97" s="22">
        <v>2</v>
      </c>
      <c r="X97" s="22">
        <v>0</v>
      </c>
      <c r="Y97" s="22">
        <v>5</v>
      </c>
      <c r="Z97" s="22">
        <v>2</v>
      </c>
      <c r="AA97" s="22">
        <v>0</v>
      </c>
      <c r="AB97" s="22">
        <v>0</v>
      </c>
      <c r="AC97" s="22">
        <v>4</v>
      </c>
      <c r="AD97" s="22">
        <v>0</v>
      </c>
      <c r="AE97" s="22">
        <v>71</v>
      </c>
      <c r="AF97" s="22">
        <v>10</v>
      </c>
      <c r="AG97" s="22">
        <v>0</v>
      </c>
      <c r="AH97" s="22">
        <v>16</v>
      </c>
      <c r="AI97" s="22">
        <v>2</v>
      </c>
      <c r="AJ97" s="22">
        <v>0</v>
      </c>
    </row>
    <row r="98" spans="1:36" s="23" customFormat="1" ht="15" hidden="1" customHeight="1" x14ac:dyDescent="0.2">
      <c r="A98" s="111"/>
      <c r="B98" s="34" t="s">
        <v>76</v>
      </c>
      <c r="C98" s="35" t="s">
        <v>194</v>
      </c>
      <c r="D98" s="22">
        <v>4</v>
      </c>
      <c r="E98" s="22">
        <v>3</v>
      </c>
      <c r="F98" s="22">
        <v>1</v>
      </c>
      <c r="G98" s="22">
        <v>0</v>
      </c>
      <c r="H98" s="22">
        <v>3</v>
      </c>
      <c r="I98" s="22">
        <v>1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</row>
    <row r="99" spans="1:36" s="23" customFormat="1" ht="15" hidden="1" customHeight="1" x14ac:dyDescent="0.2">
      <c r="A99" s="56" t="s">
        <v>130</v>
      </c>
      <c r="B99" s="29" t="s">
        <v>74</v>
      </c>
      <c r="C99" s="30" t="s">
        <v>0</v>
      </c>
      <c r="D99" s="31">
        <v>568</v>
      </c>
      <c r="E99" s="31">
        <v>347</v>
      </c>
      <c r="F99" s="31">
        <v>220</v>
      </c>
      <c r="G99" s="31">
        <v>1</v>
      </c>
      <c r="H99" s="31">
        <v>145</v>
      </c>
      <c r="I99" s="31">
        <v>158</v>
      </c>
      <c r="J99" s="31">
        <v>10</v>
      </c>
      <c r="K99" s="31">
        <v>5</v>
      </c>
      <c r="L99" s="31">
        <v>0</v>
      </c>
      <c r="M99" s="31">
        <v>8</v>
      </c>
      <c r="N99" s="31">
        <v>16</v>
      </c>
      <c r="O99" s="31">
        <v>0</v>
      </c>
      <c r="P99" s="31">
        <v>11</v>
      </c>
      <c r="Q99" s="31">
        <v>3</v>
      </c>
      <c r="R99" s="31">
        <v>0</v>
      </c>
      <c r="S99" s="31">
        <v>12</v>
      </c>
      <c r="T99" s="31">
        <v>10</v>
      </c>
      <c r="U99" s="31">
        <v>0</v>
      </c>
      <c r="V99" s="31">
        <v>5</v>
      </c>
      <c r="W99" s="31">
        <v>0</v>
      </c>
      <c r="X99" s="31">
        <v>0</v>
      </c>
      <c r="Y99" s="31">
        <v>11</v>
      </c>
      <c r="Z99" s="31">
        <v>2</v>
      </c>
      <c r="AA99" s="31">
        <v>0</v>
      </c>
      <c r="AB99" s="31">
        <v>0</v>
      </c>
      <c r="AC99" s="31">
        <v>0</v>
      </c>
      <c r="AD99" s="31">
        <v>0</v>
      </c>
      <c r="AE99" s="31">
        <v>102</v>
      </c>
      <c r="AF99" s="31">
        <v>18</v>
      </c>
      <c r="AG99" s="31">
        <v>0</v>
      </c>
      <c r="AH99" s="31">
        <v>43</v>
      </c>
      <c r="AI99" s="31">
        <v>8</v>
      </c>
      <c r="AJ99" s="31">
        <v>1</v>
      </c>
    </row>
    <row r="100" spans="1:36" s="23" customFormat="1" ht="15" hidden="1" customHeight="1" x14ac:dyDescent="0.2">
      <c r="A100" s="110" t="s">
        <v>7</v>
      </c>
      <c r="B100" s="32" t="s">
        <v>75</v>
      </c>
      <c r="C100" s="33" t="s">
        <v>2</v>
      </c>
      <c r="D100" s="22">
        <v>543</v>
      </c>
      <c r="E100" s="22">
        <v>333</v>
      </c>
      <c r="F100" s="22">
        <v>209</v>
      </c>
      <c r="G100" s="22">
        <v>1</v>
      </c>
      <c r="H100" s="22">
        <v>136</v>
      </c>
      <c r="I100" s="22">
        <v>151</v>
      </c>
      <c r="J100" s="22">
        <v>10</v>
      </c>
      <c r="K100" s="22">
        <v>4</v>
      </c>
      <c r="L100" s="22">
        <v>0</v>
      </c>
      <c r="M100" s="22">
        <v>8</v>
      </c>
      <c r="N100" s="22">
        <v>16</v>
      </c>
      <c r="O100" s="22">
        <v>0</v>
      </c>
      <c r="P100" s="22">
        <v>10</v>
      </c>
      <c r="Q100" s="22">
        <v>2</v>
      </c>
      <c r="R100" s="22">
        <v>0</v>
      </c>
      <c r="S100" s="22">
        <v>12</v>
      </c>
      <c r="T100" s="22">
        <v>9</v>
      </c>
      <c r="U100" s="22">
        <v>0</v>
      </c>
      <c r="V100" s="22">
        <v>5</v>
      </c>
      <c r="W100" s="22">
        <v>0</v>
      </c>
      <c r="X100" s="22">
        <v>0</v>
      </c>
      <c r="Y100" s="22">
        <v>10</v>
      </c>
      <c r="Z100" s="22">
        <v>2</v>
      </c>
      <c r="AA100" s="22">
        <v>0</v>
      </c>
      <c r="AB100" s="22">
        <v>0</v>
      </c>
      <c r="AC100" s="22">
        <v>0</v>
      </c>
      <c r="AD100" s="22">
        <v>0</v>
      </c>
      <c r="AE100" s="22">
        <v>99</v>
      </c>
      <c r="AF100" s="22">
        <v>18</v>
      </c>
      <c r="AG100" s="22">
        <v>0</v>
      </c>
      <c r="AH100" s="22">
        <v>43</v>
      </c>
      <c r="AI100" s="22">
        <v>7</v>
      </c>
      <c r="AJ100" s="22">
        <v>1</v>
      </c>
    </row>
    <row r="101" spans="1:36" s="23" customFormat="1" ht="15" hidden="1" customHeight="1" x14ac:dyDescent="0.2">
      <c r="A101" s="111"/>
      <c r="B101" s="34" t="s">
        <v>76</v>
      </c>
      <c r="C101" s="35" t="s">
        <v>194</v>
      </c>
      <c r="D101" s="22">
        <v>25</v>
      </c>
      <c r="E101" s="22">
        <v>14</v>
      </c>
      <c r="F101" s="22">
        <v>11</v>
      </c>
      <c r="G101" s="22">
        <v>0</v>
      </c>
      <c r="H101" s="22">
        <v>9</v>
      </c>
      <c r="I101" s="22">
        <v>7</v>
      </c>
      <c r="J101" s="22">
        <v>0</v>
      </c>
      <c r="K101" s="22">
        <v>1</v>
      </c>
      <c r="L101" s="22">
        <v>0</v>
      </c>
      <c r="M101" s="22">
        <v>0</v>
      </c>
      <c r="N101" s="22">
        <v>0</v>
      </c>
      <c r="O101" s="22">
        <v>0</v>
      </c>
      <c r="P101" s="22">
        <v>1</v>
      </c>
      <c r="Q101" s="22">
        <v>1</v>
      </c>
      <c r="R101" s="22">
        <v>0</v>
      </c>
      <c r="S101" s="22">
        <v>0</v>
      </c>
      <c r="T101" s="22">
        <v>1</v>
      </c>
      <c r="U101" s="22">
        <v>0</v>
      </c>
      <c r="V101" s="22">
        <v>0</v>
      </c>
      <c r="W101" s="22">
        <v>0</v>
      </c>
      <c r="X101" s="22">
        <v>0</v>
      </c>
      <c r="Y101" s="22">
        <v>1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3</v>
      </c>
      <c r="AF101" s="22">
        <v>0</v>
      </c>
      <c r="AG101" s="22">
        <v>0</v>
      </c>
      <c r="AH101" s="22">
        <v>0</v>
      </c>
      <c r="AI101" s="22">
        <v>1</v>
      </c>
      <c r="AJ101" s="22">
        <v>0</v>
      </c>
    </row>
    <row r="102" spans="1:36" s="23" customFormat="1" ht="15" hidden="1" customHeight="1" x14ac:dyDescent="0.2">
      <c r="A102" s="26" t="s">
        <v>57</v>
      </c>
      <c r="B102" s="29" t="s">
        <v>74</v>
      </c>
      <c r="C102" s="30" t="s">
        <v>0</v>
      </c>
      <c r="D102" s="31">
        <v>65</v>
      </c>
      <c r="E102" s="31">
        <v>51</v>
      </c>
      <c r="F102" s="31">
        <v>14</v>
      </c>
      <c r="G102" s="31">
        <v>0</v>
      </c>
      <c r="H102" s="31">
        <v>17</v>
      </c>
      <c r="I102" s="31">
        <v>11</v>
      </c>
      <c r="J102" s="31">
        <v>0</v>
      </c>
      <c r="K102" s="31">
        <v>1</v>
      </c>
      <c r="L102" s="31">
        <v>0</v>
      </c>
      <c r="M102" s="31">
        <v>0</v>
      </c>
      <c r="N102" s="31">
        <v>0</v>
      </c>
      <c r="O102" s="31">
        <v>0</v>
      </c>
      <c r="P102" s="31">
        <v>2</v>
      </c>
      <c r="Q102" s="31">
        <v>0</v>
      </c>
      <c r="R102" s="31">
        <v>0</v>
      </c>
      <c r="S102" s="31">
        <v>3</v>
      </c>
      <c r="T102" s="31">
        <v>0</v>
      </c>
      <c r="U102" s="31">
        <v>0</v>
      </c>
      <c r="V102" s="31">
        <v>1</v>
      </c>
      <c r="W102" s="31">
        <v>0</v>
      </c>
      <c r="X102" s="31">
        <v>0</v>
      </c>
      <c r="Y102" s="31">
        <v>2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26</v>
      </c>
      <c r="AF102" s="31">
        <v>2</v>
      </c>
      <c r="AG102" s="31">
        <v>0</v>
      </c>
      <c r="AH102" s="31">
        <v>0</v>
      </c>
      <c r="AI102" s="31">
        <v>0</v>
      </c>
      <c r="AJ102" s="31">
        <v>0</v>
      </c>
    </row>
    <row r="103" spans="1:36" s="23" customFormat="1" ht="15" hidden="1" customHeight="1" x14ac:dyDescent="0.2">
      <c r="A103" s="25" t="s">
        <v>8</v>
      </c>
      <c r="B103" s="32" t="s">
        <v>75</v>
      </c>
      <c r="C103" s="33" t="s">
        <v>2</v>
      </c>
      <c r="D103" s="22">
        <v>58</v>
      </c>
      <c r="E103" s="22">
        <v>46</v>
      </c>
      <c r="F103" s="22">
        <v>12</v>
      </c>
      <c r="G103" s="22">
        <v>0</v>
      </c>
      <c r="H103" s="22">
        <v>16</v>
      </c>
      <c r="I103" s="22">
        <v>9</v>
      </c>
      <c r="J103" s="22">
        <v>0</v>
      </c>
      <c r="K103" s="22">
        <v>1</v>
      </c>
      <c r="L103" s="22">
        <v>0</v>
      </c>
      <c r="M103" s="22">
        <v>0</v>
      </c>
      <c r="N103" s="22">
        <v>0</v>
      </c>
      <c r="O103" s="22">
        <v>0</v>
      </c>
      <c r="P103" s="22">
        <v>2</v>
      </c>
      <c r="Q103" s="22">
        <v>0</v>
      </c>
      <c r="R103" s="22">
        <v>0</v>
      </c>
      <c r="S103" s="22">
        <v>2</v>
      </c>
      <c r="T103" s="22">
        <v>0</v>
      </c>
      <c r="U103" s="22">
        <v>0</v>
      </c>
      <c r="V103" s="22">
        <v>1</v>
      </c>
      <c r="W103" s="22">
        <v>0</v>
      </c>
      <c r="X103" s="22">
        <v>0</v>
      </c>
      <c r="Y103" s="22">
        <v>2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23</v>
      </c>
      <c r="AF103" s="22">
        <v>2</v>
      </c>
      <c r="AG103" s="22">
        <v>0</v>
      </c>
      <c r="AH103" s="22">
        <v>0</v>
      </c>
      <c r="AI103" s="22">
        <v>0</v>
      </c>
      <c r="AJ103" s="22">
        <v>0</v>
      </c>
    </row>
    <row r="104" spans="1:36" s="23" customFormat="1" ht="15" hidden="1" customHeight="1" x14ac:dyDescent="0.2">
      <c r="A104" s="24"/>
      <c r="B104" s="34" t="s">
        <v>76</v>
      </c>
      <c r="C104" s="35" t="s">
        <v>194</v>
      </c>
      <c r="D104" s="22">
        <v>7</v>
      </c>
      <c r="E104" s="22">
        <v>5</v>
      </c>
      <c r="F104" s="22">
        <v>2</v>
      </c>
      <c r="G104" s="22">
        <v>0</v>
      </c>
      <c r="H104" s="22">
        <v>1</v>
      </c>
      <c r="I104" s="22">
        <v>2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1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3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</row>
    <row r="105" spans="1:36" s="23" customFormat="1" ht="15" hidden="1" customHeight="1" x14ac:dyDescent="0.2">
      <c r="A105" s="26" t="s">
        <v>58</v>
      </c>
      <c r="B105" s="29" t="s">
        <v>74</v>
      </c>
      <c r="C105" s="30" t="s">
        <v>0</v>
      </c>
      <c r="D105" s="31">
        <v>129</v>
      </c>
      <c r="E105" s="31">
        <v>89</v>
      </c>
      <c r="F105" s="31">
        <v>37</v>
      </c>
      <c r="G105" s="31">
        <v>3</v>
      </c>
      <c r="H105" s="31">
        <v>28</v>
      </c>
      <c r="I105" s="31">
        <v>22</v>
      </c>
      <c r="J105" s="31">
        <v>4</v>
      </c>
      <c r="K105" s="31">
        <v>0</v>
      </c>
      <c r="L105" s="31">
        <v>0</v>
      </c>
      <c r="M105" s="31">
        <v>3</v>
      </c>
      <c r="N105" s="31">
        <v>7</v>
      </c>
      <c r="O105" s="31">
        <v>0</v>
      </c>
      <c r="P105" s="31">
        <v>7</v>
      </c>
      <c r="Q105" s="31">
        <v>0</v>
      </c>
      <c r="R105" s="31">
        <v>0</v>
      </c>
      <c r="S105" s="31">
        <v>2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4</v>
      </c>
      <c r="Z105" s="31">
        <v>2</v>
      </c>
      <c r="AA105" s="31">
        <v>0</v>
      </c>
      <c r="AB105" s="31">
        <v>0</v>
      </c>
      <c r="AC105" s="31">
        <v>1</v>
      </c>
      <c r="AD105" s="31">
        <v>0</v>
      </c>
      <c r="AE105" s="31">
        <v>10</v>
      </c>
      <c r="AF105" s="31">
        <v>2</v>
      </c>
      <c r="AG105" s="31">
        <v>0</v>
      </c>
      <c r="AH105" s="31">
        <v>31</v>
      </c>
      <c r="AI105" s="31">
        <v>3</v>
      </c>
      <c r="AJ105" s="31">
        <v>3</v>
      </c>
    </row>
    <row r="106" spans="1:36" s="23" customFormat="1" ht="15" hidden="1" customHeight="1" x14ac:dyDescent="0.2">
      <c r="A106" s="110" t="s">
        <v>9</v>
      </c>
      <c r="B106" s="32" t="s">
        <v>75</v>
      </c>
      <c r="C106" s="33" t="s">
        <v>2</v>
      </c>
      <c r="D106" s="22">
        <v>108</v>
      </c>
      <c r="E106" s="22">
        <v>76</v>
      </c>
      <c r="F106" s="22">
        <v>29</v>
      </c>
      <c r="G106" s="22">
        <v>3</v>
      </c>
      <c r="H106" s="22">
        <v>25</v>
      </c>
      <c r="I106" s="22">
        <v>16</v>
      </c>
      <c r="J106" s="22">
        <v>3</v>
      </c>
      <c r="K106" s="22">
        <v>0</v>
      </c>
      <c r="L106" s="22">
        <v>0</v>
      </c>
      <c r="M106" s="22">
        <v>2</v>
      </c>
      <c r="N106" s="22">
        <v>6</v>
      </c>
      <c r="O106" s="22">
        <v>0</v>
      </c>
      <c r="P106" s="22">
        <v>3</v>
      </c>
      <c r="Q106" s="22">
        <v>0</v>
      </c>
      <c r="R106" s="22">
        <v>0</v>
      </c>
      <c r="S106" s="22">
        <v>2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4</v>
      </c>
      <c r="Z106" s="22">
        <v>1</v>
      </c>
      <c r="AA106" s="22">
        <v>0</v>
      </c>
      <c r="AB106" s="22">
        <v>0</v>
      </c>
      <c r="AC106" s="22">
        <v>1</v>
      </c>
      <c r="AD106" s="22">
        <v>0</v>
      </c>
      <c r="AE106" s="22">
        <v>6</v>
      </c>
      <c r="AF106" s="22">
        <v>2</v>
      </c>
      <c r="AG106" s="22">
        <v>0</v>
      </c>
      <c r="AH106" s="22">
        <v>31</v>
      </c>
      <c r="AI106" s="22">
        <v>3</v>
      </c>
      <c r="AJ106" s="22">
        <v>3</v>
      </c>
    </row>
    <row r="107" spans="1:36" s="23" customFormat="1" ht="15" hidden="1" customHeight="1" x14ac:dyDescent="0.2">
      <c r="A107" s="111"/>
      <c r="B107" s="34" t="s">
        <v>76</v>
      </c>
      <c r="C107" s="35" t="s">
        <v>194</v>
      </c>
      <c r="D107" s="22">
        <v>21</v>
      </c>
      <c r="E107" s="22">
        <v>13</v>
      </c>
      <c r="F107" s="22">
        <v>8</v>
      </c>
      <c r="G107" s="22">
        <v>0</v>
      </c>
      <c r="H107" s="22">
        <v>3</v>
      </c>
      <c r="I107" s="22">
        <v>6</v>
      </c>
      <c r="J107" s="22">
        <v>1</v>
      </c>
      <c r="K107" s="22">
        <v>0</v>
      </c>
      <c r="L107" s="22">
        <v>0</v>
      </c>
      <c r="M107" s="22">
        <v>1</v>
      </c>
      <c r="N107" s="22">
        <v>1</v>
      </c>
      <c r="O107" s="22">
        <v>0</v>
      </c>
      <c r="P107" s="22">
        <v>4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1</v>
      </c>
      <c r="AA107" s="22">
        <v>0</v>
      </c>
      <c r="AB107" s="22">
        <v>0</v>
      </c>
      <c r="AC107" s="22">
        <v>0</v>
      </c>
      <c r="AD107" s="22">
        <v>0</v>
      </c>
      <c r="AE107" s="22">
        <v>4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</row>
    <row r="108" spans="1:36" s="23" customFormat="1" ht="15" hidden="1" customHeight="1" x14ac:dyDescent="0.2">
      <c r="A108" s="26" t="s">
        <v>59</v>
      </c>
      <c r="B108" s="29" t="s">
        <v>74</v>
      </c>
      <c r="C108" s="30" t="s">
        <v>0</v>
      </c>
      <c r="D108" s="31">
        <v>65</v>
      </c>
      <c r="E108" s="31">
        <v>51</v>
      </c>
      <c r="F108" s="31">
        <v>14</v>
      </c>
      <c r="G108" s="31">
        <v>0</v>
      </c>
      <c r="H108" s="31">
        <v>6</v>
      </c>
      <c r="I108" s="31">
        <v>11</v>
      </c>
      <c r="J108" s="31">
        <v>2</v>
      </c>
      <c r="K108" s="31">
        <v>0</v>
      </c>
      <c r="L108" s="31">
        <v>0</v>
      </c>
      <c r="M108" s="31">
        <v>0</v>
      </c>
      <c r="N108" s="31">
        <v>1</v>
      </c>
      <c r="O108" s="31">
        <v>0</v>
      </c>
      <c r="P108" s="31">
        <v>5</v>
      </c>
      <c r="Q108" s="31">
        <v>0</v>
      </c>
      <c r="R108" s="31">
        <v>0</v>
      </c>
      <c r="S108" s="31">
        <v>1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4</v>
      </c>
      <c r="Z108" s="31">
        <v>1</v>
      </c>
      <c r="AA108" s="31">
        <v>0</v>
      </c>
      <c r="AB108" s="31">
        <v>0</v>
      </c>
      <c r="AC108" s="31">
        <v>0</v>
      </c>
      <c r="AD108" s="31">
        <v>0</v>
      </c>
      <c r="AE108" s="31">
        <v>26</v>
      </c>
      <c r="AF108" s="31">
        <v>0</v>
      </c>
      <c r="AG108" s="31">
        <v>0</v>
      </c>
      <c r="AH108" s="31">
        <v>7</v>
      </c>
      <c r="AI108" s="31">
        <v>1</v>
      </c>
      <c r="AJ108" s="31">
        <v>0</v>
      </c>
    </row>
    <row r="109" spans="1:36" s="23" customFormat="1" ht="15" hidden="1" customHeight="1" x14ac:dyDescent="0.2">
      <c r="A109" s="110" t="s">
        <v>10</v>
      </c>
      <c r="B109" s="32" t="s">
        <v>75</v>
      </c>
      <c r="C109" s="33" t="s">
        <v>2</v>
      </c>
      <c r="D109" s="22">
        <v>59</v>
      </c>
      <c r="E109" s="22">
        <v>45</v>
      </c>
      <c r="F109" s="22">
        <v>14</v>
      </c>
      <c r="G109" s="22">
        <v>0</v>
      </c>
      <c r="H109" s="22">
        <v>5</v>
      </c>
      <c r="I109" s="22">
        <v>11</v>
      </c>
      <c r="J109" s="22">
        <v>2</v>
      </c>
      <c r="K109" s="22">
        <v>0</v>
      </c>
      <c r="L109" s="22">
        <v>0</v>
      </c>
      <c r="M109" s="22">
        <v>0</v>
      </c>
      <c r="N109" s="22">
        <v>1</v>
      </c>
      <c r="O109" s="22">
        <v>0</v>
      </c>
      <c r="P109" s="22">
        <v>4</v>
      </c>
      <c r="Q109" s="22">
        <v>0</v>
      </c>
      <c r="R109" s="22">
        <v>0</v>
      </c>
      <c r="S109" s="22">
        <v>1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4</v>
      </c>
      <c r="Z109" s="22">
        <v>1</v>
      </c>
      <c r="AA109" s="22">
        <v>0</v>
      </c>
      <c r="AB109" s="22">
        <v>0</v>
      </c>
      <c r="AC109" s="22">
        <v>0</v>
      </c>
      <c r="AD109" s="22">
        <v>0</v>
      </c>
      <c r="AE109" s="22">
        <v>22</v>
      </c>
      <c r="AF109" s="22">
        <v>0</v>
      </c>
      <c r="AG109" s="22">
        <v>0</v>
      </c>
      <c r="AH109" s="22">
        <v>7</v>
      </c>
      <c r="AI109" s="22">
        <v>1</v>
      </c>
      <c r="AJ109" s="22">
        <v>0</v>
      </c>
    </row>
    <row r="110" spans="1:36" s="23" customFormat="1" ht="15" hidden="1" customHeight="1" x14ac:dyDescent="0.2">
      <c r="A110" s="111"/>
      <c r="B110" s="34" t="s">
        <v>76</v>
      </c>
      <c r="C110" s="35" t="s">
        <v>194</v>
      </c>
      <c r="D110" s="22">
        <v>6</v>
      </c>
      <c r="E110" s="22">
        <v>6</v>
      </c>
      <c r="F110" s="22">
        <v>0</v>
      </c>
      <c r="G110" s="22">
        <v>0</v>
      </c>
      <c r="H110" s="22">
        <v>1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1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4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</row>
    <row r="111" spans="1:36" s="23" customFormat="1" ht="15" hidden="1" customHeight="1" x14ac:dyDescent="0.2">
      <c r="A111" s="26" t="s">
        <v>60</v>
      </c>
      <c r="B111" s="29" t="s">
        <v>74</v>
      </c>
      <c r="C111" s="30" t="s">
        <v>0</v>
      </c>
      <c r="D111" s="31">
        <v>198</v>
      </c>
      <c r="E111" s="31">
        <v>137</v>
      </c>
      <c r="F111" s="31">
        <v>59</v>
      </c>
      <c r="G111" s="31">
        <v>2</v>
      </c>
      <c r="H111" s="31">
        <v>54</v>
      </c>
      <c r="I111" s="31">
        <v>38</v>
      </c>
      <c r="J111" s="31">
        <v>1</v>
      </c>
      <c r="K111" s="31">
        <v>0</v>
      </c>
      <c r="L111" s="31">
        <v>0</v>
      </c>
      <c r="M111" s="31">
        <v>6</v>
      </c>
      <c r="N111" s="31">
        <v>2</v>
      </c>
      <c r="O111" s="31">
        <v>0</v>
      </c>
      <c r="P111" s="31">
        <v>7</v>
      </c>
      <c r="Q111" s="31">
        <v>1</v>
      </c>
      <c r="R111" s="31">
        <v>0</v>
      </c>
      <c r="S111" s="31">
        <v>6</v>
      </c>
      <c r="T111" s="31">
        <v>1</v>
      </c>
      <c r="U111" s="31">
        <v>0</v>
      </c>
      <c r="V111" s="31">
        <v>4</v>
      </c>
      <c r="W111" s="31">
        <v>0</v>
      </c>
      <c r="X111" s="31">
        <v>0</v>
      </c>
      <c r="Y111" s="31">
        <v>3</v>
      </c>
      <c r="Z111" s="31">
        <v>0</v>
      </c>
      <c r="AA111" s="31">
        <v>0</v>
      </c>
      <c r="AB111" s="31">
        <v>0</v>
      </c>
      <c r="AC111" s="31">
        <v>2</v>
      </c>
      <c r="AD111" s="31">
        <v>0</v>
      </c>
      <c r="AE111" s="31">
        <v>30</v>
      </c>
      <c r="AF111" s="31">
        <v>12</v>
      </c>
      <c r="AG111" s="31">
        <v>0</v>
      </c>
      <c r="AH111" s="31">
        <v>26</v>
      </c>
      <c r="AI111" s="31">
        <v>3</v>
      </c>
      <c r="AJ111" s="31">
        <v>2</v>
      </c>
    </row>
    <row r="112" spans="1:36" s="23" customFormat="1" ht="15" hidden="1" customHeight="1" x14ac:dyDescent="0.2">
      <c r="A112" s="110" t="s">
        <v>11</v>
      </c>
      <c r="B112" s="32" t="s">
        <v>75</v>
      </c>
      <c r="C112" s="33" t="s">
        <v>2</v>
      </c>
      <c r="D112" s="22">
        <v>197</v>
      </c>
      <c r="E112" s="22">
        <v>136</v>
      </c>
      <c r="F112" s="22">
        <v>59</v>
      </c>
      <c r="G112" s="22">
        <v>2</v>
      </c>
      <c r="H112" s="22">
        <v>53</v>
      </c>
      <c r="I112" s="22">
        <v>38</v>
      </c>
      <c r="J112" s="22">
        <v>1</v>
      </c>
      <c r="K112" s="22">
        <v>0</v>
      </c>
      <c r="L112" s="22">
        <v>0</v>
      </c>
      <c r="M112" s="22">
        <v>6</v>
      </c>
      <c r="N112" s="22">
        <v>2</v>
      </c>
      <c r="O112" s="22">
        <v>0</v>
      </c>
      <c r="P112" s="22">
        <v>7</v>
      </c>
      <c r="Q112" s="22">
        <v>1</v>
      </c>
      <c r="R112" s="22">
        <v>0</v>
      </c>
      <c r="S112" s="22">
        <v>6</v>
      </c>
      <c r="T112" s="22">
        <v>1</v>
      </c>
      <c r="U112" s="22">
        <v>0</v>
      </c>
      <c r="V112" s="22">
        <v>4</v>
      </c>
      <c r="W112" s="22">
        <v>0</v>
      </c>
      <c r="X112" s="22">
        <v>0</v>
      </c>
      <c r="Y112" s="22">
        <v>3</v>
      </c>
      <c r="Z112" s="22">
        <v>0</v>
      </c>
      <c r="AA112" s="22">
        <v>0</v>
      </c>
      <c r="AB112" s="22">
        <v>0</v>
      </c>
      <c r="AC112" s="22">
        <v>2</v>
      </c>
      <c r="AD112" s="22">
        <v>0</v>
      </c>
      <c r="AE112" s="22">
        <v>30</v>
      </c>
      <c r="AF112" s="22">
        <v>12</v>
      </c>
      <c r="AG112" s="22">
        <v>0</v>
      </c>
      <c r="AH112" s="22">
        <v>26</v>
      </c>
      <c r="AI112" s="22">
        <v>3</v>
      </c>
      <c r="AJ112" s="22">
        <v>2</v>
      </c>
    </row>
    <row r="113" spans="1:36" s="23" customFormat="1" ht="15" hidden="1" customHeight="1" x14ac:dyDescent="0.2">
      <c r="A113" s="111"/>
      <c r="B113" s="34" t="s">
        <v>76</v>
      </c>
      <c r="C113" s="35" t="s">
        <v>194</v>
      </c>
      <c r="D113" s="22">
        <v>1</v>
      </c>
      <c r="E113" s="22">
        <v>1</v>
      </c>
      <c r="F113" s="22">
        <v>0</v>
      </c>
      <c r="G113" s="22">
        <v>0</v>
      </c>
      <c r="H113" s="22">
        <v>1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</row>
    <row r="114" spans="1:36" s="23" customFormat="1" ht="15" hidden="1" customHeight="1" x14ac:dyDescent="0.2">
      <c r="A114" s="26" t="s">
        <v>61</v>
      </c>
      <c r="B114" s="29" t="s">
        <v>74</v>
      </c>
      <c r="C114" s="30" t="s">
        <v>0</v>
      </c>
      <c r="D114" s="31">
        <v>90</v>
      </c>
      <c r="E114" s="31">
        <v>66</v>
      </c>
      <c r="F114" s="31">
        <v>23</v>
      </c>
      <c r="G114" s="31">
        <v>1</v>
      </c>
      <c r="H114" s="31">
        <v>34</v>
      </c>
      <c r="I114" s="31">
        <v>20</v>
      </c>
      <c r="J114" s="31">
        <v>2</v>
      </c>
      <c r="K114" s="31">
        <v>0</v>
      </c>
      <c r="L114" s="31">
        <v>0</v>
      </c>
      <c r="M114" s="31">
        <v>0</v>
      </c>
      <c r="N114" s="31">
        <v>0</v>
      </c>
      <c r="O114" s="31">
        <v>0</v>
      </c>
      <c r="P114" s="31">
        <v>2</v>
      </c>
      <c r="Q114" s="31">
        <v>1</v>
      </c>
      <c r="R114" s="31">
        <v>0</v>
      </c>
      <c r="S114" s="31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3</v>
      </c>
      <c r="Z114" s="31">
        <v>0</v>
      </c>
      <c r="AA114" s="31">
        <v>0</v>
      </c>
      <c r="AB114" s="31">
        <v>0</v>
      </c>
      <c r="AC114" s="31">
        <v>0</v>
      </c>
      <c r="AD114" s="31">
        <v>0</v>
      </c>
      <c r="AE114" s="31">
        <v>11</v>
      </c>
      <c r="AF114" s="31">
        <v>0</v>
      </c>
      <c r="AG114" s="31">
        <v>0</v>
      </c>
      <c r="AH114" s="31">
        <v>14</v>
      </c>
      <c r="AI114" s="31">
        <v>2</v>
      </c>
      <c r="AJ114" s="31">
        <v>1</v>
      </c>
    </row>
    <row r="115" spans="1:36" s="23" customFormat="1" ht="15" hidden="1" customHeight="1" x14ac:dyDescent="0.2">
      <c r="A115" s="110" t="s">
        <v>12</v>
      </c>
      <c r="B115" s="32" t="s">
        <v>75</v>
      </c>
      <c r="C115" s="33" t="s">
        <v>2</v>
      </c>
      <c r="D115" s="22">
        <v>71</v>
      </c>
      <c r="E115" s="22">
        <v>55</v>
      </c>
      <c r="F115" s="22">
        <v>15</v>
      </c>
      <c r="G115" s="22">
        <v>1</v>
      </c>
      <c r="H115" s="22">
        <v>25</v>
      </c>
      <c r="I115" s="22">
        <v>13</v>
      </c>
      <c r="J115" s="22">
        <v>2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2</v>
      </c>
      <c r="Q115" s="22">
        <v>1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3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10</v>
      </c>
      <c r="AF115" s="22">
        <v>0</v>
      </c>
      <c r="AG115" s="22">
        <v>0</v>
      </c>
      <c r="AH115" s="22">
        <v>13</v>
      </c>
      <c r="AI115" s="22">
        <v>1</v>
      </c>
      <c r="AJ115" s="22">
        <v>1</v>
      </c>
    </row>
    <row r="116" spans="1:36" s="23" customFormat="1" ht="15" hidden="1" customHeight="1" x14ac:dyDescent="0.2">
      <c r="A116" s="111"/>
      <c r="B116" s="34" t="s">
        <v>76</v>
      </c>
      <c r="C116" s="35" t="s">
        <v>194</v>
      </c>
      <c r="D116" s="22">
        <v>19</v>
      </c>
      <c r="E116" s="22">
        <v>11</v>
      </c>
      <c r="F116" s="22">
        <v>8</v>
      </c>
      <c r="G116" s="22">
        <v>0</v>
      </c>
      <c r="H116" s="22">
        <v>9</v>
      </c>
      <c r="I116" s="22">
        <v>7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1</v>
      </c>
      <c r="AF116" s="22">
        <v>0</v>
      </c>
      <c r="AG116" s="22">
        <v>0</v>
      </c>
      <c r="AH116" s="22">
        <v>1</v>
      </c>
      <c r="AI116" s="22">
        <v>1</v>
      </c>
      <c r="AJ116" s="22">
        <v>0</v>
      </c>
    </row>
    <row r="117" spans="1:36" s="23" customFormat="1" ht="15" hidden="1" customHeight="1" x14ac:dyDescent="0.2">
      <c r="A117" s="26" t="s">
        <v>62</v>
      </c>
      <c r="B117" s="29" t="s">
        <v>74</v>
      </c>
      <c r="C117" s="30" t="s">
        <v>0</v>
      </c>
      <c r="D117" s="31">
        <v>138</v>
      </c>
      <c r="E117" s="31">
        <v>97</v>
      </c>
      <c r="F117" s="31">
        <v>41</v>
      </c>
      <c r="G117" s="31">
        <v>0</v>
      </c>
      <c r="H117" s="31">
        <v>36</v>
      </c>
      <c r="I117" s="31">
        <v>23</v>
      </c>
      <c r="J117" s="31">
        <v>3</v>
      </c>
      <c r="K117" s="31">
        <v>2</v>
      </c>
      <c r="L117" s="31">
        <v>0</v>
      </c>
      <c r="M117" s="31">
        <v>1</v>
      </c>
      <c r="N117" s="31">
        <v>3</v>
      </c>
      <c r="O117" s="31">
        <v>0</v>
      </c>
      <c r="P117" s="31">
        <v>7</v>
      </c>
      <c r="Q117" s="31">
        <v>1</v>
      </c>
      <c r="R117" s="31">
        <v>0</v>
      </c>
      <c r="S117" s="31">
        <v>0</v>
      </c>
      <c r="T117" s="31">
        <v>0</v>
      </c>
      <c r="U117" s="31">
        <v>0</v>
      </c>
      <c r="V117" s="31">
        <v>2</v>
      </c>
      <c r="W117" s="31">
        <v>0</v>
      </c>
      <c r="X117" s="31">
        <v>0</v>
      </c>
      <c r="Y117" s="31">
        <v>4</v>
      </c>
      <c r="Z117" s="31">
        <v>1</v>
      </c>
      <c r="AA117" s="31">
        <v>0</v>
      </c>
      <c r="AB117" s="31">
        <v>0</v>
      </c>
      <c r="AC117" s="31">
        <v>0</v>
      </c>
      <c r="AD117" s="31">
        <v>0</v>
      </c>
      <c r="AE117" s="31">
        <v>36</v>
      </c>
      <c r="AF117" s="31">
        <v>10</v>
      </c>
      <c r="AG117" s="31">
        <v>0</v>
      </c>
      <c r="AH117" s="31">
        <v>8</v>
      </c>
      <c r="AI117" s="31">
        <v>1</v>
      </c>
      <c r="AJ117" s="31">
        <v>0</v>
      </c>
    </row>
    <row r="118" spans="1:36" s="23" customFormat="1" ht="15" hidden="1" customHeight="1" x14ac:dyDescent="0.2">
      <c r="A118" s="110" t="s">
        <v>13</v>
      </c>
      <c r="B118" s="32" t="s">
        <v>75</v>
      </c>
      <c r="C118" s="33" t="s">
        <v>2</v>
      </c>
      <c r="D118" s="22">
        <v>138</v>
      </c>
      <c r="E118" s="22">
        <v>97</v>
      </c>
      <c r="F118" s="22">
        <v>41</v>
      </c>
      <c r="G118" s="22">
        <v>0</v>
      </c>
      <c r="H118" s="22">
        <v>36</v>
      </c>
      <c r="I118" s="22">
        <v>23</v>
      </c>
      <c r="J118" s="22">
        <v>3</v>
      </c>
      <c r="K118" s="22">
        <v>2</v>
      </c>
      <c r="L118" s="22">
        <v>0</v>
      </c>
      <c r="M118" s="22">
        <v>1</v>
      </c>
      <c r="N118" s="22">
        <v>3</v>
      </c>
      <c r="O118" s="22">
        <v>0</v>
      </c>
      <c r="P118" s="22">
        <v>7</v>
      </c>
      <c r="Q118" s="22">
        <v>1</v>
      </c>
      <c r="R118" s="22">
        <v>0</v>
      </c>
      <c r="S118" s="22">
        <v>0</v>
      </c>
      <c r="T118" s="22">
        <v>0</v>
      </c>
      <c r="U118" s="22">
        <v>0</v>
      </c>
      <c r="V118" s="22">
        <v>2</v>
      </c>
      <c r="W118" s="22">
        <v>0</v>
      </c>
      <c r="X118" s="22">
        <v>0</v>
      </c>
      <c r="Y118" s="22">
        <v>4</v>
      </c>
      <c r="Z118" s="22">
        <v>1</v>
      </c>
      <c r="AA118" s="22">
        <v>0</v>
      </c>
      <c r="AB118" s="22">
        <v>0</v>
      </c>
      <c r="AC118" s="22">
        <v>0</v>
      </c>
      <c r="AD118" s="22">
        <v>0</v>
      </c>
      <c r="AE118" s="22">
        <v>36</v>
      </c>
      <c r="AF118" s="22">
        <v>10</v>
      </c>
      <c r="AG118" s="22">
        <v>0</v>
      </c>
      <c r="AH118" s="22">
        <v>8</v>
      </c>
      <c r="AI118" s="22">
        <v>1</v>
      </c>
      <c r="AJ118" s="22">
        <v>0</v>
      </c>
    </row>
    <row r="119" spans="1:36" s="23" customFormat="1" ht="15" hidden="1" customHeight="1" x14ac:dyDescent="0.2">
      <c r="A119" s="111"/>
      <c r="B119" s="34" t="s">
        <v>76</v>
      </c>
      <c r="C119" s="35" t="s">
        <v>194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</row>
    <row r="120" spans="1:36" s="23" customFormat="1" ht="15" hidden="1" customHeight="1" x14ac:dyDescent="0.2">
      <c r="A120" s="26" t="s">
        <v>63</v>
      </c>
      <c r="B120" s="29" t="s">
        <v>74</v>
      </c>
      <c r="C120" s="30" t="s">
        <v>0</v>
      </c>
      <c r="D120" s="31">
        <v>81</v>
      </c>
      <c r="E120" s="31">
        <v>53</v>
      </c>
      <c r="F120" s="31">
        <v>28</v>
      </c>
      <c r="G120" s="31">
        <v>0</v>
      </c>
      <c r="H120" s="31">
        <v>19</v>
      </c>
      <c r="I120" s="31">
        <v>22</v>
      </c>
      <c r="J120" s="31">
        <v>3</v>
      </c>
      <c r="K120" s="31">
        <v>0</v>
      </c>
      <c r="L120" s="31">
        <v>0</v>
      </c>
      <c r="M120" s="31">
        <v>0</v>
      </c>
      <c r="N120" s="31">
        <v>2</v>
      </c>
      <c r="O120" s="31">
        <v>0</v>
      </c>
      <c r="P120" s="31">
        <v>0</v>
      </c>
      <c r="Q120" s="31">
        <v>0</v>
      </c>
      <c r="R120" s="31">
        <v>0</v>
      </c>
      <c r="S120" s="31">
        <v>2</v>
      </c>
      <c r="T120" s="31">
        <v>0</v>
      </c>
      <c r="U120" s="31">
        <v>0</v>
      </c>
      <c r="V120" s="31">
        <v>1</v>
      </c>
      <c r="W120" s="31">
        <v>0</v>
      </c>
      <c r="X120" s="31">
        <v>0</v>
      </c>
      <c r="Y120" s="31">
        <v>3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21</v>
      </c>
      <c r="AF120" s="31">
        <v>4</v>
      </c>
      <c r="AG120" s="31">
        <v>0</v>
      </c>
      <c r="AH120" s="31">
        <v>4</v>
      </c>
      <c r="AI120" s="31">
        <v>0</v>
      </c>
      <c r="AJ120" s="31">
        <v>0</v>
      </c>
    </row>
    <row r="121" spans="1:36" s="23" customFormat="1" ht="15" hidden="1" customHeight="1" x14ac:dyDescent="0.2">
      <c r="A121" s="110" t="s">
        <v>14</v>
      </c>
      <c r="B121" s="32" t="s">
        <v>75</v>
      </c>
      <c r="C121" s="33" t="s">
        <v>2</v>
      </c>
      <c r="D121" s="22">
        <v>77</v>
      </c>
      <c r="E121" s="22">
        <v>51</v>
      </c>
      <c r="F121" s="22">
        <v>26</v>
      </c>
      <c r="G121" s="22">
        <v>0</v>
      </c>
      <c r="H121" s="22">
        <v>17</v>
      </c>
      <c r="I121" s="22">
        <v>20</v>
      </c>
      <c r="J121" s="22">
        <v>3</v>
      </c>
      <c r="K121" s="22">
        <v>0</v>
      </c>
      <c r="L121" s="22">
        <v>0</v>
      </c>
      <c r="M121" s="22">
        <v>0</v>
      </c>
      <c r="N121" s="22">
        <v>2</v>
      </c>
      <c r="O121" s="22">
        <v>0</v>
      </c>
      <c r="P121" s="22">
        <v>0</v>
      </c>
      <c r="Q121" s="22">
        <v>0</v>
      </c>
      <c r="R121" s="22">
        <v>0</v>
      </c>
      <c r="S121" s="22">
        <v>2</v>
      </c>
      <c r="T121" s="22">
        <v>0</v>
      </c>
      <c r="U121" s="22">
        <v>0</v>
      </c>
      <c r="V121" s="22">
        <v>1</v>
      </c>
      <c r="W121" s="22">
        <v>0</v>
      </c>
      <c r="X121" s="22">
        <v>0</v>
      </c>
      <c r="Y121" s="22">
        <v>3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21</v>
      </c>
      <c r="AF121" s="22">
        <v>4</v>
      </c>
      <c r="AG121" s="22">
        <v>0</v>
      </c>
      <c r="AH121" s="22">
        <v>4</v>
      </c>
      <c r="AI121" s="22">
        <v>0</v>
      </c>
      <c r="AJ121" s="22">
        <v>0</v>
      </c>
    </row>
    <row r="122" spans="1:36" s="23" customFormat="1" ht="15" hidden="1" customHeight="1" x14ac:dyDescent="0.2">
      <c r="A122" s="111"/>
      <c r="B122" s="34" t="s">
        <v>76</v>
      </c>
      <c r="C122" s="35" t="s">
        <v>194</v>
      </c>
      <c r="D122" s="22">
        <v>4</v>
      </c>
      <c r="E122" s="22">
        <v>2</v>
      </c>
      <c r="F122" s="22">
        <v>2</v>
      </c>
      <c r="G122" s="22">
        <v>0</v>
      </c>
      <c r="H122" s="22">
        <v>2</v>
      </c>
      <c r="I122" s="22">
        <v>2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</row>
    <row r="123" spans="1:36" s="23" customFormat="1" ht="15" hidden="1" customHeight="1" x14ac:dyDescent="0.2">
      <c r="A123" s="26" t="s">
        <v>64</v>
      </c>
      <c r="B123" s="29" t="s">
        <v>74</v>
      </c>
      <c r="C123" s="30" t="s">
        <v>0</v>
      </c>
      <c r="D123" s="31">
        <v>208</v>
      </c>
      <c r="E123" s="31">
        <v>162</v>
      </c>
      <c r="F123" s="31">
        <v>46</v>
      </c>
      <c r="G123" s="31">
        <v>0</v>
      </c>
      <c r="H123" s="31">
        <v>74</v>
      </c>
      <c r="I123" s="31">
        <v>27</v>
      </c>
      <c r="J123" s="31">
        <v>0</v>
      </c>
      <c r="K123" s="31">
        <v>0</v>
      </c>
      <c r="L123" s="31">
        <v>0</v>
      </c>
      <c r="M123" s="31">
        <v>2</v>
      </c>
      <c r="N123" s="31">
        <v>4</v>
      </c>
      <c r="O123" s="31">
        <v>0</v>
      </c>
      <c r="P123" s="31">
        <v>12</v>
      </c>
      <c r="Q123" s="31">
        <v>2</v>
      </c>
      <c r="R123" s="31">
        <v>0</v>
      </c>
      <c r="S123" s="31">
        <v>3</v>
      </c>
      <c r="T123" s="31">
        <v>2</v>
      </c>
      <c r="U123" s="31">
        <v>0</v>
      </c>
      <c r="V123" s="31">
        <v>3</v>
      </c>
      <c r="W123" s="31">
        <v>1</v>
      </c>
      <c r="X123" s="31">
        <v>0</v>
      </c>
      <c r="Y123" s="31">
        <v>3</v>
      </c>
      <c r="Z123" s="31">
        <v>0</v>
      </c>
      <c r="AA123" s="31">
        <v>0</v>
      </c>
      <c r="AB123" s="31">
        <v>1</v>
      </c>
      <c r="AC123" s="31">
        <v>0</v>
      </c>
      <c r="AD123" s="31">
        <v>0</v>
      </c>
      <c r="AE123" s="31">
        <v>49</v>
      </c>
      <c r="AF123" s="31">
        <v>9</v>
      </c>
      <c r="AG123" s="31">
        <v>0</v>
      </c>
      <c r="AH123" s="31">
        <v>15</v>
      </c>
      <c r="AI123" s="31">
        <v>1</v>
      </c>
      <c r="AJ123" s="31">
        <v>0</v>
      </c>
    </row>
    <row r="124" spans="1:36" s="23" customFormat="1" ht="15" hidden="1" customHeight="1" x14ac:dyDescent="0.2">
      <c r="A124" s="110" t="s">
        <v>15</v>
      </c>
      <c r="B124" s="32" t="s">
        <v>75</v>
      </c>
      <c r="C124" s="33" t="s">
        <v>2</v>
      </c>
      <c r="D124" s="22">
        <v>189</v>
      </c>
      <c r="E124" s="22">
        <v>152</v>
      </c>
      <c r="F124" s="22">
        <v>37</v>
      </c>
      <c r="G124" s="22">
        <v>0</v>
      </c>
      <c r="H124" s="22">
        <v>71</v>
      </c>
      <c r="I124" s="22">
        <v>20</v>
      </c>
      <c r="J124" s="22">
        <v>0</v>
      </c>
      <c r="K124" s="22">
        <v>0</v>
      </c>
      <c r="L124" s="22">
        <v>0</v>
      </c>
      <c r="M124" s="22">
        <v>2</v>
      </c>
      <c r="N124" s="22">
        <v>4</v>
      </c>
      <c r="O124" s="22">
        <v>0</v>
      </c>
      <c r="P124" s="22">
        <v>9</v>
      </c>
      <c r="Q124" s="22">
        <v>1</v>
      </c>
      <c r="R124" s="22">
        <v>0</v>
      </c>
      <c r="S124" s="22">
        <v>2</v>
      </c>
      <c r="T124" s="22">
        <v>2</v>
      </c>
      <c r="U124" s="22">
        <v>0</v>
      </c>
      <c r="V124" s="22">
        <v>3</v>
      </c>
      <c r="W124" s="22">
        <v>1</v>
      </c>
      <c r="X124" s="22">
        <v>0</v>
      </c>
      <c r="Y124" s="22">
        <v>2</v>
      </c>
      <c r="Z124" s="22">
        <v>0</v>
      </c>
      <c r="AA124" s="22">
        <v>0</v>
      </c>
      <c r="AB124" s="22">
        <v>1</v>
      </c>
      <c r="AC124" s="22">
        <v>0</v>
      </c>
      <c r="AD124" s="22">
        <v>0</v>
      </c>
      <c r="AE124" s="22">
        <v>49</v>
      </c>
      <c r="AF124" s="22">
        <v>8</v>
      </c>
      <c r="AG124" s="22">
        <v>0</v>
      </c>
      <c r="AH124" s="22">
        <v>13</v>
      </c>
      <c r="AI124" s="22">
        <v>1</v>
      </c>
      <c r="AJ124" s="22">
        <v>0</v>
      </c>
    </row>
    <row r="125" spans="1:36" s="23" customFormat="1" ht="15" hidden="1" customHeight="1" x14ac:dyDescent="0.2">
      <c r="A125" s="111"/>
      <c r="B125" s="34" t="s">
        <v>76</v>
      </c>
      <c r="C125" s="35" t="s">
        <v>194</v>
      </c>
      <c r="D125" s="22">
        <v>19</v>
      </c>
      <c r="E125" s="22">
        <v>10</v>
      </c>
      <c r="F125" s="22">
        <v>9</v>
      </c>
      <c r="G125" s="22">
        <v>0</v>
      </c>
      <c r="H125" s="22">
        <v>3</v>
      </c>
      <c r="I125" s="22">
        <v>7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3</v>
      </c>
      <c r="Q125" s="22">
        <v>1</v>
      </c>
      <c r="R125" s="22">
        <v>0</v>
      </c>
      <c r="S125" s="22">
        <v>1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1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1</v>
      </c>
      <c r="AG125" s="22">
        <v>0</v>
      </c>
      <c r="AH125" s="22">
        <v>2</v>
      </c>
      <c r="AI125" s="22">
        <v>0</v>
      </c>
      <c r="AJ125" s="22">
        <v>0</v>
      </c>
    </row>
    <row r="126" spans="1:36" s="23" customFormat="1" ht="15" hidden="1" customHeight="1" x14ac:dyDescent="0.2">
      <c r="A126" s="26" t="s">
        <v>65</v>
      </c>
      <c r="B126" s="29" t="s">
        <v>74</v>
      </c>
      <c r="C126" s="30" t="s">
        <v>0</v>
      </c>
      <c r="D126" s="31">
        <v>25</v>
      </c>
      <c r="E126" s="31">
        <v>17</v>
      </c>
      <c r="F126" s="31">
        <v>8</v>
      </c>
      <c r="G126" s="31">
        <v>0</v>
      </c>
      <c r="H126" s="31">
        <v>7</v>
      </c>
      <c r="I126" s="31">
        <v>7</v>
      </c>
      <c r="J126" s="31">
        <v>0</v>
      </c>
      <c r="K126" s="31">
        <v>0</v>
      </c>
      <c r="L126" s="31">
        <v>0</v>
      </c>
      <c r="M126" s="31">
        <v>2</v>
      </c>
      <c r="N126" s="31">
        <v>1</v>
      </c>
      <c r="O126" s="31">
        <v>0</v>
      </c>
      <c r="P126" s="31">
        <v>3</v>
      </c>
      <c r="Q126" s="31">
        <v>0</v>
      </c>
      <c r="R126" s="31">
        <v>0</v>
      </c>
      <c r="S126" s="31">
        <v>5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0</v>
      </c>
      <c r="AC126" s="31">
        <v>0</v>
      </c>
      <c r="AD126" s="31">
        <v>0</v>
      </c>
      <c r="AE126" s="31">
        <v>0</v>
      </c>
      <c r="AF126" s="31">
        <v>0</v>
      </c>
      <c r="AG126" s="31">
        <v>0</v>
      </c>
      <c r="AH126" s="31">
        <v>0</v>
      </c>
      <c r="AI126" s="31">
        <v>0</v>
      </c>
      <c r="AJ126" s="31">
        <v>0</v>
      </c>
    </row>
    <row r="127" spans="1:36" s="23" customFormat="1" ht="15" hidden="1" customHeight="1" x14ac:dyDescent="0.2">
      <c r="A127" s="110" t="s">
        <v>16</v>
      </c>
      <c r="B127" s="32" t="s">
        <v>75</v>
      </c>
      <c r="C127" s="33" t="s">
        <v>2</v>
      </c>
      <c r="D127" s="22">
        <v>13</v>
      </c>
      <c r="E127" s="22">
        <v>11</v>
      </c>
      <c r="F127" s="22">
        <v>2</v>
      </c>
      <c r="G127" s="22">
        <v>0</v>
      </c>
      <c r="H127" s="22">
        <v>5</v>
      </c>
      <c r="I127" s="22">
        <v>2</v>
      </c>
      <c r="J127" s="22">
        <v>0</v>
      </c>
      <c r="K127" s="22">
        <v>0</v>
      </c>
      <c r="L127" s="22">
        <v>0</v>
      </c>
      <c r="M127" s="22">
        <v>1</v>
      </c>
      <c r="N127" s="22">
        <v>0</v>
      </c>
      <c r="O127" s="22">
        <v>0</v>
      </c>
      <c r="P127" s="22">
        <v>2</v>
      </c>
      <c r="Q127" s="22">
        <v>0</v>
      </c>
      <c r="R127" s="22">
        <v>0</v>
      </c>
      <c r="S127" s="22">
        <v>3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</row>
    <row r="128" spans="1:36" s="23" customFormat="1" ht="15" hidden="1" customHeight="1" x14ac:dyDescent="0.2">
      <c r="A128" s="111"/>
      <c r="B128" s="34" t="s">
        <v>76</v>
      </c>
      <c r="C128" s="35" t="s">
        <v>194</v>
      </c>
      <c r="D128" s="22">
        <v>12</v>
      </c>
      <c r="E128" s="22">
        <v>6</v>
      </c>
      <c r="F128" s="22">
        <v>6</v>
      </c>
      <c r="G128" s="22">
        <v>0</v>
      </c>
      <c r="H128" s="22">
        <v>2</v>
      </c>
      <c r="I128" s="22">
        <v>5</v>
      </c>
      <c r="J128" s="22">
        <v>0</v>
      </c>
      <c r="K128" s="22">
        <v>0</v>
      </c>
      <c r="L128" s="22">
        <v>0</v>
      </c>
      <c r="M128" s="22">
        <v>1</v>
      </c>
      <c r="N128" s="22">
        <v>1</v>
      </c>
      <c r="O128" s="22">
        <v>0</v>
      </c>
      <c r="P128" s="22">
        <v>1</v>
      </c>
      <c r="Q128" s="22">
        <v>0</v>
      </c>
      <c r="R128" s="22">
        <v>0</v>
      </c>
      <c r="S128" s="22">
        <v>2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</row>
    <row r="129" spans="1:36" s="23" customFormat="1" ht="15" hidden="1" customHeight="1" x14ac:dyDescent="0.2">
      <c r="A129" s="26" t="s">
        <v>66</v>
      </c>
      <c r="B129" s="29" t="s">
        <v>74</v>
      </c>
      <c r="C129" s="30" t="s">
        <v>0</v>
      </c>
      <c r="D129" s="31">
        <v>133</v>
      </c>
      <c r="E129" s="31">
        <v>104</v>
      </c>
      <c r="F129" s="31">
        <v>29</v>
      </c>
      <c r="G129" s="31">
        <v>0</v>
      </c>
      <c r="H129" s="31">
        <v>31</v>
      </c>
      <c r="I129" s="31">
        <v>25</v>
      </c>
      <c r="J129" s="31">
        <v>3</v>
      </c>
      <c r="K129" s="31">
        <v>0</v>
      </c>
      <c r="L129" s="31">
        <v>0</v>
      </c>
      <c r="M129" s="31">
        <v>3</v>
      </c>
      <c r="N129" s="31">
        <v>0</v>
      </c>
      <c r="O129" s="31">
        <v>0</v>
      </c>
      <c r="P129" s="31">
        <v>7</v>
      </c>
      <c r="Q129" s="31">
        <v>0</v>
      </c>
      <c r="R129" s="31">
        <v>0</v>
      </c>
      <c r="S129" s="31">
        <v>5</v>
      </c>
      <c r="T129" s="31">
        <v>2</v>
      </c>
      <c r="U129" s="31">
        <v>0</v>
      </c>
      <c r="V129" s="31">
        <v>0</v>
      </c>
      <c r="W129" s="31">
        <v>0</v>
      </c>
      <c r="X129" s="31">
        <v>0</v>
      </c>
      <c r="Y129" s="31">
        <v>5</v>
      </c>
      <c r="Z129" s="31">
        <v>0</v>
      </c>
      <c r="AA129" s="31">
        <v>0</v>
      </c>
      <c r="AB129" s="31">
        <v>0</v>
      </c>
      <c r="AC129" s="31">
        <v>0</v>
      </c>
      <c r="AD129" s="31">
        <v>0</v>
      </c>
      <c r="AE129" s="31">
        <v>46</v>
      </c>
      <c r="AF129" s="31">
        <v>2</v>
      </c>
      <c r="AG129" s="31">
        <v>0</v>
      </c>
      <c r="AH129" s="31">
        <v>4</v>
      </c>
      <c r="AI129" s="31">
        <v>0</v>
      </c>
      <c r="AJ129" s="31">
        <v>0</v>
      </c>
    </row>
    <row r="130" spans="1:36" s="23" customFormat="1" ht="15" hidden="1" customHeight="1" x14ac:dyDescent="0.2">
      <c r="A130" s="110" t="s">
        <v>17</v>
      </c>
      <c r="B130" s="32" t="s">
        <v>75</v>
      </c>
      <c r="C130" s="33" t="s">
        <v>2</v>
      </c>
      <c r="D130" s="22">
        <v>79</v>
      </c>
      <c r="E130" s="22">
        <v>70</v>
      </c>
      <c r="F130" s="22">
        <v>9</v>
      </c>
      <c r="G130" s="22">
        <v>0</v>
      </c>
      <c r="H130" s="22">
        <v>22</v>
      </c>
      <c r="I130" s="22">
        <v>8</v>
      </c>
      <c r="J130" s="22">
        <v>1</v>
      </c>
      <c r="K130" s="22">
        <v>0</v>
      </c>
      <c r="L130" s="22">
        <v>0</v>
      </c>
      <c r="M130" s="22">
        <v>2</v>
      </c>
      <c r="N130" s="22">
        <v>0</v>
      </c>
      <c r="O130" s="22">
        <v>0</v>
      </c>
      <c r="P130" s="22">
        <v>3</v>
      </c>
      <c r="Q130" s="22">
        <v>0</v>
      </c>
      <c r="R130" s="22">
        <v>0</v>
      </c>
      <c r="S130" s="22">
        <v>3</v>
      </c>
      <c r="T130" s="22">
        <v>1</v>
      </c>
      <c r="U130" s="22">
        <v>0</v>
      </c>
      <c r="V130" s="22">
        <v>0</v>
      </c>
      <c r="W130" s="22">
        <v>0</v>
      </c>
      <c r="X130" s="22">
        <v>0</v>
      </c>
      <c r="Y130" s="22">
        <v>4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34</v>
      </c>
      <c r="AF130" s="22">
        <v>0</v>
      </c>
      <c r="AG130" s="22">
        <v>0</v>
      </c>
      <c r="AH130" s="22">
        <v>1</v>
      </c>
      <c r="AI130" s="22">
        <v>0</v>
      </c>
      <c r="AJ130" s="22">
        <v>0</v>
      </c>
    </row>
    <row r="131" spans="1:36" s="23" customFormat="1" ht="15" hidden="1" customHeight="1" x14ac:dyDescent="0.2">
      <c r="A131" s="111"/>
      <c r="B131" s="34" t="s">
        <v>76</v>
      </c>
      <c r="C131" s="35" t="s">
        <v>194</v>
      </c>
      <c r="D131" s="22">
        <v>54</v>
      </c>
      <c r="E131" s="22">
        <v>34</v>
      </c>
      <c r="F131" s="22">
        <v>20</v>
      </c>
      <c r="G131" s="22">
        <v>0</v>
      </c>
      <c r="H131" s="22">
        <v>9</v>
      </c>
      <c r="I131" s="22">
        <v>17</v>
      </c>
      <c r="J131" s="22">
        <v>2</v>
      </c>
      <c r="K131" s="22">
        <v>0</v>
      </c>
      <c r="L131" s="22">
        <v>0</v>
      </c>
      <c r="M131" s="22">
        <v>1</v>
      </c>
      <c r="N131" s="22">
        <v>0</v>
      </c>
      <c r="O131" s="22">
        <v>0</v>
      </c>
      <c r="P131" s="22">
        <v>4</v>
      </c>
      <c r="Q131" s="22">
        <v>0</v>
      </c>
      <c r="R131" s="22">
        <v>0</v>
      </c>
      <c r="S131" s="22">
        <v>2</v>
      </c>
      <c r="T131" s="22">
        <v>1</v>
      </c>
      <c r="U131" s="22">
        <v>0</v>
      </c>
      <c r="V131" s="22">
        <v>0</v>
      </c>
      <c r="W131" s="22">
        <v>0</v>
      </c>
      <c r="X131" s="22">
        <v>0</v>
      </c>
      <c r="Y131" s="22">
        <v>1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12</v>
      </c>
      <c r="AF131" s="22">
        <v>2</v>
      </c>
      <c r="AG131" s="22">
        <v>0</v>
      </c>
      <c r="AH131" s="22">
        <v>3</v>
      </c>
      <c r="AI131" s="22">
        <v>0</v>
      </c>
      <c r="AJ131" s="22">
        <v>0</v>
      </c>
    </row>
    <row r="132" spans="1:36" s="23" customFormat="1" ht="15" hidden="1" customHeight="1" x14ac:dyDescent="0.2">
      <c r="A132" s="26" t="s">
        <v>67</v>
      </c>
      <c r="B132" s="29" t="s">
        <v>74</v>
      </c>
      <c r="C132" s="30" t="s">
        <v>0</v>
      </c>
      <c r="D132" s="31">
        <v>18</v>
      </c>
      <c r="E132" s="31">
        <v>14</v>
      </c>
      <c r="F132" s="31">
        <v>4</v>
      </c>
      <c r="G132" s="31">
        <v>0</v>
      </c>
      <c r="H132" s="31">
        <v>5</v>
      </c>
      <c r="I132" s="31">
        <v>1</v>
      </c>
      <c r="J132" s="31">
        <v>0</v>
      </c>
      <c r="K132" s="31">
        <v>0</v>
      </c>
      <c r="L132" s="31">
        <v>0</v>
      </c>
      <c r="M132" s="31">
        <v>1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0</v>
      </c>
      <c r="AC132" s="31">
        <v>0</v>
      </c>
      <c r="AD132" s="31">
        <v>0</v>
      </c>
      <c r="AE132" s="31">
        <v>5</v>
      </c>
      <c r="AF132" s="31">
        <v>2</v>
      </c>
      <c r="AG132" s="31">
        <v>0</v>
      </c>
      <c r="AH132" s="31">
        <v>3</v>
      </c>
      <c r="AI132" s="31">
        <v>1</v>
      </c>
      <c r="AJ132" s="31">
        <v>0</v>
      </c>
    </row>
    <row r="133" spans="1:36" s="23" customFormat="1" ht="15" hidden="1" customHeight="1" x14ac:dyDescent="0.2">
      <c r="A133" s="110" t="s">
        <v>18</v>
      </c>
      <c r="B133" s="32" t="s">
        <v>75</v>
      </c>
      <c r="C133" s="33" t="s">
        <v>2</v>
      </c>
      <c r="D133" s="22">
        <v>17</v>
      </c>
      <c r="E133" s="22">
        <v>13</v>
      </c>
      <c r="F133" s="22">
        <v>4</v>
      </c>
      <c r="G133" s="22">
        <v>0</v>
      </c>
      <c r="H133" s="22">
        <v>5</v>
      </c>
      <c r="I133" s="22">
        <v>1</v>
      </c>
      <c r="J133" s="22">
        <v>0</v>
      </c>
      <c r="K133" s="22">
        <v>0</v>
      </c>
      <c r="L133" s="22">
        <v>0</v>
      </c>
      <c r="M133" s="22">
        <v>1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4</v>
      </c>
      <c r="AF133" s="22">
        <v>2</v>
      </c>
      <c r="AG133" s="22">
        <v>0</v>
      </c>
      <c r="AH133" s="22">
        <v>3</v>
      </c>
      <c r="AI133" s="22">
        <v>1</v>
      </c>
      <c r="AJ133" s="22">
        <v>0</v>
      </c>
    </row>
    <row r="134" spans="1:36" s="23" customFormat="1" ht="15" hidden="1" customHeight="1" x14ac:dyDescent="0.2">
      <c r="A134" s="111"/>
      <c r="B134" s="34" t="s">
        <v>76</v>
      </c>
      <c r="C134" s="35" t="s">
        <v>194</v>
      </c>
      <c r="D134" s="22">
        <v>1</v>
      </c>
      <c r="E134" s="22">
        <v>1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1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</row>
    <row r="135" spans="1:36" s="23" customFormat="1" ht="15" hidden="1" customHeight="1" x14ac:dyDescent="0.2">
      <c r="A135" s="26" t="s">
        <v>68</v>
      </c>
      <c r="B135" s="29" t="s">
        <v>74</v>
      </c>
      <c r="C135" s="30" t="s">
        <v>0</v>
      </c>
      <c r="D135" s="31">
        <v>102</v>
      </c>
      <c r="E135" s="31">
        <v>73</v>
      </c>
      <c r="F135" s="31">
        <v>21</v>
      </c>
      <c r="G135" s="31">
        <v>8</v>
      </c>
      <c r="H135" s="31">
        <v>32</v>
      </c>
      <c r="I135" s="31">
        <v>16</v>
      </c>
      <c r="J135" s="31">
        <v>0</v>
      </c>
      <c r="K135" s="31">
        <v>0</v>
      </c>
      <c r="L135" s="31">
        <v>0</v>
      </c>
      <c r="M135" s="31">
        <v>2</v>
      </c>
      <c r="N135" s="31">
        <v>1</v>
      </c>
      <c r="O135" s="31">
        <v>0</v>
      </c>
      <c r="P135" s="31">
        <v>0</v>
      </c>
      <c r="Q135" s="31">
        <v>0</v>
      </c>
      <c r="R135" s="31">
        <v>0</v>
      </c>
      <c r="S135" s="31">
        <v>5</v>
      </c>
      <c r="T135" s="31">
        <v>0</v>
      </c>
      <c r="U135" s="31">
        <v>0</v>
      </c>
      <c r="V135" s="31">
        <v>1</v>
      </c>
      <c r="W135" s="31">
        <v>0</v>
      </c>
      <c r="X135" s="31">
        <v>0</v>
      </c>
      <c r="Y135" s="31">
        <v>4</v>
      </c>
      <c r="Z135" s="31">
        <v>0</v>
      </c>
      <c r="AA135" s="31">
        <v>0</v>
      </c>
      <c r="AB135" s="31">
        <v>0</v>
      </c>
      <c r="AC135" s="31">
        <v>0</v>
      </c>
      <c r="AD135" s="31">
        <v>0</v>
      </c>
      <c r="AE135" s="31">
        <v>27</v>
      </c>
      <c r="AF135" s="31">
        <v>4</v>
      </c>
      <c r="AG135" s="31">
        <v>0</v>
      </c>
      <c r="AH135" s="31">
        <v>2</v>
      </c>
      <c r="AI135" s="31">
        <v>0</v>
      </c>
      <c r="AJ135" s="31">
        <v>8</v>
      </c>
    </row>
    <row r="136" spans="1:36" s="23" customFormat="1" ht="15" hidden="1" customHeight="1" x14ac:dyDescent="0.2">
      <c r="A136" s="110" t="s">
        <v>19</v>
      </c>
      <c r="B136" s="32" t="s">
        <v>75</v>
      </c>
      <c r="C136" s="33" t="s">
        <v>2</v>
      </c>
      <c r="D136" s="22">
        <v>91</v>
      </c>
      <c r="E136" s="22">
        <v>69</v>
      </c>
      <c r="F136" s="22">
        <v>21</v>
      </c>
      <c r="G136" s="22">
        <v>1</v>
      </c>
      <c r="H136" s="22">
        <v>29</v>
      </c>
      <c r="I136" s="22">
        <v>16</v>
      </c>
      <c r="J136" s="22">
        <v>0</v>
      </c>
      <c r="K136" s="22">
        <v>0</v>
      </c>
      <c r="L136" s="22">
        <v>0</v>
      </c>
      <c r="M136" s="22">
        <v>2</v>
      </c>
      <c r="N136" s="22">
        <v>1</v>
      </c>
      <c r="O136" s="22">
        <v>0</v>
      </c>
      <c r="P136" s="22">
        <v>0</v>
      </c>
      <c r="Q136" s="22">
        <v>0</v>
      </c>
      <c r="R136" s="22">
        <v>0</v>
      </c>
      <c r="S136" s="22">
        <v>4</v>
      </c>
      <c r="T136" s="22">
        <v>0</v>
      </c>
      <c r="U136" s="22">
        <v>0</v>
      </c>
      <c r="V136" s="22">
        <v>1</v>
      </c>
      <c r="W136" s="22">
        <v>0</v>
      </c>
      <c r="X136" s="22">
        <v>0</v>
      </c>
      <c r="Y136" s="22">
        <v>4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27</v>
      </c>
      <c r="AF136" s="22">
        <v>4</v>
      </c>
      <c r="AG136" s="22">
        <v>0</v>
      </c>
      <c r="AH136" s="22">
        <v>2</v>
      </c>
      <c r="AI136" s="22">
        <v>0</v>
      </c>
      <c r="AJ136" s="22">
        <v>1</v>
      </c>
    </row>
    <row r="137" spans="1:36" s="23" customFormat="1" ht="15" hidden="1" customHeight="1" x14ac:dyDescent="0.2">
      <c r="A137" s="111"/>
      <c r="B137" s="34" t="s">
        <v>76</v>
      </c>
      <c r="C137" s="35" t="s">
        <v>194</v>
      </c>
      <c r="D137" s="22">
        <v>11</v>
      </c>
      <c r="E137" s="22">
        <v>4</v>
      </c>
      <c r="F137" s="22">
        <v>0</v>
      </c>
      <c r="G137" s="22">
        <v>7</v>
      </c>
      <c r="H137" s="22">
        <v>3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1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7</v>
      </c>
    </row>
    <row r="138" spans="1:36" s="23" customFormat="1" ht="15" hidden="1" customHeight="1" x14ac:dyDescent="0.2">
      <c r="A138" s="26" t="s">
        <v>69</v>
      </c>
      <c r="B138" s="29" t="s">
        <v>74</v>
      </c>
      <c r="C138" s="30" t="s">
        <v>0</v>
      </c>
      <c r="D138" s="31">
        <v>120</v>
      </c>
      <c r="E138" s="31">
        <v>83</v>
      </c>
      <c r="F138" s="31">
        <v>33</v>
      </c>
      <c r="G138" s="31">
        <v>4</v>
      </c>
      <c r="H138" s="31">
        <v>28</v>
      </c>
      <c r="I138" s="31">
        <v>18</v>
      </c>
      <c r="J138" s="31">
        <v>0</v>
      </c>
      <c r="K138" s="31">
        <v>0</v>
      </c>
      <c r="L138" s="31">
        <v>0</v>
      </c>
      <c r="M138" s="31">
        <v>0</v>
      </c>
      <c r="N138" s="31">
        <v>1</v>
      </c>
      <c r="O138" s="31">
        <v>0</v>
      </c>
      <c r="P138" s="31">
        <v>2</v>
      </c>
      <c r="Q138" s="31">
        <v>1</v>
      </c>
      <c r="R138" s="31">
        <v>0</v>
      </c>
      <c r="S138" s="31">
        <v>5</v>
      </c>
      <c r="T138" s="31">
        <v>2</v>
      </c>
      <c r="U138" s="31">
        <v>0</v>
      </c>
      <c r="V138" s="31">
        <v>1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18</v>
      </c>
      <c r="AF138" s="31">
        <v>0</v>
      </c>
      <c r="AG138" s="31">
        <v>0</v>
      </c>
      <c r="AH138" s="31">
        <v>29</v>
      </c>
      <c r="AI138" s="31">
        <v>11</v>
      </c>
      <c r="AJ138" s="31">
        <v>4</v>
      </c>
    </row>
    <row r="139" spans="1:36" s="23" customFormat="1" ht="15" hidden="1" customHeight="1" x14ac:dyDescent="0.2">
      <c r="A139" s="110" t="s">
        <v>20</v>
      </c>
      <c r="B139" s="32" t="s">
        <v>75</v>
      </c>
      <c r="C139" s="33" t="s">
        <v>2</v>
      </c>
      <c r="D139" s="22">
        <v>113</v>
      </c>
      <c r="E139" s="22">
        <v>79</v>
      </c>
      <c r="F139" s="22">
        <v>30</v>
      </c>
      <c r="G139" s="22">
        <v>4</v>
      </c>
      <c r="H139" s="22">
        <v>26</v>
      </c>
      <c r="I139" s="22">
        <v>17</v>
      </c>
      <c r="J139" s="22">
        <v>0</v>
      </c>
      <c r="K139" s="22">
        <v>0</v>
      </c>
      <c r="L139" s="22">
        <v>0</v>
      </c>
      <c r="M139" s="22">
        <v>0</v>
      </c>
      <c r="N139" s="22">
        <v>1</v>
      </c>
      <c r="O139" s="22">
        <v>0</v>
      </c>
      <c r="P139" s="22">
        <v>1</v>
      </c>
      <c r="Q139" s="22">
        <v>1</v>
      </c>
      <c r="R139" s="22">
        <v>0</v>
      </c>
      <c r="S139" s="22">
        <v>5</v>
      </c>
      <c r="T139" s="22">
        <v>2</v>
      </c>
      <c r="U139" s="22">
        <v>0</v>
      </c>
      <c r="V139" s="22">
        <v>1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18</v>
      </c>
      <c r="AF139" s="22">
        <v>0</v>
      </c>
      <c r="AG139" s="22">
        <v>0</v>
      </c>
      <c r="AH139" s="22">
        <v>28</v>
      </c>
      <c r="AI139" s="22">
        <v>9</v>
      </c>
      <c r="AJ139" s="22">
        <v>4</v>
      </c>
    </row>
    <row r="140" spans="1:36" s="23" customFormat="1" ht="15" hidden="1" customHeight="1" x14ac:dyDescent="0.2">
      <c r="A140" s="111"/>
      <c r="B140" s="34" t="s">
        <v>76</v>
      </c>
      <c r="C140" s="35" t="s">
        <v>194</v>
      </c>
      <c r="D140" s="22">
        <v>7</v>
      </c>
      <c r="E140" s="22">
        <v>4</v>
      </c>
      <c r="F140" s="22">
        <v>3</v>
      </c>
      <c r="G140" s="22">
        <v>0</v>
      </c>
      <c r="H140" s="22">
        <v>2</v>
      </c>
      <c r="I140" s="22">
        <v>1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1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1</v>
      </c>
      <c r="AI140" s="22">
        <v>2</v>
      </c>
      <c r="AJ140" s="22">
        <v>0</v>
      </c>
    </row>
    <row r="141" spans="1:36" s="23" customFormat="1" ht="15" hidden="1" customHeight="1" x14ac:dyDescent="0.2">
      <c r="A141" s="26" t="s">
        <v>70</v>
      </c>
      <c r="B141" s="29" t="s">
        <v>74</v>
      </c>
      <c r="C141" s="30" t="s">
        <v>0</v>
      </c>
      <c r="D141" s="31">
        <v>71</v>
      </c>
      <c r="E141" s="31">
        <v>39</v>
      </c>
      <c r="F141" s="31">
        <v>32</v>
      </c>
      <c r="G141" s="31">
        <v>0</v>
      </c>
      <c r="H141" s="31">
        <v>18</v>
      </c>
      <c r="I141" s="31">
        <v>23</v>
      </c>
      <c r="J141" s="31">
        <v>1</v>
      </c>
      <c r="K141" s="31">
        <v>3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2</v>
      </c>
      <c r="R141" s="31">
        <v>0</v>
      </c>
      <c r="S141" s="31">
        <v>5</v>
      </c>
      <c r="T141" s="31">
        <v>2</v>
      </c>
      <c r="U141" s="31">
        <v>0</v>
      </c>
      <c r="V141" s="31">
        <v>1</v>
      </c>
      <c r="W141" s="31">
        <v>0</v>
      </c>
      <c r="X141" s="31">
        <v>0</v>
      </c>
      <c r="Y141" s="31">
        <v>1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8</v>
      </c>
      <c r="AF141" s="31">
        <v>2</v>
      </c>
      <c r="AG141" s="31">
        <v>0</v>
      </c>
      <c r="AH141" s="31">
        <v>5</v>
      </c>
      <c r="AI141" s="31">
        <v>0</v>
      </c>
      <c r="AJ141" s="31">
        <v>0</v>
      </c>
    </row>
    <row r="142" spans="1:36" s="23" customFormat="1" ht="15" hidden="1" customHeight="1" x14ac:dyDescent="0.2">
      <c r="A142" s="110" t="s">
        <v>21</v>
      </c>
      <c r="B142" s="32" t="s">
        <v>75</v>
      </c>
      <c r="C142" s="33" t="s">
        <v>2</v>
      </c>
      <c r="D142" s="22">
        <v>71</v>
      </c>
      <c r="E142" s="22">
        <v>39</v>
      </c>
      <c r="F142" s="22">
        <v>32</v>
      </c>
      <c r="G142" s="22">
        <v>0</v>
      </c>
      <c r="H142" s="22">
        <v>18</v>
      </c>
      <c r="I142" s="22">
        <v>23</v>
      </c>
      <c r="J142" s="22">
        <v>1</v>
      </c>
      <c r="K142" s="22">
        <v>3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2</v>
      </c>
      <c r="R142" s="22">
        <v>0</v>
      </c>
      <c r="S142" s="22">
        <v>5</v>
      </c>
      <c r="T142" s="22">
        <v>2</v>
      </c>
      <c r="U142" s="22">
        <v>0</v>
      </c>
      <c r="V142" s="22">
        <v>1</v>
      </c>
      <c r="W142" s="22">
        <v>0</v>
      </c>
      <c r="X142" s="22">
        <v>0</v>
      </c>
      <c r="Y142" s="22">
        <v>1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8</v>
      </c>
      <c r="AF142" s="22">
        <v>2</v>
      </c>
      <c r="AG142" s="22">
        <v>0</v>
      </c>
      <c r="AH142" s="22">
        <v>5</v>
      </c>
      <c r="AI142" s="22">
        <v>0</v>
      </c>
      <c r="AJ142" s="22">
        <v>0</v>
      </c>
    </row>
    <row r="143" spans="1:36" s="23" customFormat="1" ht="15" hidden="1" customHeight="1" x14ac:dyDescent="0.2">
      <c r="A143" s="111"/>
      <c r="B143" s="34" t="s">
        <v>76</v>
      </c>
      <c r="C143" s="35" t="s">
        <v>194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</row>
    <row r="144" spans="1:36" s="23" customFormat="1" ht="15" hidden="1" customHeight="1" x14ac:dyDescent="0.2">
      <c r="A144" s="26" t="s">
        <v>71</v>
      </c>
      <c r="B144" s="29" t="s">
        <v>74</v>
      </c>
      <c r="C144" s="30" t="s">
        <v>0</v>
      </c>
      <c r="D144" s="31">
        <v>27</v>
      </c>
      <c r="E144" s="31">
        <v>22</v>
      </c>
      <c r="F144" s="31">
        <v>5</v>
      </c>
      <c r="G144" s="31">
        <v>0</v>
      </c>
      <c r="H144" s="31">
        <v>21</v>
      </c>
      <c r="I144" s="31">
        <v>3</v>
      </c>
      <c r="J144" s="31">
        <v>0</v>
      </c>
      <c r="K144" s="31">
        <v>0</v>
      </c>
      <c r="L144" s="31">
        <v>0</v>
      </c>
      <c r="M144" s="31">
        <v>0</v>
      </c>
      <c r="N144" s="31">
        <v>1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1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1</v>
      </c>
      <c r="AI144" s="31">
        <v>0</v>
      </c>
      <c r="AJ144" s="31">
        <v>0</v>
      </c>
    </row>
    <row r="145" spans="1:36" s="23" customFormat="1" ht="15" hidden="1" customHeight="1" x14ac:dyDescent="0.2">
      <c r="A145" s="110" t="s">
        <v>22</v>
      </c>
      <c r="B145" s="32" t="s">
        <v>75</v>
      </c>
      <c r="C145" s="33" t="s">
        <v>2</v>
      </c>
      <c r="D145" s="22">
        <v>25</v>
      </c>
      <c r="E145" s="22">
        <v>20</v>
      </c>
      <c r="F145" s="22">
        <v>5</v>
      </c>
      <c r="G145" s="22">
        <v>0</v>
      </c>
      <c r="H145" s="22">
        <v>19</v>
      </c>
      <c r="I145" s="22">
        <v>3</v>
      </c>
      <c r="J145" s="22">
        <v>0</v>
      </c>
      <c r="K145" s="22">
        <v>0</v>
      </c>
      <c r="L145" s="22">
        <v>0</v>
      </c>
      <c r="M145" s="22">
        <v>0</v>
      </c>
      <c r="N145" s="22">
        <v>1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1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1</v>
      </c>
      <c r="AI145" s="22">
        <v>0</v>
      </c>
      <c r="AJ145" s="22">
        <v>0</v>
      </c>
    </row>
    <row r="146" spans="1:36" s="23" customFormat="1" ht="15" hidden="1" customHeight="1" x14ac:dyDescent="0.2">
      <c r="A146" s="111"/>
      <c r="B146" s="34" t="s">
        <v>76</v>
      </c>
      <c r="C146" s="35" t="s">
        <v>194</v>
      </c>
      <c r="D146" s="22">
        <v>2</v>
      </c>
      <c r="E146" s="22">
        <v>2</v>
      </c>
      <c r="F146" s="22">
        <v>0</v>
      </c>
      <c r="G146" s="22">
        <v>0</v>
      </c>
      <c r="H146" s="22">
        <v>2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</row>
    <row r="147" spans="1:36" s="23" customFormat="1" ht="15" hidden="1" customHeight="1" x14ac:dyDescent="0.2">
      <c r="A147" s="26" t="s">
        <v>72</v>
      </c>
      <c r="B147" s="29" t="s">
        <v>74</v>
      </c>
      <c r="C147" s="30" t="s">
        <v>0</v>
      </c>
      <c r="D147" s="31">
        <v>4</v>
      </c>
      <c r="E147" s="31">
        <v>1</v>
      </c>
      <c r="F147" s="31">
        <v>3</v>
      </c>
      <c r="G147" s="31">
        <v>0</v>
      </c>
      <c r="H147" s="31">
        <v>0</v>
      </c>
      <c r="I147" s="31">
        <v>1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1</v>
      </c>
      <c r="AA147" s="31">
        <v>0</v>
      </c>
      <c r="AB147" s="31">
        <v>0</v>
      </c>
      <c r="AC147" s="31">
        <v>0</v>
      </c>
      <c r="AD147" s="31">
        <v>0</v>
      </c>
      <c r="AE147" s="31">
        <v>0</v>
      </c>
      <c r="AF147" s="31">
        <v>0</v>
      </c>
      <c r="AG147" s="31">
        <v>0</v>
      </c>
      <c r="AH147" s="31">
        <v>1</v>
      </c>
      <c r="AI147" s="31">
        <v>1</v>
      </c>
      <c r="AJ147" s="31">
        <v>0</v>
      </c>
    </row>
    <row r="148" spans="1:36" s="23" customFormat="1" ht="15" hidden="1" customHeight="1" x14ac:dyDescent="0.2">
      <c r="A148" s="110" t="s">
        <v>23</v>
      </c>
      <c r="B148" s="32" t="s">
        <v>75</v>
      </c>
      <c r="C148" s="33" t="s">
        <v>2</v>
      </c>
      <c r="D148" s="22">
        <v>3</v>
      </c>
      <c r="E148" s="22">
        <v>1</v>
      </c>
      <c r="F148" s="22">
        <v>2</v>
      </c>
      <c r="G148" s="22">
        <v>0</v>
      </c>
      <c r="H148" s="22">
        <v>0</v>
      </c>
      <c r="I148" s="22">
        <v>1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1</v>
      </c>
      <c r="AI148" s="22">
        <v>1</v>
      </c>
      <c r="AJ148" s="22">
        <v>0</v>
      </c>
    </row>
    <row r="149" spans="1:36" s="23" customFormat="1" ht="15" hidden="1" customHeight="1" x14ac:dyDescent="0.2">
      <c r="A149" s="111"/>
      <c r="B149" s="34" t="s">
        <v>76</v>
      </c>
      <c r="C149" s="35" t="s">
        <v>194</v>
      </c>
      <c r="D149" s="27">
        <v>1</v>
      </c>
      <c r="E149" s="27">
        <v>0</v>
      </c>
      <c r="F149" s="27">
        <v>1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  <c r="V149" s="27">
        <v>0</v>
      </c>
      <c r="W149" s="27">
        <v>0</v>
      </c>
      <c r="X149" s="27">
        <v>0</v>
      </c>
      <c r="Y149" s="27">
        <v>0</v>
      </c>
      <c r="Z149" s="27">
        <v>1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</row>
    <row r="150" spans="1:36" ht="11.1" hidden="1" customHeight="1" x14ac:dyDescent="0.2"/>
    <row r="151" spans="1:36" s="69" customFormat="1" ht="16.5" hidden="1" customHeight="1" x14ac:dyDescent="0.2">
      <c r="A151" s="65" t="s">
        <v>174</v>
      </c>
      <c r="B151" s="66" t="s">
        <v>175</v>
      </c>
      <c r="C151" s="67" t="s">
        <v>0</v>
      </c>
      <c r="D151" s="68" t="str">
        <f>IF(D81=D7,"","*")</f>
        <v>*</v>
      </c>
      <c r="E151" s="68" t="str">
        <f t="shared" ref="E151:AJ159" si="1">IF(E81=E7,"","*")</f>
        <v>*</v>
      </c>
      <c r="F151" s="68" t="str">
        <f t="shared" si="1"/>
        <v>*</v>
      </c>
      <c r="G151" s="68" t="str">
        <f t="shared" si="1"/>
        <v>*</v>
      </c>
      <c r="H151" s="68" t="str">
        <f t="shared" si="1"/>
        <v>*</v>
      </c>
      <c r="I151" s="68" t="str">
        <f t="shared" si="1"/>
        <v>*</v>
      </c>
      <c r="J151" s="68" t="str">
        <f t="shared" si="1"/>
        <v>*</v>
      </c>
      <c r="K151" s="68" t="str">
        <f t="shared" si="1"/>
        <v>*</v>
      </c>
      <c r="L151" s="68" t="str">
        <f t="shared" si="1"/>
        <v/>
      </c>
      <c r="M151" s="68" t="str">
        <f t="shared" si="1"/>
        <v>*</v>
      </c>
      <c r="N151" s="68" t="str">
        <f t="shared" si="1"/>
        <v>*</v>
      </c>
      <c r="O151" s="68" t="str">
        <f t="shared" si="1"/>
        <v/>
      </c>
      <c r="P151" s="68" t="str">
        <f t="shared" si="1"/>
        <v>*</v>
      </c>
      <c r="Q151" s="68" t="str">
        <f t="shared" si="1"/>
        <v>*</v>
      </c>
      <c r="R151" s="68" t="str">
        <f t="shared" si="1"/>
        <v/>
      </c>
      <c r="S151" s="68" t="str">
        <f t="shared" si="1"/>
        <v>*</v>
      </c>
      <c r="T151" s="68" t="str">
        <f t="shared" si="1"/>
        <v/>
      </c>
      <c r="U151" s="68" t="str">
        <f t="shared" si="1"/>
        <v/>
      </c>
      <c r="V151" s="68" t="str">
        <f t="shared" si="1"/>
        <v>*</v>
      </c>
      <c r="W151" s="68" t="str">
        <f t="shared" si="1"/>
        <v>*</v>
      </c>
      <c r="X151" s="68" t="str">
        <f t="shared" si="1"/>
        <v/>
      </c>
      <c r="Y151" s="68" t="str">
        <f t="shared" si="1"/>
        <v>*</v>
      </c>
      <c r="Z151" s="68" t="str">
        <f t="shared" si="1"/>
        <v>*</v>
      </c>
      <c r="AA151" s="68" t="str">
        <f t="shared" si="1"/>
        <v/>
      </c>
      <c r="AB151" s="68" t="str">
        <f t="shared" si="1"/>
        <v>*</v>
      </c>
      <c r="AC151" s="68" t="str">
        <f t="shared" si="1"/>
        <v>*</v>
      </c>
      <c r="AD151" s="68" t="str">
        <f t="shared" si="1"/>
        <v/>
      </c>
      <c r="AE151" s="68" t="str">
        <f t="shared" si="1"/>
        <v>*</v>
      </c>
      <c r="AF151" s="68" t="str">
        <f t="shared" si="1"/>
        <v>*</v>
      </c>
      <c r="AG151" s="68" t="str">
        <f t="shared" si="1"/>
        <v>*</v>
      </c>
      <c r="AH151" s="68" t="str">
        <f t="shared" si="1"/>
        <v>*</v>
      </c>
      <c r="AI151" s="68" t="str">
        <f t="shared" si="1"/>
        <v>*</v>
      </c>
      <c r="AJ151" s="68" t="str">
        <f t="shared" si="1"/>
        <v>*</v>
      </c>
    </row>
    <row r="152" spans="1:36" s="69" customFormat="1" ht="15" hidden="1" customHeight="1" x14ac:dyDescent="0.2">
      <c r="A152" s="108" t="s">
        <v>1</v>
      </c>
      <c r="B152" s="70" t="s">
        <v>176</v>
      </c>
      <c r="C152" s="71" t="s">
        <v>2</v>
      </c>
      <c r="D152" s="72" t="str">
        <f t="shared" ref="D152:S167" si="2">IF(D82=D8,"","*")</f>
        <v>*</v>
      </c>
      <c r="E152" s="72" t="str">
        <f t="shared" si="2"/>
        <v>*</v>
      </c>
      <c r="F152" s="72" t="str">
        <f t="shared" si="2"/>
        <v>*</v>
      </c>
      <c r="G152" s="72" t="str">
        <f t="shared" si="2"/>
        <v>*</v>
      </c>
      <c r="H152" s="72" t="str">
        <f t="shared" si="2"/>
        <v>*</v>
      </c>
      <c r="I152" s="72" t="str">
        <f t="shared" si="2"/>
        <v>*</v>
      </c>
      <c r="J152" s="72" t="str">
        <f t="shared" si="2"/>
        <v>*</v>
      </c>
      <c r="K152" s="72" t="str">
        <f t="shared" si="2"/>
        <v>*</v>
      </c>
      <c r="L152" s="72" t="str">
        <f t="shared" si="2"/>
        <v/>
      </c>
      <c r="M152" s="72" t="str">
        <f t="shared" si="2"/>
        <v>*</v>
      </c>
      <c r="N152" s="72" t="str">
        <f t="shared" si="2"/>
        <v>*</v>
      </c>
      <c r="O152" s="72" t="str">
        <f t="shared" si="2"/>
        <v/>
      </c>
      <c r="P152" s="72" t="str">
        <f t="shared" si="2"/>
        <v>*</v>
      </c>
      <c r="Q152" s="72" t="str">
        <f t="shared" si="2"/>
        <v>*</v>
      </c>
      <c r="R152" s="72" t="str">
        <f t="shared" si="2"/>
        <v/>
      </c>
      <c r="S152" s="72" t="str">
        <f t="shared" si="2"/>
        <v>*</v>
      </c>
      <c r="T152" s="72" t="str">
        <f t="shared" si="1"/>
        <v>*</v>
      </c>
      <c r="U152" s="72" t="str">
        <f t="shared" si="1"/>
        <v/>
      </c>
      <c r="V152" s="72" t="str">
        <f t="shared" si="1"/>
        <v>*</v>
      </c>
      <c r="W152" s="72" t="str">
        <f t="shared" si="1"/>
        <v>*</v>
      </c>
      <c r="X152" s="72" t="str">
        <f t="shared" si="1"/>
        <v/>
      </c>
      <c r="Y152" s="72" t="str">
        <f t="shared" si="1"/>
        <v>*</v>
      </c>
      <c r="Z152" s="72" t="str">
        <f t="shared" si="1"/>
        <v>*</v>
      </c>
      <c r="AA152" s="72" t="str">
        <f t="shared" si="1"/>
        <v/>
      </c>
      <c r="AB152" s="72" t="str">
        <f t="shared" si="1"/>
        <v>*</v>
      </c>
      <c r="AC152" s="72" t="str">
        <f t="shared" si="1"/>
        <v>*</v>
      </c>
      <c r="AD152" s="72" t="str">
        <f t="shared" si="1"/>
        <v/>
      </c>
      <c r="AE152" s="72" t="str">
        <f t="shared" si="1"/>
        <v>*</v>
      </c>
      <c r="AF152" s="72" t="str">
        <f t="shared" si="1"/>
        <v>*</v>
      </c>
      <c r="AG152" s="72" t="str">
        <f t="shared" si="1"/>
        <v>*</v>
      </c>
      <c r="AH152" s="72" t="str">
        <f t="shared" si="1"/>
        <v>*</v>
      </c>
      <c r="AI152" s="72" t="str">
        <f t="shared" si="1"/>
        <v>*</v>
      </c>
      <c r="AJ152" s="72" t="str">
        <f t="shared" si="1"/>
        <v>*</v>
      </c>
    </row>
    <row r="153" spans="1:36" s="69" customFormat="1" ht="15" hidden="1" customHeight="1" x14ac:dyDescent="0.2">
      <c r="A153" s="109"/>
      <c r="B153" s="70" t="s">
        <v>177</v>
      </c>
      <c r="C153" s="71" t="s">
        <v>194</v>
      </c>
      <c r="D153" s="72" t="str">
        <f t="shared" si="2"/>
        <v>*</v>
      </c>
      <c r="E153" s="72" t="str">
        <f t="shared" si="1"/>
        <v>*</v>
      </c>
      <c r="F153" s="72" t="str">
        <f t="shared" si="1"/>
        <v>*</v>
      </c>
      <c r="G153" s="72" t="str">
        <f t="shared" si="1"/>
        <v>*</v>
      </c>
      <c r="H153" s="72" t="str">
        <f t="shared" si="1"/>
        <v>*</v>
      </c>
      <c r="I153" s="72" t="str">
        <f t="shared" si="1"/>
        <v>*</v>
      </c>
      <c r="J153" s="72" t="str">
        <f t="shared" si="1"/>
        <v>*</v>
      </c>
      <c r="K153" s="72" t="str">
        <f t="shared" si="1"/>
        <v>*</v>
      </c>
      <c r="L153" s="72" t="str">
        <f t="shared" si="1"/>
        <v/>
      </c>
      <c r="M153" s="72" t="str">
        <f t="shared" si="1"/>
        <v>*</v>
      </c>
      <c r="N153" s="72" t="str">
        <f t="shared" si="1"/>
        <v>*</v>
      </c>
      <c r="O153" s="72" t="str">
        <f t="shared" si="1"/>
        <v/>
      </c>
      <c r="P153" s="72" t="str">
        <f t="shared" si="1"/>
        <v>*</v>
      </c>
      <c r="Q153" s="72" t="str">
        <f t="shared" si="1"/>
        <v>*</v>
      </c>
      <c r="R153" s="72" t="str">
        <f t="shared" si="1"/>
        <v/>
      </c>
      <c r="S153" s="72" t="str">
        <f t="shared" si="1"/>
        <v>*</v>
      </c>
      <c r="T153" s="72" t="str">
        <f t="shared" si="1"/>
        <v>*</v>
      </c>
      <c r="U153" s="72" t="str">
        <f t="shared" si="1"/>
        <v/>
      </c>
      <c r="V153" s="72" t="str">
        <f t="shared" si="1"/>
        <v>*</v>
      </c>
      <c r="W153" s="72" t="str">
        <f t="shared" si="1"/>
        <v/>
      </c>
      <c r="X153" s="72" t="str">
        <f t="shared" si="1"/>
        <v/>
      </c>
      <c r="Y153" s="72" t="str">
        <f t="shared" si="1"/>
        <v>*</v>
      </c>
      <c r="Z153" s="72" t="str">
        <f t="shared" si="1"/>
        <v>*</v>
      </c>
      <c r="AA153" s="72" t="str">
        <f t="shared" si="1"/>
        <v/>
      </c>
      <c r="AB153" s="72" t="str">
        <f t="shared" si="1"/>
        <v/>
      </c>
      <c r="AC153" s="72" t="str">
        <f t="shared" si="1"/>
        <v/>
      </c>
      <c r="AD153" s="72" t="str">
        <f t="shared" si="1"/>
        <v/>
      </c>
      <c r="AE153" s="72" t="str">
        <f t="shared" si="1"/>
        <v>*</v>
      </c>
      <c r="AF153" s="72" t="str">
        <f t="shared" si="1"/>
        <v>*</v>
      </c>
      <c r="AG153" s="72" t="str">
        <f t="shared" si="1"/>
        <v/>
      </c>
      <c r="AH153" s="72" t="str">
        <f t="shared" si="1"/>
        <v>*</v>
      </c>
      <c r="AI153" s="72" t="str">
        <f t="shared" si="1"/>
        <v>*</v>
      </c>
      <c r="AJ153" s="72" t="str">
        <f t="shared" si="1"/>
        <v>*</v>
      </c>
    </row>
    <row r="154" spans="1:36" s="23" customFormat="1" ht="15" hidden="1" customHeight="1" x14ac:dyDescent="0.2">
      <c r="A154" s="56" t="s">
        <v>119</v>
      </c>
      <c r="B154" s="29" t="s">
        <v>74</v>
      </c>
      <c r="C154" s="30" t="s">
        <v>0</v>
      </c>
      <c r="D154" s="31" t="str">
        <f t="shared" si="2"/>
        <v>*</v>
      </c>
      <c r="E154" s="31" t="str">
        <f t="shared" si="1"/>
        <v>*</v>
      </c>
      <c r="F154" s="31" t="str">
        <f t="shared" si="1"/>
        <v>*</v>
      </c>
      <c r="G154" s="31" t="str">
        <f t="shared" si="1"/>
        <v>*</v>
      </c>
      <c r="H154" s="31" t="str">
        <f t="shared" si="1"/>
        <v>*</v>
      </c>
      <c r="I154" s="31" t="str">
        <f t="shared" si="1"/>
        <v>*</v>
      </c>
      <c r="J154" s="31" t="str">
        <f t="shared" si="1"/>
        <v>*</v>
      </c>
      <c r="K154" s="31" t="str">
        <f t="shared" si="1"/>
        <v>*</v>
      </c>
      <c r="L154" s="31" t="str">
        <f t="shared" si="1"/>
        <v/>
      </c>
      <c r="M154" s="31" t="str">
        <f t="shared" si="1"/>
        <v/>
      </c>
      <c r="N154" s="31" t="str">
        <f t="shared" si="1"/>
        <v>*</v>
      </c>
      <c r="O154" s="31" t="str">
        <f t="shared" si="1"/>
        <v/>
      </c>
      <c r="P154" s="31" t="str">
        <f t="shared" si="1"/>
        <v>*</v>
      </c>
      <c r="Q154" s="31" t="str">
        <f t="shared" si="1"/>
        <v>*</v>
      </c>
      <c r="R154" s="31" t="str">
        <f t="shared" si="1"/>
        <v/>
      </c>
      <c r="S154" s="31" t="str">
        <f t="shared" si="1"/>
        <v>*</v>
      </c>
      <c r="T154" s="31" t="str">
        <f t="shared" si="1"/>
        <v>*</v>
      </c>
      <c r="U154" s="31" t="str">
        <f t="shared" si="1"/>
        <v/>
      </c>
      <c r="V154" s="31" t="str">
        <f t="shared" si="1"/>
        <v>*</v>
      </c>
      <c r="W154" s="31" t="str">
        <f t="shared" si="1"/>
        <v>*</v>
      </c>
      <c r="X154" s="31" t="str">
        <f t="shared" si="1"/>
        <v/>
      </c>
      <c r="Y154" s="31" t="str">
        <f t="shared" si="1"/>
        <v>*</v>
      </c>
      <c r="Z154" s="31" t="str">
        <f t="shared" si="1"/>
        <v>*</v>
      </c>
      <c r="AA154" s="31" t="str">
        <f t="shared" si="1"/>
        <v/>
      </c>
      <c r="AB154" s="31" t="str">
        <f t="shared" si="1"/>
        <v/>
      </c>
      <c r="AC154" s="31" t="str">
        <f t="shared" si="1"/>
        <v>*</v>
      </c>
      <c r="AD154" s="31" t="str">
        <f t="shared" si="1"/>
        <v/>
      </c>
      <c r="AE154" s="31" t="str">
        <f t="shared" si="1"/>
        <v>*</v>
      </c>
      <c r="AF154" s="31" t="str">
        <f t="shared" si="1"/>
        <v>*</v>
      </c>
      <c r="AG154" s="31" t="str">
        <f t="shared" si="1"/>
        <v>*</v>
      </c>
      <c r="AH154" s="31" t="str">
        <f t="shared" si="1"/>
        <v>*</v>
      </c>
      <c r="AI154" s="31" t="str">
        <f t="shared" si="1"/>
        <v>*</v>
      </c>
      <c r="AJ154" s="31" t="str">
        <f t="shared" si="1"/>
        <v>*</v>
      </c>
    </row>
    <row r="155" spans="1:36" s="23" customFormat="1" ht="15" hidden="1" customHeight="1" x14ac:dyDescent="0.2">
      <c r="A155" s="110" t="s">
        <v>3</v>
      </c>
      <c r="B155" s="32" t="s">
        <v>75</v>
      </c>
      <c r="C155" s="33" t="s">
        <v>2</v>
      </c>
      <c r="D155" s="22" t="str">
        <f t="shared" si="2"/>
        <v>*</v>
      </c>
      <c r="E155" s="22" t="str">
        <f t="shared" si="1"/>
        <v>*</v>
      </c>
      <c r="F155" s="22" t="str">
        <f t="shared" si="1"/>
        <v>*</v>
      </c>
      <c r="G155" s="22" t="str">
        <f t="shared" si="1"/>
        <v>*</v>
      </c>
      <c r="H155" s="22" t="str">
        <f t="shared" si="1"/>
        <v>*</v>
      </c>
      <c r="I155" s="22" t="str">
        <f t="shared" si="1"/>
        <v>*</v>
      </c>
      <c r="J155" s="22" t="str">
        <f t="shared" si="1"/>
        <v>*</v>
      </c>
      <c r="K155" s="22" t="str">
        <f t="shared" si="1"/>
        <v>*</v>
      </c>
      <c r="L155" s="22" t="str">
        <f t="shared" si="1"/>
        <v/>
      </c>
      <c r="M155" s="22" t="str">
        <f t="shared" si="1"/>
        <v>*</v>
      </c>
      <c r="N155" s="22" t="str">
        <f t="shared" si="1"/>
        <v>*</v>
      </c>
      <c r="O155" s="22" t="str">
        <f t="shared" si="1"/>
        <v/>
      </c>
      <c r="P155" s="22" t="str">
        <f t="shared" si="1"/>
        <v>*</v>
      </c>
      <c r="Q155" s="22" t="str">
        <f t="shared" si="1"/>
        <v>*</v>
      </c>
      <c r="R155" s="22" t="str">
        <f t="shared" si="1"/>
        <v/>
      </c>
      <c r="S155" s="22" t="str">
        <f t="shared" si="1"/>
        <v>*</v>
      </c>
      <c r="T155" s="22" t="str">
        <f t="shared" si="1"/>
        <v/>
      </c>
      <c r="U155" s="22" t="str">
        <f t="shared" si="1"/>
        <v/>
      </c>
      <c r="V155" s="22" t="str">
        <f t="shared" si="1"/>
        <v>*</v>
      </c>
      <c r="W155" s="22" t="str">
        <f t="shared" si="1"/>
        <v>*</v>
      </c>
      <c r="X155" s="22" t="str">
        <f t="shared" si="1"/>
        <v/>
      </c>
      <c r="Y155" s="22" t="str">
        <f t="shared" si="1"/>
        <v>*</v>
      </c>
      <c r="Z155" s="22" t="str">
        <f t="shared" si="1"/>
        <v>*</v>
      </c>
      <c r="AA155" s="22" t="str">
        <f t="shared" si="1"/>
        <v/>
      </c>
      <c r="AB155" s="22" t="str">
        <f t="shared" si="1"/>
        <v/>
      </c>
      <c r="AC155" s="22" t="str">
        <f t="shared" si="1"/>
        <v>*</v>
      </c>
      <c r="AD155" s="22" t="str">
        <f t="shared" si="1"/>
        <v/>
      </c>
      <c r="AE155" s="22" t="str">
        <f t="shared" si="1"/>
        <v>*</v>
      </c>
      <c r="AF155" s="22" t="str">
        <f t="shared" si="1"/>
        <v>*</v>
      </c>
      <c r="AG155" s="22" t="str">
        <f t="shared" si="1"/>
        <v>*</v>
      </c>
      <c r="AH155" s="22" t="str">
        <f t="shared" si="1"/>
        <v>*</v>
      </c>
      <c r="AI155" s="22" t="str">
        <f t="shared" si="1"/>
        <v>*</v>
      </c>
      <c r="AJ155" s="22" t="str">
        <f t="shared" si="1"/>
        <v>*</v>
      </c>
    </row>
    <row r="156" spans="1:36" s="23" customFormat="1" ht="15" hidden="1" customHeight="1" x14ac:dyDescent="0.2">
      <c r="A156" s="111"/>
      <c r="B156" s="32" t="s">
        <v>76</v>
      </c>
      <c r="C156" s="33" t="s">
        <v>194</v>
      </c>
      <c r="D156" s="22" t="str">
        <f t="shared" si="2"/>
        <v>*</v>
      </c>
      <c r="E156" s="22" t="str">
        <f t="shared" si="1"/>
        <v>*</v>
      </c>
      <c r="F156" s="22" t="str">
        <f t="shared" si="1"/>
        <v/>
      </c>
      <c r="G156" s="22" t="str">
        <f t="shared" si="1"/>
        <v/>
      </c>
      <c r="H156" s="22" t="str">
        <f t="shared" si="1"/>
        <v>*</v>
      </c>
      <c r="I156" s="22" t="str">
        <f t="shared" si="1"/>
        <v/>
      </c>
      <c r="J156" s="22" t="str">
        <f t="shared" si="1"/>
        <v/>
      </c>
      <c r="K156" s="22" t="str">
        <f t="shared" si="1"/>
        <v>*</v>
      </c>
      <c r="L156" s="22" t="str">
        <f t="shared" si="1"/>
        <v/>
      </c>
      <c r="M156" s="22" t="str">
        <f t="shared" si="1"/>
        <v>*</v>
      </c>
      <c r="N156" s="22" t="str">
        <f t="shared" si="1"/>
        <v/>
      </c>
      <c r="O156" s="22" t="str">
        <f t="shared" si="1"/>
        <v/>
      </c>
      <c r="P156" s="22" t="str">
        <f t="shared" si="1"/>
        <v/>
      </c>
      <c r="Q156" s="22" t="str">
        <f t="shared" si="1"/>
        <v>*</v>
      </c>
      <c r="R156" s="22" t="str">
        <f t="shared" si="1"/>
        <v/>
      </c>
      <c r="S156" s="22" t="str">
        <f t="shared" si="1"/>
        <v>*</v>
      </c>
      <c r="T156" s="22" t="str">
        <f t="shared" si="1"/>
        <v>*</v>
      </c>
      <c r="U156" s="22" t="str">
        <f t="shared" si="1"/>
        <v/>
      </c>
      <c r="V156" s="22" t="str">
        <f t="shared" si="1"/>
        <v/>
      </c>
      <c r="W156" s="22" t="str">
        <f t="shared" si="1"/>
        <v/>
      </c>
      <c r="X156" s="22" t="str">
        <f t="shared" si="1"/>
        <v/>
      </c>
      <c r="Y156" s="22" t="str">
        <f t="shared" si="1"/>
        <v>*</v>
      </c>
      <c r="Z156" s="22" t="str">
        <f t="shared" si="1"/>
        <v/>
      </c>
      <c r="AA156" s="22" t="str">
        <f t="shared" si="1"/>
        <v/>
      </c>
      <c r="AB156" s="22" t="str">
        <f t="shared" si="1"/>
        <v/>
      </c>
      <c r="AC156" s="22" t="str">
        <f t="shared" si="1"/>
        <v/>
      </c>
      <c r="AD156" s="22" t="str">
        <f t="shared" si="1"/>
        <v/>
      </c>
      <c r="AE156" s="22" t="str">
        <f t="shared" si="1"/>
        <v>*</v>
      </c>
      <c r="AF156" s="22" t="str">
        <f t="shared" si="1"/>
        <v>*</v>
      </c>
      <c r="AG156" s="22" t="str">
        <f t="shared" si="1"/>
        <v/>
      </c>
      <c r="AH156" s="22" t="str">
        <f t="shared" si="1"/>
        <v>*</v>
      </c>
      <c r="AI156" s="22" t="str">
        <f t="shared" si="1"/>
        <v/>
      </c>
      <c r="AJ156" s="22" t="str">
        <f t="shared" si="1"/>
        <v/>
      </c>
    </row>
    <row r="157" spans="1:36" s="23" customFormat="1" ht="15" hidden="1" customHeight="1" x14ac:dyDescent="0.2">
      <c r="A157" s="56" t="s">
        <v>121</v>
      </c>
      <c r="B157" s="29" t="s">
        <v>74</v>
      </c>
      <c r="C157" s="30" t="s">
        <v>0</v>
      </c>
      <c r="D157" s="31" t="str">
        <f t="shared" si="2"/>
        <v>*</v>
      </c>
      <c r="E157" s="31" t="str">
        <f t="shared" si="1"/>
        <v>*</v>
      </c>
      <c r="F157" s="31" t="str">
        <f t="shared" si="1"/>
        <v>*</v>
      </c>
      <c r="G157" s="31" t="str">
        <f t="shared" si="1"/>
        <v>*</v>
      </c>
      <c r="H157" s="31" t="str">
        <f t="shared" si="1"/>
        <v>*</v>
      </c>
      <c r="I157" s="31" t="str">
        <f t="shared" si="1"/>
        <v>*</v>
      </c>
      <c r="J157" s="31" t="str">
        <f t="shared" si="1"/>
        <v>*</v>
      </c>
      <c r="K157" s="31" t="str">
        <f t="shared" si="1"/>
        <v>*</v>
      </c>
      <c r="L157" s="31" t="str">
        <f t="shared" si="1"/>
        <v/>
      </c>
      <c r="M157" s="31" t="str">
        <f t="shared" si="1"/>
        <v>*</v>
      </c>
      <c r="N157" s="31" t="str">
        <f t="shared" si="1"/>
        <v>*</v>
      </c>
      <c r="O157" s="31" t="str">
        <f t="shared" si="1"/>
        <v/>
      </c>
      <c r="P157" s="31" t="str">
        <f t="shared" si="1"/>
        <v>*</v>
      </c>
      <c r="Q157" s="31" t="str">
        <f t="shared" si="1"/>
        <v>*</v>
      </c>
      <c r="R157" s="31" t="str">
        <f t="shared" si="1"/>
        <v/>
      </c>
      <c r="S157" s="31" t="str">
        <f t="shared" si="1"/>
        <v>*</v>
      </c>
      <c r="T157" s="31" t="str">
        <f t="shared" si="1"/>
        <v>*</v>
      </c>
      <c r="U157" s="31" t="str">
        <f t="shared" si="1"/>
        <v/>
      </c>
      <c r="V157" s="31" t="str">
        <f t="shared" si="1"/>
        <v>*</v>
      </c>
      <c r="W157" s="31" t="str">
        <f t="shared" si="1"/>
        <v/>
      </c>
      <c r="X157" s="31" t="str">
        <f t="shared" si="1"/>
        <v/>
      </c>
      <c r="Y157" s="31" t="str">
        <f t="shared" si="1"/>
        <v>*</v>
      </c>
      <c r="Z157" s="31" t="str">
        <f t="shared" si="1"/>
        <v>*</v>
      </c>
      <c r="AA157" s="31" t="str">
        <f t="shared" si="1"/>
        <v/>
      </c>
      <c r="AB157" s="31" t="str">
        <f t="shared" si="1"/>
        <v/>
      </c>
      <c r="AC157" s="31" t="str">
        <f t="shared" si="1"/>
        <v>*</v>
      </c>
      <c r="AD157" s="31" t="str">
        <f t="shared" si="1"/>
        <v/>
      </c>
      <c r="AE157" s="31" t="str">
        <f t="shared" si="1"/>
        <v>*</v>
      </c>
      <c r="AF157" s="31" t="str">
        <f t="shared" si="1"/>
        <v>*</v>
      </c>
      <c r="AG157" s="31" t="str">
        <f t="shared" si="1"/>
        <v/>
      </c>
      <c r="AH157" s="31" t="str">
        <f t="shared" si="1"/>
        <v>*</v>
      </c>
      <c r="AI157" s="31" t="str">
        <f t="shared" si="1"/>
        <v>*</v>
      </c>
      <c r="AJ157" s="31" t="str">
        <f t="shared" si="1"/>
        <v>*</v>
      </c>
    </row>
    <row r="158" spans="1:36" s="23" customFormat="1" ht="15" hidden="1" customHeight="1" x14ac:dyDescent="0.2">
      <c r="A158" s="110" t="s">
        <v>4</v>
      </c>
      <c r="B158" s="32" t="s">
        <v>75</v>
      </c>
      <c r="C158" s="33" t="s">
        <v>2</v>
      </c>
      <c r="D158" s="22" t="str">
        <f t="shared" si="2"/>
        <v>*</v>
      </c>
      <c r="E158" s="22" t="str">
        <f t="shared" si="1"/>
        <v>*</v>
      </c>
      <c r="F158" s="22" t="str">
        <f t="shared" si="1"/>
        <v>*</v>
      </c>
      <c r="G158" s="22" t="str">
        <f t="shared" si="1"/>
        <v>*</v>
      </c>
      <c r="H158" s="22" t="str">
        <f t="shared" si="1"/>
        <v>*</v>
      </c>
      <c r="I158" s="22" t="str">
        <f t="shared" si="1"/>
        <v>*</v>
      </c>
      <c r="J158" s="22" t="str">
        <f t="shared" si="1"/>
        <v>*</v>
      </c>
      <c r="K158" s="22" t="str">
        <f t="shared" si="1"/>
        <v>*</v>
      </c>
      <c r="L158" s="22" t="str">
        <f t="shared" si="1"/>
        <v/>
      </c>
      <c r="M158" s="22" t="str">
        <f t="shared" si="1"/>
        <v>*</v>
      </c>
      <c r="N158" s="22" t="str">
        <f t="shared" si="1"/>
        <v>*</v>
      </c>
      <c r="O158" s="22" t="str">
        <f t="shared" si="1"/>
        <v/>
      </c>
      <c r="P158" s="22" t="str">
        <f t="shared" si="1"/>
        <v>*</v>
      </c>
      <c r="Q158" s="22" t="str">
        <f t="shared" si="1"/>
        <v>*</v>
      </c>
      <c r="R158" s="22" t="str">
        <f t="shared" si="1"/>
        <v/>
      </c>
      <c r="S158" s="22" t="str">
        <f t="shared" si="1"/>
        <v>*</v>
      </c>
      <c r="T158" s="22" t="str">
        <f t="shared" si="1"/>
        <v>*</v>
      </c>
      <c r="U158" s="22" t="str">
        <f t="shared" si="1"/>
        <v/>
      </c>
      <c r="V158" s="22" t="str">
        <f t="shared" si="1"/>
        <v>*</v>
      </c>
      <c r="W158" s="22" t="str">
        <f t="shared" si="1"/>
        <v/>
      </c>
      <c r="X158" s="22" t="str">
        <f t="shared" si="1"/>
        <v/>
      </c>
      <c r="Y158" s="22" t="str">
        <f t="shared" si="1"/>
        <v>*</v>
      </c>
      <c r="Z158" s="22" t="str">
        <f t="shared" si="1"/>
        <v>*</v>
      </c>
      <c r="AA158" s="22" t="str">
        <f t="shared" si="1"/>
        <v/>
      </c>
      <c r="AB158" s="22" t="str">
        <f t="shared" si="1"/>
        <v/>
      </c>
      <c r="AC158" s="22" t="str">
        <f t="shared" si="1"/>
        <v>*</v>
      </c>
      <c r="AD158" s="22" t="str">
        <f t="shared" si="1"/>
        <v/>
      </c>
      <c r="AE158" s="22" t="str">
        <f t="shared" si="1"/>
        <v>*</v>
      </c>
      <c r="AF158" s="22" t="str">
        <f t="shared" si="1"/>
        <v/>
      </c>
      <c r="AG158" s="22" t="str">
        <f t="shared" si="1"/>
        <v/>
      </c>
      <c r="AH158" s="22" t="str">
        <f t="shared" si="1"/>
        <v>*</v>
      </c>
      <c r="AI158" s="22" t="str">
        <f t="shared" si="1"/>
        <v>*</v>
      </c>
      <c r="AJ158" s="22" t="str">
        <f t="shared" si="1"/>
        <v>*</v>
      </c>
    </row>
    <row r="159" spans="1:36" s="23" customFormat="1" ht="15" hidden="1" customHeight="1" x14ac:dyDescent="0.2">
      <c r="A159" s="111"/>
      <c r="B159" s="34" t="s">
        <v>76</v>
      </c>
      <c r="C159" s="35" t="s">
        <v>194</v>
      </c>
      <c r="D159" s="22" t="str">
        <f t="shared" si="2"/>
        <v>*</v>
      </c>
      <c r="E159" s="22" t="str">
        <f t="shared" si="1"/>
        <v>*</v>
      </c>
      <c r="F159" s="22" t="str">
        <f t="shared" si="1"/>
        <v/>
      </c>
      <c r="G159" s="22" t="str">
        <f t="shared" si="1"/>
        <v/>
      </c>
      <c r="H159" s="22" t="str">
        <f t="shared" si="1"/>
        <v>*</v>
      </c>
      <c r="I159" s="22" t="str">
        <f t="shared" si="1"/>
        <v>*</v>
      </c>
      <c r="J159" s="22" t="str">
        <f t="shared" si="1"/>
        <v>*</v>
      </c>
      <c r="K159" s="22" t="str">
        <f t="shared" si="1"/>
        <v/>
      </c>
      <c r="L159" s="22" t="str">
        <f t="shared" si="1"/>
        <v/>
      </c>
      <c r="M159" s="22" t="str">
        <f t="shared" si="1"/>
        <v/>
      </c>
      <c r="N159" s="22" t="str">
        <f t="shared" si="1"/>
        <v/>
      </c>
      <c r="O159" s="22" t="str">
        <f t="shared" si="1"/>
        <v/>
      </c>
      <c r="P159" s="22" t="str">
        <f t="shared" si="1"/>
        <v/>
      </c>
      <c r="Q159" s="22" t="str">
        <f t="shared" si="1"/>
        <v/>
      </c>
      <c r="R159" s="22" t="str">
        <f t="shared" si="1"/>
        <v/>
      </c>
      <c r="S159" s="22" t="str">
        <f t="shared" ref="E159:AJ167" si="3">IF(S89=S15,"","*")</f>
        <v/>
      </c>
      <c r="T159" s="22" t="str">
        <f t="shared" si="3"/>
        <v/>
      </c>
      <c r="U159" s="22" t="str">
        <f t="shared" si="3"/>
        <v/>
      </c>
      <c r="V159" s="22" t="str">
        <f t="shared" si="3"/>
        <v/>
      </c>
      <c r="W159" s="22" t="str">
        <f t="shared" si="3"/>
        <v/>
      </c>
      <c r="X159" s="22" t="str">
        <f t="shared" si="3"/>
        <v/>
      </c>
      <c r="Y159" s="22" t="str">
        <f t="shared" si="3"/>
        <v/>
      </c>
      <c r="Z159" s="22" t="str">
        <f t="shared" si="3"/>
        <v/>
      </c>
      <c r="AA159" s="22" t="str">
        <f t="shared" si="3"/>
        <v/>
      </c>
      <c r="AB159" s="22" t="str">
        <f t="shared" si="3"/>
        <v/>
      </c>
      <c r="AC159" s="22" t="str">
        <f t="shared" si="3"/>
        <v/>
      </c>
      <c r="AD159" s="22" t="str">
        <f t="shared" si="3"/>
        <v/>
      </c>
      <c r="AE159" s="22" t="str">
        <f t="shared" si="3"/>
        <v/>
      </c>
      <c r="AF159" s="22" t="str">
        <f t="shared" si="3"/>
        <v>*</v>
      </c>
      <c r="AG159" s="22" t="str">
        <f t="shared" si="3"/>
        <v/>
      </c>
      <c r="AH159" s="22" t="str">
        <f t="shared" si="3"/>
        <v/>
      </c>
      <c r="AI159" s="22" t="str">
        <f t="shared" si="3"/>
        <v/>
      </c>
      <c r="AJ159" s="22" t="str">
        <f t="shared" si="3"/>
        <v/>
      </c>
    </row>
    <row r="160" spans="1:36" s="23" customFormat="1" ht="15" hidden="1" customHeight="1" x14ac:dyDescent="0.2">
      <c r="A160" s="56" t="s">
        <v>124</v>
      </c>
      <c r="B160" s="29" t="s">
        <v>74</v>
      </c>
      <c r="C160" s="30" t="s">
        <v>0</v>
      </c>
      <c r="D160" s="31" t="str">
        <f t="shared" si="2"/>
        <v>*</v>
      </c>
      <c r="E160" s="31" t="str">
        <f t="shared" si="3"/>
        <v>*</v>
      </c>
      <c r="F160" s="31" t="str">
        <f t="shared" si="3"/>
        <v>*</v>
      </c>
      <c r="G160" s="31" t="str">
        <f t="shared" si="3"/>
        <v>*</v>
      </c>
      <c r="H160" s="31" t="str">
        <f t="shared" si="3"/>
        <v>*</v>
      </c>
      <c r="I160" s="31" t="str">
        <f t="shared" si="3"/>
        <v>*</v>
      </c>
      <c r="J160" s="31" t="str">
        <f t="shared" si="3"/>
        <v>*</v>
      </c>
      <c r="K160" s="31" t="str">
        <f t="shared" si="3"/>
        <v>*</v>
      </c>
      <c r="L160" s="31" t="str">
        <f t="shared" si="3"/>
        <v/>
      </c>
      <c r="M160" s="31" t="str">
        <f t="shared" si="3"/>
        <v>*</v>
      </c>
      <c r="N160" s="31" t="str">
        <f t="shared" si="3"/>
        <v>*</v>
      </c>
      <c r="O160" s="31" t="str">
        <f t="shared" si="3"/>
        <v/>
      </c>
      <c r="P160" s="31" t="str">
        <f t="shared" si="3"/>
        <v>*</v>
      </c>
      <c r="Q160" s="31" t="str">
        <f t="shared" si="3"/>
        <v>*</v>
      </c>
      <c r="R160" s="31" t="str">
        <f t="shared" si="3"/>
        <v/>
      </c>
      <c r="S160" s="31" t="str">
        <f t="shared" si="3"/>
        <v>*</v>
      </c>
      <c r="T160" s="31" t="str">
        <f t="shared" si="3"/>
        <v>*</v>
      </c>
      <c r="U160" s="31" t="str">
        <f t="shared" si="3"/>
        <v/>
      </c>
      <c r="V160" s="31" t="str">
        <f t="shared" si="3"/>
        <v>*</v>
      </c>
      <c r="W160" s="31" t="str">
        <f t="shared" si="3"/>
        <v>*</v>
      </c>
      <c r="X160" s="31" t="str">
        <f t="shared" si="3"/>
        <v/>
      </c>
      <c r="Y160" s="31" t="str">
        <f t="shared" si="3"/>
        <v>*</v>
      </c>
      <c r="Z160" s="31" t="str">
        <f t="shared" si="3"/>
        <v>*</v>
      </c>
      <c r="AA160" s="31" t="str">
        <f t="shared" si="3"/>
        <v/>
      </c>
      <c r="AB160" s="31" t="str">
        <f t="shared" si="3"/>
        <v/>
      </c>
      <c r="AC160" s="31" t="str">
        <f t="shared" si="3"/>
        <v>*</v>
      </c>
      <c r="AD160" s="31" t="str">
        <f t="shared" si="3"/>
        <v/>
      </c>
      <c r="AE160" s="31" t="str">
        <f t="shared" si="3"/>
        <v>*</v>
      </c>
      <c r="AF160" s="31" t="str">
        <f t="shared" si="3"/>
        <v/>
      </c>
      <c r="AG160" s="31" t="str">
        <f t="shared" si="3"/>
        <v>*</v>
      </c>
      <c r="AH160" s="31" t="str">
        <f t="shared" si="3"/>
        <v>*</v>
      </c>
      <c r="AI160" s="31" t="str">
        <f t="shared" si="3"/>
        <v>*</v>
      </c>
      <c r="AJ160" s="31" t="str">
        <f t="shared" si="3"/>
        <v>*</v>
      </c>
    </row>
    <row r="161" spans="1:36" s="23" customFormat="1" ht="15" hidden="1" customHeight="1" x14ac:dyDescent="0.2">
      <c r="A161" s="110" t="s">
        <v>25</v>
      </c>
      <c r="B161" s="32" t="s">
        <v>75</v>
      </c>
      <c r="C161" s="33" t="s">
        <v>2</v>
      </c>
      <c r="D161" s="22" t="str">
        <f t="shared" si="2"/>
        <v>*</v>
      </c>
      <c r="E161" s="22" t="str">
        <f t="shared" si="3"/>
        <v>*</v>
      </c>
      <c r="F161" s="22" t="str">
        <f t="shared" si="3"/>
        <v>*</v>
      </c>
      <c r="G161" s="22" t="str">
        <f t="shared" si="3"/>
        <v>*</v>
      </c>
      <c r="H161" s="22" t="str">
        <f t="shared" si="3"/>
        <v>*</v>
      </c>
      <c r="I161" s="22" t="str">
        <f t="shared" si="3"/>
        <v>*</v>
      </c>
      <c r="J161" s="22" t="str">
        <f t="shared" si="3"/>
        <v>*</v>
      </c>
      <c r="K161" s="22" t="str">
        <f t="shared" si="3"/>
        <v>*</v>
      </c>
      <c r="L161" s="22" t="str">
        <f t="shared" si="3"/>
        <v/>
      </c>
      <c r="M161" s="22" t="str">
        <f t="shared" si="3"/>
        <v>*</v>
      </c>
      <c r="N161" s="22" t="str">
        <f t="shared" si="3"/>
        <v>*</v>
      </c>
      <c r="O161" s="22" t="str">
        <f t="shared" si="3"/>
        <v/>
      </c>
      <c r="P161" s="22" t="str">
        <f t="shared" si="3"/>
        <v>*</v>
      </c>
      <c r="Q161" s="22" t="str">
        <f t="shared" si="3"/>
        <v>*</v>
      </c>
      <c r="R161" s="22" t="str">
        <f t="shared" si="3"/>
        <v/>
      </c>
      <c r="S161" s="22" t="str">
        <f t="shared" si="3"/>
        <v>*</v>
      </c>
      <c r="T161" s="22" t="str">
        <f t="shared" si="3"/>
        <v>*</v>
      </c>
      <c r="U161" s="22" t="str">
        <f t="shared" si="3"/>
        <v/>
      </c>
      <c r="V161" s="22" t="str">
        <f t="shared" si="3"/>
        <v>*</v>
      </c>
      <c r="W161" s="22" t="str">
        <f t="shared" si="3"/>
        <v>*</v>
      </c>
      <c r="X161" s="22" t="str">
        <f t="shared" si="3"/>
        <v/>
      </c>
      <c r="Y161" s="22" t="str">
        <f t="shared" si="3"/>
        <v>*</v>
      </c>
      <c r="Z161" s="22" t="str">
        <f t="shared" si="3"/>
        <v>*</v>
      </c>
      <c r="AA161" s="22" t="str">
        <f t="shared" si="3"/>
        <v/>
      </c>
      <c r="AB161" s="22" t="str">
        <f t="shared" si="3"/>
        <v/>
      </c>
      <c r="AC161" s="22" t="str">
        <f t="shared" si="3"/>
        <v>*</v>
      </c>
      <c r="AD161" s="22" t="str">
        <f t="shared" si="3"/>
        <v/>
      </c>
      <c r="AE161" s="22" t="str">
        <f t="shared" si="3"/>
        <v>*</v>
      </c>
      <c r="AF161" s="22" t="str">
        <f t="shared" si="3"/>
        <v>*</v>
      </c>
      <c r="AG161" s="22" t="str">
        <f t="shared" si="3"/>
        <v>*</v>
      </c>
      <c r="AH161" s="22" t="str">
        <f t="shared" si="3"/>
        <v>*</v>
      </c>
      <c r="AI161" s="22" t="str">
        <f t="shared" si="3"/>
        <v>*</v>
      </c>
      <c r="AJ161" s="22" t="str">
        <f t="shared" si="3"/>
        <v>*</v>
      </c>
    </row>
    <row r="162" spans="1:36" s="23" customFormat="1" ht="15" hidden="1" customHeight="1" x14ac:dyDescent="0.2">
      <c r="A162" s="111"/>
      <c r="B162" s="34" t="s">
        <v>76</v>
      </c>
      <c r="C162" s="35" t="s">
        <v>194</v>
      </c>
      <c r="D162" s="22" t="str">
        <f t="shared" si="2"/>
        <v>*</v>
      </c>
      <c r="E162" s="22" t="str">
        <f t="shared" si="3"/>
        <v>*</v>
      </c>
      <c r="F162" s="22" t="str">
        <f t="shared" si="3"/>
        <v>*</v>
      </c>
      <c r="G162" s="22" t="str">
        <f t="shared" si="3"/>
        <v/>
      </c>
      <c r="H162" s="22" t="str">
        <f t="shared" si="3"/>
        <v>*</v>
      </c>
      <c r="I162" s="22" t="str">
        <f t="shared" si="3"/>
        <v>*</v>
      </c>
      <c r="J162" s="22" t="str">
        <f t="shared" si="3"/>
        <v>*</v>
      </c>
      <c r="K162" s="22" t="str">
        <f t="shared" si="3"/>
        <v/>
      </c>
      <c r="L162" s="22" t="str">
        <f t="shared" si="3"/>
        <v/>
      </c>
      <c r="M162" s="22" t="str">
        <f t="shared" si="3"/>
        <v>*</v>
      </c>
      <c r="N162" s="22" t="str">
        <f t="shared" si="3"/>
        <v>*</v>
      </c>
      <c r="O162" s="22" t="str">
        <f t="shared" si="3"/>
        <v/>
      </c>
      <c r="P162" s="22" t="str">
        <f t="shared" si="3"/>
        <v>*</v>
      </c>
      <c r="Q162" s="22" t="str">
        <f t="shared" si="3"/>
        <v>*</v>
      </c>
      <c r="R162" s="22" t="str">
        <f t="shared" si="3"/>
        <v/>
      </c>
      <c r="S162" s="22" t="str">
        <f t="shared" si="3"/>
        <v>*</v>
      </c>
      <c r="T162" s="22" t="str">
        <f t="shared" si="3"/>
        <v/>
      </c>
      <c r="U162" s="22" t="str">
        <f t="shared" si="3"/>
        <v/>
      </c>
      <c r="V162" s="22" t="str">
        <f t="shared" si="3"/>
        <v/>
      </c>
      <c r="W162" s="22" t="str">
        <f t="shared" si="3"/>
        <v/>
      </c>
      <c r="X162" s="22" t="str">
        <f t="shared" si="3"/>
        <v/>
      </c>
      <c r="Y162" s="22" t="str">
        <f t="shared" si="3"/>
        <v/>
      </c>
      <c r="Z162" s="22" t="str">
        <f t="shared" si="3"/>
        <v/>
      </c>
      <c r="AA162" s="22" t="str">
        <f t="shared" si="3"/>
        <v/>
      </c>
      <c r="AB162" s="22" t="str">
        <f t="shared" si="3"/>
        <v/>
      </c>
      <c r="AC162" s="22" t="str">
        <f t="shared" si="3"/>
        <v/>
      </c>
      <c r="AD162" s="22" t="str">
        <f t="shared" si="3"/>
        <v/>
      </c>
      <c r="AE162" s="22" t="str">
        <f t="shared" si="3"/>
        <v>*</v>
      </c>
      <c r="AF162" s="22" t="str">
        <f t="shared" si="3"/>
        <v>*</v>
      </c>
      <c r="AG162" s="22" t="str">
        <f t="shared" si="3"/>
        <v/>
      </c>
      <c r="AH162" s="22" t="str">
        <f t="shared" si="3"/>
        <v>*</v>
      </c>
      <c r="AI162" s="22" t="str">
        <f t="shared" si="3"/>
        <v>*</v>
      </c>
      <c r="AJ162" s="22" t="str">
        <f t="shared" si="3"/>
        <v/>
      </c>
    </row>
    <row r="163" spans="1:36" s="23" customFormat="1" ht="15" hidden="1" customHeight="1" x14ac:dyDescent="0.2">
      <c r="A163" s="56" t="s">
        <v>126</v>
      </c>
      <c r="B163" s="29" t="s">
        <v>74</v>
      </c>
      <c r="C163" s="30" t="s">
        <v>0</v>
      </c>
      <c r="D163" s="31" t="str">
        <f t="shared" si="2"/>
        <v>*</v>
      </c>
      <c r="E163" s="31" t="str">
        <f t="shared" si="3"/>
        <v>*</v>
      </c>
      <c r="F163" s="31" t="str">
        <f t="shared" si="3"/>
        <v>*</v>
      </c>
      <c r="G163" s="31" t="str">
        <f t="shared" si="3"/>
        <v>*</v>
      </c>
      <c r="H163" s="31" t="str">
        <f t="shared" si="3"/>
        <v>*</v>
      </c>
      <c r="I163" s="31" t="str">
        <f t="shared" si="3"/>
        <v>*</v>
      </c>
      <c r="J163" s="31" t="str">
        <f t="shared" si="3"/>
        <v>*</v>
      </c>
      <c r="K163" s="31" t="str">
        <f t="shared" si="3"/>
        <v>*</v>
      </c>
      <c r="L163" s="31" t="str">
        <f t="shared" si="3"/>
        <v/>
      </c>
      <c r="M163" s="31" t="str">
        <f t="shared" si="3"/>
        <v>*</v>
      </c>
      <c r="N163" s="31" t="str">
        <f t="shared" si="3"/>
        <v>*</v>
      </c>
      <c r="O163" s="31" t="str">
        <f t="shared" si="3"/>
        <v/>
      </c>
      <c r="P163" s="31" t="str">
        <f t="shared" si="3"/>
        <v>*</v>
      </c>
      <c r="Q163" s="31" t="str">
        <f t="shared" si="3"/>
        <v>*</v>
      </c>
      <c r="R163" s="31" t="str">
        <f t="shared" si="3"/>
        <v/>
      </c>
      <c r="S163" s="31" t="str">
        <f t="shared" si="3"/>
        <v>*</v>
      </c>
      <c r="T163" s="31" t="str">
        <f t="shared" si="3"/>
        <v/>
      </c>
      <c r="U163" s="31" t="str">
        <f t="shared" si="3"/>
        <v/>
      </c>
      <c r="V163" s="31" t="str">
        <f t="shared" si="3"/>
        <v>*</v>
      </c>
      <c r="W163" s="31" t="str">
        <f t="shared" si="3"/>
        <v>*</v>
      </c>
      <c r="X163" s="31" t="str">
        <f t="shared" si="3"/>
        <v/>
      </c>
      <c r="Y163" s="31" t="str">
        <f t="shared" si="3"/>
        <v>*</v>
      </c>
      <c r="Z163" s="31" t="str">
        <f t="shared" si="3"/>
        <v>*</v>
      </c>
      <c r="AA163" s="31" t="str">
        <f t="shared" si="3"/>
        <v/>
      </c>
      <c r="AB163" s="31" t="str">
        <f t="shared" si="3"/>
        <v>*</v>
      </c>
      <c r="AC163" s="31" t="str">
        <f t="shared" si="3"/>
        <v>*</v>
      </c>
      <c r="AD163" s="31" t="str">
        <f t="shared" si="3"/>
        <v/>
      </c>
      <c r="AE163" s="31" t="str">
        <f t="shared" si="3"/>
        <v>*</v>
      </c>
      <c r="AF163" s="31" t="str">
        <f t="shared" si="3"/>
        <v>*</v>
      </c>
      <c r="AG163" s="31" t="str">
        <f t="shared" si="3"/>
        <v/>
      </c>
      <c r="AH163" s="31" t="str">
        <f t="shared" si="3"/>
        <v>*</v>
      </c>
      <c r="AI163" s="31" t="str">
        <f t="shared" si="3"/>
        <v>*</v>
      </c>
      <c r="AJ163" s="31" t="str">
        <f t="shared" si="3"/>
        <v>*</v>
      </c>
    </row>
    <row r="164" spans="1:36" s="23" customFormat="1" ht="15" hidden="1" customHeight="1" x14ac:dyDescent="0.2">
      <c r="A164" s="110" t="s">
        <v>5</v>
      </c>
      <c r="B164" s="32" t="s">
        <v>75</v>
      </c>
      <c r="C164" s="33" t="s">
        <v>2</v>
      </c>
      <c r="D164" s="22" t="str">
        <f t="shared" si="2"/>
        <v>*</v>
      </c>
      <c r="E164" s="22" t="str">
        <f t="shared" si="3"/>
        <v>*</v>
      </c>
      <c r="F164" s="22" t="str">
        <f t="shared" si="3"/>
        <v>*</v>
      </c>
      <c r="G164" s="22" t="str">
        <f t="shared" si="3"/>
        <v>*</v>
      </c>
      <c r="H164" s="22" t="str">
        <f t="shared" si="3"/>
        <v>*</v>
      </c>
      <c r="I164" s="22" t="str">
        <f t="shared" si="3"/>
        <v>*</v>
      </c>
      <c r="J164" s="22" t="str">
        <f t="shared" si="3"/>
        <v>*</v>
      </c>
      <c r="K164" s="22" t="str">
        <f t="shared" si="3"/>
        <v>*</v>
      </c>
      <c r="L164" s="22" t="str">
        <f t="shared" si="3"/>
        <v/>
      </c>
      <c r="M164" s="22" t="str">
        <f t="shared" si="3"/>
        <v>*</v>
      </c>
      <c r="N164" s="22" t="str">
        <f t="shared" si="3"/>
        <v>*</v>
      </c>
      <c r="O164" s="22" t="str">
        <f t="shared" si="3"/>
        <v/>
      </c>
      <c r="P164" s="22" t="str">
        <f t="shared" si="3"/>
        <v>*</v>
      </c>
      <c r="Q164" s="22" t="str">
        <f t="shared" si="3"/>
        <v>*</v>
      </c>
      <c r="R164" s="22" t="str">
        <f t="shared" si="3"/>
        <v/>
      </c>
      <c r="S164" s="22" t="str">
        <f t="shared" si="3"/>
        <v>*</v>
      </c>
      <c r="T164" s="22" t="str">
        <f t="shared" si="3"/>
        <v/>
      </c>
      <c r="U164" s="22" t="str">
        <f t="shared" si="3"/>
        <v/>
      </c>
      <c r="V164" s="22" t="str">
        <f t="shared" si="3"/>
        <v>*</v>
      </c>
      <c r="W164" s="22" t="str">
        <f t="shared" si="3"/>
        <v>*</v>
      </c>
      <c r="X164" s="22" t="str">
        <f t="shared" si="3"/>
        <v/>
      </c>
      <c r="Y164" s="22" t="str">
        <f t="shared" si="3"/>
        <v>*</v>
      </c>
      <c r="Z164" s="22" t="str">
        <f t="shared" si="3"/>
        <v>*</v>
      </c>
      <c r="AA164" s="22" t="str">
        <f t="shared" si="3"/>
        <v/>
      </c>
      <c r="AB164" s="22" t="str">
        <f t="shared" si="3"/>
        <v>*</v>
      </c>
      <c r="AC164" s="22" t="str">
        <f t="shared" si="3"/>
        <v>*</v>
      </c>
      <c r="AD164" s="22" t="str">
        <f t="shared" si="3"/>
        <v/>
      </c>
      <c r="AE164" s="22" t="str">
        <f t="shared" si="3"/>
        <v>*</v>
      </c>
      <c r="AF164" s="22" t="str">
        <f t="shared" si="3"/>
        <v>*</v>
      </c>
      <c r="AG164" s="22" t="str">
        <f t="shared" si="3"/>
        <v/>
      </c>
      <c r="AH164" s="22" t="str">
        <f t="shared" si="3"/>
        <v>*</v>
      </c>
      <c r="AI164" s="22" t="str">
        <f t="shared" si="3"/>
        <v>*</v>
      </c>
      <c r="AJ164" s="22" t="str">
        <f t="shared" si="3"/>
        <v>*</v>
      </c>
    </row>
    <row r="165" spans="1:36" s="23" customFormat="1" ht="15" hidden="1" customHeight="1" x14ac:dyDescent="0.2">
      <c r="A165" s="111"/>
      <c r="B165" s="34" t="s">
        <v>76</v>
      </c>
      <c r="C165" s="35" t="s">
        <v>194</v>
      </c>
      <c r="D165" s="22" t="str">
        <f t="shared" si="2"/>
        <v>*</v>
      </c>
      <c r="E165" s="22" t="str">
        <f t="shared" si="3"/>
        <v>*</v>
      </c>
      <c r="F165" s="22" t="str">
        <f t="shared" si="3"/>
        <v>*</v>
      </c>
      <c r="G165" s="22" t="str">
        <f t="shared" si="3"/>
        <v/>
      </c>
      <c r="H165" s="22" t="str">
        <f t="shared" si="3"/>
        <v>*</v>
      </c>
      <c r="I165" s="22" t="str">
        <f t="shared" si="3"/>
        <v>*</v>
      </c>
      <c r="J165" s="22" t="str">
        <f t="shared" si="3"/>
        <v>*</v>
      </c>
      <c r="K165" s="22" t="str">
        <f t="shared" si="3"/>
        <v>*</v>
      </c>
      <c r="L165" s="22" t="str">
        <f t="shared" si="3"/>
        <v/>
      </c>
      <c r="M165" s="22" t="str">
        <f t="shared" si="3"/>
        <v/>
      </c>
      <c r="N165" s="22" t="str">
        <f t="shared" si="3"/>
        <v>*</v>
      </c>
      <c r="O165" s="22" t="str">
        <f t="shared" si="3"/>
        <v/>
      </c>
      <c r="P165" s="22" t="str">
        <f t="shared" si="3"/>
        <v>*</v>
      </c>
      <c r="Q165" s="22" t="str">
        <f t="shared" si="3"/>
        <v>*</v>
      </c>
      <c r="R165" s="22" t="str">
        <f t="shared" si="3"/>
        <v/>
      </c>
      <c r="S165" s="22" t="str">
        <f t="shared" si="3"/>
        <v/>
      </c>
      <c r="T165" s="22" t="str">
        <f t="shared" si="3"/>
        <v/>
      </c>
      <c r="U165" s="22" t="str">
        <f t="shared" si="3"/>
        <v/>
      </c>
      <c r="V165" s="22" t="str">
        <f t="shared" si="3"/>
        <v/>
      </c>
      <c r="W165" s="22" t="str">
        <f t="shared" si="3"/>
        <v/>
      </c>
      <c r="X165" s="22" t="str">
        <f t="shared" si="3"/>
        <v/>
      </c>
      <c r="Y165" s="22" t="str">
        <f t="shared" si="3"/>
        <v/>
      </c>
      <c r="Z165" s="22" t="str">
        <f t="shared" si="3"/>
        <v/>
      </c>
      <c r="AA165" s="22" t="str">
        <f t="shared" si="3"/>
        <v/>
      </c>
      <c r="AB165" s="22" t="str">
        <f t="shared" si="3"/>
        <v/>
      </c>
      <c r="AC165" s="22" t="str">
        <f t="shared" si="3"/>
        <v/>
      </c>
      <c r="AD165" s="22" t="str">
        <f t="shared" si="3"/>
        <v/>
      </c>
      <c r="AE165" s="22" t="str">
        <f t="shared" si="3"/>
        <v/>
      </c>
      <c r="AF165" s="22" t="str">
        <f t="shared" si="3"/>
        <v/>
      </c>
      <c r="AG165" s="22" t="str">
        <f t="shared" si="3"/>
        <v/>
      </c>
      <c r="AH165" s="22" t="str">
        <f t="shared" si="3"/>
        <v>*</v>
      </c>
      <c r="AI165" s="22" t="str">
        <f t="shared" si="3"/>
        <v/>
      </c>
      <c r="AJ165" s="22" t="str">
        <f t="shared" si="3"/>
        <v/>
      </c>
    </row>
    <row r="166" spans="1:36" s="23" customFormat="1" ht="15" hidden="1" customHeight="1" x14ac:dyDescent="0.2">
      <c r="A166" s="56" t="s">
        <v>128</v>
      </c>
      <c r="B166" s="29" t="s">
        <v>74</v>
      </c>
      <c r="C166" s="30" t="s">
        <v>0</v>
      </c>
      <c r="D166" s="31" t="str">
        <f t="shared" si="2"/>
        <v>*</v>
      </c>
      <c r="E166" s="31" t="str">
        <f t="shared" si="3"/>
        <v>*</v>
      </c>
      <c r="F166" s="31" t="str">
        <f t="shared" si="3"/>
        <v>*</v>
      </c>
      <c r="G166" s="31" t="str">
        <f t="shared" si="3"/>
        <v/>
      </c>
      <c r="H166" s="31" t="str">
        <f t="shared" si="3"/>
        <v>*</v>
      </c>
      <c r="I166" s="31" t="str">
        <f t="shared" si="3"/>
        <v>*</v>
      </c>
      <c r="J166" s="31" t="str">
        <f t="shared" si="3"/>
        <v>*</v>
      </c>
      <c r="K166" s="31" t="str">
        <f t="shared" si="3"/>
        <v>*</v>
      </c>
      <c r="L166" s="31" t="str">
        <f t="shared" si="3"/>
        <v/>
      </c>
      <c r="M166" s="31" t="str">
        <f t="shared" si="3"/>
        <v>*</v>
      </c>
      <c r="N166" s="31" t="str">
        <f t="shared" si="3"/>
        <v>*</v>
      </c>
      <c r="O166" s="31" t="str">
        <f t="shared" si="3"/>
        <v/>
      </c>
      <c r="P166" s="31" t="str">
        <f t="shared" si="3"/>
        <v>*</v>
      </c>
      <c r="Q166" s="31" t="str">
        <f t="shared" si="3"/>
        <v>*</v>
      </c>
      <c r="R166" s="31" t="str">
        <f t="shared" si="3"/>
        <v/>
      </c>
      <c r="S166" s="31" t="str">
        <f t="shared" si="3"/>
        <v>*</v>
      </c>
      <c r="T166" s="31" t="str">
        <f t="shared" si="3"/>
        <v>*</v>
      </c>
      <c r="U166" s="31" t="str">
        <f t="shared" si="3"/>
        <v/>
      </c>
      <c r="V166" s="31" t="str">
        <f t="shared" si="3"/>
        <v>*</v>
      </c>
      <c r="W166" s="31" t="str">
        <f t="shared" si="3"/>
        <v>*</v>
      </c>
      <c r="X166" s="31" t="str">
        <f t="shared" si="3"/>
        <v/>
      </c>
      <c r="Y166" s="31" t="str">
        <f t="shared" si="3"/>
        <v>*</v>
      </c>
      <c r="Z166" s="31" t="str">
        <f t="shared" si="3"/>
        <v>*</v>
      </c>
      <c r="AA166" s="31" t="str">
        <f t="shared" si="3"/>
        <v/>
      </c>
      <c r="AB166" s="31" t="str">
        <f t="shared" si="3"/>
        <v/>
      </c>
      <c r="AC166" s="31" t="str">
        <f t="shared" si="3"/>
        <v>*</v>
      </c>
      <c r="AD166" s="31" t="str">
        <f t="shared" si="3"/>
        <v/>
      </c>
      <c r="AE166" s="31" t="str">
        <f t="shared" si="3"/>
        <v>*</v>
      </c>
      <c r="AF166" s="31" t="str">
        <f t="shared" si="3"/>
        <v>*</v>
      </c>
      <c r="AG166" s="31" t="str">
        <f t="shared" si="3"/>
        <v/>
      </c>
      <c r="AH166" s="31" t="str">
        <f t="shared" si="3"/>
        <v>*</v>
      </c>
      <c r="AI166" s="31" t="str">
        <f t="shared" si="3"/>
        <v>*</v>
      </c>
      <c r="AJ166" s="31" t="str">
        <f t="shared" si="3"/>
        <v/>
      </c>
    </row>
    <row r="167" spans="1:36" s="23" customFormat="1" ht="15" hidden="1" customHeight="1" x14ac:dyDescent="0.2">
      <c r="A167" s="110" t="s">
        <v>6</v>
      </c>
      <c r="B167" s="32" t="s">
        <v>75</v>
      </c>
      <c r="C167" s="33" t="s">
        <v>2</v>
      </c>
      <c r="D167" s="22" t="str">
        <f t="shared" si="2"/>
        <v>*</v>
      </c>
      <c r="E167" s="22" t="str">
        <f t="shared" si="3"/>
        <v>*</v>
      </c>
      <c r="F167" s="22" t="str">
        <f t="shared" si="3"/>
        <v>*</v>
      </c>
      <c r="G167" s="22" t="str">
        <f t="shared" si="3"/>
        <v/>
      </c>
      <c r="H167" s="22" t="str">
        <f t="shared" si="3"/>
        <v>*</v>
      </c>
      <c r="I167" s="22" t="str">
        <f t="shared" si="3"/>
        <v>*</v>
      </c>
      <c r="J167" s="22" t="str">
        <f t="shared" si="3"/>
        <v>*</v>
      </c>
      <c r="K167" s="22" t="str">
        <f t="shared" si="3"/>
        <v>*</v>
      </c>
      <c r="L167" s="22" t="str">
        <f t="shared" si="3"/>
        <v/>
      </c>
      <c r="M167" s="22" t="str">
        <f t="shared" si="3"/>
        <v>*</v>
      </c>
      <c r="N167" s="22" t="str">
        <f t="shared" si="3"/>
        <v>*</v>
      </c>
      <c r="O167" s="22" t="str">
        <f t="shared" si="3"/>
        <v/>
      </c>
      <c r="P167" s="22" t="str">
        <f t="shared" si="3"/>
        <v>*</v>
      </c>
      <c r="Q167" s="22" t="str">
        <f t="shared" si="3"/>
        <v>*</v>
      </c>
      <c r="R167" s="22" t="str">
        <f t="shared" ref="E167:AJ175" si="4">IF(R97=R23,"","*")</f>
        <v/>
      </c>
      <c r="S167" s="22" t="str">
        <f t="shared" si="4"/>
        <v>*</v>
      </c>
      <c r="T167" s="22" t="str">
        <f t="shared" si="4"/>
        <v>*</v>
      </c>
      <c r="U167" s="22" t="str">
        <f t="shared" si="4"/>
        <v/>
      </c>
      <c r="V167" s="22" t="str">
        <f t="shared" si="4"/>
        <v>*</v>
      </c>
      <c r="W167" s="22" t="str">
        <f t="shared" si="4"/>
        <v>*</v>
      </c>
      <c r="X167" s="22" t="str">
        <f t="shared" si="4"/>
        <v/>
      </c>
      <c r="Y167" s="22" t="str">
        <f t="shared" si="4"/>
        <v>*</v>
      </c>
      <c r="Z167" s="22" t="str">
        <f t="shared" si="4"/>
        <v>*</v>
      </c>
      <c r="AA167" s="22" t="str">
        <f t="shared" si="4"/>
        <v/>
      </c>
      <c r="AB167" s="22" t="str">
        <f t="shared" si="4"/>
        <v/>
      </c>
      <c r="AC167" s="22" t="str">
        <f t="shared" si="4"/>
        <v>*</v>
      </c>
      <c r="AD167" s="22" t="str">
        <f t="shared" si="4"/>
        <v/>
      </c>
      <c r="AE167" s="22" t="str">
        <f t="shared" si="4"/>
        <v>*</v>
      </c>
      <c r="AF167" s="22" t="str">
        <f t="shared" si="4"/>
        <v>*</v>
      </c>
      <c r="AG167" s="22" t="str">
        <f t="shared" si="4"/>
        <v/>
      </c>
      <c r="AH167" s="22" t="str">
        <f t="shared" si="4"/>
        <v>*</v>
      </c>
      <c r="AI167" s="22" t="str">
        <f t="shared" si="4"/>
        <v>*</v>
      </c>
      <c r="AJ167" s="22" t="str">
        <f t="shared" si="4"/>
        <v/>
      </c>
    </row>
    <row r="168" spans="1:36" s="23" customFormat="1" ht="15" hidden="1" customHeight="1" x14ac:dyDescent="0.2">
      <c r="A168" s="111"/>
      <c r="B168" s="34" t="s">
        <v>76</v>
      </c>
      <c r="C168" s="35" t="s">
        <v>194</v>
      </c>
      <c r="D168" s="22" t="str">
        <f t="shared" ref="D168:D183" si="5">IF(D98=D24,"","*")</f>
        <v>*</v>
      </c>
      <c r="E168" s="22" t="str">
        <f t="shared" si="4"/>
        <v>*</v>
      </c>
      <c r="F168" s="22" t="str">
        <f t="shared" si="4"/>
        <v/>
      </c>
      <c r="G168" s="22" t="str">
        <f t="shared" si="4"/>
        <v/>
      </c>
      <c r="H168" s="22" t="str">
        <f t="shared" si="4"/>
        <v>*</v>
      </c>
      <c r="I168" s="22" t="str">
        <f t="shared" si="4"/>
        <v/>
      </c>
      <c r="J168" s="22" t="str">
        <f t="shared" si="4"/>
        <v/>
      </c>
      <c r="K168" s="22" t="str">
        <f t="shared" si="4"/>
        <v/>
      </c>
      <c r="L168" s="22" t="str">
        <f t="shared" si="4"/>
        <v/>
      </c>
      <c r="M168" s="22" t="str">
        <f t="shared" si="4"/>
        <v>*</v>
      </c>
      <c r="N168" s="22" t="str">
        <f t="shared" si="4"/>
        <v/>
      </c>
      <c r="O168" s="22" t="str">
        <f t="shared" si="4"/>
        <v/>
      </c>
      <c r="P168" s="22" t="str">
        <f t="shared" si="4"/>
        <v>*</v>
      </c>
      <c r="Q168" s="22" t="str">
        <f t="shared" si="4"/>
        <v/>
      </c>
      <c r="R168" s="22" t="str">
        <f t="shared" si="4"/>
        <v/>
      </c>
      <c r="S168" s="22" t="str">
        <f t="shared" si="4"/>
        <v/>
      </c>
      <c r="T168" s="22" t="str">
        <f t="shared" si="4"/>
        <v/>
      </c>
      <c r="U168" s="22" t="str">
        <f t="shared" si="4"/>
        <v/>
      </c>
      <c r="V168" s="22" t="str">
        <f t="shared" si="4"/>
        <v/>
      </c>
      <c r="W168" s="22" t="str">
        <f t="shared" si="4"/>
        <v/>
      </c>
      <c r="X168" s="22" t="str">
        <f t="shared" si="4"/>
        <v/>
      </c>
      <c r="Y168" s="22" t="str">
        <f t="shared" si="4"/>
        <v/>
      </c>
      <c r="Z168" s="22" t="str">
        <f t="shared" si="4"/>
        <v/>
      </c>
      <c r="AA168" s="22" t="str">
        <f t="shared" si="4"/>
        <v/>
      </c>
      <c r="AB168" s="22" t="str">
        <f t="shared" si="4"/>
        <v/>
      </c>
      <c r="AC168" s="22" t="str">
        <f t="shared" si="4"/>
        <v/>
      </c>
      <c r="AD168" s="22" t="str">
        <f t="shared" si="4"/>
        <v/>
      </c>
      <c r="AE168" s="22" t="str">
        <f t="shared" si="4"/>
        <v>*</v>
      </c>
      <c r="AF168" s="22" t="str">
        <f t="shared" si="4"/>
        <v/>
      </c>
      <c r="AG168" s="22" t="str">
        <f t="shared" si="4"/>
        <v/>
      </c>
      <c r="AH168" s="22" t="str">
        <f t="shared" si="4"/>
        <v/>
      </c>
      <c r="AI168" s="22" t="str">
        <f t="shared" si="4"/>
        <v/>
      </c>
      <c r="AJ168" s="22" t="str">
        <f t="shared" si="4"/>
        <v/>
      </c>
    </row>
    <row r="169" spans="1:36" s="23" customFormat="1" ht="15" hidden="1" customHeight="1" x14ac:dyDescent="0.2">
      <c r="A169" s="56" t="s">
        <v>130</v>
      </c>
      <c r="B169" s="29" t="s">
        <v>74</v>
      </c>
      <c r="C169" s="30" t="s">
        <v>0</v>
      </c>
      <c r="D169" s="31" t="str">
        <f t="shared" si="5"/>
        <v>*</v>
      </c>
      <c r="E169" s="31" t="str">
        <f t="shared" si="4"/>
        <v>*</v>
      </c>
      <c r="F169" s="31" t="str">
        <f t="shared" si="4"/>
        <v>*</v>
      </c>
      <c r="G169" s="31" t="str">
        <f t="shared" si="4"/>
        <v>*</v>
      </c>
      <c r="H169" s="31" t="str">
        <f t="shared" si="4"/>
        <v>*</v>
      </c>
      <c r="I169" s="31" t="str">
        <f t="shared" si="4"/>
        <v>*</v>
      </c>
      <c r="J169" s="31" t="str">
        <f t="shared" si="4"/>
        <v>*</v>
      </c>
      <c r="K169" s="31" t="str">
        <f t="shared" si="4"/>
        <v>*</v>
      </c>
      <c r="L169" s="31" t="str">
        <f t="shared" si="4"/>
        <v/>
      </c>
      <c r="M169" s="31" t="str">
        <f t="shared" si="4"/>
        <v/>
      </c>
      <c r="N169" s="31" t="str">
        <f t="shared" si="4"/>
        <v>*</v>
      </c>
      <c r="O169" s="31" t="str">
        <f t="shared" si="4"/>
        <v/>
      </c>
      <c r="P169" s="31" t="str">
        <f t="shared" si="4"/>
        <v>*</v>
      </c>
      <c r="Q169" s="31" t="str">
        <f t="shared" si="4"/>
        <v>*</v>
      </c>
      <c r="R169" s="31" t="str">
        <f t="shared" si="4"/>
        <v/>
      </c>
      <c r="S169" s="31" t="str">
        <f t="shared" si="4"/>
        <v>*</v>
      </c>
      <c r="T169" s="31" t="str">
        <f t="shared" si="4"/>
        <v>*</v>
      </c>
      <c r="U169" s="31" t="str">
        <f t="shared" si="4"/>
        <v/>
      </c>
      <c r="V169" s="31" t="str">
        <f t="shared" si="4"/>
        <v>*</v>
      </c>
      <c r="W169" s="31" t="str">
        <f t="shared" si="4"/>
        <v>*</v>
      </c>
      <c r="X169" s="31" t="str">
        <f t="shared" si="4"/>
        <v/>
      </c>
      <c r="Y169" s="31" t="str">
        <f t="shared" si="4"/>
        <v>*</v>
      </c>
      <c r="Z169" s="31" t="str">
        <f t="shared" si="4"/>
        <v>*</v>
      </c>
      <c r="AA169" s="31" t="str">
        <f t="shared" si="4"/>
        <v/>
      </c>
      <c r="AB169" s="31" t="str">
        <f t="shared" si="4"/>
        <v/>
      </c>
      <c r="AC169" s="31" t="str">
        <f t="shared" si="4"/>
        <v>*</v>
      </c>
      <c r="AD169" s="31" t="str">
        <f t="shared" si="4"/>
        <v/>
      </c>
      <c r="AE169" s="31" t="str">
        <f t="shared" si="4"/>
        <v>*</v>
      </c>
      <c r="AF169" s="31" t="str">
        <f t="shared" si="4"/>
        <v>*</v>
      </c>
      <c r="AG169" s="31" t="str">
        <f t="shared" si="4"/>
        <v>*</v>
      </c>
      <c r="AH169" s="31" t="str">
        <f t="shared" si="4"/>
        <v>*</v>
      </c>
      <c r="AI169" s="31" t="str">
        <f t="shared" si="4"/>
        <v>*</v>
      </c>
      <c r="AJ169" s="31" t="str">
        <f t="shared" si="4"/>
        <v>*</v>
      </c>
    </row>
    <row r="170" spans="1:36" s="23" customFormat="1" ht="15" hidden="1" customHeight="1" x14ac:dyDescent="0.2">
      <c r="A170" s="110" t="s">
        <v>7</v>
      </c>
      <c r="B170" s="32" t="s">
        <v>75</v>
      </c>
      <c r="C170" s="33" t="s">
        <v>2</v>
      </c>
      <c r="D170" s="22" t="str">
        <f t="shared" si="5"/>
        <v>*</v>
      </c>
      <c r="E170" s="22" t="str">
        <f t="shared" si="4"/>
        <v>*</v>
      </c>
      <c r="F170" s="22" t="str">
        <f t="shared" si="4"/>
        <v>*</v>
      </c>
      <c r="G170" s="22" t="str">
        <f t="shared" si="4"/>
        <v>*</v>
      </c>
      <c r="H170" s="22" t="str">
        <f t="shared" si="4"/>
        <v>*</v>
      </c>
      <c r="I170" s="22" t="str">
        <f t="shared" si="4"/>
        <v>*</v>
      </c>
      <c r="J170" s="22" t="str">
        <f t="shared" si="4"/>
        <v>*</v>
      </c>
      <c r="K170" s="22" t="str">
        <f t="shared" si="4"/>
        <v>*</v>
      </c>
      <c r="L170" s="22" t="str">
        <f t="shared" si="4"/>
        <v/>
      </c>
      <c r="M170" s="22" t="str">
        <f t="shared" si="4"/>
        <v>*</v>
      </c>
      <c r="N170" s="22" t="str">
        <f t="shared" si="4"/>
        <v>*</v>
      </c>
      <c r="O170" s="22" t="str">
        <f t="shared" si="4"/>
        <v/>
      </c>
      <c r="P170" s="22" t="str">
        <f t="shared" si="4"/>
        <v>*</v>
      </c>
      <c r="Q170" s="22" t="str">
        <f t="shared" si="4"/>
        <v>*</v>
      </c>
      <c r="R170" s="22" t="str">
        <f t="shared" si="4"/>
        <v/>
      </c>
      <c r="S170" s="22" t="str">
        <f t="shared" si="4"/>
        <v>*</v>
      </c>
      <c r="T170" s="22" t="str">
        <f t="shared" si="4"/>
        <v>*</v>
      </c>
      <c r="U170" s="22" t="str">
        <f t="shared" si="4"/>
        <v/>
      </c>
      <c r="V170" s="22" t="str">
        <f t="shared" si="4"/>
        <v>*</v>
      </c>
      <c r="W170" s="22" t="str">
        <f t="shared" si="4"/>
        <v>*</v>
      </c>
      <c r="X170" s="22" t="str">
        <f t="shared" si="4"/>
        <v/>
      </c>
      <c r="Y170" s="22" t="str">
        <f t="shared" si="4"/>
        <v>*</v>
      </c>
      <c r="Z170" s="22" t="str">
        <f t="shared" si="4"/>
        <v>*</v>
      </c>
      <c r="AA170" s="22" t="str">
        <f t="shared" si="4"/>
        <v/>
      </c>
      <c r="AB170" s="22" t="str">
        <f t="shared" si="4"/>
        <v/>
      </c>
      <c r="AC170" s="22" t="str">
        <f t="shared" si="4"/>
        <v>*</v>
      </c>
      <c r="AD170" s="22" t="str">
        <f t="shared" si="4"/>
        <v/>
      </c>
      <c r="AE170" s="22" t="str">
        <f t="shared" si="4"/>
        <v>*</v>
      </c>
      <c r="AF170" s="22" t="str">
        <f t="shared" si="4"/>
        <v>*</v>
      </c>
      <c r="AG170" s="22" t="str">
        <f t="shared" si="4"/>
        <v>*</v>
      </c>
      <c r="AH170" s="22" t="str">
        <f t="shared" si="4"/>
        <v>*</v>
      </c>
      <c r="AI170" s="22" t="str">
        <f t="shared" si="4"/>
        <v>*</v>
      </c>
      <c r="AJ170" s="22" t="str">
        <f t="shared" si="4"/>
        <v>*</v>
      </c>
    </row>
    <row r="171" spans="1:36" s="23" customFormat="1" ht="15" hidden="1" customHeight="1" x14ac:dyDescent="0.2">
      <c r="A171" s="111"/>
      <c r="B171" s="34" t="s">
        <v>76</v>
      </c>
      <c r="C171" s="35" t="s">
        <v>194</v>
      </c>
      <c r="D171" s="22" t="str">
        <f t="shared" si="5"/>
        <v>*</v>
      </c>
      <c r="E171" s="22" t="str">
        <f t="shared" si="4"/>
        <v/>
      </c>
      <c r="F171" s="22" t="str">
        <f t="shared" si="4"/>
        <v>*</v>
      </c>
      <c r="G171" s="22" t="str">
        <f t="shared" si="4"/>
        <v/>
      </c>
      <c r="H171" s="22" t="str">
        <f t="shared" si="4"/>
        <v>*</v>
      </c>
      <c r="I171" s="22" t="str">
        <f t="shared" si="4"/>
        <v>*</v>
      </c>
      <c r="J171" s="22" t="str">
        <f t="shared" si="4"/>
        <v/>
      </c>
      <c r="K171" s="22" t="str">
        <f t="shared" si="4"/>
        <v>*</v>
      </c>
      <c r="L171" s="22" t="str">
        <f t="shared" si="4"/>
        <v/>
      </c>
      <c r="M171" s="22" t="str">
        <f t="shared" si="4"/>
        <v>*</v>
      </c>
      <c r="N171" s="22" t="str">
        <f t="shared" si="4"/>
        <v/>
      </c>
      <c r="O171" s="22" t="str">
        <f t="shared" si="4"/>
        <v/>
      </c>
      <c r="P171" s="22" t="str">
        <f t="shared" si="4"/>
        <v>*</v>
      </c>
      <c r="Q171" s="22" t="str">
        <f t="shared" si="4"/>
        <v>*</v>
      </c>
      <c r="R171" s="22" t="str">
        <f t="shared" si="4"/>
        <v/>
      </c>
      <c r="S171" s="22" t="str">
        <f t="shared" si="4"/>
        <v/>
      </c>
      <c r="T171" s="22" t="str">
        <f t="shared" si="4"/>
        <v/>
      </c>
      <c r="U171" s="22" t="str">
        <f t="shared" si="4"/>
        <v/>
      </c>
      <c r="V171" s="22" t="str">
        <f t="shared" si="4"/>
        <v>*</v>
      </c>
      <c r="W171" s="22" t="str">
        <f t="shared" si="4"/>
        <v/>
      </c>
      <c r="X171" s="22" t="str">
        <f t="shared" si="4"/>
        <v/>
      </c>
      <c r="Y171" s="22" t="str">
        <f t="shared" si="4"/>
        <v>*</v>
      </c>
      <c r="Z171" s="22" t="str">
        <f t="shared" si="4"/>
        <v/>
      </c>
      <c r="AA171" s="22" t="str">
        <f t="shared" si="4"/>
        <v/>
      </c>
      <c r="AB171" s="22" t="str">
        <f t="shared" si="4"/>
        <v/>
      </c>
      <c r="AC171" s="22" t="str">
        <f t="shared" si="4"/>
        <v/>
      </c>
      <c r="AD171" s="22" t="str">
        <f t="shared" si="4"/>
        <v/>
      </c>
      <c r="AE171" s="22" t="str">
        <f t="shared" si="4"/>
        <v>*</v>
      </c>
      <c r="AF171" s="22" t="str">
        <f t="shared" si="4"/>
        <v>*</v>
      </c>
      <c r="AG171" s="22" t="str">
        <f t="shared" si="4"/>
        <v/>
      </c>
      <c r="AH171" s="22" t="str">
        <f t="shared" si="4"/>
        <v>*</v>
      </c>
      <c r="AI171" s="22" t="str">
        <f t="shared" si="4"/>
        <v>*</v>
      </c>
      <c r="AJ171" s="22" t="str">
        <f t="shared" si="4"/>
        <v/>
      </c>
    </row>
    <row r="172" spans="1:36" s="23" customFormat="1" ht="15" hidden="1" customHeight="1" x14ac:dyDescent="0.2">
      <c r="A172" s="26" t="s">
        <v>57</v>
      </c>
      <c r="B172" s="29" t="s">
        <v>74</v>
      </c>
      <c r="C172" s="30" t="s">
        <v>0</v>
      </c>
      <c r="D172" s="31" t="str">
        <f t="shared" si="5"/>
        <v>*</v>
      </c>
      <c r="E172" s="31" t="str">
        <f t="shared" si="4"/>
        <v>*</v>
      </c>
      <c r="F172" s="31" t="str">
        <f t="shared" si="4"/>
        <v>*</v>
      </c>
      <c r="G172" s="31" t="str">
        <f t="shared" si="4"/>
        <v/>
      </c>
      <c r="H172" s="31" t="str">
        <f t="shared" si="4"/>
        <v>*</v>
      </c>
      <c r="I172" s="31" t="str">
        <f t="shared" si="4"/>
        <v>*</v>
      </c>
      <c r="J172" s="31" t="str">
        <f t="shared" si="4"/>
        <v>*</v>
      </c>
      <c r="K172" s="31" t="str">
        <f t="shared" si="4"/>
        <v/>
      </c>
      <c r="L172" s="31" t="str">
        <f t="shared" si="4"/>
        <v/>
      </c>
      <c r="M172" s="31" t="str">
        <f t="shared" si="4"/>
        <v>*</v>
      </c>
      <c r="N172" s="31" t="str">
        <f t="shared" si="4"/>
        <v>*</v>
      </c>
      <c r="O172" s="31" t="str">
        <f t="shared" si="4"/>
        <v/>
      </c>
      <c r="P172" s="31" t="str">
        <f t="shared" si="4"/>
        <v>*</v>
      </c>
      <c r="Q172" s="31" t="str">
        <f t="shared" si="4"/>
        <v/>
      </c>
      <c r="R172" s="31" t="str">
        <f t="shared" si="4"/>
        <v/>
      </c>
      <c r="S172" s="31" t="str">
        <f t="shared" si="4"/>
        <v/>
      </c>
      <c r="T172" s="31" t="str">
        <f t="shared" si="4"/>
        <v/>
      </c>
      <c r="U172" s="31" t="str">
        <f t="shared" si="4"/>
        <v/>
      </c>
      <c r="V172" s="31" t="str">
        <f t="shared" si="4"/>
        <v>*</v>
      </c>
      <c r="W172" s="31" t="str">
        <f t="shared" si="4"/>
        <v/>
      </c>
      <c r="X172" s="31" t="str">
        <f t="shared" si="4"/>
        <v/>
      </c>
      <c r="Y172" s="31" t="str">
        <f t="shared" si="4"/>
        <v>*</v>
      </c>
      <c r="Z172" s="31" t="str">
        <f t="shared" si="4"/>
        <v/>
      </c>
      <c r="AA172" s="31" t="str">
        <f t="shared" si="4"/>
        <v/>
      </c>
      <c r="AB172" s="31" t="str">
        <f t="shared" si="4"/>
        <v/>
      </c>
      <c r="AC172" s="31" t="str">
        <f t="shared" si="4"/>
        <v/>
      </c>
      <c r="AD172" s="31" t="str">
        <f t="shared" si="4"/>
        <v/>
      </c>
      <c r="AE172" s="31" t="str">
        <f t="shared" si="4"/>
        <v>*</v>
      </c>
      <c r="AF172" s="31" t="str">
        <f t="shared" si="4"/>
        <v>*</v>
      </c>
      <c r="AG172" s="31" t="str">
        <f t="shared" si="4"/>
        <v/>
      </c>
      <c r="AH172" s="31" t="str">
        <f t="shared" si="4"/>
        <v>*</v>
      </c>
      <c r="AI172" s="31" t="str">
        <f t="shared" si="4"/>
        <v>*</v>
      </c>
      <c r="AJ172" s="31" t="str">
        <f t="shared" si="4"/>
        <v/>
      </c>
    </row>
    <row r="173" spans="1:36" s="23" customFormat="1" ht="15" hidden="1" customHeight="1" x14ac:dyDescent="0.2">
      <c r="A173" s="25" t="s">
        <v>8</v>
      </c>
      <c r="B173" s="32" t="s">
        <v>75</v>
      </c>
      <c r="C173" s="33" t="s">
        <v>2</v>
      </c>
      <c r="D173" s="22" t="str">
        <f t="shared" si="5"/>
        <v>*</v>
      </c>
      <c r="E173" s="22" t="str">
        <f t="shared" si="4"/>
        <v>*</v>
      </c>
      <c r="F173" s="22" t="str">
        <f t="shared" si="4"/>
        <v>*</v>
      </c>
      <c r="G173" s="22" t="str">
        <f t="shared" si="4"/>
        <v/>
      </c>
      <c r="H173" s="22" t="str">
        <f t="shared" si="4"/>
        <v>*</v>
      </c>
      <c r="I173" s="22" t="str">
        <f t="shared" si="4"/>
        <v>*</v>
      </c>
      <c r="J173" s="22" t="str">
        <f t="shared" si="4"/>
        <v>*</v>
      </c>
      <c r="K173" s="22" t="str">
        <f t="shared" si="4"/>
        <v/>
      </c>
      <c r="L173" s="22" t="str">
        <f t="shared" si="4"/>
        <v/>
      </c>
      <c r="M173" s="22" t="str">
        <f t="shared" si="4"/>
        <v>*</v>
      </c>
      <c r="N173" s="22" t="str">
        <f t="shared" si="4"/>
        <v>*</v>
      </c>
      <c r="O173" s="22" t="str">
        <f t="shared" si="4"/>
        <v/>
      </c>
      <c r="P173" s="22" t="str">
        <f t="shared" si="4"/>
        <v>*</v>
      </c>
      <c r="Q173" s="22" t="str">
        <f t="shared" si="4"/>
        <v/>
      </c>
      <c r="R173" s="22" t="str">
        <f t="shared" si="4"/>
        <v/>
      </c>
      <c r="S173" s="22" t="str">
        <f t="shared" si="4"/>
        <v>*</v>
      </c>
      <c r="T173" s="22" t="str">
        <f t="shared" si="4"/>
        <v/>
      </c>
      <c r="U173" s="22" t="str">
        <f t="shared" si="4"/>
        <v/>
      </c>
      <c r="V173" s="22" t="str">
        <f t="shared" si="4"/>
        <v>*</v>
      </c>
      <c r="W173" s="22" t="str">
        <f t="shared" si="4"/>
        <v/>
      </c>
      <c r="X173" s="22" t="str">
        <f t="shared" si="4"/>
        <v/>
      </c>
      <c r="Y173" s="22" t="str">
        <f t="shared" si="4"/>
        <v>*</v>
      </c>
      <c r="Z173" s="22" t="str">
        <f t="shared" si="4"/>
        <v/>
      </c>
      <c r="AA173" s="22" t="str">
        <f t="shared" si="4"/>
        <v/>
      </c>
      <c r="AB173" s="22" t="str">
        <f t="shared" si="4"/>
        <v/>
      </c>
      <c r="AC173" s="22" t="str">
        <f t="shared" si="4"/>
        <v/>
      </c>
      <c r="AD173" s="22" t="str">
        <f t="shared" si="4"/>
        <v/>
      </c>
      <c r="AE173" s="22" t="str">
        <f t="shared" si="4"/>
        <v>*</v>
      </c>
      <c r="AF173" s="22" t="str">
        <f t="shared" si="4"/>
        <v/>
      </c>
      <c r="AG173" s="22" t="str">
        <f t="shared" si="4"/>
        <v/>
      </c>
      <c r="AH173" s="22" t="str">
        <f t="shared" si="4"/>
        <v>*</v>
      </c>
      <c r="AI173" s="22" t="str">
        <f t="shared" si="4"/>
        <v>*</v>
      </c>
      <c r="AJ173" s="22" t="str">
        <f t="shared" si="4"/>
        <v/>
      </c>
    </row>
    <row r="174" spans="1:36" s="23" customFormat="1" ht="15" hidden="1" customHeight="1" x14ac:dyDescent="0.2">
      <c r="A174" s="24"/>
      <c r="B174" s="34" t="s">
        <v>76</v>
      </c>
      <c r="C174" s="35" t="s">
        <v>194</v>
      </c>
      <c r="D174" s="22" t="str">
        <f t="shared" si="5"/>
        <v>*</v>
      </c>
      <c r="E174" s="22" t="str">
        <f t="shared" si="4"/>
        <v>*</v>
      </c>
      <c r="F174" s="22" t="str">
        <f t="shared" si="4"/>
        <v/>
      </c>
      <c r="G174" s="22" t="str">
        <f t="shared" si="4"/>
        <v/>
      </c>
      <c r="H174" s="22" t="str">
        <f t="shared" si="4"/>
        <v>*</v>
      </c>
      <c r="I174" s="22" t="str">
        <f t="shared" si="4"/>
        <v>*</v>
      </c>
      <c r="J174" s="22" t="str">
        <f t="shared" si="4"/>
        <v/>
      </c>
      <c r="K174" s="22" t="str">
        <f t="shared" si="4"/>
        <v/>
      </c>
      <c r="L174" s="22" t="str">
        <f t="shared" si="4"/>
        <v/>
      </c>
      <c r="M174" s="22" t="str">
        <f t="shared" si="4"/>
        <v/>
      </c>
      <c r="N174" s="22" t="str">
        <f t="shared" si="4"/>
        <v/>
      </c>
      <c r="O174" s="22" t="str">
        <f t="shared" si="4"/>
        <v/>
      </c>
      <c r="P174" s="22" t="str">
        <f t="shared" si="4"/>
        <v>*</v>
      </c>
      <c r="Q174" s="22" t="str">
        <f t="shared" si="4"/>
        <v/>
      </c>
      <c r="R174" s="22" t="str">
        <f t="shared" si="4"/>
        <v/>
      </c>
      <c r="S174" s="22" t="str">
        <f t="shared" si="4"/>
        <v>*</v>
      </c>
      <c r="T174" s="22" t="str">
        <f t="shared" si="4"/>
        <v/>
      </c>
      <c r="U174" s="22" t="str">
        <f t="shared" si="4"/>
        <v/>
      </c>
      <c r="V174" s="22" t="str">
        <f t="shared" si="4"/>
        <v/>
      </c>
      <c r="W174" s="22" t="str">
        <f t="shared" si="4"/>
        <v/>
      </c>
      <c r="X174" s="22" t="str">
        <f t="shared" si="4"/>
        <v/>
      </c>
      <c r="Y174" s="22" t="str">
        <f t="shared" si="4"/>
        <v/>
      </c>
      <c r="Z174" s="22" t="str">
        <f t="shared" si="4"/>
        <v/>
      </c>
      <c r="AA174" s="22" t="str">
        <f t="shared" si="4"/>
        <v/>
      </c>
      <c r="AB174" s="22" t="str">
        <f t="shared" si="4"/>
        <v/>
      </c>
      <c r="AC174" s="22" t="str">
        <f t="shared" si="4"/>
        <v/>
      </c>
      <c r="AD174" s="22" t="str">
        <f t="shared" si="4"/>
        <v/>
      </c>
      <c r="AE174" s="22" t="str">
        <f t="shared" si="4"/>
        <v>*</v>
      </c>
      <c r="AF174" s="22" t="str">
        <f t="shared" si="4"/>
        <v>*</v>
      </c>
      <c r="AG174" s="22" t="str">
        <f t="shared" si="4"/>
        <v/>
      </c>
      <c r="AH174" s="22" t="str">
        <f t="shared" si="4"/>
        <v/>
      </c>
      <c r="AI174" s="22" t="str">
        <f t="shared" si="4"/>
        <v/>
      </c>
      <c r="AJ174" s="22" t="str">
        <f t="shared" si="4"/>
        <v/>
      </c>
    </row>
    <row r="175" spans="1:36" s="23" customFormat="1" ht="15" hidden="1" customHeight="1" x14ac:dyDescent="0.2">
      <c r="A175" s="26" t="s">
        <v>58</v>
      </c>
      <c r="B175" s="29" t="s">
        <v>74</v>
      </c>
      <c r="C175" s="30" t="s">
        <v>0</v>
      </c>
      <c r="D175" s="31" t="str">
        <f t="shared" si="5"/>
        <v>*</v>
      </c>
      <c r="E175" s="31" t="str">
        <f t="shared" si="4"/>
        <v>*</v>
      </c>
      <c r="F175" s="31" t="str">
        <f t="shared" si="4"/>
        <v>*</v>
      </c>
      <c r="G175" s="31" t="str">
        <f t="shared" si="4"/>
        <v>*</v>
      </c>
      <c r="H175" s="31" t="str">
        <f t="shared" si="4"/>
        <v>*</v>
      </c>
      <c r="I175" s="31" t="str">
        <f t="shared" si="4"/>
        <v>*</v>
      </c>
      <c r="J175" s="31" t="str">
        <f t="shared" si="4"/>
        <v/>
      </c>
      <c r="K175" s="31" t="str">
        <f t="shared" si="4"/>
        <v/>
      </c>
      <c r="L175" s="31" t="str">
        <f t="shared" si="4"/>
        <v/>
      </c>
      <c r="M175" s="31" t="str">
        <f t="shared" si="4"/>
        <v>*</v>
      </c>
      <c r="N175" s="31" t="str">
        <f t="shared" si="4"/>
        <v>*</v>
      </c>
      <c r="O175" s="31" t="str">
        <f t="shared" si="4"/>
        <v/>
      </c>
      <c r="P175" s="31" t="str">
        <f t="shared" si="4"/>
        <v>*</v>
      </c>
      <c r="Q175" s="31" t="str">
        <f t="shared" ref="E175:AJ183" si="6">IF(Q105=Q31,"","*")</f>
        <v>*</v>
      </c>
      <c r="R175" s="31" t="str">
        <f t="shared" si="6"/>
        <v/>
      </c>
      <c r="S175" s="31" t="str">
        <f t="shared" si="6"/>
        <v>*</v>
      </c>
      <c r="T175" s="31" t="str">
        <f t="shared" si="6"/>
        <v/>
      </c>
      <c r="U175" s="31" t="str">
        <f t="shared" si="6"/>
        <v/>
      </c>
      <c r="V175" s="31" t="str">
        <f t="shared" si="6"/>
        <v/>
      </c>
      <c r="W175" s="31" t="str">
        <f t="shared" si="6"/>
        <v>*</v>
      </c>
      <c r="X175" s="31" t="str">
        <f t="shared" si="6"/>
        <v/>
      </c>
      <c r="Y175" s="31" t="str">
        <f t="shared" si="6"/>
        <v/>
      </c>
      <c r="Z175" s="31" t="str">
        <f t="shared" si="6"/>
        <v/>
      </c>
      <c r="AA175" s="31" t="str">
        <f t="shared" si="6"/>
        <v/>
      </c>
      <c r="AB175" s="31" t="str">
        <f t="shared" si="6"/>
        <v/>
      </c>
      <c r="AC175" s="31" t="str">
        <f t="shared" si="6"/>
        <v/>
      </c>
      <c r="AD175" s="31" t="str">
        <f t="shared" si="6"/>
        <v/>
      </c>
      <c r="AE175" s="31" t="str">
        <f t="shared" si="6"/>
        <v>*</v>
      </c>
      <c r="AF175" s="31" t="str">
        <f t="shared" si="6"/>
        <v>*</v>
      </c>
      <c r="AG175" s="31" t="str">
        <f t="shared" si="6"/>
        <v/>
      </c>
      <c r="AH175" s="31" t="str">
        <f t="shared" si="6"/>
        <v>*</v>
      </c>
      <c r="AI175" s="31" t="str">
        <f t="shared" si="6"/>
        <v>*</v>
      </c>
      <c r="AJ175" s="31" t="str">
        <f t="shared" si="6"/>
        <v>*</v>
      </c>
    </row>
    <row r="176" spans="1:36" s="23" customFormat="1" ht="15" hidden="1" customHeight="1" x14ac:dyDescent="0.2">
      <c r="A176" s="110" t="s">
        <v>9</v>
      </c>
      <c r="B176" s="32" t="s">
        <v>75</v>
      </c>
      <c r="C176" s="33" t="s">
        <v>2</v>
      </c>
      <c r="D176" s="22" t="str">
        <f t="shared" si="5"/>
        <v>*</v>
      </c>
      <c r="E176" s="22" t="str">
        <f t="shared" si="6"/>
        <v>*</v>
      </c>
      <c r="F176" s="22" t="str">
        <f t="shared" si="6"/>
        <v>*</v>
      </c>
      <c r="G176" s="22" t="str">
        <f t="shared" si="6"/>
        <v>*</v>
      </c>
      <c r="H176" s="22" t="str">
        <f t="shared" si="6"/>
        <v>*</v>
      </c>
      <c r="I176" s="22" t="str">
        <f t="shared" si="6"/>
        <v>*</v>
      </c>
      <c r="J176" s="22" t="str">
        <f t="shared" si="6"/>
        <v/>
      </c>
      <c r="K176" s="22" t="str">
        <f t="shared" si="6"/>
        <v/>
      </c>
      <c r="L176" s="22" t="str">
        <f t="shared" si="6"/>
        <v/>
      </c>
      <c r="M176" s="22" t="str">
        <f t="shared" si="6"/>
        <v>*</v>
      </c>
      <c r="N176" s="22" t="str">
        <f t="shared" si="6"/>
        <v>*</v>
      </c>
      <c r="O176" s="22" t="str">
        <f t="shared" si="6"/>
        <v/>
      </c>
      <c r="P176" s="22" t="str">
        <f t="shared" si="6"/>
        <v>*</v>
      </c>
      <c r="Q176" s="22" t="str">
        <f t="shared" si="6"/>
        <v>*</v>
      </c>
      <c r="R176" s="22" t="str">
        <f t="shared" si="6"/>
        <v/>
      </c>
      <c r="S176" s="22" t="str">
        <f t="shared" si="6"/>
        <v>*</v>
      </c>
      <c r="T176" s="22" t="str">
        <f t="shared" si="6"/>
        <v/>
      </c>
      <c r="U176" s="22" t="str">
        <f t="shared" si="6"/>
        <v/>
      </c>
      <c r="V176" s="22" t="str">
        <f t="shared" si="6"/>
        <v/>
      </c>
      <c r="W176" s="22" t="str">
        <f t="shared" si="6"/>
        <v>*</v>
      </c>
      <c r="X176" s="22" t="str">
        <f t="shared" si="6"/>
        <v/>
      </c>
      <c r="Y176" s="22" t="str">
        <f t="shared" si="6"/>
        <v/>
      </c>
      <c r="Z176" s="22" t="str">
        <f t="shared" si="6"/>
        <v>*</v>
      </c>
      <c r="AA176" s="22" t="str">
        <f t="shared" si="6"/>
        <v/>
      </c>
      <c r="AB176" s="22" t="str">
        <f t="shared" si="6"/>
        <v/>
      </c>
      <c r="AC176" s="22" t="str">
        <f t="shared" si="6"/>
        <v/>
      </c>
      <c r="AD176" s="22" t="str">
        <f t="shared" si="6"/>
        <v/>
      </c>
      <c r="AE176" s="22" t="str">
        <f t="shared" si="6"/>
        <v>*</v>
      </c>
      <c r="AF176" s="22" t="str">
        <f t="shared" si="6"/>
        <v>*</v>
      </c>
      <c r="AG176" s="22" t="str">
        <f t="shared" si="6"/>
        <v/>
      </c>
      <c r="AH176" s="22" t="str">
        <f t="shared" si="6"/>
        <v>*</v>
      </c>
      <c r="AI176" s="22" t="str">
        <f t="shared" si="6"/>
        <v>*</v>
      </c>
      <c r="AJ176" s="22" t="str">
        <f t="shared" si="6"/>
        <v>*</v>
      </c>
    </row>
    <row r="177" spans="1:36" s="23" customFormat="1" ht="15" hidden="1" customHeight="1" x14ac:dyDescent="0.2">
      <c r="A177" s="111"/>
      <c r="B177" s="34" t="s">
        <v>76</v>
      </c>
      <c r="C177" s="35" t="s">
        <v>194</v>
      </c>
      <c r="D177" s="22" t="str">
        <f t="shared" si="5"/>
        <v>*</v>
      </c>
      <c r="E177" s="22" t="str">
        <f t="shared" si="6"/>
        <v>*</v>
      </c>
      <c r="F177" s="22" t="str">
        <f t="shared" si="6"/>
        <v>*</v>
      </c>
      <c r="G177" s="22" t="str">
        <f t="shared" si="6"/>
        <v/>
      </c>
      <c r="H177" s="22" t="str">
        <f t="shared" si="6"/>
        <v>*</v>
      </c>
      <c r="I177" s="22" t="str">
        <f t="shared" si="6"/>
        <v/>
      </c>
      <c r="J177" s="22" t="str">
        <f t="shared" si="6"/>
        <v/>
      </c>
      <c r="K177" s="22" t="str">
        <f t="shared" si="6"/>
        <v/>
      </c>
      <c r="L177" s="22" t="str">
        <f t="shared" si="6"/>
        <v/>
      </c>
      <c r="M177" s="22" t="str">
        <f t="shared" si="6"/>
        <v/>
      </c>
      <c r="N177" s="22" t="str">
        <f t="shared" si="6"/>
        <v>*</v>
      </c>
      <c r="O177" s="22" t="str">
        <f t="shared" si="6"/>
        <v/>
      </c>
      <c r="P177" s="22" t="str">
        <f t="shared" si="6"/>
        <v>*</v>
      </c>
      <c r="Q177" s="22" t="str">
        <f t="shared" si="6"/>
        <v/>
      </c>
      <c r="R177" s="22" t="str">
        <f t="shared" si="6"/>
        <v/>
      </c>
      <c r="S177" s="22" t="str">
        <f t="shared" si="6"/>
        <v>*</v>
      </c>
      <c r="T177" s="22" t="str">
        <f t="shared" si="6"/>
        <v/>
      </c>
      <c r="U177" s="22" t="str">
        <f t="shared" si="6"/>
        <v/>
      </c>
      <c r="V177" s="22" t="str">
        <f t="shared" si="6"/>
        <v/>
      </c>
      <c r="W177" s="22" t="str">
        <f t="shared" si="6"/>
        <v/>
      </c>
      <c r="X177" s="22" t="str">
        <f t="shared" si="6"/>
        <v/>
      </c>
      <c r="Y177" s="22" t="str">
        <f t="shared" si="6"/>
        <v/>
      </c>
      <c r="Z177" s="22" t="str">
        <f t="shared" si="6"/>
        <v>*</v>
      </c>
      <c r="AA177" s="22" t="str">
        <f t="shared" si="6"/>
        <v/>
      </c>
      <c r="AB177" s="22" t="str">
        <f t="shared" si="6"/>
        <v/>
      </c>
      <c r="AC177" s="22" t="str">
        <f t="shared" si="6"/>
        <v/>
      </c>
      <c r="AD177" s="22" t="str">
        <f t="shared" si="6"/>
        <v/>
      </c>
      <c r="AE177" s="22" t="str">
        <f t="shared" si="6"/>
        <v>*</v>
      </c>
      <c r="AF177" s="22" t="str">
        <f t="shared" si="6"/>
        <v/>
      </c>
      <c r="AG177" s="22" t="str">
        <f t="shared" si="6"/>
        <v/>
      </c>
      <c r="AH177" s="22" t="str">
        <f t="shared" si="6"/>
        <v>*</v>
      </c>
      <c r="AI177" s="22" t="str">
        <f t="shared" si="6"/>
        <v/>
      </c>
      <c r="AJ177" s="22" t="str">
        <f t="shared" si="6"/>
        <v/>
      </c>
    </row>
    <row r="178" spans="1:36" s="23" customFormat="1" ht="15" hidden="1" customHeight="1" x14ac:dyDescent="0.2">
      <c r="A178" s="26" t="s">
        <v>59</v>
      </c>
      <c r="B178" s="29" t="s">
        <v>74</v>
      </c>
      <c r="C178" s="30" t="s">
        <v>0</v>
      </c>
      <c r="D178" s="31" t="str">
        <f t="shared" si="5"/>
        <v>*</v>
      </c>
      <c r="E178" s="31" t="str">
        <f t="shared" si="6"/>
        <v>*</v>
      </c>
      <c r="F178" s="31" t="str">
        <f t="shared" si="6"/>
        <v>*</v>
      </c>
      <c r="G178" s="31" t="str">
        <f t="shared" si="6"/>
        <v/>
      </c>
      <c r="H178" s="31" t="str">
        <f t="shared" si="6"/>
        <v>*</v>
      </c>
      <c r="I178" s="31" t="str">
        <f t="shared" si="6"/>
        <v>*</v>
      </c>
      <c r="J178" s="31" t="str">
        <f t="shared" si="6"/>
        <v>*</v>
      </c>
      <c r="K178" s="31" t="str">
        <f t="shared" si="6"/>
        <v/>
      </c>
      <c r="L178" s="31" t="str">
        <f t="shared" si="6"/>
        <v/>
      </c>
      <c r="M178" s="31" t="str">
        <f t="shared" si="6"/>
        <v>*</v>
      </c>
      <c r="N178" s="31" t="str">
        <f t="shared" si="6"/>
        <v>*</v>
      </c>
      <c r="O178" s="31" t="str">
        <f t="shared" si="6"/>
        <v/>
      </c>
      <c r="P178" s="31" t="str">
        <f t="shared" si="6"/>
        <v>*</v>
      </c>
      <c r="Q178" s="31" t="str">
        <f t="shared" si="6"/>
        <v/>
      </c>
      <c r="R178" s="31" t="str">
        <f t="shared" si="6"/>
        <v/>
      </c>
      <c r="S178" s="31" t="str">
        <f t="shared" si="6"/>
        <v>*</v>
      </c>
      <c r="T178" s="31" t="str">
        <f t="shared" si="6"/>
        <v/>
      </c>
      <c r="U178" s="31" t="str">
        <f t="shared" si="6"/>
        <v/>
      </c>
      <c r="V178" s="31" t="str">
        <f t="shared" si="6"/>
        <v>*</v>
      </c>
      <c r="W178" s="31" t="str">
        <f t="shared" si="6"/>
        <v/>
      </c>
      <c r="X178" s="31" t="str">
        <f t="shared" si="6"/>
        <v/>
      </c>
      <c r="Y178" s="31" t="str">
        <f t="shared" si="6"/>
        <v/>
      </c>
      <c r="Z178" s="31" t="str">
        <f t="shared" si="6"/>
        <v>*</v>
      </c>
      <c r="AA178" s="31" t="str">
        <f t="shared" si="6"/>
        <v/>
      </c>
      <c r="AB178" s="31" t="str">
        <f t="shared" si="6"/>
        <v/>
      </c>
      <c r="AC178" s="31" t="str">
        <f t="shared" si="6"/>
        <v/>
      </c>
      <c r="AD178" s="31" t="str">
        <f t="shared" si="6"/>
        <v/>
      </c>
      <c r="AE178" s="31" t="str">
        <f t="shared" si="6"/>
        <v>*</v>
      </c>
      <c r="AF178" s="31" t="str">
        <f t="shared" si="6"/>
        <v/>
      </c>
      <c r="AG178" s="31" t="str">
        <f t="shared" si="6"/>
        <v/>
      </c>
      <c r="AH178" s="31" t="str">
        <f t="shared" si="6"/>
        <v>*</v>
      </c>
      <c r="AI178" s="31" t="str">
        <f t="shared" si="6"/>
        <v>*</v>
      </c>
      <c r="AJ178" s="31" t="str">
        <f t="shared" si="6"/>
        <v/>
      </c>
    </row>
    <row r="179" spans="1:36" s="23" customFormat="1" ht="15" hidden="1" customHeight="1" x14ac:dyDescent="0.2">
      <c r="A179" s="110" t="s">
        <v>10</v>
      </c>
      <c r="B179" s="32" t="s">
        <v>75</v>
      </c>
      <c r="C179" s="33" t="s">
        <v>2</v>
      </c>
      <c r="D179" s="22" t="str">
        <f t="shared" si="5"/>
        <v>*</v>
      </c>
      <c r="E179" s="22" t="str">
        <f t="shared" si="6"/>
        <v>*</v>
      </c>
      <c r="F179" s="22" t="str">
        <f t="shared" si="6"/>
        <v>*</v>
      </c>
      <c r="G179" s="22" t="str">
        <f t="shared" si="6"/>
        <v/>
      </c>
      <c r="H179" s="22" t="str">
        <f t="shared" si="6"/>
        <v>*</v>
      </c>
      <c r="I179" s="22" t="str">
        <f t="shared" si="6"/>
        <v>*</v>
      </c>
      <c r="J179" s="22" t="str">
        <f t="shared" si="6"/>
        <v>*</v>
      </c>
      <c r="K179" s="22" t="str">
        <f t="shared" si="6"/>
        <v/>
      </c>
      <c r="L179" s="22" t="str">
        <f t="shared" si="6"/>
        <v/>
      </c>
      <c r="M179" s="22" t="str">
        <f t="shared" si="6"/>
        <v>*</v>
      </c>
      <c r="N179" s="22" t="str">
        <f t="shared" si="6"/>
        <v>*</v>
      </c>
      <c r="O179" s="22" t="str">
        <f t="shared" si="6"/>
        <v/>
      </c>
      <c r="P179" s="22" t="str">
        <f t="shared" si="6"/>
        <v>*</v>
      </c>
      <c r="Q179" s="22" t="str">
        <f t="shared" si="6"/>
        <v/>
      </c>
      <c r="R179" s="22" t="str">
        <f t="shared" si="6"/>
        <v/>
      </c>
      <c r="S179" s="22" t="str">
        <f t="shared" si="6"/>
        <v>*</v>
      </c>
      <c r="T179" s="22" t="str">
        <f t="shared" si="6"/>
        <v/>
      </c>
      <c r="U179" s="22" t="str">
        <f t="shared" si="6"/>
        <v/>
      </c>
      <c r="V179" s="22" t="str">
        <f t="shared" si="6"/>
        <v>*</v>
      </c>
      <c r="W179" s="22" t="str">
        <f t="shared" si="6"/>
        <v/>
      </c>
      <c r="X179" s="22" t="str">
        <f t="shared" si="6"/>
        <v/>
      </c>
      <c r="Y179" s="22" t="str">
        <f t="shared" si="6"/>
        <v/>
      </c>
      <c r="Z179" s="22" t="str">
        <f t="shared" si="6"/>
        <v>*</v>
      </c>
      <c r="AA179" s="22" t="str">
        <f t="shared" si="6"/>
        <v/>
      </c>
      <c r="AB179" s="22" t="str">
        <f t="shared" si="6"/>
        <v/>
      </c>
      <c r="AC179" s="22" t="str">
        <f t="shared" si="6"/>
        <v/>
      </c>
      <c r="AD179" s="22" t="str">
        <f t="shared" si="6"/>
        <v/>
      </c>
      <c r="AE179" s="22" t="str">
        <f t="shared" si="6"/>
        <v>*</v>
      </c>
      <c r="AF179" s="22" t="str">
        <f t="shared" si="6"/>
        <v/>
      </c>
      <c r="AG179" s="22" t="str">
        <f t="shared" si="6"/>
        <v/>
      </c>
      <c r="AH179" s="22" t="str">
        <f t="shared" si="6"/>
        <v>*</v>
      </c>
      <c r="AI179" s="22" t="str">
        <f t="shared" si="6"/>
        <v>*</v>
      </c>
      <c r="AJ179" s="22" t="str">
        <f t="shared" si="6"/>
        <v/>
      </c>
    </row>
    <row r="180" spans="1:36" s="23" customFormat="1" ht="15" hidden="1" customHeight="1" x14ac:dyDescent="0.2">
      <c r="A180" s="111"/>
      <c r="B180" s="34" t="s">
        <v>76</v>
      </c>
      <c r="C180" s="35" t="s">
        <v>194</v>
      </c>
      <c r="D180" s="22" t="str">
        <f t="shared" si="5"/>
        <v>*</v>
      </c>
      <c r="E180" s="22" t="str">
        <f t="shared" si="6"/>
        <v>*</v>
      </c>
      <c r="F180" s="22" t="str">
        <f t="shared" si="6"/>
        <v>*</v>
      </c>
      <c r="G180" s="22" t="str">
        <f t="shared" si="6"/>
        <v/>
      </c>
      <c r="H180" s="22" t="str">
        <f t="shared" si="6"/>
        <v/>
      </c>
      <c r="I180" s="22" t="str">
        <f t="shared" si="6"/>
        <v>*</v>
      </c>
      <c r="J180" s="22" t="str">
        <f t="shared" si="6"/>
        <v/>
      </c>
      <c r="K180" s="22" t="str">
        <f t="shared" si="6"/>
        <v/>
      </c>
      <c r="L180" s="22" t="str">
        <f t="shared" si="6"/>
        <v/>
      </c>
      <c r="M180" s="22" t="str">
        <f t="shared" si="6"/>
        <v/>
      </c>
      <c r="N180" s="22" t="str">
        <f t="shared" si="6"/>
        <v/>
      </c>
      <c r="O180" s="22" t="str">
        <f t="shared" si="6"/>
        <v/>
      </c>
      <c r="P180" s="22" t="str">
        <f t="shared" si="6"/>
        <v>*</v>
      </c>
      <c r="Q180" s="22" t="str">
        <f t="shared" si="6"/>
        <v/>
      </c>
      <c r="R180" s="22" t="str">
        <f t="shared" si="6"/>
        <v/>
      </c>
      <c r="S180" s="22" t="str">
        <f t="shared" si="6"/>
        <v/>
      </c>
      <c r="T180" s="22" t="str">
        <f t="shared" si="6"/>
        <v/>
      </c>
      <c r="U180" s="22" t="str">
        <f t="shared" si="6"/>
        <v/>
      </c>
      <c r="V180" s="22" t="str">
        <f t="shared" si="6"/>
        <v/>
      </c>
      <c r="W180" s="22" t="str">
        <f t="shared" si="6"/>
        <v/>
      </c>
      <c r="X180" s="22" t="str">
        <f t="shared" si="6"/>
        <v/>
      </c>
      <c r="Y180" s="22" t="str">
        <f t="shared" si="6"/>
        <v/>
      </c>
      <c r="Z180" s="22" t="str">
        <f t="shared" si="6"/>
        <v/>
      </c>
      <c r="AA180" s="22" t="str">
        <f t="shared" si="6"/>
        <v/>
      </c>
      <c r="AB180" s="22" t="str">
        <f t="shared" si="6"/>
        <v/>
      </c>
      <c r="AC180" s="22" t="str">
        <f t="shared" si="6"/>
        <v/>
      </c>
      <c r="AD180" s="22" t="str">
        <f t="shared" si="6"/>
        <v/>
      </c>
      <c r="AE180" s="22" t="str">
        <f t="shared" si="6"/>
        <v>*</v>
      </c>
      <c r="AF180" s="22" t="str">
        <f t="shared" si="6"/>
        <v/>
      </c>
      <c r="AG180" s="22" t="str">
        <f t="shared" si="6"/>
        <v/>
      </c>
      <c r="AH180" s="22" t="str">
        <f t="shared" si="6"/>
        <v/>
      </c>
      <c r="AI180" s="22" t="str">
        <f t="shared" si="6"/>
        <v/>
      </c>
      <c r="AJ180" s="22" t="str">
        <f t="shared" si="6"/>
        <v/>
      </c>
    </row>
    <row r="181" spans="1:36" s="23" customFormat="1" ht="15" hidden="1" customHeight="1" x14ac:dyDescent="0.2">
      <c r="A181" s="26" t="s">
        <v>60</v>
      </c>
      <c r="B181" s="29" t="s">
        <v>74</v>
      </c>
      <c r="C181" s="30" t="s">
        <v>0</v>
      </c>
      <c r="D181" s="31" t="str">
        <f t="shared" si="5"/>
        <v>*</v>
      </c>
      <c r="E181" s="31" t="str">
        <f t="shared" si="6"/>
        <v>*</v>
      </c>
      <c r="F181" s="31" t="str">
        <f t="shared" si="6"/>
        <v>*</v>
      </c>
      <c r="G181" s="31" t="str">
        <f t="shared" si="6"/>
        <v>*</v>
      </c>
      <c r="H181" s="31" t="str">
        <f t="shared" si="6"/>
        <v>*</v>
      </c>
      <c r="I181" s="31" t="str">
        <f t="shared" si="6"/>
        <v>*</v>
      </c>
      <c r="J181" s="31" t="str">
        <f t="shared" si="6"/>
        <v>*</v>
      </c>
      <c r="K181" s="31" t="str">
        <f t="shared" si="6"/>
        <v>*</v>
      </c>
      <c r="L181" s="31" t="str">
        <f t="shared" si="6"/>
        <v/>
      </c>
      <c r="M181" s="31" t="str">
        <f t="shared" si="6"/>
        <v>*</v>
      </c>
      <c r="N181" s="31" t="str">
        <f t="shared" si="6"/>
        <v>*</v>
      </c>
      <c r="O181" s="31" t="str">
        <f t="shared" si="6"/>
        <v/>
      </c>
      <c r="P181" s="31" t="str">
        <f t="shared" si="6"/>
        <v>*</v>
      </c>
      <c r="Q181" s="31" t="str">
        <f t="shared" si="6"/>
        <v>*</v>
      </c>
      <c r="R181" s="31" t="str">
        <f t="shared" si="6"/>
        <v/>
      </c>
      <c r="S181" s="31" t="str">
        <f t="shared" si="6"/>
        <v/>
      </c>
      <c r="T181" s="31" t="str">
        <f t="shared" si="6"/>
        <v/>
      </c>
      <c r="U181" s="31" t="str">
        <f t="shared" si="6"/>
        <v/>
      </c>
      <c r="V181" s="31" t="str">
        <f t="shared" si="6"/>
        <v>*</v>
      </c>
      <c r="W181" s="31" t="str">
        <f t="shared" si="6"/>
        <v/>
      </c>
      <c r="X181" s="31" t="str">
        <f t="shared" si="6"/>
        <v/>
      </c>
      <c r="Y181" s="31" t="str">
        <f t="shared" si="6"/>
        <v>*</v>
      </c>
      <c r="Z181" s="31" t="str">
        <f t="shared" si="6"/>
        <v>*</v>
      </c>
      <c r="AA181" s="31" t="str">
        <f t="shared" si="6"/>
        <v/>
      </c>
      <c r="AB181" s="31" t="str">
        <f t="shared" si="6"/>
        <v/>
      </c>
      <c r="AC181" s="31" t="str">
        <f t="shared" si="6"/>
        <v>*</v>
      </c>
      <c r="AD181" s="31" t="str">
        <f t="shared" si="6"/>
        <v/>
      </c>
      <c r="AE181" s="31" t="str">
        <f t="shared" si="6"/>
        <v>*</v>
      </c>
      <c r="AF181" s="31" t="str">
        <f t="shared" si="6"/>
        <v>*</v>
      </c>
      <c r="AG181" s="31" t="str">
        <f t="shared" si="6"/>
        <v/>
      </c>
      <c r="AH181" s="31" t="str">
        <f t="shared" si="6"/>
        <v>*</v>
      </c>
      <c r="AI181" s="31" t="str">
        <f t="shared" si="6"/>
        <v/>
      </c>
      <c r="AJ181" s="31" t="str">
        <f t="shared" si="6"/>
        <v>*</v>
      </c>
    </row>
    <row r="182" spans="1:36" s="23" customFormat="1" ht="15" hidden="1" customHeight="1" x14ac:dyDescent="0.2">
      <c r="A182" s="110" t="s">
        <v>11</v>
      </c>
      <c r="B182" s="32" t="s">
        <v>75</v>
      </c>
      <c r="C182" s="33" t="s">
        <v>2</v>
      </c>
      <c r="D182" s="22" t="str">
        <f t="shared" si="5"/>
        <v>*</v>
      </c>
      <c r="E182" s="22" t="str">
        <f t="shared" si="6"/>
        <v>*</v>
      </c>
      <c r="F182" s="22" t="str">
        <f t="shared" si="6"/>
        <v>*</v>
      </c>
      <c r="G182" s="22" t="str">
        <f t="shared" si="6"/>
        <v>*</v>
      </c>
      <c r="H182" s="22" t="str">
        <f t="shared" si="6"/>
        <v>*</v>
      </c>
      <c r="I182" s="22" t="str">
        <f t="shared" si="6"/>
        <v>*</v>
      </c>
      <c r="J182" s="22" t="str">
        <f t="shared" si="6"/>
        <v>*</v>
      </c>
      <c r="K182" s="22" t="str">
        <f t="shared" si="6"/>
        <v>*</v>
      </c>
      <c r="L182" s="22" t="str">
        <f t="shared" si="6"/>
        <v/>
      </c>
      <c r="M182" s="22" t="str">
        <f t="shared" si="6"/>
        <v>*</v>
      </c>
      <c r="N182" s="22" t="str">
        <f t="shared" si="6"/>
        <v>*</v>
      </c>
      <c r="O182" s="22" t="str">
        <f t="shared" si="6"/>
        <v/>
      </c>
      <c r="P182" s="22" t="str">
        <f t="shared" si="6"/>
        <v>*</v>
      </c>
      <c r="Q182" s="22" t="str">
        <f t="shared" si="6"/>
        <v>*</v>
      </c>
      <c r="R182" s="22" t="str">
        <f t="shared" si="6"/>
        <v/>
      </c>
      <c r="S182" s="22" t="str">
        <f t="shared" si="6"/>
        <v/>
      </c>
      <c r="T182" s="22" t="str">
        <f t="shared" si="6"/>
        <v/>
      </c>
      <c r="U182" s="22" t="str">
        <f t="shared" si="6"/>
        <v/>
      </c>
      <c r="V182" s="22" t="str">
        <f t="shared" si="6"/>
        <v>*</v>
      </c>
      <c r="W182" s="22" t="str">
        <f t="shared" si="6"/>
        <v/>
      </c>
      <c r="X182" s="22" t="str">
        <f t="shared" si="6"/>
        <v/>
      </c>
      <c r="Y182" s="22" t="str">
        <f t="shared" si="6"/>
        <v>*</v>
      </c>
      <c r="Z182" s="22" t="str">
        <f t="shared" si="6"/>
        <v>*</v>
      </c>
      <c r="AA182" s="22" t="str">
        <f t="shared" si="6"/>
        <v/>
      </c>
      <c r="AB182" s="22" t="str">
        <f t="shared" si="6"/>
        <v/>
      </c>
      <c r="AC182" s="22" t="str">
        <f t="shared" si="6"/>
        <v>*</v>
      </c>
      <c r="AD182" s="22" t="str">
        <f t="shared" si="6"/>
        <v/>
      </c>
      <c r="AE182" s="22" t="str">
        <f t="shared" si="6"/>
        <v>*</v>
      </c>
      <c r="AF182" s="22" t="str">
        <f t="shared" si="6"/>
        <v>*</v>
      </c>
      <c r="AG182" s="22" t="str">
        <f t="shared" si="6"/>
        <v/>
      </c>
      <c r="AH182" s="22" t="str">
        <f t="shared" si="6"/>
        <v>*</v>
      </c>
      <c r="AI182" s="22" t="str">
        <f t="shared" si="6"/>
        <v/>
      </c>
      <c r="AJ182" s="22" t="str">
        <f t="shared" si="6"/>
        <v>*</v>
      </c>
    </row>
    <row r="183" spans="1:36" s="23" customFormat="1" ht="15" hidden="1" customHeight="1" x14ac:dyDescent="0.2">
      <c r="A183" s="111"/>
      <c r="B183" s="34" t="s">
        <v>76</v>
      </c>
      <c r="C183" s="35" t="s">
        <v>194</v>
      </c>
      <c r="D183" s="22" t="str">
        <f t="shared" si="5"/>
        <v>*</v>
      </c>
      <c r="E183" s="22" t="str">
        <f t="shared" si="6"/>
        <v>*</v>
      </c>
      <c r="F183" s="22" t="str">
        <f t="shared" si="6"/>
        <v>*</v>
      </c>
      <c r="G183" s="22" t="str">
        <f t="shared" si="6"/>
        <v/>
      </c>
      <c r="H183" s="22" t="str">
        <f t="shared" si="6"/>
        <v>*</v>
      </c>
      <c r="I183" s="22" t="str">
        <f t="shared" si="6"/>
        <v>*</v>
      </c>
      <c r="J183" s="22" t="str">
        <f t="shared" si="6"/>
        <v>*</v>
      </c>
      <c r="K183" s="22" t="str">
        <f t="shared" si="6"/>
        <v/>
      </c>
      <c r="L183" s="22" t="str">
        <f t="shared" si="6"/>
        <v/>
      </c>
      <c r="M183" s="22" t="str">
        <f t="shared" si="6"/>
        <v/>
      </c>
      <c r="N183" s="22" t="str">
        <f t="shared" si="6"/>
        <v/>
      </c>
      <c r="O183" s="22" t="str">
        <f t="shared" si="6"/>
        <v/>
      </c>
      <c r="P183" s="22" t="str">
        <f t="shared" ref="E183:AJ191" si="7">IF(P113=P39,"","*")</f>
        <v/>
      </c>
      <c r="Q183" s="22" t="str">
        <f t="shared" si="7"/>
        <v/>
      </c>
      <c r="R183" s="22" t="str">
        <f t="shared" si="7"/>
        <v/>
      </c>
      <c r="S183" s="22" t="str">
        <f t="shared" si="7"/>
        <v/>
      </c>
      <c r="T183" s="22" t="str">
        <f t="shared" si="7"/>
        <v/>
      </c>
      <c r="U183" s="22" t="str">
        <f t="shared" si="7"/>
        <v/>
      </c>
      <c r="V183" s="22" t="str">
        <f t="shared" si="7"/>
        <v/>
      </c>
      <c r="W183" s="22" t="str">
        <f t="shared" si="7"/>
        <v/>
      </c>
      <c r="X183" s="22" t="str">
        <f t="shared" si="7"/>
        <v/>
      </c>
      <c r="Y183" s="22" t="str">
        <f t="shared" si="7"/>
        <v/>
      </c>
      <c r="Z183" s="22" t="str">
        <f t="shared" si="7"/>
        <v/>
      </c>
      <c r="AA183" s="22" t="str">
        <f t="shared" si="7"/>
        <v/>
      </c>
      <c r="AB183" s="22" t="str">
        <f t="shared" si="7"/>
        <v/>
      </c>
      <c r="AC183" s="22" t="str">
        <f t="shared" si="7"/>
        <v/>
      </c>
      <c r="AD183" s="22" t="str">
        <f t="shared" si="7"/>
        <v/>
      </c>
      <c r="AE183" s="22" t="str">
        <f t="shared" si="7"/>
        <v/>
      </c>
      <c r="AF183" s="22" t="str">
        <f t="shared" si="7"/>
        <v/>
      </c>
      <c r="AG183" s="22" t="str">
        <f t="shared" si="7"/>
        <v/>
      </c>
      <c r="AH183" s="22" t="str">
        <f t="shared" si="7"/>
        <v/>
      </c>
      <c r="AI183" s="22" t="str">
        <f t="shared" si="7"/>
        <v/>
      </c>
      <c r="AJ183" s="22" t="str">
        <f t="shared" si="7"/>
        <v/>
      </c>
    </row>
    <row r="184" spans="1:36" s="23" customFormat="1" ht="15" hidden="1" customHeight="1" x14ac:dyDescent="0.2">
      <c r="A184" s="26" t="s">
        <v>61</v>
      </c>
      <c r="B184" s="29" t="s">
        <v>74</v>
      </c>
      <c r="C184" s="30" t="s">
        <v>0</v>
      </c>
      <c r="D184" s="31" t="str">
        <f t="shared" ref="D184:D199" si="8">IF(D114=D40,"","*")</f>
        <v>*</v>
      </c>
      <c r="E184" s="31" t="str">
        <f t="shared" si="7"/>
        <v>*</v>
      </c>
      <c r="F184" s="31" t="str">
        <f t="shared" si="7"/>
        <v>*</v>
      </c>
      <c r="G184" s="31" t="str">
        <f t="shared" si="7"/>
        <v>*</v>
      </c>
      <c r="H184" s="31" t="str">
        <f t="shared" si="7"/>
        <v>*</v>
      </c>
      <c r="I184" s="31" t="str">
        <f t="shared" si="7"/>
        <v>*</v>
      </c>
      <c r="J184" s="31" t="str">
        <f t="shared" si="7"/>
        <v/>
      </c>
      <c r="K184" s="31" t="str">
        <f t="shared" si="7"/>
        <v/>
      </c>
      <c r="L184" s="31" t="str">
        <f t="shared" si="7"/>
        <v/>
      </c>
      <c r="M184" s="31" t="str">
        <f t="shared" si="7"/>
        <v>*</v>
      </c>
      <c r="N184" s="31" t="str">
        <f t="shared" si="7"/>
        <v>*</v>
      </c>
      <c r="O184" s="31" t="str">
        <f t="shared" si="7"/>
        <v/>
      </c>
      <c r="P184" s="31" t="str">
        <f t="shared" si="7"/>
        <v>*</v>
      </c>
      <c r="Q184" s="31" t="str">
        <f t="shared" si="7"/>
        <v/>
      </c>
      <c r="R184" s="31" t="str">
        <f t="shared" si="7"/>
        <v/>
      </c>
      <c r="S184" s="31" t="str">
        <f t="shared" si="7"/>
        <v>*</v>
      </c>
      <c r="T184" s="31" t="str">
        <f t="shared" si="7"/>
        <v>*</v>
      </c>
      <c r="U184" s="31" t="str">
        <f t="shared" si="7"/>
        <v/>
      </c>
      <c r="V184" s="31" t="str">
        <f t="shared" si="7"/>
        <v>*</v>
      </c>
      <c r="W184" s="31" t="str">
        <f t="shared" si="7"/>
        <v/>
      </c>
      <c r="X184" s="31" t="str">
        <f t="shared" si="7"/>
        <v/>
      </c>
      <c r="Y184" s="31" t="str">
        <f t="shared" si="7"/>
        <v>*</v>
      </c>
      <c r="Z184" s="31" t="str">
        <f t="shared" si="7"/>
        <v/>
      </c>
      <c r="AA184" s="31" t="str">
        <f t="shared" si="7"/>
        <v/>
      </c>
      <c r="AB184" s="31" t="str">
        <f t="shared" si="7"/>
        <v/>
      </c>
      <c r="AC184" s="31" t="str">
        <f t="shared" si="7"/>
        <v/>
      </c>
      <c r="AD184" s="31" t="str">
        <f t="shared" si="7"/>
        <v/>
      </c>
      <c r="AE184" s="31" t="str">
        <f t="shared" si="7"/>
        <v/>
      </c>
      <c r="AF184" s="31" t="str">
        <f t="shared" si="7"/>
        <v/>
      </c>
      <c r="AG184" s="31" t="str">
        <f t="shared" si="7"/>
        <v/>
      </c>
      <c r="AH184" s="31" t="str">
        <f t="shared" si="7"/>
        <v>*</v>
      </c>
      <c r="AI184" s="31" t="str">
        <f t="shared" si="7"/>
        <v>*</v>
      </c>
      <c r="AJ184" s="31" t="str">
        <f t="shared" si="7"/>
        <v>*</v>
      </c>
    </row>
    <row r="185" spans="1:36" s="23" customFormat="1" ht="15" hidden="1" customHeight="1" x14ac:dyDescent="0.2">
      <c r="A185" s="110" t="s">
        <v>12</v>
      </c>
      <c r="B185" s="32" t="s">
        <v>75</v>
      </c>
      <c r="C185" s="33" t="s">
        <v>2</v>
      </c>
      <c r="D185" s="22" t="str">
        <f t="shared" si="8"/>
        <v>*</v>
      </c>
      <c r="E185" s="22" t="str">
        <f t="shared" si="7"/>
        <v>*</v>
      </c>
      <c r="F185" s="22" t="str">
        <f t="shared" si="7"/>
        <v>*</v>
      </c>
      <c r="G185" s="22" t="str">
        <f t="shared" si="7"/>
        <v>*</v>
      </c>
      <c r="H185" s="22" t="str">
        <f t="shared" si="7"/>
        <v>*</v>
      </c>
      <c r="I185" s="22" t="str">
        <f t="shared" si="7"/>
        <v>*</v>
      </c>
      <c r="J185" s="22" t="str">
        <f t="shared" si="7"/>
        <v/>
      </c>
      <c r="K185" s="22" t="str">
        <f t="shared" si="7"/>
        <v/>
      </c>
      <c r="L185" s="22" t="str">
        <f t="shared" si="7"/>
        <v/>
      </c>
      <c r="M185" s="22" t="str">
        <f t="shared" si="7"/>
        <v>*</v>
      </c>
      <c r="N185" s="22" t="str">
        <f t="shared" si="7"/>
        <v>*</v>
      </c>
      <c r="O185" s="22" t="str">
        <f t="shared" si="7"/>
        <v/>
      </c>
      <c r="P185" s="22" t="str">
        <f t="shared" si="7"/>
        <v>*</v>
      </c>
      <c r="Q185" s="22" t="str">
        <f t="shared" si="7"/>
        <v/>
      </c>
      <c r="R185" s="22" t="str">
        <f t="shared" si="7"/>
        <v/>
      </c>
      <c r="S185" s="22" t="str">
        <f t="shared" si="7"/>
        <v>*</v>
      </c>
      <c r="T185" s="22" t="str">
        <f t="shared" si="7"/>
        <v>*</v>
      </c>
      <c r="U185" s="22" t="str">
        <f t="shared" si="7"/>
        <v/>
      </c>
      <c r="V185" s="22" t="str">
        <f t="shared" si="7"/>
        <v>*</v>
      </c>
      <c r="W185" s="22" t="str">
        <f t="shared" si="7"/>
        <v/>
      </c>
      <c r="X185" s="22" t="str">
        <f t="shared" si="7"/>
        <v/>
      </c>
      <c r="Y185" s="22" t="str">
        <f t="shared" si="7"/>
        <v>*</v>
      </c>
      <c r="Z185" s="22" t="str">
        <f t="shared" si="7"/>
        <v/>
      </c>
      <c r="AA185" s="22" t="str">
        <f t="shared" si="7"/>
        <v/>
      </c>
      <c r="AB185" s="22" t="str">
        <f t="shared" si="7"/>
        <v/>
      </c>
      <c r="AC185" s="22" t="str">
        <f t="shared" si="7"/>
        <v/>
      </c>
      <c r="AD185" s="22" t="str">
        <f t="shared" si="7"/>
        <v/>
      </c>
      <c r="AE185" s="22" t="str">
        <f t="shared" si="7"/>
        <v>*</v>
      </c>
      <c r="AF185" s="22" t="str">
        <f t="shared" si="7"/>
        <v/>
      </c>
      <c r="AG185" s="22" t="str">
        <f t="shared" si="7"/>
        <v/>
      </c>
      <c r="AH185" s="22" t="str">
        <f t="shared" si="7"/>
        <v>*</v>
      </c>
      <c r="AI185" s="22" t="str">
        <f t="shared" si="7"/>
        <v>*</v>
      </c>
      <c r="AJ185" s="22" t="str">
        <f t="shared" si="7"/>
        <v>*</v>
      </c>
    </row>
    <row r="186" spans="1:36" s="23" customFormat="1" ht="15" hidden="1" customHeight="1" x14ac:dyDescent="0.2">
      <c r="A186" s="111"/>
      <c r="B186" s="34" t="s">
        <v>76</v>
      </c>
      <c r="C186" s="35" t="s">
        <v>194</v>
      </c>
      <c r="D186" s="22" t="str">
        <f t="shared" si="8"/>
        <v>*</v>
      </c>
      <c r="E186" s="22" t="str">
        <f t="shared" si="7"/>
        <v/>
      </c>
      <c r="F186" s="22" t="str">
        <f t="shared" si="7"/>
        <v>*</v>
      </c>
      <c r="G186" s="22" t="str">
        <f t="shared" si="7"/>
        <v/>
      </c>
      <c r="H186" s="22" t="str">
        <f t="shared" si="7"/>
        <v>*</v>
      </c>
      <c r="I186" s="22" t="str">
        <f t="shared" si="7"/>
        <v>*</v>
      </c>
      <c r="J186" s="22" t="str">
        <f t="shared" si="7"/>
        <v/>
      </c>
      <c r="K186" s="22" t="str">
        <f t="shared" si="7"/>
        <v/>
      </c>
      <c r="L186" s="22" t="str">
        <f t="shared" si="7"/>
        <v/>
      </c>
      <c r="M186" s="22" t="str">
        <f t="shared" si="7"/>
        <v/>
      </c>
      <c r="N186" s="22" t="str">
        <f t="shared" si="7"/>
        <v/>
      </c>
      <c r="O186" s="22" t="str">
        <f t="shared" si="7"/>
        <v/>
      </c>
      <c r="P186" s="22" t="str">
        <f t="shared" si="7"/>
        <v/>
      </c>
      <c r="Q186" s="22" t="str">
        <f t="shared" si="7"/>
        <v/>
      </c>
      <c r="R186" s="22" t="str">
        <f t="shared" si="7"/>
        <v/>
      </c>
      <c r="S186" s="22" t="str">
        <f t="shared" si="7"/>
        <v/>
      </c>
      <c r="T186" s="22" t="str">
        <f t="shared" si="7"/>
        <v/>
      </c>
      <c r="U186" s="22" t="str">
        <f t="shared" si="7"/>
        <v/>
      </c>
      <c r="V186" s="22" t="str">
        <f t="shared" si="7"/>
        <v/>
      </c>
      <c r="W186" s="22" t="str">
        <f t="shared" si="7"/>
        <v/>
      </c>
      <c r="X186" s="22" t="str">
        <f t="shared" si="7"/>
        <v/>
      </c>
      <c r="Y186" s="22" t="str">
        <f t="shared" si="7"/>
        <v/>
      </c>
      <c r="Z186" s="22" t="str">
        <f t="shared" si="7"/>
        <v/>
      </c>
      <c r="AA186" s="22" t="str">
        <f t="shared" si="7"/>
        <v/>
      </c>
      <c r="AB186" s="22" t="str">
        <f t="shared" si="7"/>
        <v/>
      </c>
      <c r="AC186" s="22" t="str">
        <f t="shared" si="7"/>
        <v/>
      </c>
      <c r="AD186" s="22" t="str">
        <f t="shared" si="7"/>
        <v/>
      </c>
      <c r="AE186" s="22" t="str">
        <f t="shared" si="7"/>
        <v>*</v>
      </c>
      <c r="AF186" s="22" t="str">
        <f t="shared" si="7"/>
        <v/>
      </c>
      <c r="AG186" s="22" t="str">
        <f t="shared" si="7"/>
        <v/>
      </c>
      <c r="AH186" s="22" t="str">
        <f t="shared" si="7"/>
        <v>*</v>
      </c>
      <c r="AI186" s="22" t="str">
        <f t="shared" si="7"/>
        <v>*</v>
      </c>
      <c r="AJ186" s="22" t="str">
        <f t="shared" si="7"/>
        <v/>
      </c>
    </row>
    <row r="187" spans="1:36" s="23" customFormat="1" ht="15" hidden="1" customHeight="1" x14ac:dyDescent="0.2">
      <c r="A187" s="26" t="s">
        <v>62</v>
      </c>
      <c r="B187" s="29" t="s">
        <v>74</v>
      </c>
      <c r="C187" s="30" t="s">
        <v>0</v>
      </c>
      <c r="D187" s="31" t="str">
        <f t="shared" si="8"/>
        <v>*</v>
      </c>
      <c r="E187" s="31" t="str">
        <f t="shared" si="7"/>
        <v>*</v>
      </c>
      <c r="F187" s="31" t="str">
        <f t="shared" si="7"/>
        <v>*</v>
      </c>
      <c r="G187" s="31" t="str">
        <f t="shared" si="7"/>
        <v/>
      </c>
      <c r="H187" s="31" t="str">
        <f t="shared" si="7"/>
        <v>*</v>
      </c>
      <c r="I187" s="31" t="str">
        <f t="shared" si="7"/>
        <v>*</v>
      </c>
      <c r="J187" s="31" t="str">
        <f t="shared" si="7"/>
        <v>*</v>
      </c>
      <c r="K187" s="31" t="str">
        <f t="shared" si="7"/>
        <v>*</v>
      </c>
      <c r="L187" s="31" t="str">
        <f t="shared" si="7"/>
        <v/>
      </c>
      <c r="M187" s="31" t="str">
        <f t="shared" si="7"/>
        <v/>
      </c>
      <c r="N187" s="31" t="str">
        <f t="shared" si="7"/>
        <v>*</v>
      </c>
      <c r="O187" s="31" t="str">
        <f t="shared" si="7"/>
        <v/>
      </c>
      <c r="P187" s="31" t="str">
        <f t="shared" si="7"/>
        <v>*</v>
      </c>
      <c r="Q187" s="31" t="str">
        <f t="shared" si="7"/>
        <v/>
      </c>
      <c r="R187" s="31" t="str">
        <f t="shared" si="7"/>
        <v/>
      </c>
      <c r="S187" s="31" t="str">
        <f t="shared" si="7"/>
        <v>*</v>
      </c>
      <c r="T187" s="31" t="str">
        <f t="shared" si="7"/>
        <v>*</v>
      </c>
      <c r="U187" s="31" t="str">
        <f t="shared" si="7"/>
        <v/>
      </c>
      <c r="V187" s="31" t="str">
        <f t="shared" si="7"/>
        <v>*</v>
      </c>
      <c r="W187" s="31" t="str">
        <f t="shared" si="7"/>
        <v/>
      </c>
      <c r="X187" s="31" t="str">
        <f t="shared" si="7"/>
        <v/>
      </c>
      <c r="Y187" s="31" t="str">
        <f t="shared" si="7"/>
        <v>*</v>
      </c>
      <c r="Z187" s="31" t="str">
        <f t="shared" si="7"/>
        <v>*</v>
      </c>
      <c r="AA187" s="31" t="str">
        <f t="shared" si="7"/>
        <v/>
      </c>
      <c r="AB187" s="31" t="str">
        <f t="shared" si="7"/>
        <v/>
      </c>
      <c r="AC187" s="31" t="str">
        <f t="shared" si="7"/>
        <v/>
      </c>
      <c r="AD187" s="31" t="str">
        <f t="shared" si="7"/>
        <v/>
      </c>
      <c r="AE187" s="31" t="str">
        <f t="shared" si="7"/>
        <v>*</v>
      </c>
      <c r="AF187" s="31" t="str">
        <f t="shared" si="7"/>
        <v>*</v>
      </c>
      <c r="AG187" s="31" t="str">
        <f t="shared" si="7"/>
        <v/>
      </c>
      <c r="AH187" s="31" t="str">
        <f t="shared" si="7"/>
        <v/>
      </c>
      <c r="AI187" s="31" t="str">
        <f t="shared" si="7"/>
        <v/>
      </c>
      <c r="AJ187" s="31" t="str">
        <f t="shared" si="7"/>
        <v/>
      </c>
    </row>
    <row r="188" spans="1:36" s="23" customFormat="1" ht="15" hidden="1" customHeight="1" x14ac:dyDescent="0.2">
      <c r="A188" s="110" t="s">
        <v>13</v>
      </c>
      <c r="B188" s="32" t="s">
        <v>75</v>
      </c>
      <c r="C188" s="33" t="s">
        <v>2</v>
      </c>
      <c r="D188" s="22" t="str">
        <f t="shared" si="8"/>
        <v>*</v>
      </c>
      <c r="E188" s="22" t="str">
        <f t="shared" si="7"/>
        <v>*</v>
      </c>
      <c r="F188" s="22" t="str">
        <f t="shared" si="7"/>
        <v>*</v>
      </c>
      <c r="G188" s="22" t="str">
        <f t="shared" si="7"/>
        <v/>
      </c>
      <c r="H188" s="22" t="str">
        <f t="shared" si="7"/>
        <v>*</v>
      </c>
      <c r="I188" s="22" t="str">
        <f t="shared" si="7"/>
        <v>*</v>
      </c>
      <c r="J188" s="22" t="str">
        <f t="shared" si="7"/>
        <v>*</v>
      </c>
      <c r="K188" s="22" t="str">
        <f t="shared" si="7"/>
        <v>*</v>
      </c>
      <c r="L188" s="22" t="str">
        <f t="shared" si="7"/>
        <v/>
      </c>
      <c r="M188" s="22" t="str">
        <f t="shared" si="7"/>
        <v/>
      </c>
      <c r="N188" s="22" t="str">
        <f t="shared" si="7"/>
        <v>*</v>
      </c>
      <c r="O188" s="22" t="str">
        <f t="shared" si="7"/>
        <v/>
      </c>
      <c r="P188" s="22" t="str">
        <f t="shared" si="7"/>
        <v>*</v>
      </c>
      <c r="Q188" s="22" t="str">
        <f t="shared" si="7"/>
        <v/>
      </c>
      <c r="R188" s="22" t="str">
        <f t="shared" si="7"/>
        <v/>
      </c>
      <c r="S188" s="22" t="str">
        <f t="shared" si="7"/>
        <v>*</v>
      </c>
      <c r="T188" s="22" t="str">
        <f t="shared" si="7"/>
        <v>*</v>
      </c>
      <c r="U188" s="22" t="str">
        <f t="shared" si="7"/>
        <v/>
      </c>
      <c r="V188" s="22" t="str">
        <f t="shared" si="7"/>
        <v>*</v>
      </c>
      <c r="W188" s="22" t="str">
        <f t="shared" si="7"/>
        <v/>
      </c>
      <c r="X188" s="22" t="str">
        <f t="shared" si="7"/>
        <v/>
      </c>
      <c r="Y188" s="22" t="str">
        <f t="shared" si="7"/>
        <v>*</v>
      </c>
      <c r="Z188" s="22" t="str">
        <f t="shared" si="7"/>
        <v>*</v>
      </c>
      <c r="AA188" s="22" t="str">
        <f t="shared" si="7"/>
        <v/>
      </c>
      <c r="AB188" s="22" t="str">
        <f t="shared" si="7"/>
        <v/>
      </c>
      <c r="AC188" s="22" t="str">
        <f t="shared" si="7"/>
        <v/>
      </c>
      <c r="AD188" s="22" t="str">
        <f t="shared" si="7"/>
        <v/>
      </c>
      <c r="AE188" s="22" t="str">
        <f t="shared" si="7"/>
        <v>*</v>
      </c>
      <c r="AF188" s="22" t="str">
        <f t="shared" si="7"/>
        <v>*</v>
      </c>
      <c r="AG188" s="22" t="str">
        <f t="shared" si="7"/>
        <v/>
      </c>
      <c r="AH188" s="22" t="str">
        <f t="shared" si="7"/>
        <v/>
      </c>
      <c r="AI188" s="22" t="str">
        <f t="shared" si="7"/>
        <v/>
      </c>
      <c r="AJ188" s="22" t="str">
        <f t="shared" si="7"/>
        <v/>
      </c>
    </row>
    <row r="189" spans="1:36" s="23" customFormat="1" ht="15" hidden="1" customHeight="1" x14ac:dyDescent="0.2">
      <c r="A189" s="111"/>
      <c r="B189" s="34" t="s">
        <v>76</v>
      </c>
      <c r="C189" s="35" t="s">
        <v>194</v>
      </c>
      <c r="D189" s="22" t="str">
        <f t="shared" si="8"/>
        <v/>
      </c>
      <c r="E189" s="22" t="str">
        <f t="shared" si="7"/>
        <v/>
      </c>
      <c r="F189" s="22" t="str">
        <f t="shared" si="7"/>
        <v/>
      </c>
      <c r="G189" s="22" t="str">
        <f t="shared" si="7"/>
        <v/>
      </c>
      <c r="H189" s="22" t="str">
        <f t="shared" si="7"/>
        <v/>
      </c>
      <c r="I189" s="22" t="str">
        <f t="shared" si="7"/>
        <v/>
      </c>
      <c r="J189" s="22" t="str">
        <f t="shared" si="7"/>
        <v/>
      </c>
      <c r="K189" s="22" t="str">
        <f t="shared" si="7"/>
        <v/>
      </c>
      <c r="L189" s="22" t="str">
        <f t="shared" si="7"/>
        <v/>
      </c>
      <c r="M189" s="22" t="str">
        <f t="shared" si="7"/>
        <v/>
      </c>
      <c r="N189" s="22" t="str">
        <f t="shared" si="7"/>
        <v/>
      </c>
      <c r="O189" s="22" t="str">
        <f t="shared" si="7"/>
        <v/>
      </c>
      <c r="P189" s="22" t="str">
        <f t="shared" si="7"/>
        <v/>
      </c>
      <c r="Q189" s="22" t="str">
        <f t="shared" si="7"/>
        <v/>
      </c>
      <c r="R189" s="22" t="str">
        <f t="shared" si="7"/>
        <v/>
      </c>
      <c r="S189" s="22" t="str">
        <f t="shared" si="7"/>
        <v/>
      </c>
      <c r="T189" s="22" t="str">
        <f t="shared" si="7"/>
        <v/>
      </c>
      <c r="U189" s="22" t="str">
        <f t="shared" si="7"/>
        <v/>
      </c>
      <c r="V189" s="22" t="str">
        <f t="shared" si="7"/>
        <v/>
      </c>
      <c r="W189" s="22" t="str">
        <f t="shared" si="7"/>
        <v/>
      </c>
      <c r="X189" s="22" t="str">
        <f t="shared" si="7"/>
        <v/>
      </c>
      <c r="Y189" s="22" t="str">
        <f t="shared" si="7"/>
        <v/>
      </c>
      <c r="Z189" s="22" t="str">
        <f t="shared" si="7"/>
        <v/>
      </c>
      <c r="AA189" s="22" t="str">
        <f t="shared" si="7"/>
        <v/>
      </c>
      <c r="AB189" s="22" t="str">
        <f t="shared" si="7"/>
        <v/>
      </c>
      <c r="AC189" s="22" t="str">
        <f t="shared" si="7"/>
        <v/>
      </c>
      <c r="AD189" s="22" t="str">
        <f t="shared" si="7"/>
        <v/>
      </c>
      <c r="AE189" s="22" t="str">
        <f t="shared" si="7"/>
        <v/>
      </c>
      <c r="AF189" s="22" t="str">
        <f t="shared" si="7"/>
        <v/>
      </c>
      <c r="AG189" s="22" t="str">
        <f t="shared" si="7"/>
        <v/>
      </c>
      <c r="AH189" s="22" t="str">
        <f t="shared" si="7"/>
        <v/>
      </c>
      <c r="AI189" s="22" t="str">
        <f t="shared" si="7"/>
        <v/>
      </c>
      <c r="AJ189" s="22" t="str">
        <f t="shared" si="7"/>
        <v/>
      </c>
    </row>
    <row r="190" spans="1:36" s="23" customFormat="1" ht="15" hidden="1" customHeight="1" x14ac:dyDescent="0.2">
      <c r="A190" s="26" t="s">
        <v>63</v>
      </c>
      <c r="B190" s="29" t="s">
        <v>74</v>
      </c>
      <c r="C190" s="30" t="s">
        <v>0</v>
      </c>
      <c r="D190" s="31" t="str">
        <f t="shared" si="8"/>
        <v>*</v>
      </c>
      <c r="E190" s="31" t="str">
        <f t="shared" si="7"/>
        <v>*</v>
      </c>
      <c r="F190" s="31" t="str">
        <f t="shared" si="7"/>
        <v>*</v>
      </c>
      <c r="G190" s="31" t="str">
        <f t="shared" si="7"/>
        <v/>
      </c>
      <c r="H190" s="31" t="str">
        <f t="shared" si="7"/>
        <v>*</v>
      </c>
      <c r="I190" s="31" t="str">
        <f t="shared" si="7"/>
        <v>*</v>
      </c>
      <c r="J190" s="31" t="str">
        <f t="shared" si="7"/>
        <v/>
      </c>
      <c r="K190" s="31" t="str">
        <f t="shared" si="7"/>
        <v>*</v>
      </c>
      <c r="L190" s="31" t="str">
        <f t="shared" si="7"/>
        <v/>
      </c>
      <c r="M190" s="31" t="str">
        <f t="shared" si="7"/>
        <v>*</v>
      </c>
      <c r="N190" s="31" t="str">
        <f t="shared" si="7"/>
        <v>*</v>
      </c>
      <c r="O190" s="31" t="str">
        <f t="shared" si="7"/>
        <v/>
      </c>
      <c r="P190" s="31" t="str">
        <f t="shared" si="7"/>
        <v>*</v>
      </c>
      <c r="Q190" s="31" t="str">
        <f t="shared" si="7"/>
        <v>*</v>
      </c>
      <c r="R190" s="31" t="str">
        <f t="shared" si="7"/>
        <v/>
      </c>
      <c r="S190" s="31" t="str">
        <f t="shared" si="7"/>
        <v>*</v>
      </c>
      <c r="T190" s="31" t="str">
        <f t="shared" si="7"/>
        <v>*</v>
      </c>
      <c r="U190" s="31" t="str">
        <f t="shared" si="7"/>
        <v/>
      </c>
      <c r="V190" s="31" t="str">
        <f t="shared" si="7"/>
        <v>*</v>
      </c>
      <c r="W190" s="31" t="str">
        <f t="shared" si="7"/>
        <v/>
      </c>
      <c r="X190" s="31" t="str">
        <f t="shared" si="7"/>
        <v/>
      </c>
      <c r="Y190" s="31" t="str">
        <f t="shared" si="7"/>
        <v>*</v>
      </c>
      <c r="Z190" s="31" t="str">
        <f t="shared" si="7"/>
        <v>*</v>
      </c>
      <c r="AA190" s="31" t="str">
        <f t="shared" si="7"/>
        <v/>
      </c>
      <c r="AB190" s="31" t="str">
        <f t="shared" si="7"/>
        <v/>
      </c>
      <c r="AC190" s="31" t="str">
        <f t="shared" si="7"/>
        <v/>
      </c>
      <c r="AD190" s="31" t="str">
        <f t="shared" si="7"/>
        <v/>
      </c>
      <c r="AE190" s="31" t="str">
        <f t="shared" si="7"/>
        <v>*</v>
      </c>
      <c r="AF190" s="31" t="str">
        <f t="shared" si="7"/>
        <v>*</v>
      </c>
      <c r="AG190" s="31" t="str">
        <f t="shared" si="7"/>
        <v/>
      </c>
      <c r="AH190" s="31" t="str">
        <f t="shared" si="7"/>
        <v>*</v>
      </c>
      <c r="AI190" s="31" t="str">
        <f t="shared" si="7"/>
        <v/>
      </c>
      <c r="AJ190" s="31" t="str">
        <f t="shared" si="7"/>
        <v/>
      </c>
    </row>
    <row r="191" spans="1:36" s="23" customFormat="1" ht="15" hidden="1" customHeight="1" x14ac:dyDescent="0.2">
      <c r="A191" s="110" t="s">
        <v>14</v>
      </c>
      <c r="B191" s="32" t="s">
        <v>75</v>
      </c>
      <c r="C191" s="33" t="s">
        <v>2</v>
      </c>
      <c r="D191" s="22" t="str">
        <f t="shared" si="8"/>
        <v>*</v>
      </c>
      <c r="E191" s="22" t="str">
        <f t="shared" si="7"/>
        <v>*</v>
      </c>
      <c r="F191" s="22" t="str">
        <f t="shared" si="7"/>
        <v>*</v>
      </c>
      <c r="G191" s="22" t="str">
        <f t="shared" si="7"/>
        <v/>
      </c>
      <c r="H191" s="22" t="str">
        <f t="shared" si="7"/>
        <v>*</v>
      </c>
      <c r="I191" s="22" t="str">
        <f t="shared" si="7"/>
        <v>*</v>
      </c>
      <c r="J191" s="22" t="str">
        <f t="shared" si="7"/>
        <v/>
      </c>
      <c r="K191" s="22" t="str">
        <f t="shared" si="7"/>
        <v>*</v>
      </c>
      <c r="L191" s="22" t="str">
        <f t="shared" si="7"/>
        <v/>
      </c>
      <c r="M191" s="22" t="str">
        <f t="shared" si="7"/>
        <v>*</v>
      </c>
      <c r="N191" s="22" t="str">
        <f t="shared" si="7"/>
        <v>*</v>
      </c>
      <c r="O191" s="22" t="str">
        <f t="shared" ref="E191:AJ199" si="9">IF(O121=O47,"","*")</f>
        <v/>
      </c>
      <c r="P191" s="22" t="str">
        <f t="shared" si="9"/>
        <v>*</v>
      </c>
      <c r="Q191" s="22" t="str">
        <f t="shared" si="9"/>
        <v>*</v>
      </c>
      <c r="R191" s="22" t="str">
        <f t="shared" si="9"/>
        <v/>
      </c>
      <c r="S191" s="22" t="str">
        <f t="shared" si="9"/>
        <v>*</v>
      </c>
      <c r="T191" s="22" t="str">
        <f t="shared" si="9"/>
        <v>*</v>
      </c>
      <c r="U191" s="22" t="str">
        <f t="shared" si="9"/>
        <v/>
      </c>
      <c r="V191" s="22" t="str">
        <f t="shared" si="9"/>
        <v>*</v>
      </c>
      <c r="W191" s="22" t="str">
        <f t="shared" si="9"/>
        <v/>
      </c>
      <c r="X191" s="22" t="str">
        <f t="shared" si="9"/>
        <v/>
      </c>
      <c r="Y191" s="22" t="str">
        <f t="shared" si="9"/>
        <v>*</v>
      </c>
      <c r="Z191" s="22" t="str">
        <f t="shared" si="9"/>
        <v>*</v>
      </c>
      <c r="AA191" s="22" t="str">
        <f t="shared" si="9"/>
        <v/>
      </c>
      <c r="AB191" s="22" t="str">
        <f t="shared" si="9"/>
        <v/>
      </c>
      <c r="AC191" s="22" t="str">
        <f t="shared" si="9"/>
        <v/>
      </c>
      <c r="AD191" s="22" t="str">
        <f t="shared" si="9"/>
        <v/>
      </c>
      <c r="AE191" s="22" t="str">
        <f t="shared" si="9"/>
        <v>*</v>
      </c>
      <c r="AF191" s="22" t="str">
        <f t="shared" si="9"/>
        <v>*</v>
      </c>
      <c r="AG191" s="22" t="str">
        <f t="shared" si="9"/>
        <v/>
      </c>
      <c r="AH191" s="22" t="str">
        <f t="shared" si="9"/>
        <v>*</v>
      </c>
      <c r="AI191" s="22" t="str">
        <f t="shared" si="9"/>
        <v/>
      </c>
      <c r="AJ191" s="22" t="str">
        <f t="shared" si="9"/>
        <v/>
      </c>
    </row>
    <row r="192" spans="1:36" s="23" customFormat="1" ht="15" hidden="1" customHeight="1" x14ac:dyDescent="0.2">
      <c r="A192" s="111"/>
      <c r="B192" s="34" t="s">
        <v>76</v>
      </c>
      <c r="C192" s="35" t="s">
        <v>194</v>
      </c>
      <c r="D192" s="22" t="str">
        <f t="shared" si="8"/>
        <v>*</v>
      </c>
      <c r="E192" s="22" t="str">
        <f t="shared" si="9"/>
        <v>*</v>
      </c>
      <c r="F192" s="22" t="str">
        <f t="shared" si="9"/>
        <v>*</v>
      </c>
      <c r="G192" s="22" t="str">
        <f t="shared" si="9"/>
        <v/>
      </c>
      <c r="H192" s="22" t="str">
        <f t="shared" si="9"/>
        <v>*</v>
      </c>
      <c r="I192" s="22" t="str">
        <f t="shared" si="9"/>
        <v>*</v>
      </c>
      <c r="J192" s="22" t="str">
        <f t="shared" si="9"/>
        <v/>
      </c>
      <c r="K192" s="22" t="str">
        <f t="shared" si="9"/>
        <v/>
      </c>
      <c r="L192" s="22" t="str">
        <f t="shared" si="9"/>
        <v/>
      </c>
      <c r="M192" s="22" t="str">
        <f t="shared" si="9"/>
        <v/>
      </c>
      <c r="N192" s="22" t="str">
        <f t="shared" si="9"/>
        <v/>
      </c>
      <c r="O192" s="22" t="str">
        <f t="shared" si="9"/>
        <v/>
      </c>
      <c r="P192" s="22" t="str">
        <f t="shared" si="9"/>
        <v/>
      </c>
      <c r="Q192" s="22" t="str">
        <f t="shared" si="9"/>
        <v/>
      </c>
      <c r="R192" s="22" t="str">
        <f t="shared" si="9"/>
        <v/>
      </c>
      <c r="S192" s="22" t="str">
        <f t="shared" si="9"/>
        <v/>
      </c>
      <c r="T192" s="22" t="str">
        <f t="shared" si="9"/>
        <v/>
      </c>
      <c r="U192" s="22" t="str">
        <f t="shared" si="9"/>
        <v/>
      </c>
      <c r="V192" s="22" t="str">
        <f t="shared" si="9"/>
        <v/>
      </c>
      <c r="W192" s="22" t="str">
        <f t="shared" si="9"/>
        <v/>
      </c>
      <c r="X192" s="22" t="str">
        <f t="shared" si="9"/>
        <v/>
      </c>
      <c r="Y192" s="22" t="str">
        <f t="shared" si="9"/>
        <v/>
      </c>
      <c r="Z192" s="22" t="str">
        <f t="shared" si="9"/>
        <v/>
      </c>
      <c r="AA192" s="22" t="str">
        <f t="shared" si="9"/>
        <v/>
      </c>
      <c r="AB192" s="22" t="str">
        <f t="shared" si="9"/>
        <v/>
      </c>
      <c r="AC192" s="22" t="str">
        <f t="shared" si="9"/>
        <v/>
      </c>
      <c r="AD192" s="22" t="str">
        <f t="shared" si="9"/>
        <v/>
      </c>
      <c r="AE192" s="22" t="str">
        <f t="shared" si="9"/>
        <v/>
      </c>
      <c r="AF192" s="22" t="str">
        <f t="shared" si="9"/>
        <v/>
      </c>
      <c r="AG192" s="22" t="str">
        <f t="shared" si="9"/>
        <v/>
      </c>
      <c r="AH192" s="22" t="str">
        <f t="shared" si="9"/>
        <v/>
      </c>
      <c r="AI192" s="22" t="str">
        <f t="shared" si="9"/>
        <v/>
      </c>
      <c r="AJ192" s="22" t="str">
        <f t="shared" si="9"/>
        <v/>
      </c>
    </row>
    <row r="193" spans="1:36" s="23" customFormat="1" ht="15" hidden="1" customHeight="1" x14ac:dyDescent="0.2">
      <c r="A193" s="26" t="s">
        <v>64</v>
      </c>
      <c r="B193" s="29" t="s">
        <v>74</v>
      </c>
      <c r="C193" s="30" t="s">
        <v>0</v>
      </c>
      <c r="D193" s="31" t="str">
        <f t="shared" si="8"/>
        <v>*</v>
      </c>
      <c r="E193" s="31" t="str">
        <f t="shared" si="9"/>
        <v>*</v>
      </c>
      <c r="F193" s="31" t="str">
        <f t="shared" si="9"/>
        <v>*</v>
      </c>
      <c r="G193" s="31" t="str">
        <f t="shared" si="9"/>
        <v/>
      </c>
      <c r="H193" s="31" t="str">
        <f t="shared" si="9"/>
        <v>*</v>
      </c>
      <c r="I193" s="31" t="str">
        <f t="shared" si="9"/>
        <v>*</v>
      </c>
      <c r="J193" s="31" t="str">
        <f t="shared" si="9"/>
        <v>*</v>
      </c>
      <c r="K193" s="31" t="str">
        <f t="shared" si="9"/>
        <v>*</v>
      </c>
      <c r="L193" s="31" t="str">
        <f t="shared" si="9"/>
        <v/>
      </c>
      <c r="M193" s="31" t="str">
        <f t="shared" si="9"/>
        <v/>
      </c>
      <c r="N193" s="31" t="str">
        <f t="shared" si="9"/>
        <v>*</v>
      </c>
      <c r="O193" s="31" t="str">
        <f t="shared" si="9"/>
        <v/>
      </c>
      <c r="P193" s="31" t="str">
        <f t="shared" si="9"/>
        <v>*</v>
      </c>
      <c r="Q193" s="31" t="str">
        <f t="shared" si="9"/>
        <v/>
      </c>
      <c r="R193" s="31" t="str">
        <f t="shared" si="9"/>
        <v/>
      </c>
      <c r="S193" s="31" t="str">
        <f t="shared" si="9"/>
        <v>*</v>
      </c>
      <c r="T193" s="31" t="str">
        <f t="shared" si="9"/>
        <v>*</v>
      </c>
      <c r="U193" s="31" t="str">
        <f t="shared" si="9"/>
        <v/>
      </c>
      <c r="V193" s="31" t="str">
        <f t="shared" si="9"/>
        <v/>
      </c>
      <c r="W193" s="31" t="str">
        <f t="shared" si="9"/>
        <v>*</v>
      </c>
      <c r="X193" s="31" t="str">
        <f t="shared" si="9"/>
        <v/>
      </c>
      <c r="Y193" s="31" t="str">
        <f t="shared" si="9"/>
        <v>*</v>
      </c>
      <c r="Z193" s="31" t="str">
        <f t="shared" si="9"/>
        <v/>
      </c>
      <c r="AA193" s="31" t="str">
        <f t="shared" si="9"/>
        <v/>
      </c>
      <c r="AB193" s="31" t="str">
        <f t="shared" si="9"/>
        <v>*</v>
      </c>
      <c r="AC193" s="31" t="str">
        <f t="shared" si="9"/>
        <v/>
      </c>
      <c r="AD193" s="31" t="str">
        <f t="shared" si="9"/>
        <v/>
      </c>
      <c r="AE193" s="31" t="str">
        <f t="shared" si="9"/>
        <v>*</v>
      </c>
      <c r="AF193" s="31" t="str">
        <f t="shared" si="9"/>
        <v>*</v>
      </c>
      <c r="AG193" s="31" t="str">
        <f t="shared" si="9"/>
        <v/>
      </c>
      <c r="AH193" s="31" t="str">
        <f t="shared" si="9"/>
        <v>*</v>
      </c>
      <c r="AI193" s="31" t="str">
        <f t="shared" si="9"/>
        <v/>
      </c>
      <c r="AJ193" s="31" t="str">
        <f t="shared" si="9"/>
        <v/>
      </c>
    </row>
    <row r="194" spans="1:36" s="23" customFormat="1" ht="15" hidden="1" customHeight="1" x14ac:dyDescent="0.2">
      <c r="A194" s="110" t="s">
        <v>15</v>
      </c>
      <c r="B194" s="32" t="s">
        <v>75</v>
      </c>
      <c r="C194" s="33" t="s">
        <v>2</v>
      </c>
      <c r="D194" s="22" t="str">
        <f t="shared" si="8"/>
        <v>*</v>
      </c>
      <c r="E194" s="22" t="str">
        <f t="shared" si="9"/>
        <v>*</v>
      </c>
      <c r="F194" s="22" t="str">
        <f t="shared" si="9"/>
        <v>*</v>
      </c>
      <c r="G194" s="22" t="str">
        <f t="shared" si="9"/>
        <v/>
      </c>
      <c r="H194" s="22" t="str">
        <f t="shared" si="9"/>
        <v>*</v>
      </c>
      <c r="I194" s="22" t="str">
        <f t="shared" si="9"/>
        <v>*</v>
      </c>
      <c r="J194" s="22" t="str">
        <f t="shared" si="9"/>
        <v>*</v>
      </c>
      <c r="K194" s="22" t="str">
        <f t="shared" si="9"/>
        <v>*</v>
      </c>
      <c r="L194" s="22" t="str">
        <f t="shared" si="9"/>
        <v/>
      </c>
      <c r="M194" s="22" t="str">
        <f t="shared" si="9"/>
        <v/>
      </c>
      <c r="N194" s="22" t="str">
        <f t="shared" si="9"/>
        <v>*</v>
      </c>
      <c r="O194" s="22" t="str">
        <f t="shared" si="9"/>
        <v/>
      </c>
      <c r="P194" s="22" t="str">
        <f t="shared" si="9"/>
        <v>*</v>
      </c>
      <c r="Q194" s="22" t="str">
        <f t="shared" si="9"/>
        <v>*</v>
      </c>
      <c r="R194" s="22" t="str">
        <f t="shared" si="9"/>
        <v/>
      </c>
      <c r="S194" s="22" t="str">
        <f t="shared" si="9"/>
        <v>*</v>
      </c>
      <c r="T194" s="22" t="str">
        <f t="shared" si="9"/>
        <v/>
      </c>
      <c r="U194" s="22" t="str">
        <f t="shared" si="9"/>
        <v/>
      </c>
      <c r="V194" s="22" t="str">
        <f t="shared" si="9"/>
        <v/>
      </c>
      <c r="W194" s="22" t="str">
        <f t="shared" si="9"/>
        <v>*</v>
      </c>
      <c r="X194" s="22" t="str">
        <f t="shared" si="9"/>
        <v/>
      </c>
      <c r="Y194" s="22" t="str">
        <f t="shared" si="9"/>
        <v>*</v>
      </c>
      <c r="Z194" s="22" t="str">
        <f t="shared" si="9"/>
        <v/>
      </c>
      <c r="AA194" s="22" t="str">
        <f t="shared" si="9"/>
        <v/>
      </c>
      <c r="AB194" s="22" t="str">
        <f t="shared" si="9"/>
        <v>*</v>
      </c>
      <c r="AC194" s="22" t="str">
        <f t="shared" si="9"/>
        <v/>
      </c>
      <c r="AD194" s="22" t="str">
        <f t="shared" si="9"/>
        <v/>
      </c>
      <c r="AE194" s="22" t="str">
        <f t="shared" si="9"/>
        <v>*</v>
      </c>
      <c r="AF194" s="22" t="str">
        <f t="shared" si="9"/>
        <v>*</v>
      </c>
      <c r="AG194" s="22" t="str">
        <f t="shared" si="9"/>
        <v/>
      </c>
      <c r="AH194" s="22" t="str">
        <f t="shared" si="9"/>
        <v>*</v>
      </c>
      <c r="AI194" s="22" t="str">
        <f t="shared" si="9"/>
        <v/>
      </c>
      <c r="AJ194" s="22" t="str">
        <f t="shared" si="9"/>
        <v/>
      </c>
    </row>
    <row r="195" spans="1:36" s="23" customFormat="1" ht="15" hidden="1" customHeight="1" x14ac:dyDescent="0.2">
      <c r="A195" s="111"/>
      <c r="B195" s="34" t="s">
        <v>76</v>
      </c>
      <c r="C195" s="35" t="s">
        <v>194</v>
      </c>
      <c r="D195" s="22" t="str">
        <f t="shared" si="8"/>
        <v>*</v>
      </c>
      <c r="E195" s="22" t="str">
        <f t="shared" si="9"/>
        <v>*</v>
      </c>
      <c r="F195" s="22" t="str">
        <f t="shared" si="9"/>
        <v>*</v>
      </c>
      <c r="G195" s="22" t="str">
        <f t="shared" si="9"/>
        <v/>
      </c>
      <c r="H195" s="22" t="str">
        <f t="shared" si="9"/>
        <v>*</v>
      </c>
      <c r="I195" s="22" t="str">
        <f t="shared" si="9"/>
        <v>*</v>
      </c>
      <c r="J195" s="22" t="str">
        <f t="shared" si="9"/>
        <v/>
      </c>
      <c r="K195" s="22" t="str">
        <f t="shared" si="9"/>
        <v/>
      </c>
      <c r="L195" s="22" t="str">
        <f t="shared" si="9"/>
        <v/>
      </c>
      <c r="M195" s="22" t="str">
        <f t="shared" si="9"/>
        <v/>
      </c>
      <c r="N195" s="22" t="str">
        <f t="shared" si="9"/>
        <v/>
      </c>
      <c r="O195" s="22" t="str">
        <f t="shared" si="9"/>
        <v/>
      </c>
      <c r="P195" s="22" t="str">
        <f t="shared" si="9"/>
        <v>*</v>
      </c>
      <c r="Q195" s="22" t="str">
        <f t="shared" si="9"/>
        <v>*</v>
      </c>
      <c r="R195" s="22" t="str">
        <f t="shared" si="9"/>
        <v/>
      </c>
      <c r="S195" s="22" t="str">
        <f t="shared" si="9"/>
        <v>*</v>
      </c>
      <c r="T195" s="22" t="str">
        <f t="shared" si="9"/>
        <v>*</v>
      </c>
      <c r="U195" s="22" t="str">
        <f t="shared" si="9"/>
        <v/>
      </c>
      <c r="V195" s="22" t="str">
        <f t="shared" si="9"/>
        <v/>
      </c>
      <c r="W195" s="22" t="str">
        <f t="shared" si="9"/>
        <v/>
      </c>
      <c r="X195" s="22" t="str">
        <f t="shared" si="9"/>
        <v/>
      </c>
      <c r="Y195" s="22" t="str">
        <f t="shared" si="9"/>
        <v>*</v>
      </c>
      <c r="Z195" s="22" t="str">
        <f t="shared" si="9"/>
        <v/>
      </c>
      <c r="AA195" s="22" t="str">
        <f t="shared" si="9"/>
        <v/>
      </c>
      <c r="AB195" s="22" t="str">
        <f t="shared" si="9"/>
        <v/>
      </c>
      <c r="AC195" s="22" t="str">
        <f t="shared" si="9"/>
        <v/>
      </c>
      <c r="AD195" s="22" t="str">
        <f t="shared" si="9"/>
        <v/>
      </c>
      <c r="AE195" s="22" t="str">
        <f t="shared" si="9"/>
        <v>*</v>
      </c>
      <c r="AF195" s="22" t="str">
        <f t="shared" si="9"/>
        <v>*</v>
      </c>
      <c r="AG195" s="22" t="str">
        <f t="shared" si="9"/>
        <v/>
      </c>
      <c r="AH195" s="22" t="str">
        <f t="shared" si="9"/>
        <v/>
      </c>
      <c r="AI195" s="22" t="str">
        <f t="shared" si="9"/>
        <v/>
      </c>
      <c r="AJ195" s="22" t="str">
        <f t="shared" si="9"/>
        <v/>
      </c>
    </row>
    <row r="196" spans="1:36" s="23" customFormat="1" ht="15" hidden="1" customHeight="1" x14ac:dyDescent="0.2">
      <c r="A196" s="26" t="s">
        <v>65</v>
      </c>
      <c r="B196" s="29" t="s">
        <v>74</v>
      </c>
      <c r="C196" s="30" t="s">
        <v>0</v>
      </c>
      <c r="D196" s="31" t="str">
        <f t="shared" si="8"/>
        <v>*</v>
      </c>
      <c r="E196" s="31" t="str">
        <f t="shared" si="9"/>
        <v>*</v>
      </c>
      <c r="F196" s="31" t="str">
        <f t="shared" si="9"/>
        <v>*</v>
      </c>
      <c r="G196" s="31" t="str">
        <f t="shared" si="9"/>
        <v>*</v>
      </c>
      <c r="H196" s="31" t="str">
        <f t="shared" si="9"/>
        <v>*</v>
      </c>
      <c r="I196" s="31" t="str">
        <f t="shared" si="9"/>
        <v>*</v>
      </c>
      <c r="J196" s="31" t="str">
        <f t="shared" si="9"/>
        <v>*</v>
      </c>
      <c r="K196" s="31" t="str">
        <f t="shared" si="9"/>
        <v>*</v>
      </c>
      <c r="L196" s="31" t="str">
        <f t="shared" si="9"/>
        <v/>
      </c>
      <c r="M196" s="31" t="str">
        <f t="shared" si="9"/>
        <v>*</v>
      </c>
      <c r="N196" s="31" t="str">
        <f t="shared" si="9"/>
        <v/>
      </c>
      <c r="O196" s="31" t="str">
        <f t="shared" si="9"/>
        <v/>
      </c>
      <c r="P196" s="31" t="str">
        <f t="shared" si="9"/>
        <v/>
      </c>
      <c r="Q196" s="31" t="str">
        <f t="shared" si="9"/>
        <v>*</v>
      </c>
      <c r="R196" s="31" t="str">
        <f t="shared" si="9"/>
        <v/>
      </c>
      <c r="S196" s="31" t="str">
        <f t="shared" si="9"/>
        <v>*</v>
      </c>
      <c r="T196" s="31" t="str">
        <f t="shared" si="9"/>
        <v/>
      </c>
      <c r="U196" s="31" t="str">
        <f t="shared" si="9"/>
        <v/>
      </c>
      <c r="V196" s="31" t="str">
        <f t="shared" si="9"/>
        <v>*</v>
      </c>
      <c r="W196" s="31" t="str">
        <f t="shared" si="9"/>
        <v/>
      </c>
      <c r="X196" s="31" t="str">
        <f t="shared" si="9"/>
        <v/>
      </c>
      <c r="Y196" s="31" t="str">
        <f t="shared" si="9"/>
        <v>*</v>
      </c>
      <c r="Z196" s="31" t="str">
        <f t="shared" si="9"/>
        <v/>
      </c>
      <c r="AA196" s="31" t="str">
        <f t="shared" si="9"/>
        <v/>
      </c>
      <c r="AB196" s="31" t="str">
        <f t="shared" si="9"/>
        <v/>
      </c>
      <c r="AC196" s="31" t="str">
        <f t="shared" si="9"/>
        <v/>
      </c>
      <c r="AD196" s="31" t="str">
        <f t="shared" si="9"/>
        <v/>
      </c>
      <c r="AE196" s="31" t="str">
        <f t="shared" si="9"/>
        <v>*</v>
      </c>
      <c r="AF196" s="31" t="str">
        <f t="shared" si="9"/>
        <v>*</v>
      </c>
      <c r="AG196" s="31" t="str">
        <f t="shared" si="9"/>
        <v/>
      </c>
      <c r="AH196" s="31" t="str">
        <f t="shared" si="9"/>
        <v>*</v>
      </c>
      <c r="AI196" s="31" t="str">
        <f t="shared" si="9"/>
        <v>*</v>
      </c>
      <c r="AJ196" s="31" t="str">
        <f t="shared" si="9"/>
        <v>*</v>
      </c>
    </row>
    <row r="197" spans="1:36" s="23" customFormat="1" ht="15" hidden="1" customHeight="1" x14ac:dyDescent="0.2">
      <c r="A197" s="110" t="s">
        <v>16</v>
      </c>
      <c r="B197" s="32" t="s">
        <v>75</v>
      </c>
      <c r="C197" s="33" t="s">
        <v>2</v>
      </c>
      <c r="D197" s="22" t="str">
        <f t="shared" si="8"/>
        <v>*</v>
      </c>
      <c r="E197" s="22" t="str">
        <f t="shared" si="9"/>
        <v>*</v>
      </c>
      <c r="F197" s="22" t="str">
        <f t="shared" si="9"/>
        <v>*</v>
      </c>
      <c r="G197" s="22" t="str">
        <f t="shared" si="9"/>
        <v/>
      </c>
      <c r="H197" s="22" t="str">
        <f t="shared" si="9"/>
        <v>*</v>
      </c>
      <c r="I197" s="22" t="str">
        <f t="shared" si="9"/>
        <v>*</v>
      </c>
      <c r="J197" s="22" t="str">
        <f t="shared" si="9"/>
        <v>*</v>
      </c>
      <c r="K197" s="22" t="str">
        <f t="shared" si="9"/>
        <v/>
      </c>
      <c r="L197" s="22" t="str">
        <f t="shared" si="9"/>
        <v/>
      </c>
      <c r="M197" s="22" t="str">
        <f t="shared" si="9"/>
        <v>*</v>
      </c>
      <c r="N197" s="22" t="str">
        <f t="shared" si="9"/>
        <v/>
      </c>
      <c r="O197" s="22" t="str">
        <f t="shared" si="9"/>
        <v/>
      </c>
      <c r="P197" s="22" t="str">
        <f t="shared" si="9"/>
        <v>*</v>
      </c>
      <c r="Q197" s="22" t="str">
        <f t="shared" si="9"/>
        <v>*</v>
      </c>
      <c r="R197" s="22" t="str">
        <f t="shared" si="9"/>
        <v/>
      </c>
      <c r="S197" s="22" t="str">
        <f t="shared" si="9"/>
        <v>*</v>
      </c>
      <c r="T197" s="22" t="str">
        <f t="shared" si="9"/>
        <v/>
      </c>
      <c r="U197" s="22" t="str">
        <f t="shared" si="9"/>
        <v/>
      </c>
      <c r="V197" s="22" t="str">
        <f t="shared" si="9"/>
        <v>*</v>
      </c>
      <c r="W197" s="22" t="str">
        <f t="shared" si="9"/>
        <v/>
      </c>
      <c r="X197" s="22" t="str">
        <f t="shared" si="9"/>
        <v/>
      </c>
      <c r="Y197" s="22" t="str">
        <f t="shared" si="9"/>
        <v/>
      </c>
      <c r="Z197" s="22" t="str">
        <f t="shared" si="9"/>
        <v/>
      </c>
      <c r="AA197" s="22" t="str">
        <f t="shared" si="9"/>
        <v/>
      </c>
      <c r="AB197" s="22" t="str">
        <f t="shared" si="9"/>
        <v/>
      </c>
      <c r="AC197" s="22" t="str">
        <f t="shared" si="9"/>
        <v/>
      </c>
      <c r="AD197" s="22" t="str">
        <f t="shared" si="9"/>
        <v/>
      </c>
      <c r="AE197" s="22" t="str">
        <f t="shared" si="9"/>
        <v>*</v>
      </c>
      <c r="AF197" s="22" t="str">
        <f t="shared" si="9"/>
        <v>*</v>
      </c>
      <c r="AG197" s="22" t="str">
        <f t="shared" si="9"/>
        <v/>
      </c>
      <c r="AH197" s="22" t="str">
        <f t="shared" si="9"/>
        <v>*</v>
      </c>
      <c r="AI197" s="22" t="str">
        <f t="shared" si="9"/>
        <v/>
      </c>
      <c r="AJ197" s="22" t="str">
        <f t="shared" si="9"/>
        <v/>
      </c>
    </row>
    <row r="198" spans="1:36" s="23" customFormat="1" ht="15" hidden="1" customHeight="1" x14ac:dyDescent="0.2">
      <c r="A198" s="111"/>
      <c r="B198" s="34" t="s">
        <v>76</v>
      </c>
      <c r="C198" s="35" t="s">
        <v>194</v>
      </c>
      <c r="D198" s="22" t="str">
        <f t="shared" si="8"/>
        <v>*</v>
      </c>
      <c r="E198" s="22" t="str">
        <f t="shared" si="9"/>
        <v>*</v>
      </c>
      <c r="F198" s="22" t="str">
        <f t="shared" si="9"/>
        <v>*</v>
      </c>
      <c r="G198" s="22" t="str">
        <f t="shared" si="9"/>
        <v>*</v>
      </c>
      <c r="H198" s="22" t="str">
        <f t="shared" si="9"/>
        <v>*</v>
      </c>
      <c r="I198" s="22" t="str">
        <f t="shared" si="9"/>
        <v>*</v>
      </c>
      <c r="J198" s="22" t="str">
        <f t="shared" si="9"/>
        <v/>
      </c>
      <c r="K198" s="22" t="str">
        <f t="shared" si="9"/>
        <v>*</v>
      </c>
      <c r="L198" s="22" t="str">
        <f t="shared" si="9"/>
        <v/>
      </c>
      <c r="M198" s="22" t="str">
        <f t="shared" si="9"/>
        <v>*</v>
      </c>
      <c r="N198" s="22" t="str">
        <f t="shared" si="9"/>
        <v/>
      </c>
      <c r="O198" s="22" t="str">
        <f t="shared" si="9"/>
        <v/>
      </c>
      <c r="P198" s="22" t="str">
        <f t="shared" si="9"/>
        <v>*</v>
      </c>
      <c r="Q198" s="22" t="str">
        <f t="shared" si="9"/>
        <v/>
      </c>
      <c r="R198" s="22" t="str">
        <f t="shared" si="9"/>
        <v/>
      </c>
      <c r="S198" s="22" t="str">
        <f t="shared" si="9"/>
        <v>*</v>
      </c>
      <c r="T198" s="22" t="str">
        <f t="shared" si="9"/>
        <v/>
      </c>
      <c r="U198" s="22" t="str">
        <f t="shared" si="9"/>
        <v/>
      </c>
      <c r="V198" s="22" t="str">
        <f t="shared" si="9"/>
        <v/>
      </c>
      <c r="W198" s="22" t="str">
        <f t="shared" si="9"/>
        <v/>
      </c>
      <c r="X198" s="22" t="str">
        <f t="shared" si="9"/>
        <v/>
      </c>
      <c r="Y198" s="22" t="str">
        <f t="shared" si="9"/>
        <v>*</v>
      </c>
      <c r="Z198" s="22" t="str">
        <f t="shared" si="9"/>
        <v/>
      </c>
      <c r="AA198" s="22" t="str">
        <f t="shared" si="9"/>
        <v/>
      </c>
      <c r="AB198" s="22" t="str">
        <f t="shared" si="9"/>
        <v/>
      </c>
      <c r="AC198" s="22" t="str">
        <f t="shared" si="9"/>
        <v/>
      </c>
      <c r="AD198" s="22" t="str">
        <f t="shared" si="9"/>
        <v/>
      </c>
      <c r="AE198" s="22" t="str">
        <f t="shared" si="9"/>
        <v>*</v>
      </c>
      <c r="AF198" s="22" t="str">
        <f t="shared" si="9"/>
        <v/>
      </c>
      <c r="AG198" s="22" t="str">
        <f t="shared" si="9"/>
        <v/>
      </c>
      <c r="AH198" s="22" t="str">
        <f t="shared" si="9"/>
        <v>*</v>
      </c>
      <c r="AI198" s="22" t="str">
        <f t="shared" si="9"/>
        <v>*</v>
      </c>
      <c r="AJ198" s="22" t="str">
        <f t="shared" si="9"/>
        <v>*</v>
      </c>
    </row>
    <row r="199" spans="1:36" s="23" customFormat="1" ht="15" hidden="1" customHeight="1" x14ac:dyDescent="0.2">
      <c r="A199" s="26" t="s">
        <v>66</v>
      </c>
      <c r="B199" s="29" t="s">
        <v>74</v>
      </c>
      <c r="C199" s="30" t="s">
        <v>0</v>
      </c>
      <c r="D199" s="31" t="str">
        <f t="shared" si="8"/>
        <v>*</v>
      </c>
      <c r="E199" s="31" t="str">
        <f t="shared" si="9"/>
        <v>*</v>
      </c>
      <c r="F199" s="31" t="str">
        <f t="shared" si="9"/>
        <v>*</v>
      </c>
      <c r="G199" s="31" t="str">
        <f t="shared" si="9"/>
        <v/>
      </c>
      <c r="H199" s="31" t="str">
        <f t="shared" si="9"/>
        <v>*</v>
      </c>
      <c r="I199" s="31" t="str">
        <f t="shared" si="9"/>
        <v>*</v>
      </c>
      <c r="J199" s="31" t="str">
        <f t="shared" si="9"/>
        <v>*</v>
      </c>
      <c r="K199" s="31" t="str">
        <f t="shared" si="9"/>
        <v/>
      </c>
      <c r="L199" s="31" t="str">
        <f t="shared" si="9"/>
        <v/>
      </c>
      <c r="M199" s="31" t="str">
        <f t="shared" si="9"/>
        <v/>
      </c>
      <c r="N199" s="31" t="str">
        <f t="shared" ref="E199:AJ207" si="10">IF(N129=N55,"","*")</f>
        <v>*</v>
      </c>
      <c r="O199" s="31" t="str">
        <f t="shared" si="10"/>
        <v/>
      </c>
      <c r="P199" s="31" t="str">
        <f t="shared" si="10"/>
        <v>*</v>
      </c>
      <c r="Q199" s="31" t="str">
        <f t="shared" si="10"/>
        <v>*</v>
      </c>
      <c r="R199" s="31" t="str">
        <f t="shared" si="10"/>
        <v/>
      </c>
      <c r="S199" s="31" t="str">
        <f t="shared" si="10"/>
        <v>*</v>
      </c>
      <c r="T199" s="31" t="str">
        <f t="shared" si="10"/>
        <v>*</v>
      </c>
      <c r="U199" s="31" t="str">
        <f t="shared" si="10"/>
        <v/>
      </c>
      <c r="V199" s="31" t="str">
        <f t="shared" si="10"/>
        <v/>
      </c>
      <c r="W199" s="31" t="str">
        <f t="shared" si="10"/>
        <v/>
      </c>
      <c r="X199" s="31" t="str">
        <f t="shared" si="10"/>
        <v/>
      </c>
      <c r="Y199" s="31" t="str">
        <f t="shared" si="10"/>
        <v/>
      </c>
      <c r="Z199" s="31" t="str">
        <f t="shared" si="10"/>
        <v/>
      </c>
      <c r="AA199" s="31" t="str">
        <f t="shared" si="10"/>
        <v/>
      </c>
      <c r="AB199" s="31" t="str">
        <f t="shared" si="10"/>
        <v/>
      </c>
      <c r="AC199" s="31" t="str">
        <f t="shared" si="10"/>
        <v/>
      </c>
      <c r="AD199" s="31" t="str">
        <f t="shared" si="10"/>
        <v/>
      </c>
      <c r="AE199" s="31" t="str">
        <f t="shared" si="10"/>
        <v/>
      </c>
      <c r="AF199" s="31" t="str">
        <f t="shared" si="10"/>
        <v>*</v>
      </c>
      <c r="AG199" s="31" t="str">
        <f t="shared" si="10"/>
        <v/>
      </c>
      <c r="AH199" s="31" t="str">
        <f t="shared" si="10"/>
        <v>*</v>
      </c>
      <c r="AI199" s="31" t="str">
        <f t="shared" si="10"/>
        <v/>
      </c>
      <c r="AJ199" s="31" t="str">
        <f t="shared" si="10"/>
        <v/>
      </c>
    </row>
    <row r="200" spans="1:36" s="23" customFormat="1" ht="15" hidden="1" customHeight="1" x14ac:dyDescent="0.2">
      <c r="A200" s="110" t="s">
        <v>17</v>
      </c>
      <c r="B200" s="32" t="s">
        <v>75</v>
      </c>
      <c r="C200" s="33" t="s">
        <v>2</v>
      </c>
      <c r="D200" s="22" t="str">
        <f t="shared" ref="D200:D215" si="11">IF(D130=D56,"","*")</f>
        <v>*</v>
      </c>
      <c r="E200" s="22" t="str">
        <f t="shared" si="10"/>
        <v>*</v>
      </c>
      <c r="F200" s="22" t="str">
        <f t="shared" si="10"/>
        <v>*</v>
      </c>
      <c r="G200" s="22" t="str">
        <f t="shared" si="10"/>
        <v/>
      </c>
      <c r="H200" s="22" t="str">
        <f t="shared" si="10"/>
        <v>*</v>
      </c>
      <c r="I200" s="22" t="str">
        <f t="shared" si="10"/>
        <v>*</v>
      </c>
      <c r="J200" s="22" t="str">
        <f t="shared" si="10"/>
        <v/>
      </c>
      <c r="K200" s="22" t="str">
        <f t="shared" si="10"/>
        <v/>
      </c>
      <c r="L200" s="22" t="str">
        <f t="shared" si="10"/>
        <v/>
      </c>
      <c r="M200" s="22" t="str">
        <f t="shared" si="10"/>
        <v/>
      </c>
      <c r="N200" s="22" t="str">
        <f t="shared" si="10"/>
        <v>*</v>
      </c>
      <c r="O200" s="22" t="str">
        <f t="shared" si="10"/>
        <v/>
      </c>
      <c r="P200" s="22" t="str">
        <f t="shared" si="10"/>
        <v>*</v>
      </c>
      <c r="Q200" s="22" t="str">
        <f t="shared" si="10"/>
        <v/>
      </c>
      <c r="R200" s="22" t="str">
        <f t="shared" si="10"/>
        <v/>
      </c>
      <c r="S200" s="22" t="str">
        <f t="shared" si="10"/>
        <v>*</v>
      </c>
      <c r="T200" s="22" t="str">
        <f t="shared" si="10"/>
        <v/>
      </c>
      <c r="U200" s="22" t="str">
        <f t="shared" si="10"/>
        <v/>
      </c>
      <c r="V200" s="22" t="str">
        <f t="shared" si="10"/>
        <v/>
      </c>
      <c r="W200" s="22" t="str">
        <f t="shared" si="10"/>
        <v/>
      </c>
      <c r="X200" s="22" t="str">
        <f t="shared" si="10"/>
        <v/>
      </c>
      <c r="Y200" s="22" t="str">
        <f t="shared" si="10"/>
        <v>*</v>
      </c>
      <c r="Z200" s="22" t="str">
        <f t="shared" si="10"/>
        <v/>
      </c>
      <c r="AA200" s="22" t="str">
        <f t="shared" si="10"/>
        <v/>
      </c>
      <c r="AB200" s="22" t="str">
        <f t="shared" si="10"/>
        <v/>
      </c>
      <c r="AC200" s="22" t="str">
        <f t="shared" si="10"/>
        <v/>
      </c>
      <c r="AD200" s="22" t="str">
        <f t="shared" si="10"/>
        <v/>
      </c>
      <c r="AE200" s="22" t="str">
        <f t="shared" si="10"/>
        <v>*</v>
      </c>
      <c r="AF200" s="22" t="str">
        <f t="shared" si="10"/>
        <v>*</v>
      </c>
      <c r="AG200" s="22" t="str">
        <f t="shared" si="10"/>
        <v/>
      </c>
      <c r="AH200" s="22" t="str">
        <f t="shared" si="10"/>
        <v>*</v>
      </c>
      <c r="AI200" s="22" t="str">
        <f t="shared" si="10"/>
        <v/>
      </c>
      <c r="AJ200" s="22" t="str">
        <f t="shared" si="10"/>
        <v/>
      </c>
    </row>
    <row r="201" spans="1:36" s="23" customFormat="1" ht="15" hidden="1" customHeight="1" x14ac:dyDescent="0.2">
      <c r="A201" s="111"/>
      <c r="B201" s="34" t="s">
        <v>76</v>
      </c>
      <c r="C201" s="35" t="s">
        <v>194</v>
      </c>
      <c r="D201" s="22" t="str">
        <f t="shared" si="11"/>
        <v>*</v>
      </c>
      <c r="E201" s="22" t="str">
        <f t="shared" si="10"/>
        <v>*</v>
      </c>
      <c r="F201" s="22" t="str">
        <f t="shared" si="10"/>
        <v>*</v>
      </c>
      <c r="G201" s="22" t="str">
        <f t="shared" si="10"/>
        <v/>
      </c>
      <c r="H201" s="22" t="str">
        <f t="shared" si="10"/>
        <v>*</v>
      </c>
      <c r="I201" s="22" t="str">
        <f t="shared" si="10"/>
        <v>*</v>
      </c>
      <c r="J201" s="22" t="str">
        <f t="shared" si="10"/>
        <v>*</v>
      </c>
      <c r="K201" s="22" t="str">
        <f t="shared" si="10"/>
        <v/>
      </c>
      <c r="L201" s="22" t="str">
        <f t="shared" si="10"/>
        <v/>
      </c>
      <c r="M201" s="22" t="str">
        <f t="shared" si="10"/>
        <v/>
      </c>
      <c r="N201" s="22" t="str">
        <f t="shared" si="10"/>
        <v/>
      </c>
      <c r="O201" s="22" t="str">
        <f t="shared" si="10"/>
        <v/>
      </c>
      <c r="P201" s="22" t="str">
        <f t="shared" si="10"/>
        <v>*</v>
      </c>
      <c r="Q201" s="22" t="str">
        <f t="shared" si="10"/>
        <v>*</v>
      </c>
      <c r="R201" s="22" t="str">
        <f t="shared" si="10"/>
        <v/>
      </c>
      <c r="S201" s="22" t="str">
        <f t="shared" si="10"/>
        <v>*</v>
      </c>
      <c r="T201" s="22" t="str">
        <f t="shared" si="10"/>
        <v>*</v>
      </c>
      <c r="U201" s="22" t="str">
        <f t="shared" si="10"/>
        <v/>
      </c>
      <c r="V201" s="22" t="str">
        <f t="shared" si="10"/>
        <v/>
      </c>
      <c r="W201" s="22" t="str">
        <f t="shared" si="10"/>
        <v/>
      </c>
      <c r="X201" s="22" t="str">
        <f t="shared" si="10"/>
        <v/>
      </c>
      <c r="Y201" s="22" t="str">
        <f t="shared" si="10"/>
        <v>*</v>
      </c>
      <c r="Z201" s="22" t="str">
        <f t="shared" si="10"/>
        <v/>
      </c>
      <c r="AA201" s="22" t="str">
        <f t="shared" si="10"/>
        <v/>
      </c>
      <c r="AB201" s="22" t="str">
        <f t="shared" si="10"/>
        <v/>
      </c>
      <c r="AC201" s="22" t="str">
        <f t="shared" si="10"/>
        <v/>
      </c>
      <c r="AD201" s="22" t="str">
        <f t="shared" si="10"/>
        <v/>
      </c>
      <c r="AE201" s="22" t="str">
        <f t="shared" si="10"/>
        <v>*</v>
      </c>
      <c r="AF201" s="22" t="str">
        <f t="shared" si="10"/>
        <v>*</v>
      </c>
      <c r="AG201" s="22" t="str">
        <f t="shared" si="10"/>
        <v/>
      </c>
      <c r="AH201" s="22" t="str">
        <f t="shared" si="10"/>
        <v>*</v>
      </c>
      <c r="AI201" s="22" t="str">
        <f t="shared" si="10"/>
        <v/>
      </c>
      <c r="AJ201" s="22" t="str">
        <f t="shared" si="10"/>
        <v/>
      </c>
    </row>
    <row r="202" spans="1:36" s="23" customFormat="1" ht="15" hidden="1" customHeight="1" x14ac:dyDescent="0.2">
      <c r="A202" s="26" t="s">
        <v>67</v>
      </c>
      <c r="B202" s="29" t="s">
        <v>74</v>
      </c>
      <c r="C202" s="30" t="s">
        <v>0</v>
      </c>
      <c r="D202" s="31" t="str">
        <f t="shared" si="11"/>
        <v>*</v>
      </c>
      <c r="E202" s="31" t="str">
        <f t="shared" si="10"/>
        <v>*</v>
      </c>
      <c r="F202" s="31" t="str">
        <f t="shared" si="10"/>
        <v>*</v>
      </c>
      <c r="G202" s="31" t="str">
        <f t="shared" si="10"/>
        <v>*</v>
      </c>
      <c r="H202" s="31" t="str">
        <f t="shared" si="10"/>
        <v/>
      </c>
      <c r="I202" s="31" t="str">
        <f t="shared" si="10"/>
        <v>*</v>
      </c>
      <c r="J202" s="31" t="str">
        <f t="shared" si="10"/>
        <v>*</v>
      </c>
      <c r="K202" s="31" t="str">
        <f t="shared" si="10"/>
        <v/>
      </c>
      <c r="L202" s="31" t="str">
        <f t="shared" si="10"/>
        <v/>
      </c>
      <c r="M202" s="31" t="str">
        <f t="shared" si="10"/>
        <v/>
      </c>
      <c r="N202" s="31" t="str">
        <f t="shared" si="10"/>
        <v>*</v>
      </c>
      <c r="O202" s="31" t="str">
        <f t="shared" si="10"/>
        <v/>
      </c>
      <c r="P202" s="31" t="str">
        <f t="shared" si="10"/>
        <v>*</v>
      </c>
      <c r="Q202" s="31" t="str">
        <f t="shared" si="10"/>
        <v/>
      </c>
      <c r="R202" s="31" t="str">
        <f t="shared" si="10"/>
        <v/>
      </c>
      <c r="S202" s="31" t="str">
        <f t="shared" si="10"/>
        <v>*</v>
      </c>
      <c r="T202" s="31" t="str">
        <f t="shared" si="10"/>
        <v/>
      </c>
      <c r="U202" s="31" t="str">
        <f t="shared" si="10"/>
        <v/>
      </c>
      <c r="V202" s="31" t="str">
        <f t="shared" si="10"/>
        <v/>
      </c>
      <c r="W202" s="31" t="str">
        <f t="shared" si="10"/>
        <v/>
      </c>
      <c r="X202" s="31" t="str">
        <f t="shared" si="10"/>
        <v/>
      </c>
      <c r="Y202" s="31" t="str">
        <f t="shared" si="10"/>
        <v>*</v>
      </c>
      <c r="Z202" s="31" t="str">
        <f t="shared" si="10"/>
        <v/>
      </c>
      <c r="AA202" s="31" t="str">
        <f t="shared" si="10"/>
        <v/>
      </c>
      <c r="AB202" s="31" t="str">
        <f t="shared" si="10"/>
        <v/>
      </c>
      <c r="AC202" s="31" t="str">
        <f t="shared" si="10"/>
        <v/>
      </c>
      <c r="AD202" s="31" t="str">
        <f t="shared" si="10"/>
        <v/>
      </c>
      <c r="AE202" s="31" t="str">
        <f t="shared" si="10"/>
        <v>*</v>
      </c>
      <c r="AF202" s="31" t="str">
        <f t="shared" si="10"/>
        <v>*</v>
      </c>
      <c r="AG202" s="31" t="str">
        <f t="shared" si="10"/>
        <v/>
      </c>
      <c r="AH202" s="31" t="str">
        <f t="shared" si="10"/>
        <v/>
      </c>
      <c r="AI202" s="31" t="str">
        <f t="shared" si="10"/>
        <v>*</v>
      </c>
      <c r="AJ202" s="31" t="str">
        <f t="shared" si="10"/>
        <v>*</v>
      </c>
    </row>
    <row r="203" spans="1:36" s="23" customFormat="1" ht="15" hidden="1" customHeight="1" x14ac:dyDescent="0.2">
      <c r="A203" s="110" t="s">
        <v>18</v>
      </c>
      <c r="B203" s="32" t="s">
        <v>75</v>
      </c>
      <c r="C203" s="33" t="s">
        <v>2</v>
      </c>
      <c r="D203" s="22" t="str">
        <f t="shared" si="11"/>
        <v>*</v>
      </c>
      <c r="E203" s="22" t="str">
        <f t="shared" si="10"/>
        <v>*</v>
      </c>
      <c r="F203" s="22" t="str">
        <f t="shared" si="10"/>
        <v>*</v>
      </c>
      <c r="G203" s="22" t="str">
        <f t="shared" si="10"/>
        <v>*</v>
      </c>
      <c r="H203" s="22" t="str">
        <f t="shared" si="10"/>
        <v/>
      </c>
      <c r="I203" s="22" t="str">
        <f t="shared" si="10"/>
        <v>*</v>
      </c>
      <c r="J203" s="22" t="str">
        <f t="shared" si="10"/>
        <v>*</v>
      </c>
      <c r="K203" s="22" t="str">
        <f t="shared" si="10"/>
        <v/>
      </c>
      <c r="L203" s="22" t="str">
        <f t="shared" si="10"/>
        <v/>
      </c>
      <c r="M203" s="22" t="str">
        <f t="shared" si="10"/>
        <v/>
      </c>
      <c r="N203" s="22" t="str">
        <f t="shared" si="10"/>
        <v>*</v>
      </c>
      <c r="O203" s="22" t="str">
        <f t="shared" si="10"/>
        <v/>
      </c>
      <c r="P203" s="22" t="str">
        <f t="shared" si="10"/>
        <v>*</v>
      </c>
      <c r="Q203" s="22" t="str">
        <f t="shared" si="10"/>
        <v/>
      </c>
      <c r="R203" s="22" t="str">
        <f t="shared" si="10"/>
        <v/>
      </c>
      <c r="S203" s="22" t="str">
        <f t="shared" si="10"/>
        <v>*</v>
      </c>
      <c r="T203" s="22" t="str">
        <f t="shared" si="10"/>
        <v/>
      </c>
      <c r="U203" s="22" t="str">
        <f t="shared" si="10"/>
        <v/>
      </c>
      <c r="V203" s="22" t="str">
        <f t="shared" si="10"/>
        <v/>
      </c>
      <c r="W203" s="22" t="str">
        <f t="shared" si="10"/>
        <v/>
      </c>
      <c r="X203" s="22" t="str">
        <f t="shared" si="10"/>
        <v/>
      </c>
      <c r="Y203" s="22" t="str">
        <f t="shared" si="10"/>
        <v>*</v>
      </c>
      <c r="Z203" s="22" t="str">
        <f t="shared" si="10"/>
        <v/>
      </c>
      <c r="AA203" s="22" t="str">
        <f t="shared" si="10"/>
        <v/>
      </c>
      <c r="AB203" s="22" t="str">
        <f t="shared" si="10"/>
        <v/>
      </c>
      <c r="AC203" s="22" t="str">
        <f t="shared" si="10"/>
        <v/>
      </c>
      <c r="AD203" s="22" t="str">
        <f t="shared" si="10"/>
        <v/>
      </c>
      <c r="AE203" s="22" t="str">
        <f t="shared" si="10"/>
        <v>*</v>
      </c>
      <c r="AF203" s="22" t="str">
        <f t="shared" si="10"/>
        <v>*</v>
      </c>
      <c r="AG203" s="22" t="str">
        <f t="shared" si="10"/>
        <v/>
      </c>
      <c r="AH203" s="22" t="str">
        <f t="shared" si="10"/>
        <v/>
      </c>
      <c r="AI203" s="22" t="str">
        <f t="shared" si="10"/>
        <v>*</v>
      </c>
      <c r="AJ203" s="22" t="str">
        <f t="shared" si="10"/>
        <v>*</v>
      </c>
    </row>
    <row r="204" spans="1:36" s="23" customFormat="1" ht="15" hidden="1" customHeight="1" x14ac:dyDescent="0.2">
      <c r="A204" s="111"/>
      <c r="B204" s="34" t="s">
        <v>76</v>
      </c>
      <c r="C204" s="35" t="s">
        <v>194</v>
      </c>
      <c r="D204" s="22" t="str">
        <f t="shared" si="11"/>
        <v>*</v>
      </c>
      <c r="E204" s="22" t="str">
        <f t="shared" si="10"/>
        <v>*</v>
      </c>
      <c r="F204" s="22" t="str">
        <f t="shared" si="10"/>
        <v/>
      </c>
      <c r="G204" s="22" t="str">
        <f t="shared" si="10"/>
        <v/>
      </c>
      <c r="H204" s="22" t="str">
        <f t="shared" si="10"/>
        <v/>
      </c>
      <c r="I204" s="22" t="str">
        <f t="shared" si="10"/>
        <v/>
      </c>
      <c r="J204" s="22" t="str">
        <f t="shared" si="10"/>
        <v/>
      </c>
      <c r="K204" s="22" t="str">
        <f t="shared" si="10"/>
        <v/>
      </c>
      <c r="L204" s="22" t="str">
        <f t="shared" si="10"/>
        <v/>
      </c>
      <c r="M204" s="22" t="str">
        <f t="shared" si="10"/>
        <v/>
      </c>
      <c r="N204" s="22" t="str">
        <f t="shared" si="10"/>
        <v/>
      </c>
      <c r="O204" s="22" t="str">
        <f t="shared" si="10"/>
        <v/>
      </c>
      <c r="P204" s="22" t="str">
        <f t="shared" si="10"/>
        <v/>
      </c>
      <c r="Q204" s="22" t="str">
        <f t="shared" si="10"/>
        <v/>
      </c>
      <c r="R204" s="22" t="str">
        <f t="shared" si="10"/>
        <v/>
      </c>
      <c r="S204" s="22" t="str">
        <f t="shared" si="10"/>
        <v/>
      </c>
      <c r="T204" s="22" t="str">
        <f t="shared" si="10"/>
        <v/>
      </c>
      <c r="U204" s="22" t="str">
        <f t="shared" si="10"/>
        <v/>
      </c>
      <c r="V204" s="22" t="str">
        <f t="shared" si="10"/>
        <v/>
      </c>
      <c r="W204" s="22" t="str">
        <f t="shared" si="10"/>
        <v/>
      </c>
      <c r="X204" s="22" t="str">
        <f t="shared" si="10"/>
        <v/>
      </c>
      <c r="Y204" s="22" t="str">
        <f t="shared" si="10"/>
        <v/>
      </c>
      <c r="Z204" s="22" t="str">
        <f t="shared" si="10"/>
        <v/>
      </c>
      <c r="AA204" s="22" t="str">
        <f t="shared" si="10"/>
        <v/>
      </c>
      <c r="AB204" s="22" t="str">
        <f t="shared" si="10"/>
        <v/>
      </c>
      <c r="AC204" s="22" t="str">
        <f t="shared" si="10"/>
        <v/>
      </c>
      <c r="AD204" s="22" t="str">
        <f t="shared" si="10"/>
        <v/>
      </c>
      <c r="AE204" s="22" t="str">
        <f t="shared" si="10"/>
        <v>*</v>
      </c>
      <c r="AF204" s="22" t="str">
        <f t="shared" si="10"/>
        <v/>
      </c>
      <c r="AG204" s="22" t="str">
        <f t="shared" si="10"/>
        <v/>
      </c>
      <c r="AH204" s="22" t="str">
        <f t="shared" si="10"/>
        <v/>
      </c>
      <c r="AI204" s="22" t="str">
        <f t="shared" si="10"/>
        <v/>
      </c>
      <c r="AJ204" s="22" t="str">
        <f t="shared" si="10"/>
        <v/>
      </c>
    </row>
    <row r="205" spans="1:36" s="23" customFormat="1" ht="15" hidden="1" customHeight="1" x14ac:dyDescent="0.2">
      <c r="A205" s="26" t="s">
        <v>68</v>
      </c>
      <c r="B205" s="29" t="s">
        <v>74</v>
      </c>
      <c r="C205" s="30" t="s">
        <v>0</v>
      </c>
      <c r="D205" s="31" t="str">
        <f t="shared" si="11"/>
        <v>*</v>
      </c>
      <c r="E205" s="31" t="str">
        <f t="shared" si="10"/>
        <v>*</v>
      </c>
      <c r="F205" s="31" t="str">
        <f t="shared" si="10"/>
        <v>*</v>
      </c>
      <c r="G205" s="31" t="str">
        <f t="shared" si="10"/>
        <v>*</v>
      </c>
      <c r="H205" s="31" t="str">
        <f t="shared" si="10"/>
        <v>*</v>
      </c>
      <c r="I205" s="31" t="str">
        <f t="shared" si="10"/>
        <v/>
      </c>
      <c r="J205" s="31" t="str">
        <f t="shared" si="10"/>
        <v>*</v>
      </c>
      <c r="K205" s="31" t="str">
        <f t="shared" si="10"/>
        <v>*</v>
      </c>
      <c r="L205" s="31" t="str">
        <f t="shared" si="10"/>
        <v/>
      </c>
      <c r="M205" s="31" t="str">
        <f t="shared" si="10"/>
        <v>*</v>
      </c>
      <c r="N205" s="31" t="str">
        <f t="shared" si="10"/>
        <v/>
      </c>
      <c r="O205" s="31" t="str">
        <f t="shared" si="10"/>
        <v/>
      </c>
      <c r="P205" s="31" t="str">
        <f t="shared" si="10"/>
        <v>*</v>
      </c>
      <c r="Q205" s="31" t="str">
        <f t="shared" si="10"/>
        <v>*</v>
      </c>
      <c r="R205" s="31" t="str">
        <f t="shared" si="10"/>
        <v/>
      </c>
      <c r="S205" s="31" t="str">
        <f t="shared" si="10"/>
        <v>*</v>
      </c>
      <c r="T205" s="31" t="str">
        <f t="shared" si="10"/>
        <v/>
      </c>
      <c r="U205" s="31" t="str">
        <f t="shared" si="10"/>
        <v/>
      </c>
      <c r="V205" s="31" t="str">
        <f t="shared" si="10"/>
        <v>*</v>
      </c>
      <c r="W205" s="31" t="str">
        <f t="shared" si="10"/>
        <v/>
      </c>
      <c r="X205" s="31" t="str">
        <f t="shared" si="10"/>
        <v/>
      </c>
      <c r="Y205" s="31" t="str">
        <f t="shared" si="10"/>
        <v>*</v>
      </c>
      <c r="Z205" s="31" t="str">
        <f t="shared" si="10"/>
        <v/>
      </c>
      <c r="AA205" s="31" t="str">
        <f t="shared" si="10"/>
        <v/>
      </c>
      <c r="AB205" s="31" t="str">
        <f t="shared" si="10"/>
        <v/>
      </c>
      <c r="AC205" s="31" t="str">
        <f t="shared" si="10"/>
        <v/>
      </c>
      <c r="AD205" s="31" t="str">
        <f t="shared" si="10"/>
        <v/>
      </c>
      <c r="AE205" s="31" t="str">
        <f t="shared" si="10"/>
        <v>*</v>
      </c>
      <c r="AF205" s="31" t="str">
        <f t="shared" si="10"/>
        <v>*</v>
      </c>
      <c r="AG205" s="31" t="str">
        <f t="shared" si="10"/>
        <v/>
      </c>
      <c r="AH205" s="31" t="str">
        <f t="shared" si="10"/>
        <v>*</v>
      </c>
      <c r="AI205" s="31" t="str">
        <f t="shared" si="10"/>
        <v>*</v>
      </c>
      <c r="AJ205" s="31" t="str">
        <f t="shared" si="10"/>
        <v>*</v>
      </c>
    </row>
    <row r="206" spans="1:36" s="23" customFormat="1" ht="15" hidden="1" customHeight="1" x14ac:dyDescent="0.2">
      <c r="A206" s="110" t="s">
        <v>19</v>
      </c>
      <c r="B206" s="32" t="s">
        <v>75</v>
      </c>
      <c r="C206" s="33" t="s">
        <v>2</v>
      </c>
      <c r="D206" s="22" t="str">
        <f t="shared" si="11"/>
        <v>*</v>
      </c>
      <c r="E206" s="22" t="str">
        <f t="shared" si="10"/>
        <v>*</v>
      </c>
      <c r="F206" s="22" t="str">
        <f t="shared" si="10"/>
        <v>*</v>
      </c>
      <c r="G206" s="22" t="str">
        <f t="shared" si="10"/>
        <v>*</v>
      </c>
      <c r="H206" s="22" t="str">
        <f t="shared" si="10"/>
        <v>*</v>
      </c>
      <c r="I206" s="22" t="str">
        <f t="shared" si="10"/>
        <v/>
      </c>
      <c r="J206" s="22" t="str">
        <f t="shared" si="10"/>
        <v>*</v>
      </c>
      <c r="K206" s="22" t="str">
        <f t="shared" si="10"/>
        <v>*</v>
      </c>
      <c r="L206" s="22" t="str">
        <f t="shared" si="10"/>
        <v/>
      </c>
      <c r="M206" s="22" t="str">
        <f t="shared" si="10"/>
        <v>*</v>
      </c>
      <c r="N206" s="22" t="str">
        <f t="shared" si="10"/>
        <v/>
      </c>
      <c r="O206" s="22" t="str">
        <f t="shared" si="10"/>
        <v/>
      </c>
      <c r="P206" s="22" t="str">
        <f t="shared" si="10"/>
        <v>*</v>
      </c>
      <c r="Q206" s="22" t="str">
        <f t="shared" si="10"/>
        <v>*</v>
      </c>
      <c r="R206" s="22" t="str">
        <f t="shared" si="10"/>
        <v/>
      </c>
      <c r="S206" s="22" t="str">
        <f t="shared" si="10"/>
        <v>*</v>
      </c>
      <c r="T206" s="22" t="str">
        <f t="shared" si="10"/>
        <v/>
      </c>
      <c r="U206" s="22" t="str">
        <f t="shared" si="10"/>
        <v/>
      </c>
      <c r="V206" s="22" t="str">
        <f t="shared" si="10"/>
        <v>*</v>
      </c>
      <c r="W206" s="22" t="str">
        <f t="shared" si="10"/>
        <v/>
      </c>
      <c r="X206" s="22" t="str">
        <f t="shared" si="10"/>
        <v/>
      </c>
      <c r="Y206" s="22" t="str">
        <f t="shared" si="10"/>
        <v>*</v>
      </c>
      <c r="Z206" s="22" t="str">
        <f t="shared" si="10"/>
        <v/>
      </c>
      <c r="AA206" s="22" t="str">
        <f t="shared" si="10"/>
        <v/>
      </c>
      <c r="AB206" s="22" t="str">
        <f t="shared" si="10"/>
        <v/>
      </c>
      <c r="AC206" s="22" t="str">
        <f t="shared" si="10"/>
        <v/>
      </c>
      <c r="AD206" s="22" t="str">
        <f t="shared" si="10"/>
        <v/>
      </c>
      <c r="AE206" s="22" t="str">
        <f t="shared" si="10"/>
        <v>*</v>
      </c>
      <c r="AF206" s="22" t="str">
        <f t="shared" si="10"/>
        <v>*</v>
      </c>
      <c r="AG206" s="22" t="str">
        <f t="shared" si="10"/>
        <v/>
      </c>
      <c r="AH206" s="22" t="str">
        <f t="shared" si="10"/>
        <v>*</v>
      </c>
      <c r="AI206" s="22" t="str">
        <f t="shared" si="10"/>
        <v>*</v>
      </c>
      <c r="AJ206" s="22" t="str">
        <f t="shared" si="10"/>
        <v>*</v>
      </c>
    </row>
    <row r="207" spans="1:36" s="23" customFormat="1" ht="15" hidden="1" customHeight="1" x14ac:dyDescent="0.2">
      <c r="A207" s="111"/>
      <c r="B207" s="34" t="s">
        <v>76</v>
      </c>
      <c r="C207" s="35" t="s">
        <v>194</v>
      </c>
      <c r="D207" s="22" t="str">
        <f t="shared" si="11"/>
        <v>*</v>
      </c>
      <c r="E207" s="22" t="str">
        <f t="shared" si="10"/>
        <v>*</v>
      </c>
      <c r="F207" s="22" t="str">
        <f t="shared" si="10"/>
        <v/>
      </c>
      <c r="G207" s="22" t="str">
        <f t="shared" si="10"/>
        <v>*</v>
      </c>
      <c r="H207" s="22" t="str">
        <f t="shared" si="10"/>
        <v>*</v>
      </c>
      <c r="I207" s="22" t="str">
        <f t="shared" si="10"/>
        <v/>
      </c>
      <c r="J207" s="22" t="str">
        <f t="shared" si="10"/>
        <v/>
      </c>
      <c r="K207" s="22" t="str">
        <f t="shared" si="10"/>
        <v/>
      </c>
      <c r="L207" s="22" t="str">
        <f t="shared" si="10"/>
        <v/>
      </c>
      <c r="M207" s="22" t="str">
        <f t="shared" ref="E207:AJ215" si="12">IF(M137=M63,"","*")</f>
        <v/>
      </c>
      <c r="N207" s="22" t="str">
        <f t="shared" si="12"/>
        <v/>
      </c>
      <c r="O207" s="22" t="str">
        <f t="shared" si="12"/>
        <v/>
      </c>
      <c r="P207" s="22" t="str">
        <f t="shared" si="12"/>
        <v>*</v>
      </c>
      <c r="Q207" s="22" t="str">
        <f t="shared" si="12"/>
        <v/>
      </c>
      <c r="R207" s="22" t="str">
        <f t="shared" si="12"/>
        <v/>
      </c>
      <c r="S207" s="22" t="str">
        <f t="shared" si="12"/>
        <v>*</v>
      </c>
      <c r="T207" s="22" t="str">
        <f t="shared" si="12"/>
        <v/>
      </c>
      <c r="U207" s="22" t="str">
        <f t="shared" si="12"/>
        <v/>
      </c>
      <c r="V207" s="22" t="str">
        <f t="shared" si="12"/>
        <v/>
      </c>
      <c r="W207" s="22" t="str">
        <f t="shared" si="12"/>
        <v/>
      </c>
      <c r="X207" s="22" t="str">
        <f t="shared" si="12"/>
        <v/>
      </c>
      <c r="Y207" s="22" t="str">
        <f t="shared" si="12"/>
        <v/>
      </c>
      <c r="Z207" s="22" t="str">
        <f t="shared" si="12"/>
        <v/>
      </c>
      <c r="AA207" s="22" t="str">
        <f t="shared" si="12"/>
        <v/>
      </c>
      <c r="AB207" s="22" t="str">
        <f t="shared" si="12"/>
        <v/>
      </c>
      <c r="AC207" s="22" t="str">
        <f t="shared" si="12"/>
        <v/>
      </c>
      <c r="AD207" s="22" t="str">
        <f t="shared" si="12"/>
        <v/>
      </c>
      <c r="AE207" s="22" t="str">
        <f t="shared" si="12"/>
        <v>*</v>
      </c>
      <c r="AF207" s="22" t="str">
        <f t="shared" si="12"/>
        <v/>
      </c>
      <c r="AG207" s="22" t="str">
        <f t="shared" si="12"/>
        <v/>
      </c>
      <c r="AH207" s="22" t="str">
        <f t="shared" si="12"/>
        <v/>
      </c>
      <c r="AI207" s="22" t="str">
        <f t="shared" si="12"/>
        <v/>
      </c>
      <c r="AJ207" s="22" t="str">
        <f t="shared" si="12"/>
        <v>*</v>
      </c>
    </row>
    <row r="208" spans="1:36" s="23" customFormat="1" ht="15" hidden="1" customHeight="1" x14ac:dyDescent="0.2">
      <c r="A208" s="26" t="s">
        <v>69</v>
      </c>
      <c r="B208" s="29" t="s">
        <v>74</v>
      </c>
      <c r="C208" s="30" t="s">
        <v>0</v>
      </c>
      <c r="D208" s="31" t="str">
        <f t="shared" si="11"/>
        <v>*</v>
      </c>
      <c r="E208" s="31" t="str">
        <f t="shared" si="12"/>
        <v>*</v>
      </c>
      <c r="F208" s="31" t="str">
        <f t="shared" si="12"/>
        <v>*</v>
      </c>
      <c r="G208" s="31" t="str">
        <f t="shared" si="12"/>
        <v>*</v>
      </c>
      <c r="H208" s="31" t="str">
        <f t="shared" si="12"/>
        <v>*</v>
      </c>
      <c r="I208" s="31" t="str">
        <f t="shared" si="12"/>
        <v>*</v>
      </c>
      <c r="J208" s="31" t="str">
        <f t="shared" si="12"/>
        <v>*</v>
      </c>
      <c r="K208" s="31" t="str">
        <f t="shared" si="12"/>
        <v/>
      </c>
      <c r="L208" s="31" t="str">
        <f t="shared" si="12"/>
        <v/>
      </c>
      <c r="M208" s="31" t="str">
        <f t="shared" si="12"/>
        <v>*</v>
      </c>
      <c r="N208" s="31" t="str">
        <f t="shared" si="12"/>
        <v>*</v>
      </c>
      <c r="O208" s="31" t="str">
        <f t="shared" si="12"/>
        <v/>
      </c>
      <c r="P208" s="31" t="str">
        <f t="shared" si="12"/>
        <v>*</v>
      </c>
      <c r="Q208" s="31" t="str">
        <f t="shared" si="12"/>
        <v>*</v>
      </c>
      <c r="R208" s="31" t="str">
        <f t="shared" si="12"/>
        <v/>
      </c>
      <c r="S208" s="31" t="str">
        <f t="shared" si="12"/>
        <v>*</v>
      </c>
      <c r="T208" s="31" t="str">
        <f t="shared" si="12"/>
        <v>*</v>
      </c>
      <c r="U208" s="31" t="str">
        <f t="shared" si="12"/>
        <v/>
      </c>
      <c r="V208" s="31" t="str">
        <f t="shared" si="12"/>
        <v>*</v>
      </c>
      <c r="W208" s="31" t="str">
        <f t="shared" si="12"/>
        <v/>
      </c>
      <c r="X208" s="31" t="str">
        <f t="shared" si="12"/>
        <v/>
      </c>
      <c r="Y208" s="31" t="str">
        <f t="shared" si="12"/>
        <v>*</v>
      </c>
      <c r="Z208" s="31" t="str">
        <f t="shared" si="12"/>
        <v>*</v>
      </c>
      <c r="AA208" s="31" t="str">
        <f t="shared" si="12"/>
        <v/>
      </c>
      <c r="AB208" s="31" t="str">
        <f t="shared" si="12"/>
        <v/>
      </c>
      <c r="AC208" s="31" t="str">
        <f t="shared" si="12"/>
        <v/>
      </c>
      <c r="AD208" s="31" t="str">
        <f t="shared" si="12"/>
        <v/>
      </c>
      <c r="AE208" s="31" t="str">
        <f t="shared" si="12"/>
        <v>*</v>
      </c>
      <c r="AF208" s="31" t="str">
        <f t="shared" si="12"/>
        <v>*</v>
      </c>
      <c r="AG208" s="31" t="str">
        <f t="shared" si="12"/>
        <v/>
      </c>
      <c r="AH208" s="31" t="str">
        <f t="shared" si="12"/>
        <v>*</v>
      </c>
      <c r="AI208" s="31" t="str">
        <f t="shared" si="12"/>
        <v>*</v>
      </c>
      <c r="AJ208" s="31" t="str">
        <f t="shared" si="12"/>
        <v>*</v>
      </c>
    </row>
    <row r="209" spans="1:36" s="23" customFormat="1" ht="15" hidden="1" customHeight="1" x14ac:dyDescent="0.2">
      <c r="A209" s="110" t="s">
        <v>20</v>
      </c>
      <c r="B209" s="32" t="s">
        <v>75</v>
      </c>
      <c r="C209" s="33" t="s">
        <v>2</v>
      </c>
      <c r="D209" s="22" t="str">
        <f t="shared" si="11"/>
        <v>*</v>
      </c>
      <c r="E209" s="22" t="str">
        <f t="shared" si="12"/>
        <v>*</v>
      </c>
      <c r="F209" s="22" t="str">
        <f t="shared" si="12"/>
        <v>*</v>
      </c>
      <c r="G209" s="22" t="str">
        <f t="shared" si="12"/>
        <v>*</v>
      </c>
      <c r="H209" s="22" t="str">
        <f t="shared" si="12"/>
        <v>*</v>
      </c>
      <c r="I209" s="22" t="str">
        <f t="shared" si="12"/>
        <v>*</v>
      </c>
      <c r="J209" s="22" t="str">
        <f t="shared" si="12"/>
        <v>*</v>
      </c>
      <c r="K209" s="22" t="str">
        <f t="shared" si="12"/>
        <v/>
      </c>
      <c r="L209" s="22" t="str">
        <f t="shared" si="12"/>
        <v/>
      </c>
      <c r="M209" s="22" t="str">
        <f t="shared" si="12"/>
        <v>*</v>
      </c>
      <c r="N209" s="22" t="str">
        <f t="shared" si="12"/>
        <v>*</v>
      </c>
      <c r="O209" s="22" t="str">
        <f t="shared" si="12"/>
        <v/>
      </c>
      <c r="P209" s="22" t="str">
        <f t="shared" si="12"/>
        <v>*</v>
      </c>
      <c r="Q209" s="22" t="str">
        <f t="shared" si="12"/>
        <v>*</v>
      </c>
      <c r="R209" s="22" t="str">
        <f t="shared" si="12"/>
        <v/>
      </c>
      <c r="S209" s="22" t="str">
        <f t="shared" si="12"/>
        <v>*</v>
      </c>
      <c r="T209" s="22" t="str">
        <f t="shared" si="12"/>
        <v>*</v>
      </c>
      <c r="U209" s="22" t="str">
        <f t="shared" si="12"/>
        <v/>
      </c>
      <c r="V209" s="22" t="str">
        <f t="shared" si="12"/>
        <v>*</v>
      </c>
      <c r="W209" s="22" t="str">
        <f t="shared" si="12"/>
        <v/>
      </c>
      <c r="X209" s="22" t="str">
        <f t="shared" si="12"/>
        <v/>
      </c>
      <c r="Y209" s="22" t="str">
        <f t="shared" si="12"/>
        <v>*</v>
      </c>
      <c r="Z209" s="22" t="str">
        <f t="shared" si="12"/>
        <v>*</v>
      </c>
      <c r="AA209" s="22" t="str">
        <f t="shared" si="12"/>
        <v/>
      </c>
      <c r="AB209" s="22" t="str">
        <f t="shared" si="12"/>
        <v/>
      </c>
      <c r="AC209" s="22" t="str">
        <f t="shared" si="12"/>
        <v/>
      </c>
      <c r="AD209" s="22" t="str">
        <f t="shared" si="12"/>
        <v/>
      </c>
      <c r="AE209" s="22" t="str">
        <f t="shared" si="12"/>
        <v>*</v>
      </c>
      <c r="AF209" s="22" t="str">
        <f t="shared" si="12"/>
        <v>*</v>
      </c>
      <c r="AG209" s="22" t="str">
        <f t="shared" si="12"/>
        <v/>
      </c>
      <c r="AH209" s="22" t="str">
        <f t="shared" si="12"/>
        <v>*</v>
      </c>
      <c r="AI209" s="22" t="str">
        <f t="shared" si="12"/>
        <v>*</v>
      </c>
      <c r="AJ209" s="22" t="str">
        <f t="shared" si="12"/>
        <v>*</v>
      </c>
    </row>
    <row r="210" spans="1:36" s="23" customFormat="1" ht="15" hidden="1" customHeight="1" x14ac:dyDescent="0.2">
      <c r="A210" s="111"/>
      <c r="B210" s="34" t="s">
        <v>76</v>
      </c>
      <c r="C210" s="35" t="s">
        <v>194</v>
      </c>
      <c r="D210" s="22" t="str">
        <f t="shared" si="11"/>
        <v>*</v>
      </c>
      <c r="E210" s="22" t="str">
        <f t="shared" si="12"/>
        <v>*</v>
      </c>
      <c r="F210" s="22" t="str">
        <f t="shared" si="12"/>
        <v>*</v>
      </c>
      <c r="G210" s="22" t="str">
        <f t="shared" si="12"/>
        <v/>
      </c>
      <c r="H210" s="22" t="str">
        <f t="shared" si="12"/>
        <v>*</v>
      </c>
      <c r="I210" s="22" t="str">
        <f t="shared" si="12"/>
        <v>*</v>
      </c>
      <c r="J210" s="22" t="str">
        <f t="shared" si="12"/>
        <v/>
      </c>
      <c r="K210" s="22" t="str">
        <f t="shared" si="12"/>
        <v/>
      </c>
      <c r="L210" s="22" t="str">
        <f t="shared" si="12"/>
        <v/>
      </c>
      <c r="M210" s="22" t="str">
        <f t="shared" si="12"/>
        <v/>
      </c>
      <c r="N210" s="22" t="str">
        <f t="shared" si="12"/>
        <v/>
      </c>
      <c r="O210" s="22" t="str">
        <f t="shared" si="12"/>
        <v/>
      </c>
      <c r="P210" s="22" t="str">
        <f t="shared" si="12"/>
        <v/>
      </c>
      <c r="Q210" s="22" t="str">
        <f t="shared" si="12"/>
        <v/>
      </c>
      <c r="R210" s="22" t="str">
        <f t="shared" si="12"/>
        <v/>
      </c>
      <c r="S210" s="22" t="str">
        <f t="shared" si="12"/>
        <v/>
      </c>
      <c r="T210" s="22" t="str">
        <f t="shared" si="12"/>
        <v/>
      </c>
      <c r="U210" s="22" t="str">
        <f t="shared" si="12"/>
        <v/>
      </c>
      <c r="V210" s="22" t="str">
        <f t="shared" si="12"/>
        <v/>
      </c>
      <c r="W210" s="22" t="str">
        <f t="shared" si="12"/>
        <v/>
      </c>
      <c r="X210" s="22" t="str">
        <f t="shared" si="12"/>
        <v/>
      </c>
      <c r="Y210" s="22" t="str">
        <f t="shared" si="12"/>
        <v/>
      </c>
      <c r="Z210" s="22" t="str">
        <f t="shared" si="12"/>
        <v/>
      </c>
      <c r="AA210" s="22" t="str">
        <f t="shared" si="12"/>
        <v/>
      </c>
      <c r="AB210" s="22" t="str">
        <f t="shared" si="12"/>
        <v/>
      </c>
      <c r="AC210" s="22" t="str">
        <f t="shared" si="12"/>
        <v/>
      </c>
      <c r="AD210" s="22" t="str">
        <f t="shared" si="12"/>
        <v/>
      </c>
      <c r="AE210" s="22" t="str">
        <f t="shared" si="12"/>
        <v/>
      </c>
      <c r="AF210" s="22" t="str">
        <f t="shared" si="12"/>
        <v>*</v>
      </c>
      <c r="AG210" s="22" t="str">
        <f t="shared" si="12"/>
        <v/>
      </c>
      <c r="AH210" s="22" t="str">
        <f t="shared" si="12"/>
        <v>*</v>
      </c>
      <c r="AI210" s="22" t="str">
        <f t="shared" si="12"/>
        <v>*</v>
      </c>
      <c r="AJ210" s="22" t="str">
        <f t="shared" si="12"/>
        <v/>
      </c>
    </row>
    <row r="211" spans="1:36" s="23" customFormat="1" ht="15" hidden="1" customHeight="1" x14ac:dyDescent="0.2">
      <c r="A211" s="26" t="s">
        <v>70</v>
      </c>
      <c r="B211" s="29" t="s">
        <v>74</v>
      </c>
      <c r="C211" s="30" t="s">
        <v>0</v>
      </c>
      <c r="D211" s="31" t="str">
        <f t="shared" si="11"/>
        <v>*</v>
      </c>
      <c r="E211" s="31" t="str">
        <f t="shared" si="12"/>
        <v>*</v>
      </c>
      <c r="F211" s="31" t="str">
        <f t="shared" si="12"/>
        <v>*</v>
      </c>
      <c r="G211" s="31" t="str">
        <f t="shared" si="12"/>
        <v>*</v>
      </c>
      <c r="H211" s="31" t="str">
        <f t="shared" si="12"/>
        <v>*</v>
      </c>
      <c r="I211" s="31" t="str">
        <f t="shared" si="12"/>
        <v>*</v>
      </c>
      <c r="J211" s="31" t="str">
        <f t="shared" si="12"/>
        <v/>
      </c>
      <c r="K211" s="31" t="str">
        <f t="shared" si="12"/>
        <v>*</v>
      </c>
      <c r="L211" s="31" t="str">
        <f t="shared" si="12"/>
        <v/>
      </c>
      <c r="M211" s="31" t="str">
        <f t="shared" si="12"/>
        <v>*</v>
      </c>
      <c r="N211" s="31" t="str">
        <f t="shared" si="12"/>
        <v>*</v>
      </c>
      <c r="O211" s="31" t="str">
        <f t="shared" si="12"/>
        <v/>
      </c>
      <c r="P211" s="31" t="str">
        <f t="shared" si="12"/>
        <v>*</v>
      </c>
      <c r="Q211" s="31" t="str">
        <f t="shared" si="12"/>
        <v>*</v>
      </c>
      <c r="R211" s="31" t="str">
        <f t="shared" si="12"/>
        <v/>
      </c>
      <c r="S211" s="31" t="str">
        <f t="shared" si="12"/>
        <v>*</v>
      </c>
      <c r="T211" s="31" t="str">
        <f t="shared" si="12"/>
        <v>*</v>
      </c>
      <c r="U211" s="31" t="str">
        <f t="shared" si="12"/>
        <v/>
      </c>
      <c r="V211" s="31" t="str">
        <f t="shared" si="12"/>
        <v>*</v>
      </c>
      <c r="W211" s="31" t="str">
        <f t="shared" si="12"/>
        <v/>
      </c>
      <c r="X211" s="31" t="str">
        <f t="shared" si="12"/>
        <v/>
      </c>
      <c r="Y211" s="31" t="str">
        <f t="shared" si="12"/>
        <v>*</v>
      </c>
      <c r="Z211" s="31" t="str">
        <f t="shared" si="12"/>
        <v/>
      </c>
      <c r="AA211" s="31" t="str">
        <f t="shared" si="12"/>
        <v/>
      </c>
      <c r="AB211" s="31" t="str">
        <f t="shared" si="12"/>
        <v/>
      </c>
      <c r="AC211" s="31" t="str">
        <f t="shared" si="12"/>
        <v/>
      </c>
      <c r="AD211" s="31" t="str">
        <f t="shared" si="12"/>
        <v/>
      </c>
      <c r="AE211" s="31" t="str">
        <f t="shared" si="12"/>
        <v>*</v>
      </c>
      <c r="AF211" s="31" t="str">
        <f t="shared" si="12"/>
        <v>*</v>
      </c>
      <c r="AG211" s="31" t="str">
        <f t="shared" si="12"/>
        <v/>
      </c>
      <c r="AH211" s="31" t="str">
        <f t="shared" si="12"/>
        <v>*</v>
      </c>
      <c r="AI211" s="31" t="str">
        <f t="shared" si="12"/>
        <v/>
      </c>
      <c r="AJ211" s="31" t="str">
        <f t="shared" si="12"/>
        <v>*</v>
      </c>
    </row>
    <row r="212" spans="1:36" s="23" customFormat="1" ht="15" hidden="1" customHeight="1" x14ac:dyDescent="0.2">
      <c r="A212" s="110" t="s">
        <v>21</v>
      </c>
      <c r="B212" s="32" t="s">
        <v>75</v>
      </c>
      <c r="C212" s="33" t="s">
        <v>2</v>
      </c>
      <c r="D212" s="22" t="str">
        <f t="shared" si="11"/>
        <v>*</v>
      </c>
      <c r="E212" s="22" t="str">
        <f t="shared" si="12"/>
        <v>*</v>
      </c>
      <c r="F212" s="22" t="str">
        <f t="shared" si="12"/>
        <v>*</v>
      </c>
      <c r="G212" s="22" t="str">
        <f t="shared" si="12"/>
        <v>*</v>
      </c>
      <c r="H212" s="22" t="str">
        <f t="shared" si="12"/>
        <v>*</v>
      </c>
      <c r="I212" s="22" t="str">
        <f t="shared" si="12"/>
        <v>*</v>
      </c>
      <c r="J212" s="22" t="str">
        <f t="shared" si="12"/>
        <v/>
      </c>
      <c r="K212" s="22" t="str">
        <f t="shared" si="12"/>
        <v>*</v>
      </c>
      <c r="L212" s="22" t="str">
        <f t="shared" si="12"/>
        <v/>
      </c>
      <c r="M212" s="22" t="str">
        <f t="shared" si="12"/>
        <v>*</v>
      </c>
      <c r="N212" s="22" t="str">
        <f t="shared" si="12"/>
        <v>*</v>
      </c>
      <c r="O212" s="22" t="str">
        <f t="shared" si="12"/>
        <v/>
      </c>
      <c r="P212" s="22" t="str">
        <f t="shared" si="12"/>
        <v>*</v>
      </c>
      <c r="Q212" s="22" t="str">
        <f t="shared" si="12"/>
        <v>*</v>
      </c>
      <c r="R212" s="22" t="str">
        <f t="shared" si="12"/>
        <v/>
      </c>
      <c r="S212" s="22" t="str">
        <f t="shared" si="12"/>
        <v>*</v>
      </c>
      <c r="T212" s="22" t="str">
        <f t="shared" si="12"/>
        <v>*</v>
      </c>
      <c r="U212" s="22" t="str">
        <f t="shared" si="12"/>
        <v/>
      </c>
      <c r="V212" s="22" t="str">
        <f t="shared" si="12"/>
        <v>*</v>
      </c>
      <c r="W212" s="22" t="str">
        <f t="shared" si="12"/>
        <v/>
      </c>
      <c r="X212" s="22" t="str">
        <f t="shared" si="12"/>
        <v/>
      </c>
      <c r="Y212" s="22" t="str">
        <f t="shared" si="12"/>
        <v>*</v>
      </c>
      <c r="Z212" s="22" t="str">
        <f t="shared" si="12"/>
        <v/>
      </c>
      <c r="AA212" s="22" t="str">
        <f t="shared" si="12"/>
        <v/>
      </c>
      <c r="AB212" s="22" t="str">
        <f t="shared" si="12"/>
        <v/>
      </c>
      <c r="AC212" s="22" t="str">
        <f t="shared" si="12"/>
        <v/>
      </c>
      <c r="AD212" s="22" t="str">
        <f t="shared" si="12"/>
        <v/>
      </c>
      <c r="AE212" s="22" t="str">
        <f t="shared" si="12"/>
        <v>*</v>
      </c>
      <c r="AF212" s="22" t="str">
        <f t="shared" si="12"/>
        <v>*</v>
      </c>
      <c r="AG212" s="22" t="str">
        <f t="shared" si="12"/>
        <v/>
      </c>
      <c r="AH212" s="22" t="str">
        <f t="shared" si="12"/>
        <v>*</v>
      </c>
      <c r="AI212" s="22" t="str">
        <f t="shared" si="12"/>
        <v/>
      </c>
      <c r="AJ212" s="22" t="str">
        <f t="shared" si="12"/>
        <v>*</v>
      </c>
    </row>
    <row r="213" spans="1:36" s="23" customFormat="1" ht="15" hidden="1" customHeight="1" x14ac:dyDescent="0.2">
      <c r="A213" s="111"/>
      <c r="B213" s="34" t="s">
        <v>76</v>
      </c>
      <c r="C213" s="35" t="s">
        <v>194</v>
      </c>
      <c r="D213" s="22" t="str">
        <f t="shared" si="11"/>
        <v/>
      </c>
      <c r="E213" s="22" t="str">
        <f t="shared" si="12"/>
        <v/>
      </c>
      <c r="F213" s="22" t="str">
        <f t="shared" si="12"/>
        <v/>
      </c>
      <c r="G213" s="22" t="str">
        <f t="shared" si="12"/>
        <v/>
      </c>
      <c r="H213" s="22" t="str">
        <f t="shared" si="12"/>
        <v/>
      </c>
      <c r="I213" s="22" t="str">
        <f t="shared" si="12"/>
        <v/>
      </c>
      <c r="J213" s="22" t="str">
        <f t="shared" si="12"/>
        <v/>
      </c>
      <c r="K213" s="22" t="str">
        <f t="shared" si="12"/>
        <v/>
      </c>
      <c r="L213" s="22" t="str">
        <f t="shared" si="12"/>
        <v/>
      </c>
      <c r="M213" s="22" t="str">
        <f t="shared" si="12"/>
        <v/>
      </c>
      <c r="N213" s="22" t="str">
        <f t="shared" si="12"/>
        <v/>
      </c>
      <c r="O213" s="22" t="str">
        <f t="shared" si="12"/>
        <v/>
      </c>
      <c r="P213" s="22" t="str">
        <f t="shared" si="12"/>
        <v/>
      </c>
      <c r="Q213" s="22" t="str">
        <f t="shared" si="12"/>
        <v/>
      </c>
      <c r="R213" s="22" t="str">
        <f t="shared" si="12"/>
        <v/>
      </c>
      <c r="S213" s="22" t="str">
        <f t="shared" si="12"/>
        <v/>
      </c>
      <c r="T213" s="22" t="str">
        <f t="shared" si="12"/>
        <v/>
      </c>
      <c r="U213" s="22" t="str">
        <f t="shared" si="12"/>
        <v/>
      </c>
      <c r="V213" s="22" t="str">
        <f t="shared" si="12"/>
        <v/>
      </c>
      <c r="W213" s="22" t="str">
        <f t="shared" si="12"/>
        <v/>
      </c>
      <c r="X213" s="22" t="str">
        <f t="shared" si="12"/>
        <v/>
      </c>
      <c r="Y213" s="22" t="str">
        <f t="shared" si="12"/>
        <v/>
      </c>
      <c r="Z213" s="22" t="str">
        <f t="shared" si="12"/>
        <v/>
      </c>
      <c r="AA213" s="22" t="str">
        <f t="shared" si="12"/>
        <v/>
      </c>
      <c r="AB213" s="22" t="str">
        <f t="shared" si="12"/>
        <v/>
      </c>
      <c r="AC213" s="22" t="str">
        <f t="shared" si="12"/>
        <v/>
      </c>
      <c r="AD213" s="22" t="str">
        <f t="shared" si="12"/>
        <v/>
      </c>
      <c r="AE213" s="22" t="str">
        <f t="shared" si="12"/>
        <v/>
      </c>
      <c r="AF213" s="22" t="str">
        <f t="shared" si="12"/>
        <v/>
      </c>
      <c r="AG213" s="22" t="str">
        <f t="shared" si="12"/>
        <v/>
      </c>
      <c r="AH213" s="22" t="str">
        <f t="shared" si="12"/>
        <v/>
      </c>
      <c r="AI213" s="22" t="str">
        <f t="shared" si="12"/>
        <v/>
      </c>
      <c r="AJ213" s="22" t="str">
        <f t="shared" si="12"/>
        <v/>
      </c>
    </row>
    <row r="214" spans="1:36" s="23" customFormat="1" ht="15" hidden="1" customHeight="1" x14ac:dyDescent="0.2">
      <c r="A214" s="26" t="s">
        <v>71</v>
      </c>
      <c r="B214" s="29" t="s">
        <v>74</v>
      </c>
      <c r="C214" s="30" t="s">
        <v>0</v>
      </c>
      <c r="D214" s="31" t="str">
        <f t="shared" si="11"/>
        <v>*</v>
      </c>
      <c r="E214" s="31" t="str">
        <f t="shared" si="12"/>
        <v>*</v>
      </c>
      <c r="F214" s="31" t="str">
        <f t="shared" si="12"/>
        <v>*</v>
      </c>
      <c r="G214" s="31" t="str">
        <f t="shared" si="12"/>
        <v>*</v>
      </c>
      <c r="H214" s="31" t="str">
        <f t="shared" si="12"/>
        <v>*</v>
      </c>
      <c r="I214" s="31" t="str">
        <f t="shared" si="12"/>
        <v>*</v>
      </c>
      <c r="J214" s="31" t="str">
        <f t="shared" si="12"/>
        <v/>
      </c>
      <c r="K214" s="31" t="str">
        <f t="shared" si="12"/>
        <v/>
      </c>
      <c r="L214" s="31" t="str">
        <f t="shared" si="12"/>
        <v/>
      </c>
      <c r="M214" s="31" t="str">
        <f t="shared" si="12"/>
        <v>*</v>
      </c>
      <c r="N214" s="31" t="str">
        <f t="shared" si="12"/>
        <v>*</v>
      </c>
      <c r="O214" s="31" t="str">
        <f t="shared" si="12"/>
        <v/>
      </c>
      <c r="P214" s="31" t="str">
        <f t="shared" si="12"/>
        <v/>
      </c>
      <c r="Q214" s="31" t="str">
        <f t="shared" si="12"/>
        <v/>
      </c>
      <c r="R214" s="31" t="str">
        <f t="shared" si="12"/>
        <v/>
      </c>
      <c r="S214" s="31" t="str">
        <f t="shared" si="12"/>
        <v/>
      </c>
      <c r="T214" s="31" t="str">
        <f t="shared" si="12"/>
        <v>*</v>
      </c>
      <c r="U214" s="31" t="str">
        <f t="shared" si="12"/>
        <v/>
      </c>
      <c r="V214" s="31" t="str">
        <f t="shared" si="12"/>
        <v/>
      </c>
      <c r="W214" s="31" t="str">
        <f t="shared" si="12"/>
        <v>*</v>
      </c>
      <c r="X214" s="31" t="str">
        <f t="shared" si="12"/>
        <v/>
      </c>
      <c r="Y214" s="31" t="str">
        <f t="shared" si="12"/>
        <v/>
      </c>
      <c r="Z214" s="31" t="str">
        <f t="shared" si="12"/>
        <v/>
      </c>
      <c r="AA214" s="31" t="str">
        <f t="shared" si="12"/>
        <v/>
      </c>
      <c r="AB214" s="31" t="str">
        <f t="shared" si="12"/>
        <v/>
      </c>
      <c r="AC214" s="31" t="str">
        <f t="shared" si="12"/>
        <v/>
      </c>
      <c r="AD214" s="31" t="str">
        <f t="shared" si="12"/>
        <v/>
      </c>
      <c r="AE214" s="31" t="str">
        <f t="shared" si="12"/>
        <v>*</v>
      </c>
      <c r="AF214" s="31" t="str">
        <f t="shared" si="12"/>
        <v>*</v>
      </c>
      <c r="AG214" s="31" t="str">
        <f t="shared" si="12"/>
        <v/>
      </c>
      <c r="AH214" s="31" t="str">
        <f t="shared" si="12"/>
        <v>*</v>
      </c>
      <c r="AI214" s="31" t="str">
        <f t="shared" si="12"/>
        <v>*</v>
      </c>
      <c r="AJ214" s="31" t="str">
        <f t="shared" si="12"/>
        <v>*</v>
      </c>
    </row>
    <row r="215" spans="1:36" s="23" customFormat="1" ht="15" hidden="1" customHeight="1" x14ac:dyDescent="0.2">
      <c r="A215" s="110" t="s">
        <v>22</v>
      </c>
      <c r="B215" s="32" t="s">
        <v>75</v>
      </c>
      <c r="C215" s="33" t="s">
        <v>2</v>
      </c>
      <c r="D215" s="22" t="str">
        <f t="shared" si="11"/>
        <v>*</v>
      </c>
      <c r="E215" s="22" t="str">
        <f t="shared" si="12"/>
        <v>*</v>
      </c>
      <c r="F215" s="22" t="str">
        <f t="shared" si="12"/>
        <v>*</v>
      </c>
      <c r="G215" s="22" t="str">
        <f t="shared" si="12"/>
        <v>*</v>
      </c>
      <c r="H215" s="22" t="str">
        <f t="shared" si="12"/>
        <v>*</v>
      </c>
      <c r="I215" s="22" t="str">
        <f t="shared" si="12"/>
        <v>*</v>
      </c>
      <c r="J215" s="22" t="str">
        <f t="shared" si="12"/>
        <v/>
      </c>
      <c r="K215" s="22" t="str">
        <f t="shared" si="12"/>
        <v/>
      </c>
      <c r="L215" s="22" t="str">
        <f t="shared" ref="L215:AJ219" si="13">IF(L145=L71,"","*")</f>
        <v/>
      </c>
      <c r="M215" s="22" t="str">
        <f t="shared" si="13"/>
        <v>*</v>
      </c>
      <c r="N215" s="22" t="str">
        <f t="shared" si="13"/>
        <v>*</v>
      </c>
      <c r="O215" s="22" t="str">
        <f t="shared" si="13"/>
        <v/>
      </c>
      <c r="P215" s="22" t="str">
        <f t="shared" si="13"/>
        <v/>
      </c>
      <c r="Q215" s="22" t="str">
        <f t="shared" si="13"/>
        <v/>
      </c>
      <c r="R215" s="22" t="str">
        <f t="shared" si="13"/>
        <v/>
      </c>
      <c r="S215" s="22" t="str">
        <f t="shared" si="13"/>
        <v/>
      </c>
      <c r="T215" s="22" t="str">
        <f t="shared" si="13"/>
        <v>*</v>
      </c>
      <c r="U215" s="22" t="str">
        <f t="shared" si="13"/>
        <v/>
      </c>
      <c r="V215" s="22" t="str">
        <f t="shared" si="13"/>
        <v/>
      </c>
      <c r="W215" s="22" t="str">
        <f t="shared" si="13"/>
        <v>*</v>
      </c>
      <c r="X215" s="22" t="str">
        <f t="shared" si="13"/>
        <v/>
      </c>
      <c r="Y215" s="22" t="str">
        <f t="shared" si="13"/>
        <v/>
      </c>
      <c r="Z215" s="22" t="str">
        <f t="shared" si="13"/>
        <v/>
      </c>
      <c r="AA215" s="22" t="str">
        <f t="shared" si="13"/>
        <v/>
      </c>
      <c r="AB215" s="22" t="str">
        <f t="shared" si="13"/>
        <v/>
      </c>
      <c r="AC215" s="22" t="str">
        <f t="shared" si="13"/>
        <v/>
      </c>
      <c r="AD215" s="22" t="str">
        <f t="shared" si="13"/>
        <v/>
      </c>
      <c r="AE215" s="22" t="str">
        <f t="shared" si="13"/>
        <v>*</v>
      </c>
      <c r="AF215" s="22" t="str">
        <f t="shared" si="13"/>
        <v>*</v>
      </c>
      <c r="AG215" s="22" t="str">
        <f t="shared" si="13"/>
        <v/>
      </c>
      <c r="AH215" s="22" t="str">
        <f t="shared" si="13"/>
        <v>*</v>
      </c>
      <c r="AI215" s="22" t="str">
        <f t="shared" si="13"/>
        <v>*</v>
      </c>
      <c r="AJ215" s="22" t="str">
        <f t="shared" si="13"/>
        <v>*</v>
      </c>
    </row>
    <row r="216" spans="1:36" s="23" customFormat="1" ht="15" hidden="1" customHeight="1" x14ac:dyDescent="0.2">
      <c r="A216" s="111"/>
      <c r="B216" s="34" t="s">
        <v>76</v>
      </c>
      <c r="C216" s="35" t="s">
        <v>194</v>
      </c>
      <c r="D216" s="22" t="str">
        <f t="shared" ref="D216:S219" si="14">IF(D146=D72,"","*")</f>
        <v>*</v>
      </c>
      <c r="E216" s="22" t="str">
        <f t="shared" si="14"/>
        <v>*</v>
      </c>
      <c r="F216" s="22" t="str">
        <f t="shared" si="14"/>
        <v/>
      </c>
      <c r="G216" s="22" t="str">
        <f t="shared" si="14"/>
        <v/>
      </c>
      <c r="H216" s="22" t="str">
        <f t="shared" si="14"/>
        <v>*</v>
      </c>
      <c r="I216" s="22" t="str">
        <f t="shared" si="14"/>
        <v/>
      </c>
      <c r="J216" s="22" t="str">
        <f t="shared" si="14"/>
        <v/>
      </c>
      <c r="K216" s="22" t="str">
        <f t="shared" si="14"/>
        <v/>
      </c>
      <c r="L216" s="22" t="str">
        <f t="shared" si="14"/>
        <v/>
      </c>
      <c r="M216" s="22" t="str">
        <f t="shared" si="14"/>
        <v/>
      </c>
      <c r="N216" s="22" t="str">
        <f t="shared" si="14"/>
        <v/>
      </c>
      <c r="O216" s="22" t="str">
        <f t="shared" si="14"/>
        <v/>
      </c>
      <c r="P216" s="22" t="str">
        <f t="shared" si="14"/>
        <v/>
      </c>
      <c r="Q216" s="22" t="str">
        <f t="shared" si="14"/>
        <v/>
      </c>
      <c r="R216" s="22" t="str">
        <f t="shared" si="14"/>
        <v/>
      </c>
      <c r="S216" s="22" t="str">
        <f t="shared" si="14"/>
        <v/>
      </c>
      <c r="T216" s="22" t="str">
        <f t="shared" si="13"/>
        <v/>
      </c>
      <c r="U216" s="22" t="str">
        <f t="shared" si="13"/>
        <v/>
      </c>
      <c r="V216" s="22" t="str">
        <f t="shared" si="13"/>
        <v/>
      </c>
      <c r="W216" s="22" t="str">
        <f t="shared" si="13"/>
        <v/>
      </c>
      <c r="X216" s="22" t="str">
        <f t="shared" si="13"/>
        <v/>
      </c>
      <c r="Y216" s="22" t="str">
        <f t="shared" si="13"/>
        <v/>
      </c>
      <c r="Z216" s="22" t="str">
        <f t="shared" si="13"/>
        <v/>
      </c>
      <c r="AA216" s="22" t="str">
        <f t="shared" si="13"/>
        <v/>
      </c>
      <c r="AB216" s="22" t="str">
        <f t="shared" si="13"/>
        <v/>
      </c>
      <c r="AC216" s="22" t="str">
        <f t="shared" si="13"/>
        <v/>
      </c>
      <c r="AD216" s="22" t="str">
        <f t="shared" si="13"/>
        <v/>
      </c>
      <c r="AE216" s="22" t="str">
        <f t="shared" si="13"/>
        <v/>
      </c>
      <c r="AF216" s="22" t="str">
        <f t="shared" si="13"/>
        <v/>
      </c>
      <c r="AG216" s="22" t="str">
        <f t="shared" si="13"/>
        <v/>
      </c>
      <c r="AH216" s="22" t="str">
        <f t="shared" si="13"/>
        <v/>
      </c>
      <c r="AI216" s="22" t="str">
        <f t="shared" si="13"/>
        <v/>
      </c>
      <c r="AJ216" s="22" t="str">
        <f t="shared" si="13"/>
        <v/>
      </c>
    </row>
    <row r="217" spans="1:36" s="23" customFormat="1" ht="15" hidden="1" customHeight="1" x14ac:dyDescent="0.2">
      <c r="A217" s="26" t="s">
        <v>72</v>
      </c>
      <c r="B217" s="29" t="s">
        <v>74</v>
      </c>
      <c r="C217" s="30" t="s">
        <v>0</v>
      </c>
      <c r="D217" s="31" t="str">
        <f t="shared" si="14"/>
        <v>*</v>
      </c>
      <c r="E217" s="31" t="str">
        <f t="shared" si="14"/>
        <v>*</v>
      </c>
      <c r="F217" s="31" t="str">
        <f t="shared" si="14"/>
        <v/>
      </c>
      <c r="G217" s="31" t="str">
        <f t="shared" si="14"/>
        <v/>
      </c>
      <c r="H217" s="31" t="str">
        <f t="shared" si="14"/>
        <v>*</v>
      </c>
      <c r="I217" s="31" t="str">
        <f t="shared" si="14"/>
        <v>*</v>
      </c>
      <c r="J217" s="31" t="str">
        <f t="shared" si="14"/>
        <v/>
      </c>
      <c r="K217" s="31" t="str">
        <f t="shared" si="14"/>
        <v/>
      </c>
      <c r="L217" s="31" t="str">
        <f t="shared" si="14"/>
        <v/>
      </c>
      <c r="M217" s="31" t="str">
        <f t="shared" si="14"/>
        <v/>
      </c>
      <c r="N217" s="31" t="str">
        <f t="shared" si="14"/>
        <v/>
      </c>
      <c r="O217" s="31" t="str">
        <f t="shared" si="14"/>
        <v/>
      </c>
      <c r="P217" s="31" t="str">
        <f t="shared" si="14"/>
        <v/>
      </c>
      <c r="Q217" s="31" t="str">
        <f t="shared" si="14"/>
        <v/>
      </c>
      <c r="R217" s="31" t="str">
        <f t="shared" si="14"/>
        <v/>
      </c>
      <c r="S217" s="31" t="str">
        <f t="shared" si="14"/>
        <v/>
      </c>
      <c r="T217" s="31" t="str">
        <f t="shared" si="13"/>
        <v/>
      </c>
      <c r="U217" s="31" t="str">
        <f t="shared" si="13"/>
        <v/>
      </c>
      <c r="V217" s="31" t="str">
        <f t="shared" si="13"/>
        <v/>
      </c>
      <c r="W217" s="31" t="str">
        <f t="shared" si="13"/>
        <v/>
      </c>
      <c r="X217" s="31" t="str">
        <f t="shared" si="13"/>
        <v/>
      </c>
      <c r="Y217" s="31" t="str">
        <f t="shared" si="13"/>
        <v/>
      </c>
      <c r="Z217" s="31" t="str">
        <f t="shared" si="13"/>
        <v>*</v>
      </c>
      <c r="AA217" s="31" t="str">
        <f t="shared" si="13"/>
        <v/>
      </c>
      <c r="AB217" s="31" t="str">
        <f t="shared" si="13"/>
        <v/>
      </c>
      <c r="AC217" s="31" t="str">
        <f t="shared" si="13"/>
        <v/>
      </c>
      <c r="AD217" s="31" t="str">
        <f t="shared" si="13"/>
        <v/>
      </c>
      <c r="AE217" s="31" t="str">
        <f t="shared" si="13"/>
        <v/>
      </c>
      <c r="AF217" s="31" t="str">
        <f t="shared" si="13"/>
        <v/>
      </c>
      <c r="AG217" s="31" t="str">
        <f t="shared" si="13"/>
        <v/>
      </c>
      <c r="AH217" s="31" t="str">
        <f t="shared" si="13"/>
        <v>*</v>
      </c>
      <c r="AI217" s="31" t="str">
        <f t="shared" si="13"/>
        <v>*</v>
      </c>
      <c r="AJ217" s="31" t="str">
        <f t="shared" si="13"/>
        <v/>
      </c>
    </row>
    <row r="218" spans="1:36" s="23" customFormat="1" ht="15" hidden="1" customHeight="1" x14ac:dyDescent="0.2">
      <c r="A218" s="110" t="s">
        <v>23</v>
      </c>
      <c r="B218" s="32" t="s">
        <v>75</v>
      </c>
      <c r="C218" s="33" t="s">
        <v>2</v>
      </c>
      <c r="D218" s="22" t="str">
        <f t="shared" si="14"/>
        <v>*</v>
      </c>
      <c r="E218" s="22" t="str">
        <f t="shared" si="14"/>
        <v>*</v>
      </c>
      <c r="F218" s="22" t="str">
        <f t="shared" si="14"/>
        <v>*</v>
      </c>
      <c r="G218" s="22" t="str">
        <f t="shared" si="14"/>
        <v/>
      </c>
      <c r="H218" s="22" t="str">
        <f t="shared" si="14"/>
        <v>*</v>
      </c>
      <c r="I218" s="22" t="str">
        <f t="shared" si="14"/>
        <v>*</v>
      </c>
      <c r="J218" s="22" t="str">
        <f t="shared" si="14"/>
        <v/>
      </c>
      <c r="K218" s="22" t="str">
        <f t="shared" si="14"/>
        <v/>
      </c>
      <c r="L218" s="22" t="str">
        <f t="shared" si="14"/>
        <v/>
      </c>
      <c r="M218" s="22" t="str">
        <f t="shared" si="14"/>
        <v/>
      </c>
      <c r="N218" s="22" t="str">
        <f t="shared" si="14"/>
        <v/>
      </c>
      <c r="O218" s="22" t="str">
        <f t="shared" si="14"/>
        <v/>
      </c>
      <c r="P218" s="22" t="str">
        <f t="shared" si="14"/>
        <v/>
      </c>
      <c r="Q218" s="22" t="str">
        <f t="shared" si="14"/>
        <v/>
      </c>
      <c r="R218" s="22" t="str">
        <f t="shared" si="14"/>
        <v/>
      </c>
      <c r="S218" s="22" t="str">
        <f t="shared" si="14"/>
        <v/>
      </c>
      <c r="T218" s="22" t="str">
        <f t="shared" si="13"/>
        <v/>
      </c>
      <c r="U218" s="22" t="str">
        <f t="shared" si="13"/>
        <v/>
      </c>
      <c r="V218" s="22" t="str">
        <f t="shared" si="13"/>
        <v/>
      </c>
      <c r="W218" s="22" t="str">
        <f t="shared" si="13"/>
        <v/>
      </c>
      <c r="X218" s="22" t="str">
        <f t="shared" si="13"/>
        <v/>
      </c>
      <c r="Y218" s="22" t="str">
        <f t="shared" si="13"/>
        <v/>
      </c>
      <c r="Z218" s="22" t="str">
        <f t="shared" si="13"/>
        <v/>
      </c>
      <c r="AA218" s="22" t="str">
        <f t="shared" si="13"/>
        <v/>
      </c>
      <c r="AB218" s="22" t="str">
        <f t="shared" si="13"/>
        <v/>
      </c>
      <c r="AC218" s="22" t="str">
        <f t="shared" si="13"/>
        <v/>
      </c>
      <c r="AD218" s="22" t="str">
        <f t="shared" si="13"/>
        <v/>
      </c>
      <c r="AE218" s="22" t="str">
        <f t="shared" si="13"/>
        <v/>
      </c>
      <c r="AF218" s="22" t="str">
        <f t="shared" si="13"/>
        <v/>
      </c>
      <c r="AG218" s="22" t="str">
        <f t="shared" si="13"/>
        <v/>
      </c>
      <c r="AH218" s="22" t="str">
        <f t="shared" si="13"/>
        <v>*</v>
      </c>
      <c r="AI218" s="22" t="str">
        <f t="shared" si="13"/>
        <v>*</v>
      </c>
      <c r="AJ218" s="22" t="str">
        <f t="shared" si="13"/>
        <v/>
      </c>
    </row>
    <row r="219" spans="1:36" s="23" customFormat="1" ht="15" hidden="1" customHeight="1" x14ac:dyDescent="0.2">
      <c r="A219" s="111"/>
      <c r="B219" s="34" t="s">
        <v>76</v>
      </c>
      <c r="C219" s="35" t="s">
        <v>194</v>
      </c>
      <c r="D219" s="27" t="str">
        <f t="shared" si="14"/>
        <v>*</v>
      </c>
      <c r="E219" s="27" t="str">
        <f t="shared" si="14"/>
        <v/>
      </c>
      <c r="F219" s="27" t="str">
        <f t="shared" si="14"/>
        <v>*</v>
      </c>
      <c r="G219" s="27" t="str">
        <f t="shared" si="14"/>
        <v/>
      </c>
      <c r="H219" s="27" t="str">
        <f t="shared" si="14"/>
        <v/>
      </c>
      <c r="I219" s="27" t="str">
        <f t="shared" si="14"/>
        <v/>
      </c>
      <c r="J219" s="27" t="str">
        <f t="shared" si="14"/>
        <v/>
      </c>
      <c r="K219" s="27" t="str">
        <f t="shared" si="14"/>
        <v/>
      </c>
      <c r="L219" s="27" t="str">
        <f t="shared" si="14"/>
        <v/>
      </c>
      <c r="M219" s="27" t="str">
        <f t="shared" si="14"/>
        <v/>
      </c>
      <c r="N219" s="27" t="str">
        <f t="shared" si="14"/>
        <v/>
      </c>
      <c r="O219" s="27" t="str">
        <f t="shared" si="14"/>
        <v/>
      </c>
      <c r="P219" s="27" t="str">
        <f t="shared" si="14"/>
        <v/>
      </c>
      <c r="Q219" s="27" t="str">
        <f t="shared" si="14"/>
        <v/>
      </c>
      <c r="R219" s="27" t="str">
        <f t="shared" si="14"/>
        <v/>
      </c>
      <c r="S219" s="27" t="str">
        <f t="shared" si="14"/>
        <v/>
      </c>
      <c r="T219" s="27" t="str">
        <f t="shared" si="13"/>
        <v/>
      </c>
      <c r="U219" s="27" t="str">
        <f t="shared" si="13"/>
        <v/>
      </c>
      <c r="V219" s="27" t="str">
        <f t="shared" si="13"/>
        <v/>
      </c>
      <c r="W219" s="27" t="str">
        <f t="shared" si="13"/>
        <v/>
      </c>
      <c r="X219" s="27" t="str">
        <f t="shared" si="13"/>
        <v/>
      </c>
      <c r="Y219" s="27" t="str">
        <f t="shared" si="13"/>
        <v/>
      </c>
      <c r="Z219" s="27" t="str">
        <f t="shared" si="13"/>
        <v>*</v>
      </c>
      <c r="AA219" s="27" t="str">
        <f t="shared" si="13"/>
        <v/>
      </c>
      <c r="AB219" s="27" t="str">
        <f t="shared" si="13"/>
        <v/>
      </c>
      <c r="AC219" s="27" t="str">
        <f t="shared" si="13"/>
        <v/>
      </c>
      <c r="AD219" s="27" t="str">
        <f t="shared" si="13"/>
        <v/>
      </c>
      <c r="AE219" s="27" t="str">
        <f t="shared" si="13"/>
        <v/>
      </c>
      <c r="AF219" s="27" t="str">
        <f t="shared" si="13"/>
        <v/>
      </c>
      <c r="AG219" s="27" t="str">
        <f t="shared" si="13"/>
        <v/>
      </c>
      <c r="AH219" s="27" t="str">
        <f t="shared" si="13"/>
        <v/>
      </c>
      <c r="AI219" s="27" t="str">
        <f t="shared" si="13"/>
        <v/>
      </c>
      <c r="AJ219" s="27" t="str">
        <f t="shared" si="13"/>
        <v/>
      </c>
    </row>
  </sheetData>
  <mergeCells count="111">
    <mergeCell ref="A206:A207"/>
    <mergeCell ref="A209:A210"/>
    <mergeCell ref="A212:A213"/>
    <mergeCell ref="A215:A216"/>
    <mergeCell ref="A218:A219"/>
    <mergeCell ref="A188:A189"/>
    <mergeCell ref="A191:A192"/>
    <mergeCell ref="A194:A195"/>
    <mergeCell ref="A197:A198"/>
    <mergeCell ref="A200:A201"/>
    <mergeCell ref="A203:A204"/>
    <mergeCell ref="A167:A168"/>
    <mergeCell ref="A170:A171"/>
    <mergeCell ref="A176:A177"/>
    <mergeCell ref="A179:A180"/>
    <mergeCell ref="A182:A183"/>
    <mergeCell ref="A185:A186"/>
    <mergeCell ref="A148:A149"/>
    <mergeCell ref="A152:A153"/>
    <mergeCell ref="A155:A156"/>
    <mergeCell ref="A158:A159"/>
    <mergeCell ref="A161:A162"/>
    <mergeCell ref="A164:A165"/>
    <mergeCell ref="A130:A131"/>
    <mergeCell ref="A133:A134"/>
    <mergeCell ref="A136:A137"/>
    <mergeCell ref="A139:A140"/>
    <mergeCell ref="A142:A143"/>
    <mergeCell ref="A145:A146"/>
    <mergeCell ref="A112:A113"/>
    <mergeCell ref="A115:A116"/>
    <mergeCell ref="A118:A119"/>
    <mergeCell ref="A121:A122"/>
    <mergeCell ref="A124:A125"/>
    <mergeCell ref="A127:A128"/>
    <mergeCell ref="A91:A92"/>
    <mergeCell ref="A94:A95"/>
    <mergeCell ref="A97:A98"/>
    <mergeCell ref="A100:A101"/>
    <mergeCell ref="A106:A107"/>
    <mergeCell ref="A109:A110"/>
    <mergeCell ref="A68:A69"/>
    <mergeCell ref="A71:A72"/>
    <mergeCell ref="A74:A75"/>
    <mergeCell ref="A82:A83"/>
    <mergeCell ref="A85:A86"/>
    <mergeCell ref="A88:A89"/>
    <mergeCell ref="A50:A51"/>
    <mergeCell ref="A53:A54"/>
    <mergeCell ref="A56:A57"/>
    <mergeCell ref="A59:A60"/>
    <mergeCell ref="A62:A63"/>
    <mergeCell ref="A65:A66"/>
    <mergeCell ref="A32:A33"/>
    <mergeCell ref="A35:A36"/>
    <mergeCell ref="A38:A39"/>
    <mergeCell ref="A41:A42"/>
    <mergeCell ref="A44:A45"/>
    <mergeCell ref="A47:A48"/>
    <mergeCell ref="A26:A27"/>
    <mergeCell ref="AF5:AF6"/>
    <mergeCell ref="AG5:AG6"/>
    <mergeCell ref="AH5:AH6"/>
    <mergeCell ref="K5:K6"/>
    <mergeCell ref="L5:L6"/>
    <mergeCell ref="M5:M6"/>
    <mergeCell ref="A8:A9"/>
    <mergeCell ref="Z5:Z6"/>
    <mergeCell ref="AA5:AA6"/>
    <mergeCell ref="AB5:AB6"/>
    <mergeCell ref="AC5:AC6"/>
    <mergeCell ref="AD5:AD6"/>
    <mergeCell ref="AE5:AE6"/>
    <mergeCell ref="T5:T6"/>
    <mergeCell ref="U5:U6"/>
    <mergeCell ref="V5:V6"/>
    <mergeCell ref="W5:W6"/>
    <mergeCell ref="X5:X6"/>
    <mergeCell ref="S5:S6"/>
    <mergeCell ref="H5:H6"/>
    <mergeCell ref="I5:I6"/>
    <mergeCell ref="J5:J6"/>
    <mergeCell ref="A11:A12"/>
    <mergeCell ref="A14:A15"/>
    <mergeCell ref="A17:A18"/>
    <mergeCell ref="A20:A21"/>
    <mergeCell ref="A23:A24"/>
    <mergeCell ref="S4:U4"/>
    <mergeCell ref="V4:X4"/>
    <mergeCell ref="Y4:AA4"/>
    <mergeCell ref="AB4:AD4"/>
    <mergeCell ref="AE4:AG4"/>
    <mergeCell ref="AH4:AJ4"/>
    <mergeCell ref="A4:C6"/>
    <mergeCell ref="D4:G4"/>
    <mergeCell ref="H4:I4"/>
    <mergeCell ref="J4:L4"/>
    <mergeCell ref="M4:O4"/>
    <mergeCell ref="P4:R4"/>
    <mergeCell ref="D5:D6"/>
    <mergeCell ref="E5:E6"/>
    <mergeCell ref="F5:F6"/>
    <mergeCell ref="G5:G6"/>
    <mergeCell ref="AI5:AI6"/>
    <mergeCell ref="AJ5:AJ6"/>
    <mergeCell ref="Y5:Y6"/>
    <mergeCell ref="N5:N6"/>
    <mergeCell ref="O5:O6"/>
    <mergeCell ref="P5:P6"/>
    <mergeCell ref="Q5:Q6"/>
    <mergeCell ref="R5:R6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79"/>
  <sheetViews>
    <sheetView zoomScaleNormal="100" zoomScaleSheetLayoutView="100" workbookViewId="0">
      <pane xSplit="4" ySplit="7" topLeftCell="E49" activePane="bottomRight" state="frozen"/>
      <selection activeCell="L49" sqref="L49"/>
      <selection pane="topRight" activeCell="L49" sqref="L49"/>
      <selection pane="bottomLeft" activeCell="L49" sqref="L49"/>
      <selection pane="bottomRight" activeCell="H70" sqref="H70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63" t="s">
        <v>188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AJ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87" t="s">
        <v>164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112" t="s">
        <v>158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12129</v>
      </c>
      <c r="E7" s="68">
        <v>7988</v>
      </c>
      <c r="F7" s="68">
        <v>4039</v>
      </c>
      <c r="G7" s="68">
        <v>102</v>
      </c>
      <c r="H7" s="68">
        <v>3760</v>
      </c>
      <c r="I7" s="68">
        <v>2899</v>
      </c>
      <c r="J7" s="68">
        <v>264</v>
      </c>
      <c r="K7" s="68">
        <v>70</v>
      </c>
      <c r="L7" s="68">
        <v>0</v>
      </c>
      <c r="M7" s="68">
        <v>153</v>
      </c>
      <c r="N7" s="68">
        <v>200</v>
      </c>
      <c r="O7" s="68">
        <v>0</v>
      </c>
      <c r="P7" s="68">
        <v>338</v>
      </c>
      <c r="Q7" s="68">
        <v>122</v>
      </c>
      <c r="R7" s="68">
        <v>0</v>
      </c>
      <c r="S7" s="68">
        <v>365</v>
      </c>
      <c r="T7" s="68">
        <v>91</v>
      </c>
      <c r="U7" s="68">
        <v>0</v>
      </c>
      <c r="V7" s="68">
        <v>151</v>
      </c>
      <c r="W7" s="68">
        <v>95</v>
      </c>
      <c r="X7" s="68">
        <v>0</v>
      </c>
      <c r="Y7" s="68">
        <v>319</v>
      </c>
      <c r="Z7" s="68">
        <v>60</v>
      </c>
      <c r="AA7" s="68">
        <v>0</v>
      </c>
      <c r="AB7" s="68">
        <v>3</v>
      </c>
      <c r="AC7" s="68">
        <v>37</v>
      </c>
      <c r="AD7" s="68">
        <v>0</v>
      </c>
      <c r="AE7" s="68">
        <v>1894</v>
      </c>
      <c r="AF7" s="68">
        <v>318</v>
      </c>
      <c r="AG7" s="68">
        <v>2</v>
      </c>
      <c r="AH7" s="68">
        <v>741</v>
      </c>
      <c r="AI7" s="68">
        <v>147</v>
      </c>
      <c r="AJ7" s="68">
        <v>100</v>
      </c>
    </row>
    <row r="8" spans="1:36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11318</v>
      </c>
      <c r="E8" s="72">
        <v>7454</v>
      </c>
      <c r="F8" s="72">
        <v>3762</v>
      </c>
      <c r="G8" s="72">
        <v>102</v>
      </c>
      <c r="H8" s="72">
        <v>3508</v>
      </c>
      <c r="I8" s="72">
        <v>2682</v>
      </c>
      <c r="J8" s="72">
        <v>237</v>
      </c>
      <c r="K8" s="72">
        <v>65</v>
      </c>
      <c r="L8" s="72">
        <v>0</v>
      </c>
      <c r="M8" s="72">
        <v>141</v>
      </c>
      <c r="N8" s="72">
        <v>188</v>
      </c>
      <c r="O8" s="72">
        <v>0</v>
      </c>
      <c r="P8" s="72">
        <v>288</v>
      </c>
      <c r="Q8" s="72">
        <v>106</v>
      </c>
      <c r="R8" s="72">
        <v>0</v>
      </c>
      <c r="S8" s="72">
        <v>330</v>
      </c>
      <c r="T8" s="72">
        <v>80</v>
      </c>
      <c r="U8" s="72">
        <v>0</v>
      </c>
      <c r="V8" s="72">
        <v>147</v>
      </c>
      <c r="W8" s="72">
        <v>95</v>
      </c>
      <c r="X8" s="72">
        <v>0</v>
      </c>
      <c r="Y8" s="72">
        <v>307</v>
      </c>
      <c r="Z8" s="72">
        <v>60</v>
      </c>
      <c r="AA8" s="72">
        <v>0</v>
      </c>
      <c r="AB8" s="72">
        <v>3</v>
      </c>
      <c r="AC8" s="72">
        <v>37</v>
      </c>
      <c r="AD8" s="72">
        <v>0</v>
      </c>
      <c r="AE8" s="72">
        <v>1803</v>
      </c>
      <c r="AF8" s="72">
        <v>307</v>
      </c>
      <c r="AG8" s="72">
        <v>2</v>
      </c>
      <c r="AH8" s="72">
        <v>690</v>
      </c>
      <c r="AI8" s="72">
        <v>142</v>
      </c>
      <c r="AJ8" s="72">
        <v>100</v>
      </c>
    </row>
    <row r="9" spans="1:36" s="69" customFormat="1" ht="15" customHeight="1" x14ac:dyDescent="0.2">
      <c r="A9" s="109"/>
      <c r="B9" s="70" t="s">
        <v>177</v>
      </c>
      <c r="C9" s="71" t="s">
        <v>194</v>
      </c>
      <c r="D9" s="72">
        <v>811</v>
      </c>
      <c r="E9" s="72">
        <v>534</v>
      </c>
      <c r="F9" s="72">
        <v>277</v>
      </c>
      <c r="G9" s="72">
        <v>0</v>
      </c>
      <c r="H9" s="72">
        <v>252</v>
      </c>
      <c r="I9" s="72">
        <v>217</v>
      </c>
      <c r="J9" s="72">
        <v>27</v>
      </c>
      <c r="K9" s="72">
        <v>5</v>
      </c>
      <c r="L9" s="72">
        <v>0</v>
      </c>
      <c r="M9" s="72">
        <v>12</v>
      </c>
      <c r="N9" s="72">
        <v>12</v>
      </c>
      <c r="O9" s="72">
        <v>0</v>
      </c>
      <c r="P9" s="72">
        <v>50</v>
      </c>
      <c r="Q9" s="72">
        <v>16</v>
      </c>
      <c r="R9" s="72">
        <v>0</v>
      </c>
      <c r="S9" s="72">
        <v>35</v>
      </c>
      <c r="T9" s="72">
        <v>11</v>
      </c>
      <c r="U9" s="72">
        <v>0</v>
      </c>
      <c r="V9" s="72">
        <v>4</v>
      </c>
      <c r="W9" s="72">
        <v>0</v>
      </c>
      <c r="X9" s="72">
        <v>0</v>
      </c>
      <c r="Y9" s="72">
        <v>12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91</v>
      </c>
      <c r="AF9" s="72">
        <v>11</v>
      </c>
      <c r="AG9" s="72">
        <v>0</v>
      </c>
      <c r="AH9" s="72">
        <v>51</v>
      </c>
      <c r="AI9" s="72">
        <v>5</v>
      </c>
      <c r="AJ9" s="72">
        <v>0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1869</v>
      </c>
      <c r="E10" s="31">
        <v>1299</v>
      </c>
      <c r="F10" s="31">
        <v>556</v>
      </c>
      <c r="G10" s="31">
        <v>14</v>
      </c>
      <c r="H10" s="31">
        <v>583</v>
      </c>
      <c r="I10" s="31">
        <v>413</v>
      </c>
      <c r="J10" s="31">
        <v>32</v>
      </c>
      <c r="K10" s="31">
        <v>16</v>
      </c>
      <c r="L10" s="31">
        <v>0</v>
      </c>
      <c r="M10" s="31">
        <v>24</v>
      </c>
      <c r="N10" s="31">
        <v>23</v>
      </c>
      <c r="O10" s="31">
        <v>0</v>
      </c>
      <c r="P10" s="31">
        <v>39</v>
      </c>
      <c r="Q10" s="31">
        <v>24</v>
      </c>
      <c r="R10" s="31">
        <v>0</v>
      </c>
      <c r="S10" s="31">
        <v>56</v>
      </c>
      <c r="T10" s="31">
        <v>9</v>
      </c>
      <c r="U10" s="31">
        <v>0</v>
      </c>
      <c r="V10" s="31">
        <v>15</v>
      </c>
      <c r="W10" s="31">
        <v>1</v>
      </c>
      <c r="X10" s="31">
        <v>0</v>
      </c>
      <c r="Y10" s="31">
        <v>79</v>
      </c>
      <c r="Z10" s="31">
        <v>8</v>
      </c>
      <c r="AA10" s="31">
        <v>0</v>
      </c>
      <c r="AB10" s="31">
        <v>0</v>
      </c>
      <c r="AC10" s="31">
        <v>0</v>
      </c>
      <c r="AD10" s="31">
        <v>0</v>
      </c>
      <c r="AE10" s="31">
        <v>388</v>
      </c>
      <c r="AF10" s="31">
        <v>44</v>
      </c>
      <c r="AG10" s="31">
        <v>0</v>
      </c>
      <c r="AH10" s="31">
        <v>83</v>
      </c>
      <c r="AI10" s="31">
        <v>18</v>
      </c>
      <c r="AJ10" s="31">
        <v>14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1825</v>
      </c>
      <c r="E11" s="22">
        <v>1270</v>
      </c>
      <c r="F11" s="22">
        <v>541</v>
      </c>
      <c r="G11" s="22">
        <v>14</v>
      </c>
      <c r="H11" s="22">
        <v>570</v>
      </c>
      <c r="I11" s="22">
        <v>402</v>
      </c>
      <c r="J11" s="22">
        <v>31</v>
      </c>
      <c r="K11" s="22">
        <v>16</v>
      </c>
      <c r="L11" s="22">
        <v>0</v>
      </c>
      <c r="M11" s="22">
        <v>23</v>
      </c>
      <c r="N11" s="22">
        <v>21</v>
      </c>
      <c r="O11" s="22">
        <v>0</v>
      </c>
      <c r="P11" s="22">
        <v>36</v>
      </c>
      <c r="Q11" s="22">
        <v>22</v>
      </c>
      <c r="R11" s="22">
        <v>0</v>
      </c>
      <c r="S11" s="22">
        <v>50</v>
      </c>
      <c r="T11" s="22">
        <v>9</v>
      </c>
      <c r="U11" s="22">
        <v>0</v>
      </c>
      <c r="V11" s="22">
        <v>15</v>
      </c>
      <c r="W11" s="22">
        <v>1</v>
      </c>
      <c r="X11" s="22">
        <v>0</v>
      </c>
      <c r="Y11" s="22">
        <v>78</v>
      </c>
      <c r="Z11" s="22">
        <v>8</v>
      </c>
      <c r="AA11" s="22">
        <v>0</v>
      </c>
      <c r="AB11" s="22">
        <v>0</v>
      </c>
      <c r="AC11" s="22">
        <v>0</v>
      </c>
      <c r="AD11" s="22">
        <v>0</v>
      </c>
      <c r="AE11" s="22">
        <v>386</v>
      </c>
      <c r="AF11" s="22">
        <v>44</v>
      </c>
      <c r="AG11" s="22">
        <v>0</v>
      </c>
      <c r="AH11" s="22">
        <v>81</v>
      </c>
      <c r="AI11" s="22">
        <v>18</v>
      </c>
      <c r="AJ11" s="22">
        <v>14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44</v>
      </c>
      <c r="E12" s="22">
        <v>29</v>
      </c>
      <c r="F12" s="22">
        <v>15</v>
      </c>
      <c r="G12" s="22">
        <v>0</v>
      </c>
      <c r="H12" s="22">
        <v>13</v>
      </c>
      <c r="I12" s="22">
        <v>11</v>
      </c>
      <c r="J12" s="22">
        <v>1</v>
      </c>
      <c r="K12" s="22">
        <v>0</v>
      </c>
      <c r="L12" s="22">
        <v>0</v>
      </c>
      <c r="M12" s="22">
        <v>1</v>
      </c>
      <c r="N12" s="22">
        <v>2</v>
      </c>
      <c r="O12" s="22">
        <v>0</v>
      </c>
      <c r="P12" s="22">
        <v>3</v>
      </c>
      <c r="Q12" s="22">
        <v>2</v>
      </c>
      <c r="R12" s="22">
        <v>0</v>
      </c>
      <c r="S12" s="22">
        <v>6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1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2</v>
      </c>
      <c r="AF12" s="22">
        <v>0</v>
      </c>
      <c r="AG12" s="22">
        <v>0</v>
      </c>
      <c r="AH12" s="22">
        <v>2</v>
      </c>
      <c r="AI12" s="22">
        <v>0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1027</v>
      </c>
      <c r="E13" s="31">
        <v>675</v>
      </c>
      <c r="F13" s="31">
        <v>347</v>
      </c>
      <c r="G13" s="31">
        <v>5</v>
      </c>
      <c r="H13" s="31">
        <v>345</v>
      </c>
      <c r="I13" s="31">
        <v>251</v>
      </c>
      <c r="J13" s="31">
        <v>40</v>
      </c>
      <c r="K13" s="31">
        <v>7</v>
      </c>
      <c r="L13" s="31">
        <v>0</v>
      </c>
      <c r="M13" s="31">
        <v>3</v>
      </c>
      <c r="N13" s="31">
        <v>19</v>
      </c>
      <c r="O13" s="31">
        <v>0</v>
      </c>
      <c r="P13" s="31">
        <v>21</v>
      </c>
      <c r="Q13" s="31">
        <v>12</v>
      </c>
      <c r="R13" s="31">
        <v>0</v>
      </c>
      <c r="S13" s="31">
        <v>19</v>
      </c>
      <c r="T13" s="31">
        <v>6</v>
      </c>
      <c r="U13" s="31">
        <v>0</v>
      </c>
      <c r="V13" s="31">
        <v>20</v>
      </c>
      <c r="W13" s="31">
        <v>0</v>
      </c>
      <c r="X13" s="31">
        <v>0</v>
      </c>
      <c r="Y13" s="31">
        <v>51</v>
      </c>
      <c r="Z13" s="31">
        <v>15</v>
      </c>
      <c r="AA13" s="31">
        <v>0</v>
      </c>
      <c r="AB13" s="31">
        <v>0</v>
      </c>
      <c r="AC13" s="31">
        <v>0</v>
      </c>
      <c r="AD13" s="31">
        <v>0</v>
      </c>
      <c r="AE13" s="31">
        <v>125</v>
      </c>
      <c r="AF13" s="31">
        <v>29</v>
      </c>
      <c r="AG13" s="31">
        <v>0</v>
      </c>
      <c r="AH13" s="31">
        <v>51</v>
      </c>
      <c r="AI13" s="31">
        <v>8</v>
      </c>
      <c r="AJ13" s="31">
        <v>5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1009</v>
      </c>
      <c r="E14" s="22">
        <v>661</v>
      </c>
      <c r="F14" s="22">
        <v>343</v>
      </c>
      <c r="G14" s="22">
        <v>5</v>
      </c>
      <c r="H14" s="22">
        <v>335</v>
      </c>
      <c r="I14" s="22">
        <v>247</v>
      </c>
      <c r="J14" s="22">
        <v>38</v>
      </c>
      <c r="K14" s="22">
        <v>7</v>
      </c>
      <c r="L14" s="22">
        <v>0</v>
      </c>
      <c r="M14" s="22">
        <v>3</v>
      </c>
      <c r="N14" s="22">
        <v>19</v>
      </c>
      <c r="O14" s="22">
        <v>0</v>
      </c>
      <c r="P14" s="22">
        <v>20</v>
      </c>
      <c r="Q14" s="22">
        <v>12</v>
      </c>
      <c r="R14" s="22">
        <v>0</v>
      </c>
      <c r="S14" s="22">
        <v>19</v>
      </c>
      <c r="T14" s="22">
        <v>6</v>
      </c>
      <c r="U14" s="22">
        <v>0</v>
      </c>
      <c r="V14" s="22">
        <v>20</v>
      </c>
      <c r="W14" s="22">
        <v>0</v>
      </c>
      <c r="X14" s="22">
        <v>0</v>
      </c>
      <c r="Y14" s="22">
        <v>51</v>
      </c>
      <c r="Z14" s="22">
        <v>15</v>
      </c>
      <c r="AA14" s="22">
        <v>0</v>
      </c>
      <c r="AB14" s="22">
        <v>0</v>
      </c>
      <c r="AC14" s="22">
        <v>0</v>
      </c>
      <c r="AD14" s="22">
        <v>0</v>
      </c>
      <c r="AE14" s="22">
        <v>124</v>
      </c>
      <c r="AF14" s="22">
        <v>29</v>
      </c>
      <c r="AG14" s="22">
        <v>0</v>
      </c>
      <c r="AH14" s="22">
        <v>51</v>
      </c>
      <c r="AI14" s="22">
        <v>8</v>
      </c>
      <c r="AJ14" s="22">
        <v>5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18</v>
      </c>
      <c r="E15" s="22">
        <v>14</v>
      </c>
      <c r="F15" s="22">
        <v>4</v>
      </c>
      <c r="G15" s="22">
        <v>0</v>
      </c>
      <c r="H15" s="22">
        <v>10</v>
      </c>
      <c r="I15" s="22">
        <v>4</v>
      </c>
      <c r="J15" s="22">
        <v>2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1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1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1437</v>
      </c>
      <c r="E16" s="31">
        <v>914</v>
      </c>
      <c r="F16" s="31">
        <v>500</v>
      </c>
      <c r="G16" s="31">
        <v>23</v>
      </c>
      <c r="H16" s="31">
        <v>491</v>
      </c>
      <c r="I16" s="31">
        <v>368</v>
      </c>
      <c r="J16" s="31">
        <v>28</v>
      </c>
      <c r="K16" s="31">
        <v>5</v>
      </c>
      <c r="L16" s="31">
        <v>0</v>
      </c>
      <c r="M16" s="31">
        <v>21</v>
      </c>
      <c r="N16" s="31">
        <v>24</v>
      </c>
      <c r="O16" s="31">
        <v>0</v>
      </c>
      <c r="P16" s="31">
        <v>40</v>
      </c>
      <c r="Q16" s="31">
        <v>23</v>
      </c>
      <c r="R16" s="31">
        <v>0</v>
      </c>
      <c r="S16" s="31">
        <v>40</v>
      </c>
      <c r="T16" s="31">
        <v>22</v>
      </c>
      <c r="U16" s="31">
        <v>0</v>
      </c>
      <c r="V16" s="31">
        <v>6</v>
      </c>
      <c r="W16" s="31">
        <v>2</v>
      </c>
      <c r="X16" s="31">
        <v>0</v>
      </c>
      <c r="Y16" s="31">
        <v>7</v>
      </c>
      <c r="Z16" s="31">
        <v>1</v>
      </c>
      <c r="AA16" s="31">
        <v>0</v>
      </c>
      <c r="AB16" s="31">
        <v>1</v>
      </c>
      <c r="AC16" s="31">
        <v>9</v>
      </c>
      <c r="AD16" s="31">
        <v>0</v>
      </c>
      <c r="AE16" s="31">
        <v>93</v>
      </c>
      <c r="AF16" s="31">
        <v>26</v>
      </c>
      <c r="AG16" s="31">
        <v>0</v>
      </c>
      <c r="AH16" s="31">
        <v>187</v>
      </c>
      <c r="AI16" s="31">
        <v>20</v>
      </c>
      <c r="AJ16" s="31">
        <v>23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1281</v>
      </c>
      <c r="E17" s="22">
        <v>814</v>
      </c>
      <c r="F17" s="22">
        <v>444</v>
      </c>
      <c r="G17" s="22">
        <v>23</v>
      </c>
      <c r="H17" s="22">
        <v>432</v>
      </c>
      <c r="I17" s="22">
        <v>326</v>
      </c>
      <c r="J17" s="22">
        <v>27</v>
      </c>
      <c r="K17" s="22">
        <v>4</v>
      </c>
      <c r="L17" s="22">
        <v>0</v>
      </c>
      <c r="M17" s="22">
        <v>15</v>
      </c>
      <c r="N17" s="22">
        <v>22</v>
      </c>
      <c r="O17" s="22">
        <v>0</v>
      </c>
      <c r="P17" s="22">
        <v>27</v>
      </c>
      <c r="Q17" s="22">
        <v>19</v>
      </c>
      <c r="R17" s="22">
        <v>0</v>
      </c>
      <c r="S17" s="22">
        <v>33</v>
      </c>
      <c r="T17" s="22">
        <v>17</v>
      </c>
      <c r="U17" s="22">
        <v>0</v>
      </c>
      <c r="V17" s="22">
        <v>5</v>
      </c>
      <c r="W17" s="22">
        <v>2</v>
      </c>
      <c r="X17" s="22">
        <v>0</v>
      </c>
      <c r="Y17" s="22">
        <v>7</v>
      </c>
      <c r="Z17" s="22">
        <v>1</v>
      </c>
      <c r="AA17" s="22">
        <v>0</v>
      </c>
      <c r="AB17" s="22">
        <v>1</v>
      </c>
      <c r="AC17" s="22">
        <v>9</v>
      </c>
      <c r="AD17" s="22">
        <v>0</v>
      </c>
      <c r="AE17" s="22">
        <v>91</v>
      </c>
      <c r="AF17" s="22">
        <v>25</v>
      </c>
      <c r="AG17" s="22">
        <v>0</v>
      </c>
      <c r="AH17" s="22">
        <v>176</v>
      </c>
      <c r="AI17" s="22">
        <v>19</v>
      </c>
      <c r="AJ17" s="22">
        <v>23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156</v>
      </c>
      <c r="E18" s="22">
        <v>100</v>
      </c>
      <c r="F18" s="22">
        <v>56</v>
      </c>
      <c r="G18" s="22">
        <v>0</v>
      </c>
      <c r="H18" s="22">
        <v>59</v>
      </c>
      <c r="I18" s="22">
        <v>42</v>
      </c>
      <c r="J18" s="22">
        <v>1</v>
      </c>
      <c r="K18" s="22">
        <v>1</v>
      </c>
      <c r="L18" s="22">
        <v>0</v>
      </c>
      <c r="M18" s="22">
        <v>6</v>
      </c>
      <c r="N18" s="22">
        <v>2</v>
      </c>
      <c r="O18" s="22">
        <v>0</v>
      </c>
      <c r="P18" s="22">
        <v>13</v>
      </c>
      <c r="Q18" s="22">
        <v>4</v>
      </c>
      <c r="R18" s="22">
        <v>0</v>
      </c>
      <c r="S18" s="22">
        <v>7</v>
      </c>
      <c r="T18" s="22">
        <v>5</v>
      </c>
      <c r="U18" s="22">
        <v>0</v>
      </c>
      <c r="V18" s="22">
        <v>1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2</v>
      </c>
      <c r="AF18" s="22">
        <v>1</v>
      </c>
      <c r="AG18" s="22">
        <v>0</v>
      </c>
      <c r="AH18" s="22">
        <v>11</v>
      </c>
      <c r="AI18" s="22">
        <v>1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2030</v>
      </c>
      <c r="E19" s="31">
        <v>1230</v>
      </c>
      <c r="F19" s="31">
        <v>789</v>
      </c>
      <c r="G19" s="31">
        <v>11</v>
      </c>
      <c r="H19" s="31">
        <v>634</v>
      </c>
      <c r="I19" s="31">
        <v>522</v>
      </c>
      <c r="J19" s="31">
        <v>34</v>
      </c>
      <c r="K19" s="31">
        <v>3</v>
      </c>
      <c r="L19" s="31">
        <v>0</v>
      </c>
      <c r="M19" s="31">
        <v>20</v>
      </c>
      <c r="N19" s="31">
        <v>44</v>
      </c>
      <c r="O19" s="31">
        <v>0</v>
      </c>
      <c r="P19" s="31">
        <v>51</v>
      </c>
      <c r="Q19" s="31">
        <v>13</v>
      </c>
      <c r="R19" s="31">
        <v>0</v>
      </c>
      <c r="S19" s="31">
        <v>79</v>
      </c>
      <c r="T19" s="31">
        <v>11</v>
      </c>
      <c r="U19" s="31">
        <v>0</v>
      </c>
      <c r="V19" s="31">
        <v>42</v>
      </c>
      <c r="W19" s="31">
        <v>79</v>
      </c>
      <c r="X19" s="31">
        <v>0</v>
      </c>
      <c r="Y19" s="31">
        <v>33</v>
      </c>
      <c r="Z19" s="31">
        <v>2</v>
      </c>
      <c r="AA19" s="31">
        <v>0</v>
      </c>
      <c r="AB19" s="31">
        <v>1</v>
      </c>
      <c r="AC19" s="31">
        <v>11</v>
      </c>
      <c r="AD19" s="31">
        <v>0</v>
      </c>
      <c r="AE19" s="31">
        <v>264</v>
      </c>
      <c r="AF19" s="31">
        <v>82</v>
      </c>
      <c r="AG19" s="31">
        <v>0</v>
      </c>
      <c r="AH19" s="31">
        <v>72</v>
      </c>
      <c r="AI19" s="31">
        <v>22</v>
      </c>
      <c r="AJ19" s="31">
        <v>11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1945</v>
      </c>
      <c r="E20" s="22">
        <v>1180</v>
      </c>
      <c r="F20" s="22">
        <v>754</v>
      </c>
      <c r="G20" s="22">
        <v>11</v>
      </c>
      <c r="H20" s="22">
        <v>601</v>
      </c>
      <c r="I20" s="22">
        <v>491</v>
      </c>
      <c r="J20" s="22">
        <v>30</v>
      </c>
      <c r="K20" s="22">
        <v>3</v>
      </c>
      <c r="L20" s="22">
        <v>0</v>
      </c>
      <c r="M20" s="22">
        <v>20</v>
      </c>
      <c r="N20" s="22">
        <v>41</v>
      </c>
      <c r="O20" s="22">
        <v>0</v>
      </c>
      <c r="P20" s="22">
        <v>49</v>
      </c>
      <c r="Q20" s="22">
        <v>13</v>
      </c>
      <c r="R20" s="22">
        <v>0</v>
      </c>
      <c r="S20" s="22">
        <v>78</v>
      </c>
      <c r="T20" s="22">
        <v>10</v>
      </c>
      <c r="U20" s="22">
        <v>0</v>
      </c>
      <c r="V20" s="22">
        <v>42</v>
      </c>
      <c r="W20" s="22">
        <v>79</v>
      </c>
      <c r="X20" s="22">
        <v>0</v>
      </c>
      <c r="Y20" s="22">
        <v>32</v>
      </c>
      <c r="Z20" s="22">
        <v>2</v>
      </c>
      <c r="AA20" s="22">
        <v>0</v>
      </c>
      <c r="AB20" s="22">
        <v>1</v>
      </c>
      <c r="AC20" s="22">
        <v>11</v>
      </c>
      <c r="AD20" s="22">
        <v>0</v>
      </c>
      <c r="AE20" s="22">
        <v>255</v>
      </c>
      <c r="AF20" s="22">
        <v>82</v>
      </c>
      <c r="AG20" s="22">
        <v>0</v>
      </c>
      <c r="AH20" s="22">
        <v>72</v>
      </c>
      <c r="AI20" s="22">
        <v>22</v>
      </c>
      <c r="AJ20" s="22">
        <v>11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85</v>
      </c>
      <c r="E21" s="22">
        <v>50</v>
      </c>
      <c r="F21" s="22">
        <v>35</v>
      </c>
      <c r="G21" s="22">
        <v>0</v>
      </c>
      <c r="H21" s="22">
        <v>33</v>
      </c>
      <c r="I21" s="22">
        <v>31</v>
      </c>
      <c r="J21" s="22">
        <v>4</v>
      </c>
      <c r="K21" s="22">
        <v>0</v>
      </c>
      <c r="L21" s="22">
        <v>0</v>
      </c>
      <c r="M21" s="22">
        <v>0</v>
      </c>
      <c r="N21" s="22">
        <v>3</v>
      </c>
      <c r="O21" s="22">
        <v>0</v>
      </c>
      <c r="P21" s="22">
        <v>2</v>
      </c>
      <c r="Q21" s="22">
        <v>0</v>
      </c>
      <c r="R21" s="22">
        <v>0</v>
      </c>
      <c r="S21" s="22">
        <v>1</v>
      </c>
      <c r="T21" s="22">
        <v>1</v>
      </c>
      <c r="U21" s="22">
        <v>0</v>
      </c>
      <c r="V21" s="22">
        <v>0</v>
      </c>
      <c r="W21" s="22">
        <v>0</v>
      </c>
      <c r="X21" s="22">
        <v>0</v>
      </c>
      <c r="Y21" s="22">
        <v>1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9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786</v>
      </c>
      <c r="E22" s="31">
        <v>513</v>
      </c>
      <c r="F22" s="31">
        <v>272</v>
      </c>
      <c r="G22" s="31">
        <v>1</v>
      </c>
      <c r="H22" s="31">
        <v>272</v>
      </c>
      <c r="I22" s="31">
        <v>190</v>
      </c>
      <c r="J22" s="31">
        <v>13</v>
      </c>
      <c r="K22" s="31">
        <v>9</v>
      </c>
      <c r="L22" s="31">
        <v>0</v>
      </c>
      <c r="M22" s="31">
        <v>10</v>
      </c>
      <c r="N22" s="31">
        <v>16</v>
      </c>
      <c r="O22" s="31">
        <v>0</v>
      </c>
      <c r="P22" s="31">
        <v>16</v>
      </c>
      <c r="Q22" s="31">
        <v>9</v>
      </c>
      <c r="R22" s="31">
        <v>0</v>
      </c>
      <c r="S22" s="31">
        <v>28</v>
      </c>
      <c r="T22" s="31">
        <v>8</v>
      </c>
      <c r="U22" s="31">
        <v>0</v>
      </c>
      <c r="V22" s="31">
        <v>4</v>
      </c>
      <c r="W22" s="31">
        <v>8</v>
      </c>
      <c r="X22" s="31">
        <v>0</v>
      </c>
      <c r="Y22" s="31">
        <v>20</v>
      </c>
      <c r="Z22" s="31">
        <v>5</v>
      </c>
      <c r="AA22" s="31">
        <v>0</v>
      </c>
      <c r="AB22" s="31">
        <v>0</v>
      </c>
      <c r="AC22" s="31">
        <v>2</v>
      </c>
      <c r="AD22" s="31">
        <v>0</v>
      </c>
      <c r="AE22" s="31">
        <v>130</v>
      </c>
      <c r="AF22" s="31">
        <v>25</v>
      </c>
      <c r="AG22" s="31">
        <v>0</v>
      </c>
      <c r="AH22" s="31">
        <v>20</v>
      </c>
      <c r="AI22" s="31">
        <v>0</v>
      </c>
      <c r="AJ22" s="31">
        <v>1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773</v>
      </c>
      <c r="E23" s="22">
        <v>509</v>
      </c>
      <c r="F23" s="22">
        <v>263</v>
      </c>
      <c r="G23" s="22">
        <v>1</v>
      </c>
      <c r="H23" s="22">
        <v>270</v>
      </c>
      <c r="I23" s="22">
        <v>189</v>
      </c>
      <c r="J23" s="22">
        <v>13</v>
      </c>
      <c r="K23" s="22">
        <v>9</v>
      </c>
      <c r="L23" s="22">
        <v>0</v>
      </c>
      <c r="M23" s="22">
        <v>10</v>
      </c>
      <c r="N23" s="22">
        <v>16</v>
      </c>
      <c r="O23" s="22">
        <v>0</v>
      </c>
      <c r="P23" s="22">
        <v>16</v>
      </c>
      <c r="Q23" s="22">
        <v>9</v>
      </c>
      <c r="R23" s="22">
        <v>0</v>
      </c>
      <c r="S23" s="22">
        <v>28</v>
      </c>
      <c r="T23" s="22">
        <v>5</v>
      </c>
      <c r="U23" s="22">
        <v>0</v>
      </c>
      <c r="V23" s="22">
        <v>4</v>
      </c>
      <c r="W23" s="22">
        <v>8</v>
      </c>
      <c r="X23" s="22">
        <v>0</v>
      </c>
      <c r="Y23" s="22">
        <v>20</v>
      </c>
      <c r="Z23" s="22">
        <v>5</v>
      </c>
      <c r="AA23" s="22">
        <v>0</v>
      </c>
      <c r="AB23" s="22">
        <v>0</v>
      </c>
      <c r="AC23" s="22">
        <v>2</v>
      </c>
      <c r="AD23" s="22">
        <v>0</v>
      </c>
      <c r="AE23" s="22">
        <v>128</v>
      </c>
      <c r="AF23" s="22">
        <v>20</v>
      </c>
      <c r="AG23" s="22">
        <v>0</v>
      </c>
      <c r="AH23" s="22">
        <v>20</v>
      </c>
      <c r="AI23" s="22">
        <v>0</v>
      </c>
      <c r="AJ23" s="22">
        <v>1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13</v>
      </c>
      <c r="E24" s="22">
        <v>4</v>
      </c>
      <c r="F24" s="22">
        <v>9</v>
      </c>
      <c r="G24" s="22">
        <v>0</v>
      </c>
      <c r="H24" s="22">
        <v>2</v>
      </c>
      <c r="I24" s="22">
        <v>1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3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2</v>
      </c>
      <c r="AF24" s="22">
        <v>5</v>
      </c>
      <c r="AG24" s="22">
        <v>0</v>
      </c>
      <c r="AH24" s="22">
        <v>0</v>
      </c>
      <c r="AI24" s="22">
        <v>0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1476</v>
      </c>
      <c r="E25" s="31">
        <v>941</v>
      </c>
      <c r="F25" s="31">
        <v>515</v>
      </c>
      <c r="G25" s="31">
        <v>20</v>
      </c>
      <c r="H25" s="31">
        <v>469</v>
      </c>
      <c r="I25" s="31">
        <v>385</v>
      </c>
      <c r="J25" s="31">
        <v>22</v>
      </c>
      <c r="K25" s="31">
        <v>10</v>
      </c>
      <c r="L25" s="31">
        <v>0</v>
      </c>
      <c r="M25" s="31">
        <v>31</v>
      </c>
      <c r="N25" s="31">
        <v>32</v>
      </c>
      <c r="O25" s="31">
        <v>0</v>
      </c>
      <c r="P25" s="31">
        <v>35</v>
      </c>
      <c r="Q25" s="31">
        <v>15</v>
      </c>
      <c r="R25" s="31">
        <v>0</v>
      </c>
      <c r="S25" s="31">
        <v>40</v>
      </c>
      <c r="T25" s="31">
        <v>11</v>
      </c>
      <c r="U25" s="31">
        <v>0</v>
      </c>
      <c r="V25" s="31">
        <v>29</v>
      </c>
      <c r="W25" s="31">
        <v>0</v>
      </c>
      <c r="X25" s="31">
        <v>0</v>
      </c>
      <c r="Y25" s="31">
        <v>32</v>
      </c>
      <c r="Z25" s="31">
        <v>10</v>
      </c>
      <c r="AA25" s="31">
        <v>0</v>
      </c>
      <c r="AB25" s="31">
        <v>0</v>
      </c>
      <c r="AC25" s="31">
        <v>2</v>
      </c>
      <c r="AD25" s="31">
        <v>0</v>
      </c>
      <c r="AE25" s="31">
        <v>219</v>
      </c>
      <c r="AF25" s="31">
        <v>34</v>
      </c>
      <c r="AG25" s="31">
        <v>0</v>
      </c>
      <c r="AH25" s="31">
        <v>64</v>
      </c>
      <c r="AI25" s="31">
        <v>16</v>
      </c>
      <c r="AJ25" s="31">
        <v>20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1423</v>
      </c>
      <c r="E26" s="22">
        <v>908</v>
      </c>
      <c r="F26" s="22">
        <v>495</v>
      </c>
      <c r="G26" s="22">
        <v>20</v>
      </c>
      <c r="H26" s="22">
        <v>456</v>
      </c>
      <c r="I26" s="22">
        <v>368</v>
      </c>
      <c r="J26" s="22">
        <v>20</v>
      </c>
      <c r="K26" s="22">
        <v>10</v>
      </c>
      <c r="L26" s="22">
        <v>0</v>
      </c>
      <c r="M26" s="22">
        <v>31</v>
      </c>
      <c r="N26" s="22">
        <v>32</v>
      </c>
      <c r="O26" s="22">
        <v>0</v>
      </c>
      <c r="P26" s="22">
        <v>30</v>
      </c>
      <c r="Q26" s="22">
        <v>12</v>
      </c>
      <c r="R26" s="22">
        <v>0</v>
      </c>
      <c r="S26" s="22">
        <v>40</v>
      </c>
      <c r="T26" s="22">
        <v>11</v>
      </c>
      <c r="U26" s="22">
        <v>0</v>
      </c>
      <c r="V26" s="22">
        <v>27</v>
      </c>
      <c r="W26" s="22">
        <v>0</v>
      </c>
      <c r="X26" s="22">
        <v>0</v>
      </c>
      <c r="Y26" s="22">
        <v>30</v>
      </c>
      <c r="Z26" s="22">
        <v>10</v>
      </c>
      <c r="AA26" s="22">
        <v>0</v>
      </c>
      <c r="AB26" s="22">
        <v>0</v>
      </c>
      <c r="AC26" s="22">
        <v>2</v>
      </c>
      <c r="AD26" s="22">
        <v>0</v>
      </c>
      <c r="AE26" s="22">
        <v>211</v>
      </c>
      <c r="AF26" s="22">
        <v>34</v>
      </c>
      <c r="AG26" s="22">
        <v>0</v>
      </c>
      <c r="AH26" s="22">
        <v>63</v>
      </c>
      <c r="AI26" s="22">
        <v>16</v>
      </c>
      <c r="AJ26" s="22">
        <v>20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53</v>
      </c>
      <c r="E27" s="22">
        <v>33</v>
      </c>
      <c r="F27" s="22">
        <v>20</v>
      </c>
      <c r="G27" s="22">
        <v>0</v>
      </c>
      <c r="H27" s="22">
        <v>13</v>
      </c>
      <c r="I27" s="22">
        <v>17</v>
      </c>
      <c r="J27" s="22">
        <v>2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5</v>
      </c>
      <c r="Q27" s="22">
        <v>3</v>
      </c>
      <c r="R27" s="22">
        <v>0</v>
      </c>
      <c r="S27" s="22">
        <v>0</v>
      </c>
      <c r="T27" s="22">
        <v>0</v>
      </c>
      <c r="U27" s="22">
        <v>0</v>
      </c>
      <c r="V27" s="22">
        <v>2</v>
      </c>
      <c r="W27" s="22">
        <v>0</v>
      </c>
      <c r="X27" s="22">
        <v>0</v>
      </c>
      <c r="Y27" s="22">
        <v>2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8</v>
      </c>
      <c r="AF27" s="22">
        <v>0</v>
      </c>
      <c r="AG27" s="22">
        <v>0</v>
      </c>
      <c r="AH27" s="22">
        <v>1</v>
      </c>
      <c r="AI27" s="22">
        <v>0</v>
      </c>
      <c r="AJ27" s="22">
        <v>0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175</v>
      </c>
      <c r="E28" s="31">
        <v>124</v>
      </c>
      <c r="F28" s="31">
        <v>51</v>
      </c>
      <c r="G28" s="31">
        <v>0</v>
      </c>
      <c r="H28" s="31">
        <v>59</v>
      </c>
      <c r="I28" s="31">
        <v>39</v>
      </c>
      <c r="J28" s="31">
        <v>3</v>
      </c>
      <c r="K28" s="31">
        <v>0</v>
      </c>
      <c r="L28" s="31">
        <v>0</v>
      </c>
      <c r="M28" s="31">
        <v>1</v>
      </c>
      <c r="N28" s="31">
        <v>0</v>
      </c>
      <c r="O28" s="31">
        <v>0</v>
      </c>
      <c r="P28" s="31">
        <v>3</v>
      </c>
      <c r="Q28" s="31">
        <v>3</v>
      </c>
      <c r="R28" s="31">
        <v>0</v>
      </c>
      <c r="S28" s="31">
        <v>3</v>
      </c>
      <c r="T28" s="31">
        <v>0</v>
      </c>
      <c r="U28" s="31">
        <v>0</v>
      </c>
      <c r="V28" s="31">
        <v>1</v>
      </c>
      <c r="W28" s="31">
        <v>0</v>
      </c>
      <c r="X28" s="31">
        <v>0</v>
      </c>
      <c r="Y28" s="31">
        <v>6</v>
      </c>
      <c r="Z28" s="31">
        <v>0</v>
      </c>
      <c r="AA28" s="31">
        <v>0</v>
      </c>
      <c r="AB28" s="31">
        <v>1</v>
      </c>
      <c r="AC28" s="31">
        <v>1</v>
      </c>
      <c r="AD28" s="31">
        <v>0</v>
      </c>
      <c r="AE28" s="31">
        <v>38</v>
      </c>
      <c r="AF28" s="31">
        <v>7</v>
      </c>
      <c r="AG28" s="31">
        <v>0</v>
      </c>
      <c r="AH28" s="31">
        <v>9</v>
      </c>
      <c r="AI28" s="31">
        <v>1</v>
      </c>
      <c r="AJ28" s="31">
        <v>0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166</v>
      </c>
      <c r="E29" s="22">
        <v>116</v>
      </c>
      <c r="F29" s="22">
        <v>50</v>
      </c>
      <c r="G29" s="22">
        <v>0</v>
      </c>
      <c r="H29" s="22">
        <v>54</v>
      </c>
      <c r="I29" s="22">
        <v>38</v>
      </c>
      <c r="J29" s="22">
        <v>3</v>
      </c>
      <c r="K29" s="22">
        <v>0</v>
      </c>
      <c r="L29" s="22">
        <v>0</v>
      </c>
      <c r="M29" s="22">
        <v>1</v>
      </c>
      <c r="N29" s="22">
        <v>0</v>
      </c>
      <c r="O29" s="22">
        <v>0</v>
      </c>
      <c r="P29" s="22">
        <v>2</v>
      </c>
      <c r="Q29" s="22">
        <v>3</v>
      </c>
      <c r="R29" s="22">
        <v>0</v>
      </c>
      <c r="S29" s="22">
        <v>3</v>
      </c>
      <c r="T29" s="22">
        <v>0</v>
      </c>
      <c r="U29" s="22">
        <v>0</v>
      </c>
      <c r="V29" s="22">
        <v>1</v>
      </c>
      <c r="W29" s="22">
        <v>0</v>
      </c>
      <c r="X29" s="22">
        <v>0</v>
      </c>
      <c r="Y29" s="22">
        <v>5</v>
      </c>
      <c r="Z29" s="22">
        <v>0</v>
      </c>
      <c r="AA29" s="22">
        <v>0</v>
      </c>
      <c r="AB29" s="22">
        <v>1</v>
      </c>
      <c r="AC29" s="22">
        <v>1</v>
      </c>
      <c r="AD29" s="22">
        <v>0</v>
      </c>
      <c r="AE29" s="22">
        <v>38</v>
      </c>
      <c r="AF29" s="22">
        <v>7</v>
      </c>
      <c r="AG29" s="22">
        <v>0</v>
      </c>
      <c r="AH29" s="22">
        <v>8</v>
      </c>
      <c r="AI29" s="22">
        <v>1</v>
      </c>
      <c r="AJ29" s="22">
        <v>0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9</v>
      </c>
      <c r="E30" s="22">
        <v>8</v>
      </c>
      <c r="F30" s="22">
        <v>1</v>
      </c>
      <c r="G30" s="22">
        <v>0</v>
      </c>
      <c r="H30" s="22">
        <v>5</v>
      </c>
      <c r="I30" s="22">
        <v>1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1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1</v>
      </c>
      <c r="AI30" s="22">
        <v>0</v>
      </c>
      <c r="AJ30" s="22">
        <v>0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269</v>
      </c>
      <c r="E31" s="31">
        <v>180</v>
      </c>
      <c r="F31" s="31">
        <v>81</v>
      </c>
      <c r="G31" s="31">
        <v>8</v>
      </c>
      <c r="H31" s="31">
        <v>102</v>
      </c>
      <c r="I31" s="31">
        <v>66</v>
      </c>
      <c r="J31" s="31">
        <v>9</v>
      </c>
      <c r="K31" s="31">
        <v>4</v>
      </c>
      <c r="L31" s="31">
        <v>0</v>
      </c>
      <c r="M31" s="31">
        <v>2</v>
      </c>
      <c r="N31" s="31">
        <v>0</v>
      </c>
      <c r="O31" s="31">
        <v>0</v>
      </c>
      <c r="P31" s="31">
        <v>10</v>
      </c>
      <c r="Q31" s="31">
        <v>2</v>
      </c>
      <c r="R31" s="31">
        <v>0</v>
      </c>
      <c r="S31" s="31">
        <v>7</v>
      </c>
      <c r="T31" s="31">
        <v>3</v>
      </c>
      <c r="U31" s="31">
        <v>0</v>
      </c>
      <c r="V31" s="31">
        <v>0</v>
      </c>
      <c r="W31" s="31">
        <v>0</v>
      </c>
      <c r="X31" s="31">
        <v>0</v>
      </c>
      <c r="Y31" s="31">
        <v>2</v>
      </c>
      <c r="Z31" s="31">
        <v>1</v>
      </c>
      <c r="AA31" s="31">
        <v>0</v>
      </c>
      <c r="AB31" s="31">
        <v>0</v>
      </c>
      <c r="AC31" s="31">
        <v>2</v>
      </c>
      <c r="AD31" s="31">
        <v>0</v>
      </c>
      <c r="AE31" s="31">
        <v>20</v>
      </c>
      <c r="AF31" s="31">
        <v>0</v>
      </c>
      <c r="AG31" s="31">
        <v>0</v>
      </c>
      <c r="AH31" s="31">
        <v>28</v>
      </c>
      <c r="AI31" s="31">
        <v>3</v>
      </c>
      <c r="AJ31" s="31">
        <v>8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242</v>
      </c>
      <c r="E32" s="22">
        <v>160</v>
      </c>
      <c r="F32" s="22">
        <v>74</v>
      </c>
      <c r="G32" s="22">
        <v>8</v>
      </c>
      <c r="H32" s="22">
        <v>89</v>
      </c>
      <c r="I32" s="22">
        <v>63</v>
      </c>
      <c r="J32" s="22">
        <v>9</v>
      </c>
      <c r="K32" s="22">
        <v>1</v>
      </c>
      <c r="L32" s="22">
        <v>0</v>
      </c>
      <c r="M32" s="22">
        <v>2</v>
      </c>
      <c r="N32" s="22">
        <v>0</v>
      </c>
      <c r="O32" s="22">
        <v>0</v>
      </c>
      <c r="P32" s="22">
        <v>8</v>
      </c>
      <c r="Q32" s="22">
        <v>1</v>
      </c>
      <c r="R32" s="22">
        <v>0</v>
      </c>
      <c r="S32" s="22">
        <v>6</v>
      </c>
      <c r="T32" s="22">
        <v>3</v>
      </c>
      <c r="U32" s="22">
        <v>0</v>
      </c>
      <c r="V32" s="22">
        <v>0</v>
      </c>
      <c r="W32" s="22">
        <v>0</v>
      </c>
      <c r="X32" s="22">
        <v>0</v>
      </c>
      <c r="Y32" s="22">
        <v>2</v>
      </c>
      <c r="Z32" s="22">
        <v>1</v>
      </c>
      <c r="AA32" s="22">
        <v>0</v>
      </c>
      <c r="AB32" s="22">
        <v>0</v>
      </c>
      <c r="AC32" s="22">
        <v>2</v>
      </c>
      <c r="AD32" s="22">
        <v>0</v>
      </c>
      <c r="AE32" s="22">
        <v>18</v>
      </c>
      <c r="AF32" s="22">
        <v>0</v>
      </c>
      <c r="AG32" s="22">
        <v>0</v>
      </c>
      <c r="AH32" s="22">
        <v>26</v>
      </c>
      <c r="AI32" s="22">
        <v>3</v>
      </c>
      <c r="AJ32" s="22">
        <v>8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27</v>
      </c>
      <c r="E33" s="22">
        <v>20</v>
      </c>
      <c r="F33" s="22">
        <v>7</v>
      </c>
      <c r="G33" s="22">
        <v>0</v>
      </c>
      <c r="H33" s="22">
        <v>13</v>
      </c>
      <c r="I33" s="22">
        <v>3</v>
      </c>
      <c r="J33" s="22">
        <v>0</v>
      </c>
      <c r="K33" s="22">
        <v>3</v>
      </c>
      <c r="L33" s="22">
        <v>0</v>
      </c>
      <c r="M33" s="22">
        <v>0</v>
      </c>
      <c r="N33" s="22">
        <v>0</v>
      </c>
      <c r="O33" s="22">
        <v>0</v>
      </c>
      <c r="P33" s="22">
        <v>2</v>
      </c>
      <c r="Q33" s="22">
        <v>1</v>
      </c>
      <c r="R33" s="22">
        <v>0</v>
      </c>
      <c r="S33" s="22">
        <v>1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2</v>
      </c>
      <c r="AF33" s="22">
        <v>0</v>
      </c>
      <c r="AG33" s="22">
        <v>0</v>
      </c>
      <c r="AH33" s="22">
        <v>2</v>
      </c>
      <c r="AI33" s="22">
        <v>0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152</v>
      </c>
      <c r="E34" s="31">
        <v>123</v>
      </c>
      <c r="F34" s="31">
        <v>29</v>
      </c>
      <c r="G34" s="31">
        <v>0</v>
      </c>
      <c r="H34" s="31">
        <v>30</v>
      </c>
      <c r="I34" s="31">
        <v>27</v>
      </c>
      <c r="J34" s="31">
        <v>3</v>
      </c>
      <c r="K34" s="31">
        <v>0</v>
      </c>
      <c r="L34" s="31">
        <v>0</v>
      </c>
      <c r="M34" s="31">
        <v>4</v>
      </c>
      <c r="N34" s="31">
        <v>0</v>
      </c>
      <c r="O34" s="31">
        <v>0</v>
      </c>
      <c r="P34" s="31">
        <v>3</v>
      </c>
      <c r="Q34" s="31">
        <v>0</v>
      </c>
      <c r="R34" s="31">
        <v>0</v>
      </c>
      <c r="S34" s="31">
        <v>7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12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60</v>
      </c>
      <c r="AF34" s="31">
        <v>1</v>
      </c>
      <c r="AG34" s="31">
        <v>0</v>
      </c>
      <c r="AH34" s="31">
        <v>4</v>
      </c>
      <c r="AI34" s="31">
        <v>1</v>
      </c>
      <c r="AJ34" s="31">
        <v>0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140</v>
      </c>
      <c r="E35" s="22">
        <v>117</v>
      </c>
      <c r="F35" s="22">
        <v>23</v>
      </c>
      <c r="G35" s="22">
        <v>0</v>
      </c>
      <c r="H35" s="22">
        <v>28</v>
      </c>
      <c r="I35" s="22">
        <v>21</v>
      </c>
      <c r="J35" s="22">
        <v>3</v>
      </c>
      <c r="K35" s="22">
        <v>0</v>
      </c>
      <c r="L35" s="22">
        <v>0</v>
      </c>
      <c r="M35" s="22">
        <v>4</v>
      </c>
      <c r="N35" s="22">
        <v>0</v>
      </c>
      <c r="O35" s="22">
        <v>0</v>
      </c>
      <c r="P35" s="22">
        <v>3</v>
      </c>
      <c r="Q35" s="22">
        <v>0</v>
      </c>
      <c r="R35" s="22">
        <v>0</v>
      </c>
      <c r="S35" s="22">
        <v>6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12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57</v>
      </c>
      <c r="AF35" s="22">
        <v>1</v>
      </c>
      <c r="AG35" s="22">
        <v>0</v>
      </c>
      <c r="AH35" s="22">
        <v>4</v>
      </c>
      <c r="AI35" s="22">
        <v>1</v>
      </c>
      <c r="AJ35" s="22">
        <v>0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12</v>
      </c>
      <c r="E36" s="22">
        <v>6</v>
      </c>
      <c r="F36" s="22">
        <v>6</v>
      </c>
      <c r="G36" s="22">
        <v>0</v>
      </c>
      <c r="H36" s="22">
        <v>2</v>
      </c>
      <c r="I36" s="22">
        <v>6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1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3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518</v>
      </c>
      <c r="E37" s="31">
        <v>351</v>
      </c>
      <c r="F37" s="31">
        <v>163</v>
      </c>
      <c r="G37" s="31">
        <v>4</v>
      </c>
      <c r="H37" s="31">
        <v>167</v>
      </c>
      <c r="I37" s="31">
        <v>117</v>
      </c>
      <c r="J37" s="31">
        <v>12</v>
      </c>
      <c r="K37" s="31">
        <v>3</v>
      </c>
      <c r="L37" s="31">
        <v>0</v>
      </c>
      <c r="M37" s="31">
        <v>7</v>
      </c>
      <c r="N37" s="31">
        <v>9</v>
      </c>
      <c r="O37" s="31">
        <v>0</v>
      </c>
      <c r="P37" s="31">
        <v>16</v>
      </c>
      <c r="Q37" s="31">
        <v>2</v>
      </c>
      <c r="R37" s="31">
        <v>0</v>
      </c>
      <c r="S37" s="31">
        <v>15</v>
      </c>
      <c r="T37" s="31">
        <v>5</v>
      </c>
      <c r="U37" s="31">
        <v>0</v>
      </c>
      <c r="V37" s="31">
        <v>3</v>
      </c>
      <c r="W37" s="31">
        <v>1</v>
      </c>
      <c r="X37" s="31">
        <v>0</v>
      </c>
      <c r="Y37" s="31">
        <v>12</v>
      </c>
      <c r="Z37" s="31">
        <v>1</v>
      </c>
      <c r="AA37" s="31">
        <v>0</v>
      </c>
      <c r="AB37" s="31">
        <v>0</v>
      </c>
      <c r="AC37" s="31">
        <v>0</v>
      </c>
      <c r="AD37" s="31">
        <v>0</v>
      </c>
      <c r="AE37" s="31">
        <v>78</v>
      </c>
      <c r="AF37" s="31">
        <v>14</v>
      </c>
      <c r="AG37" s="31">
        <v>0</v>
      </c>
      <c r="AH37" s="31">
        <v>41</v>
      </c>
      <c r="AI37" s="31">
        <v>11</v>
      </c>
      <c r="AJ37" s="31">
        <v>4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505</v>
      </c>
      <c r="E38" s="22">
        <v>341</v>
      </c>
      <c r="F38" s="22">
        <v>160</v>
      </c>
      <c r="G38" s="22">
        <v>4</v>
      </c>
      <c r="H38" s="22">
        <v>160</v>
      </c>
      <c r="I38" s="22">
        <v>114</v>
      </c>
      <c r="J38" s="22">
        <v>12</v>
      </c>
      <c r="K38" s="22">
        <v>3</v>
      </c>
      <c r="L38" s="22">
        <v>0</v>
      </c>
      <c r="M38" s="22">
        <v>6</v>
      </c>
      <c r="N38" s="22">
        <v>9</v>
      </c>
      <c r="O38" s="22">
        <v>0</v>
      </c>
      <c r="P38" s="22">
        <v>16</v>
      </c>
      <c r="Q38" s="22">
        <v>2</v>
      </c>
      <c r="R38" s="22">
        <v>0</v>
      </c>
      <c r="S38" s="22">
        <v>13</v>
      </c>
      <c r="T38" s="22">
        <v>5</v>
      </c>
      <c r="U38" s="22">
        <v>0</v>
      </c>
      <c r="V38" s="22">
        <v>3</v>
      </c>
      <c r="W38" s="22">
        <v>1</v>
      </c>
      <c r="X38" s="22">
        <v>0</v>
      </c>
      <c r="Y38" s="22">
        <v>12</v>
      </c>
      <c r="Z38" s="22">
        <v>1</v>
      </c>
      <c r="AA38" s="22">
        <v>0</v>
      </c>
      <c r="AB38" s="22">
        <v>0</v>
      </c>
      <c r="AC38" s="22">
        <v>0</v>
      </c>
      <c r="AD38" s="22">
        <v>0</v>
      </c>
      <c r="AE38" s="22">
        <v>78</v>
      </c>
      <c r="AF38" s="22">
        <v>14</v>
      </c>
      <c r="AG38" s="22">
        <v>0</v>
      </c>
      <c r="AH38" s="22">
        <v>41</v>
      </c>
      <c r="AI38" s="22">
        <v>11</v>
      </c>
      <c r="AJ38" s="22">
        <v>4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13</v>
      </c>
      <c r="E39" s="22">
        <v>10</v>
      </c>
      <c r="F39" s="22">
        <v>3</v>
      </c>
      <c r="G39" s="22">
        <v>0</v>
      </c>
      <c r="H39" s="22">
        <v>7</v>
      </c>
      <c r="I39" s="22">
        <v>3</v>
      </c>
      <c r="J39" s="22">
        <v>0</v>
      </c>
      <c r="K39" s="22">
        <v>0</v>
      </c>
      <c r="L39" s="22">
        <v>0</v>
      </c>
      <c r="M39" s="22">
        <v>1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2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224</v>
      </c>
      <c r="E40" s="31">
        <v>147</v>
      </c>
      <c r="F40" s="31">
        <v>72</v>
      </c>
      <c r="G40" s="31">
        <v>5</v>
      </c>
      <c r="H40" s="31">
        <v>61</v>
      </c>
      <c r="I40" s="31">
        <v>57</v>
      </c>
      <c r="J40" s="31">
        <v>7</v>
      </c>
      <c r="K40" s="31">
        <v>3</v>
      </c>
      <c r="L40" s="31">
        <v>0</v>
      </c>
      <c r="M40" s="31">
        <v>1</v>
      </c>
      <c r="N40" s="31">
        <v>2</v>
      </c>
      <c r="O40" s="31">
        <v>0</v>
      </c>
      <c r="P40" s="31">
        <v>17</v>
      </c>
      <c r="Q40" s="31">
        <v>0</v>
      </c>
      <c r="R40" s="31">
        <v>0</v>
      </c>
      <c r="S40" s="31">
        <v>3</v>
      </c>
      <c r="T40" s="31">
        <v>1</v>
      </c>
      <c r="U40" s="31">
        <v>0</v>
      </c>
      <c r="V40" s="31">
        <v>1</v>
      </c>
      <c r="W40" s="31">
        <v>1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26</v>
      </c>
      <c r="AF40" s="31">
        <v>2</v>
      </c>
      <c r="AG40" s="31">
        <v>0</v>
      </c>
      <c r="AH40" s="31">
        <v>31</v>
      </c>
      <c r="AI40" s="31">
        <v>6</v>
      </c>
      <c r="AJ40" s="31">
        <v>5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180</v>
      </c>
      <c r="E41" s="22">
        <v>117</v>
      </c>
      <c r="F41" s="22">
        <v>58</v>
      </c>
      <c r="G41" s="22">
        <v>5</v>
      </c>
      <c r="H41" s="22">
        <v>50</v>
      </c>
      <c r="I41" s="22">
        <v>47</v>
      </c>
      <c r="J41" s="22">
        <v>4</v>
      </c>
      <c r="K41" s="22">
        <v>3</v>
      </c>
      <c r="L41" s="22">
        <v>0</v>
      </c>
      <c r="M41" s="22">
        <v>1</v>
      </c>
      <c r="N41" s="22">
        <v>0</v>
      </c>
      <c r="O41" s="22">
        <v>0</v>
      </c>
      <c r="P41" s="22">
        <v>12</v>
      </c>
      <c r="Q41" s="22">
        <v>0</v>
      </c>
      <c r="R41" s="22">
        <v>0</v>
      </c>
      <c r="S41" s="22">
        <v>3</v>
      </c>
      <c r="T41" s="22">
        <v>0</v>
      </c>
      <c r="U41" s="22">
        <v>0</v>
      </c>
      <c r="V41" s="22">
        <v>1</v>
      </c>
      <c r="W41" s="22">
        <v>1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21</v>
      </c>
      <c r="AF41" s="22">
        <v>2</v>
      </c>
      <c r="AG41" s="22">
        <v>0</v>
      </c>
      <c r="AH41" s="22">
        <v>25</v>
      </c>
      <c r="AI41" s="22">
        <v>5</v>
      </c>
      <c r="AJ41" s="22">
        <v>5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44</v>
      </c>
      <c r="E42" s="22">
        <v>30</v>
      </c>
      <c r="F42" s="22">
        <v>14</v>
      </c>
      <c r="G42" s="22">
        <v>0</v>
      </c>
      <c r="H42" s="22">
        <v>11</v>
      </c>
      <c r="I42" s="22">
        <v>10</v>
      </c>
      <c r="J42" s="22">
        <v>3</v>
      </c>
      <c r="K42" s="22">
        <v>0</v>
      </c>
      <c r="L42" s="22">
        <v>0</v>
      </c>
      <c r="M42" s="22">
        <v>0</v>
      </c>
      <c r="N42" s="22">
        <v>2</v>
      </c>
      <c r="O42" s="22">
        <v>0</v>
      </c>
      <c r="P42" s="22">
        <v>5</v>
      </c>
      <c r="Q42" s="22">
        <v>0</v>
      </c>
      <c r="R42" s="22">
        <v>0</v>
      </c>
      <c r="S42" s="22">
        <v>0</v>
      </c>
      <c r="T42" s="22">
        <v>1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5</v>
      </c>
      <c r="AF42" s="22">
        <v>0</v>
      </c>
      <c r="AG42" s="22">
        <v>0</v>
      </c>
      <c r="AH42" s="22">
        <v>6</v>
      </c>
      <c r="AI42" s="22">
        <v>1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277</v>
      </c>
      <c r="E43" s="31">
        <v>193</v>
      </c>
      <c r="F43" s="31">
        <v>84</v>
      </c>
      <c r="G43" s="31">
        <v>0</v>
      </c>
      <c r="H43" s="31">
        <v>71</v>
      </c>
      <c r="I43" s="31">
        <v>58</v>
      </c>
      <c r="J43" s="31">
        <v>9</v>
      </c>
      <c r="K43" s="31">
        <v>3</v>
      </c>
      <c r="L43" s="31">
        <v>0</v>
      </c>
      <c r="M43" s="31">
        <v>1</v>
      </c>
      <c r="N43" s="31">
        <v>1</v>
      </c>
      <c r="O43" s="31">
        <v>0</v>
      </c>
      <c r="P43" s="31">
        <v>12</v>
      </c>
      <c r="Q43" s="31">
        <v>2</v>
      </c>
      <c r="R43" s="31">
        <v>0</v>
      </c>
      <c r="S43" s="31">
        <v>11</v>
      </c>
      <c r="T43" s="31">
        <v>4</v>
      </c>
      <c r="U43" s="31">
        <v>0</v>
      </c>
      <c r="V43" s="31">
        <v>2</v>
      </c>
      <c r="W43" s="31">
        <v>0</v>
      </c>
      <c r="X43" s="31">
        <v>0</v>
      </c>
      <c r="Y43" s="31">
        <v>6</v>
      </c>
      <c r="Z43" s="31">
        <v>3</v>
      </c>
      <c r="AA43" s="31">
        <v>0</v>
      </c>
      <c r="AB43" s="31">
        <v>0</v>
      </c>
      <c r="AC43" s="31">
        <v>2</v>
      </c>
      <c r="AD43" s="31">
        <v>0</v>
      </c>
      <c r="AE43" s="31">
        <v>72</v>
      </c>
      <c r="AF43" s="31">
        <v>11</v>
      </c>
      <c r="AG43" s="31">
        <v>0</v>
      </c>
      <c r="AH43" s="31">
        <v>9</v>
      </c>
      <c r="AI43" s="31">
        <v>0</v>
      </c>
      <c r="AJ43" s="31">
        <v>0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275</v>
      </c>
      <c r="E44" s="22">
        <v>193</v>
      </c>
      <c r="F44" s="22">
        <v>82</v>
      </c>
      <c r="G44" s="22">
        <v>0</v>
      </c>
      <c r="H44" s="22">
        <v>71</v>
      </c>
      <c r="I44" s="22">
        <v>56</v>
      </c>
      <c r="J44" s="22">
        <v>9</v>
      </c>
      <c r="K44" s="22">
        <v>3</v>
      </c>
      <c r="L44" s="22">
        <v>0</v>
      </c>
      <c r="M44" s="22">
        <v>1</v>
      </c>
      <c r="N44" s="22">
        <v>1</v>
      </c>
      <c r="O44" s="22">
        <v>0</v>
      </c>
      <c r="P44" s="22">
        <v>12</v>
      </c>
      <c r="Q44" s="22">
        <v>2</v>
      </c>
      <c r="R44" s="22">
        <v>0</v>
      </c>
      <c r="S44" s="22">
        <v>11</v>
      </c>
      <c r="T44" s="22">
        <v>4</v>
      </c>
      <c r="U44" s="22">
        <v>0</v>
      </c>
      <c r="V44" s="22">
        <v>2</v>
      </c>
      <c r="W44" s="22">
        <v>0</v>
      </c>
      <c r="X44" s="22">
        <v>0</v>
      </c>
      <c r="Y44" s="22">
        <v>6</v>
      </c>
      <c r="Z44" s="22">
        <v>3</v>
      </c>
      <c r="AA44" s="22">
        <v>0</v>
      </c>
      <c r="AB44" s="22">
        <v>0</v>
      </c>
      <c r="AC44" s="22">
        <v>2</v>
      </c>
      <c r="AD44" s="22">
        <v>0</v>
      </c>
      <c r="AE44" s="22">
        <v>72</v>
      </c>
      <c r="AF44" s="22">
        <v>11</v>
      </c>
      <c r="AG44" s="22">
        <v>0</v>
      </c>
      <c r="AH44" s="22">
        <v>9</v>
      </c>
      <c r="AI44" s="22">
        <v>0</v>
      </c>
      <c r="AJ44" s="22">
        <v>0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2</v>
      </c>
      <c r="E45" s="22">
        <v>0</v>
      </c>
      <c r="F45" s="22">
        <v>2</v>
      </c>
      <c r="G45" s="22">
        <v>0</v>
      </c>
      <c r="H45" s="22">
        <v>0</v>
      </c>
      <c r="I45" s="22">
        <v>2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229</v>
      </c>
      <c r="E46" s="31">
        <v>163</v>
      </c>
      <c r="F46" s="31">
        <v>66</v>
      </c>
      <c r="G46" s="31">
        <v>0</v>
      </c>
      <c r="H46" s="31">
        <v>66</v>
      </c>
      <c r="I46" s="31">
        <v>38</v>
      </c>
      <c r="J46" s="31">
        <v>7</v>
      </c>
      <c r="K46" s="31">
        <v>1</v>
      </c>
      <c r="L46" s="31">
        <v>0</v>
      </c>
      <c r="M46" s="31">
        <v>1</v>
      </c>
      <c r="N46" s="31">
        <v>6</v>
      </c>
      <c r="O46" s="31">
        <v>0</v>
      </c>
      <c r="P46" s="31">
        <v>9</v>
      </c>
      <c r="Q46" s="31">
        <v>5</v>
      </c>
      <c r="R46" s="31">
        <v>0</v>
      </c>
      <c r="S46" s="31">
        <v>4</v>
      </c>
      <c r="T46" s="31">
        <v>1</v>
      </c>
      <c r="U46" s="31">
        <v>0</v>
      </c>
      <c r="V46" s="31">
        <v>6</v>
      </c>
      <c r="W46" s="31">
        <v>1</v>
      </c>
      <c r="X46" s="31">
        <v>0</v>
      </c>
      <c r="Y46" s="31">
        <v>17</v>
      </c>
      <c r="Z46" s="31">
        <v>2</v>
      </c>
      <c r="AA46" s="31">
        <v>0</v>
      </c>
      <c r="AB46" s="31">
        <v>0</v>
      </c>
      <c r="AC46" s="31">
        <v>1</v>
      </c>
      <c r="AD46" s="31">
        <v>0</v>
      </c>
      <c r="AE46" s="31">
        <v>48</v>
      </c>
      <c r="AF46" s="31">
        <v>8</v>
      </c>
      <c r="AG46" s="31">
        <v>0</v>
      </c>
      <c r="AH46" s="31">
        <v>5</v>
      </c>
      <c r="AI46" s="31">
        <v>3</v>
      </c>
      <c r="AJ46" s="31">
        <v>0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216</v>
      </c>
      <c r="E47" s="22">
        <v>151</v>
      </c>
      <c r="F47" s="22">
        <v>65</v>
      </c>
      <c r="G47" s="22">
        <v>0</v>
      </c>
      <c r="H47" s="22">
        <v>64</v>
      </c>
      <c r="I47" s="22">
        <v>37</v>
      </c>
      <c r="J47" s="22">
        <v>6</v>
      </c>
      <c r="K47" s="22">
        <v>1</v>
      </c>
      <c r="L47" s="22">
        <v>0</v>
      </c>
      <c r="M47" s="22">
        <v>1</v>
      </c>
      <c r="N47" s="22">
        <v>6</v>
      </c>
      <c r="O47" s="22">
        <v>0</v>
      </c>
      <c r="P47" s="22">
        <v>7</v>
      </c>
      <c r="Q47" s="22">
        <v>5</v>
      </c>
      <c r="R47" s="22">
        <v>0</v>
      </c>
      <c r="S47" s="22">
        <v>2</v>
      </c>
      <c r="T47" s="22">
        <v>1</v>
      </c>
      <c r="U47" s="22">
        <v>0</v>
      </c>
      <c r="V47" s="22">
        <v>6</v>
      </c>
      <c r="W47" s="22">
        <v>1</v>
      </c>
      <c r="X47" s="22">
        <v>0</v>
      </c>
      <c r="Y47" s="22">
        <v>15</v>
      </c>
      <c r="Z47" s="22">
        <v>2</v>
      </c>
      <c r="AA47" s="22">
        <v>0</v>
      </c>
      <c r="AB47" s="22">
        <v>0</v>
      </c>
      <c r="AC47" s="22">
        <v>1</v>
      </c>
      <c r="AD47" s="22">
        <v>0</v>
      </c>
      <c r="AE47" s="22">
        <v>46</v>
      </c>
      <c r="AF47" s="22">
        <v>8</v>
      </c>
      <c r="AG47" s="22">
        <v>0</v>
      </c>
      <c r="AH47" s="22">
        <v>4</v>
      </c>
      <c r="AI47" s="22">
        <v>3</v>
      </c>
      <c r="AJ47" s="22">
        <v>0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13</v>
      </c>
      <c r="E48" s="22">
        <v>12</v>
      </c>
      <c r="F48" s="22">
        <v>1</v>
      </c>
      <c r="G48" s="22">
        <v>0</v>
      </c>
      <c r="H48" s="22">
        <v>2</v>
      </c>
      <c r="I48" s="22">
        <v>1</v>
      </c>
      <c r="J48" s="22">
        <v>1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2</v>
      </c>
      <c r="Q48" s="22">
        <v>0</v>
      </c>
      <c r="R48" s="22">
        <v>0</v>
      </c>
      <c r="S48" s="22">
        <v>2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2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2</v>
      </c>
      <c r="AF48" s="22">
        <v>0</v>
      </c>
      <c r="AG48" s="22">
        <v>0</v>
      </c>
      <c r="AH48" s="22">
        <v>1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465</v>
      </c>
      <c r="E49" s="31">
        <v>324</v>
      </c>
      <c r="F49" s="31">
        <v>139</v>
      </c>
      <c r="G49" s="31">
        <v>2</v>
      </c>
      <c r="H49" s="31">
        <v>125</v>
      </c>
      <c r="I49" s="31">
        <v>109</v>
      </c>
      <c r="J49" s="31">
        <v>24</v>
      </c>
      <c r="K49" s="31">
        <v>3</v>
      </c>
      <c r="L49" s="31">
        <v>0</v>
      </c>
      <c r="M49" s="31">
        <v>12</v>
      </c>
      <c r="N49" s="31">
        <v>6</v>
      </c>
      <c r="O49" s="31">
        <v>0</v>
      </c>
      <c r="P49" s="31">
        <v>17</v>
      </c>
      <c r="Q49" s="31">
        <v>2</v>
      </c>
      <c r="R49" s="31">
        <v>0</v>
      </c>
      <c r="S49" s="31">
        <v>13</v>
      </c>
      <c r="T49" s="31">
        <v>5</v>
      </c>
      <c r="U49" s="31">
        <v>0</v>
      </c>
      <c r="V49" s="31">
        <v>11</v>
      </c>
      <c r="W49" s="31">
        <v>1</v>
      </c>
      <c r="X49" s="31">
        <v>0</v>
      </c>
      <c r="Y49" s="31">
        <v>8</v>
      </c>
      <c r="Z49" s="31">
        <v>1</v>
      </c>
      <c r="AA49" s="31">
        <v>0</v>
      </c>
      <c r="AB49" s="31">
        <v>0</v>
      </c>
      <c r="AC49" s="31">
        <v>0</v>
      </c>
      <c r="AD49" s="31">
        <v>0</v>
      </c>
      <c r="AE49" s="31">
        <v>77</v>
      </c>
      <c r="AF49" s="31">
        <v>9</v>
      </c>
      <c r="AG49" s="31">
        <v>0</v>
      </c>
      <c r="AH49" s="31">
        <v>37</v>
      </c>
      <c r="AI49" s="31">
        <v>3</v>
      </c>
      <c r="AJ49" s="31">
        <v>2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407</v>
      </c>
      <c r="E50" s="22">
        <v>278</v>
      </c>
      <c r="F50" s="22">
        <v>127</v>
      </c>
      <c r="G50" s="22">
        <v>2</v>
      </c>
      <c r="H50" s="22">
        <v>114</v>
      </c>
      <c r="I50" s="22">
        <v>100</v>
      </c>
      <c r="J50" s="22">
        <v>18</v>
      </c>
      <c r="K50" s="22">
        <v>3</v>
      </c>
      <c r="L50" s="22">
        <v>0</v>
      </c>
      <c r="M50" s="22">
        <v>10</v>
      </c>
      <c r="N50" s="22">
        <v>6</v>
      </c>
      <c r="O50" s="22">
        <v>0</v>
      </c>
      <c r="P50" s="22">
        <v>13</v>
      </c>
      <c r="Q50" s="22">
        <v>2</v>
      </c>
      <c r="R50" s="22">
        <v>0</v>
      </c>
      <c r="S50" s="22">
        <v>11</v>
      </c>
      <c r="T50" s="22">
        <v>5</v>
      </c>
      <c r="U50" s="22">
        <v>0</v>
      </c>
      <c r="V50" s="22">
        <v>11</v>
      </c>
      <c r="W50" s="22">
        <v>1</v>
      </c>
      <c r="X50" s="22">
        <v>0</v>
      </c>
      <c r="Y50" s="22">
        <v>5</v>
      </c>
      <c r="Z50" s="22">
        <v>1</v>
      </c>
      <c r="AA50" s="22">
        <v>0</v>
      </c>
      <c r="AB50" s="22">
        <v>0</v>
      </c>
      <c r="AC50" s="22">
        <v>0</v>
      </c>
      <c r="AD50" s="22">
        <v>0</v>
      </c>
      <c r="AE50" s="22">
        <v>65</v>
      </c>
      <c r="AF50" s="22">
        <v>7</v>
      </c>
      <c r="AG50" s="22">
        <v>0</v>
      </c>
      <c r="AH50" s="22">
        <v>31</v>
      </c>
      <c r="AI50" s="22">
        <v>2</v>
      </c>
      <c r="AJ50" s="22">
        <v>2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58</v>
      </c>
      <c r="E51" s="22">
        <v>46</v>
      </c>
      <c r="F51" s="22">
        <v>12</v>
      </c>
      <c r="G51" s="22">
        <v>0</v>
      </c>
      <c r="H51" s="22">
        <v>11</v>
      </c>
      <c r="I51" s="22">
        <v>9</v>
      </c>
      <c r="J51" s="22">
        <v>6</v>
      </c>
      <c r="K51" s="22">
        <v>0</v>
      </c>
      <c r="L51" s="22">
        <v>0</v>
      </c>
      <c r="M51" s="22">
        <v>2</v>
      </c>
      <c r="N51" s="22">
        <v>0</v>
      </c>
      <c r="O51" s="22">
        <v>0</v>
      </c>
      <c r="P51" s="22">
        <v>4</v>
      </c>
      <c r="Q51" s="22">
        <v>0</v>
      </c>
      <c r="R51" s="22">
        <v>0</v>
      </c>
      <c r="S51" s="22">
        <v>2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3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12</v>
      </c>
      <c r="AF51" s="22">
        <v>2</v>
      </c>
      <c r="AG51" s="22">
        <v>0</v>
      </c>
      <c r="AH51" s="22">
        <v>6</v>
      </c>
      <c r="AI51" s="22">
        <v>1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202</v>
      </c>
      <c r="E52" s="31">
        <v>145</v>
      </c>
      <c r="F52" s="31">
        <v>53</v>
      </c>
      <c r="G52" s="31">
        <v>4</v>
      </c>
      <c r="H52" s="31">
        <v>64</v>
      </c>
      <c r="I52" s="31">
        <v>39</v>
      </c>
      <c r="J52" s="31">
        <v>7</v>
      </c>
      <c r="K52" s="31">
        <v>1</v>
      </c>
      <c r="L52" s="31">
        <v>0</v>
      </c>
      <c r="M52" s="31">
        <v>3</v>
      </c>
      <c r="N52" s="31">
        <v>2</v>
      </c>
      <c r="O52" s="31">
        <v>0</v>
      </c>
      <c r="P52" s="31">
        <v>9</v>
      </c>
      <c r="Q52" s="31">
        <v>2</v>
      </c>
      <c r="R52" s="31">
        <v>0</v>
      </c>
      <c r="S52" s="31">
        <v>7</v>
      </c>
      <c r="T52" s="31">
        <v>0</v>
      </c>
      <c r="U52" s="31">
        <v>0</v>
      </c>
      <c r="V52" s="31">
        <v>2</v>
      </c>
      <c r="W52" s="31">
        <v>1</v>
      </c>
      <c r="X52" s="31">
        <v>0</v>
      </c>
      <c r="Y52" s="31">
        <v>2</v>
      </c>
      <c r="Z52" s="31">
        <v>1</v>
      </c>
      <c r="AA52" s="31">
        <v>0</v>
      </c>
      <c r="AB52" s="31">
        <v>0</v>
      </c>
      <c r="AC52" s="31">
        <v>0</v>
      </c>
      <c r="AD52" s="31">
        <v>0</v>
      </c>
      <c r="AE52" s="31">
        <v>26</v>
      </c>
      <c r="AF52" s="31">
        <v>2</v>
      </c>
      <c r="AG52" s="31">
        <v>2</v>
      </c>
      <c r="AH52" s="31">
        <v>25</v>
      </c>
      <c r="AI52" s="31">
        <v>5</v>
      </c>
      <c r="AJ52" s="31">
        <v>2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110</v>
      </c>
      <c r="E53" s="22">
        <v>81</v>
      </c>
      <c r="F53" s="22">
        <v>25</v>
      </c>
      <c r="G53" s="22">
        <v>4</v>
      </c>
      <c r="H53" s="22">
        <v>37</v>
      </c>
      <c r="I53" s="22">
        <v>14</v>
      </c>
      <c r="J53" s="22">
        <v>3</v>
      </c>
      <c r="K53" s="22">
        <v>1</v>
      </c>
      <c r="L53" s="22">
        <v>0</v>
      </c>
      <c r="M53" s="22">
        <v>2</v>
      </c>
      <c r="N53" s="22">
        <v>1</v>
      </c>
      <c r="O53" s="22">
        <v>0</v>
      </c>
      <c r="P53" s="22">
        <v>6</v>
      </c>
      <c r="Q53" s="22">
        <v>2</v>
      </c>
      <c r="R53" s="22">
        <v>0</v>
      </c>
      <c r="S53" s="22">
        <v>3</v>
      </c>
      <c r="T53" s="22">
        <v>0</v>
      </c>
      <c r="U53" s="22">
        <v>0</v>
      </c>
      <c r="V53" s="22">
        <v>2</v>
      </c>
      <c r="W53" s="22">
        <v>1</v>
      </c>
      <c r="X53" s="22">
        <v>0</v>
      </c>
      <c r="Y53" s="22">
        <v>2</v>
      </c>
      <c r="Z53" s="22">
        <v>1</v>
      </c>
      <c r="AA53" s="22">
        <v>0</v>
      </c>
      <c r="AB53" s="22">
        <v>0</v>
      </c>
      <c r="AC53" s="22">
        <v>0</v>
      </c>
      <c r="AD53" s="22">
        <v>0</v>
      </c>
      <c r="AE53" s="22">
        <v>17</v>
      </c>
      <c r="AF53" s="22">
        <v>1</v>
      </c>
      <c r="AG53" s="22">
        <v>2</v>
      </c>
      <c r="AH53" s="22">
        <v>9</v>
      </c>
      <c r="AI53" s="22">
        <v>4</v>
      </c>
      <c r="AJ53" s="22">
        <v>2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92</v>
      </c>
      <c r="E54" s="22">
        <v>64</v>
      </c>
      <c r="F54" s="22">
        <v>28</v>
      </c>
      <c r="G54" s="22">
        <v>0</v>
      </c>
      <c r="H54" s="22">
        <v>27</v>
      </c>
      <c r="I54" s="22">
        <v>25</v>
      </c>
      <c r="J54" s="22">
        <v>4</v>
      </c>
      <c r="K54" s="22">
        <v>0</v>
      </c>
      <c r="L54" s="22">
        <v>0</v>
      </c>
      <c r="M54" s="22">
        <v>1</v>
      </c>
      <c r="N54" s="22">
        <v>1</v>
      </c>
      <c r="O54" s="22">
        <v>0</v>
      </c>
      <c r="P54" s="22">
        <v>3</v>
      </c>
      <c r="Q54" s="22">
        <v>0</v>
      </c>
      <c r="R54" s="22">
        <v>0</v>
      </c>
      <c r="S54" s="22">
        <v>4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9</v>
      </c>
      <c r="AF54" s="22">
        <v>1</v>
      </c>
      <c r="AG54" s="22">
        <v>0</v>
      </c>
      <c r="AH54" s="22">
        <v>16</v>
      </c>
      <c r="AI54" s="22">
        <v>1</v>
      </c>
      <c r="AJ54" s="22">
        <v>0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296</v>
      </c>
      <c r="E55" s="31">
        <v>213</v>
      </c>
      <c r="F55" s="31">
        <v>83</v>
      </c>
      <c r="G55" s="31">
        <v>0</v>
      </c>
      <c r="H55" s="31">
        <v>63</v>
      </c>
      <c r="I55" s="31">
        <v>64</v>
      </c>
      <c r="J55" s="31">
        <v>5</v>
      </c>
      <c r="K55" s="31">
        <v>2</v>
      </c>
      <c r="L55" s="31">
        <v>0</v>
      </c>
      <c r="M55" s="31">
        <v>4</v>
      </c>
      <c r="N55" s="31">
        <v>4</v>
      </c>
      <c r="O55" s="31">
        <v>0</v>
      </c>
      <c r="P55" s="31">
        <v>16</v>
      </c>
      <c r="Q55" s="31">
        <v>2</v>
      </c>
      <c r="R55" s="31">
        <v>0</v>
      </c>
      <c r="S55" s="31">
        <v>7</v>
      </c>
      <c r="T55" s="31">
        <v>3</v>
      </c>
      <c r="U55" s="31">
        <v>0</v>
      </c>
      <c r="V55" s="31">
        <v>1</v>
      </c>
      <c r="W55" s="31">
        <v>0</v>
      </c>
      <c r="X55" s="31">
        <v>0</v>
      </c>
      <c r="Y55" s="31">
        <v>8</v>
      </c>
      <c r="Z55" s="31">
        <v>2</v>
      </c>
      <c r="AA55" s="31">
        <v>0</v>
      </c>
      <c r="AB55" s="31">
        <v>0</v>
      </c>
      <c r="AC55" s="31">
        <v>2</v>
      </c>
      <c r="AD55" s="31">
        <v>0</v>
      </c>
      <c r="AE55" s="31">
        <v>104</v>
      </c>
      <c r="AF55" s="31">
        <v>3</v>
      </c>
      <c r="AG55" s="31">
        <v>0</v>
      </c>
      <c r="AH55" s="31">
        <v>5</v>
      </c>
      <c r="AI55" s="31">
        <v>1</v>
      </c>
      <c r="AJ55" s="31">
        <v>0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164</v>
      </c>
      <c r="E56" s="22">
        <v>127</v>
      </c>
      <c r="F56" s="22">
        <v>37</v>
      </c>
      <c r="G56" s="22">
        <v>0</v>
      </c>
      <c r="H56" s="22">
        <v>26</v>
      </c>
      <c r="I56" s="22">
        <v>24</v>
      </c>
      <c r="J56" s="22">
        <v>2</v>
      </c>
      <c r="K56" s="22">
        <v>1</v>
      </c>
      <c r="L56" s="22">
        <v>0</v>
      </c>
      <c r="M56" s="22">
        <v>3</v>
      </c>
      <c r="N56" s="22">
        <v>2</v>
      </c>
      <c r="O56" s="22">
        <v>0</v>
      </c>
      <c r="P56" s="22">
        <v>8</v>
      </c>
      <c r="Q56" s="22">
        <v>1</v>
      </c>
      <c r="R56" s="22">
        <v>0</v>
      </c>
      <c r="S56" s="22">
        <v>3</v>
      </c>
      <c r="T56" s="22">
        <v>2</v>
      </c>
      <c r="U56" s="22">
        <v>0</v>
      </c>
      <c r="V56" s="22">
        <v>1</v>
      </c>
      <c r="W56" s="22">
        <v>0</v>
      </c>
      <c r="X56" s="22">
        <v>0</v>
      </c>
      <c r="Y56" s="22">
        <v>6</v>
      </c>
      <c r="Z56" s="22">
        <v>2</v>
      </c>
      <c r="AA56" s="22">
        <v>0</v>
      </c>
      <c r="AB56" s="22">
        <v>0</v>
      </c>
      <c r="AC56" s="22">
        <v>2</v>
      </c>
      <c r="AD56" s="22">
        <v>0</v>
      </c>
      <c r="AE56" s="22">
        <v>76</v>
      </c>
      <c r="AF56" s="22">
        <v>2</v>
      </c>
      <c r="AG56" s="22">
        <v>0</v>
      </c>
      <c r="AH56" s="22">
        <v>2</v>
      </c>
      <c r="AI56" s="22">
        <v>1</v>
      </c>
      <c r="AJ56" s="22">
        <v>0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132</v>
      </c>
      <c r="E57" s="22">
        <v>86</v>
      </c>
      <c r="F57" s="22">
        <v>46</v>
      </c>
      <c r="G57" s="22">
        <v>0</v>
      </c>
      <c r="H57" s="22">
        <v>37</v>
      </c>
      <c r="I57" s="22">
        <v>40</v>
      </c>
      <c r="J57" s="22">
        <v>3</v>
      </c>
      <c r="K57" s="22">
        <v>1</v>
      </c>
      <c r="L57" s="22">
        <v>0</v>
      </c>
      <c r="M57" s="22">
        <v>1</v>
      </c>
      <c r="N57" s="22">
        <v>2</v>
      </c>
      <c r="O57" s="22">
        <v>0</v>
      </c>
      <c r="P57" s="22">
        <v>8</v>
      </c>
      <c r="Q57" s="22">
        <v>1</v>
      </c>
      <c r="R57" s="22">
        <v>0</v>
      </c>
      <c r="S57" s="22">
        <v>4</v>
      </c>
      <c r="T57" s="22">
        <v>1</v>
      </c>
      <c r="U57" s="22">
        <v>0</v>
      </c>
      <c r="V57" s="22">
        <v>0</v>
      </c>
      <c r="W57" s="22">
        <v>0</v>
      </c>
      <c r="X57" s="22">
        <v>0</v>
      </c>
      <c r="Y57" s="22">
        <v>2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28</v>
      </c>
      <c r="AF57" s="22">
        <v>1</v>
      </c>
      <c r="AG57" s="22">
        <v>0</v>
      </c>
      <c r="AH57" s="22">
        <v>3</v>
      </c>
      <c r="AI57" s="22">
        <v>0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25</v>
      </c>
      <c r="E58" s="31">
        <v>19</v>
      </c>
      <c r="F58" s="31">
        <v>6</v>
      </c>
      <c r="G58" s="31">
        <v>0</v>
      </c>
      <c r="H58" s="31">
        <v>5</v>
      </c>
      <c r="I58" s="31">
        <v>4</v>
      </c>
      <c r="J58" s="31">
        <v>2</v>
      </c>
      <c r="K58" s="31">
        <v>0</v>
      </c>
      <c r="L58" s="31">
        <v>0</v>
      </c>
      <c r="M58" s="31">
        <v>0</v>
      </c>
      <c r="N58" s="31">
        <v>1</v>
      </c>
      <c r="O58" s="31">
        <v>0</v>
      </c>
      <c r="P58" s="31">
        <v>2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6</v>
      </c>
      <c r="AF58" s="31">
        <v>0</v>
      </c>
      <c r="AG58" s="31">
        <v>0</v>
      </c>
      <c r="AH58" s="31">
        <v>4</v>
      </c>
      <c r="AI58" s="31">
        <v>1</v>
      </c>
      <c r="AJ58" s="31">
        <v>0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24</v>
      </c>
      <c r="E59" s="22">
        <v>19</v>
      </c>
      <c r="F59" s="22">
        <v>5</v>
      </c>
      <c r="G59" s="22">
        <v>0</v>
      </c>
      <c r="H59" s="22">
        <v>5</v>
      </c>
      <c r="I59" s="22">
        <v>3</v>
      </c>
      <c r="J59" s="22">
        <v>2</v>
      </c>
      <c r="K59" s="22">
        <v>0</v>
      </c>
      <c r="L59" s="22">
        <v>0</v>
      </c>
      <c r="M59" s="22">
        <v>0</v>
      </c>
      <c r="N59" s="22">
        <v>1</v>
      </c>
      <c r="O59" s="22">
        <v>0</v>
      </c>
      <c r="P59" s="22">
        <v>2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6</v>
      </c>
      <c r="AF59" s="22">
        <v>0</v>
      </c>
      <c r="AG59" s="22">
        <v>0</v>
      </c>
      <c r="AH59" s="22">
        <v>4</v>
      </c>
      <c r="AI59" s="22">
        <v>1</v>
      </c>
      <c r="AJ59" s="22">
        <v>0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1</v>
      </c>
      <c r="E60" s="22">
        <v>0</v>
      </c>
      <c r="F60" s="22">
        <v>1</v>
      </c>
      <c r="G60" s="22">
        <v>0</v>
      </c>
      <c r="H60" s="22">
        <v>0</v>
      </c>
      <c r="I60" s="22">
        <v>1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267</v>
      </c>
      <c r="E61" s="31">
        <v>175</v>
      </c>
      <c r="F61" s="31">
        <v>90</v>
      </c>
      <c r="G61" s="31">
        <v>2</v>
      </c>
      <c r="H61" s="31">
        <v>59</v>
      </c>
      <c r="I61" s="31">
        <v>58</v>
      </c>
      <c r="J61" s="31">
        <v>2</v>
      </c>
      <c r="K61" s="31">
        <v>0</v>
      </c>
      <c r="L61" s="31">
        <v>0</v>
      </c>
      <c r="M61" s="31">
        <v>2</v>
      </c>
      <c r="N61" s="31">
        <v>1</v>
      </c>
      <c r="O61" s="31">
        <v>0</v>
      </c>
      <c r="P61" s="31">
        <v>11</v>
      </c>
      <c r="Q61" s="31">
        <v>5</v>
      </c>
      <c r="R61" s="31">
        <v>0</v>
      </c>
      <c r="S61" s="31">
        <v>4</v>
      </c>
      <c r="T61" s="31">
        <v>1</v>
      </c>
      <c r="U61" s="31">
        <v>0</v>
      </c>
      <c r="V61" s="31">
        <v>6</v>
      </c>
      <c r="W61" s="31">
        <v>0</v>
      </c>
      <c r="X61" s="31">
        <v>0</v>
      </c>
      <c r="Y61" s="31">
        <v>13</v>
      </c>
      <c r="Z61" s="31">
        <v>5</v>
      </c>
      <c r="AA61" s="31">
        <v>0</v>
      </c>
      <c r="AB61" s="31">
        <v>0</v>
      </c>
      <c r="AC61" s="31">
        <v>0</v>
      </c>
      <c r="AD61" s="31">
        <v>0</v>
      </c>
      <c r="AE61" s="31">
        <v>68</v>
      </c>
      <c r="AF61" s="31">
        <v>17</v>
      </c>
      <c r="AG61" s="31">
        <v>0</v>
      </c>
      <c r="AH61" s="31">
        <v>10</v>
      </c>
      <c r="AI61" s="31">
        <v>3</v>
      </c>
      <c r="AJ61" s="31">
        <v>2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247</v>
      </c>
      <c r="E62" s="22">
        <v>166</v>
      </c>
      <c r="F62" s="22">
        <v>79</v>
      </c>
      <c r="G62" s="22">
        <v>2</v>
      </c>
      <c r="H62" s="22">
        <v>58</v>
      </c>
      <c r="I62" s="22">
        <v>54</v>
      </c>
      <c r="J62" s="22">
        <v>2</v>
      </c>
      <c r="K62" s="22">
        <v>0</v>
      </c>
      <c r="L62" s="22">
        <v>0</v>
      </c>
      <c r="M62" s="22">
        <v>2</v>
      </c>
      <c r="N62" s="22">
        <v>1</v>
      </c>
      <c r="O62" s="22">
        <v>0</v>
      </c>
      <c r="P62" s="22">
        <v>10</v>
      </c>
      <c r="Q62" s="22">
        <v>0</v>
      </c>
      <c r="R62" s="22">
        <v>0</v>
      </c>
      <c r="S62" s="22">
        <v>4</v>
      </c>
      <c r="T62" s="22">
        <v>1</v>
      </c>
      <c r="U62" s="22">
        <v>0</v>
      </c>
      <c r="V62" s="22">
        <v>5</v>
      </c>
      <c r="W62" s="22">
        <v>0</v>
      </c>
      <c r="X62" s="22">
        <v>0</v>
      </c>
      <c r="Y62" s="22">
        <v>13</v>
      </c>
      <c r="Z62" s="22">
        <v>5</v>
      </c>
      <c r="AA62" s="22">
        <v>0</v>
      </c>
      <c r="AB62" s="22">
        <v>0</v>
      </c>
      <c r="AC62" s="22">
        <v>0</v>
      </c>
      <c r="AD62" s="22">
        <v>0</v>
      </c>
      <c r="AE62" s="22">
        <v>63</v>
      </c>
      <c r="AF62" s="22">
        <v>16</v>
      </c>
      <c r="AG62" s="22">
        <v>0</v>
      </c>
      <c r="AH62" s="22">
        <v>9</v>
      </c>
      <c r="AI62" s="22">
        <v>2</v>
      </c>
      <c r="AJ62" s="22">
        <v>2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20</v>
      </c>
      <c r="E63" s="22">
        <v>9</v>
      </c>
      <c r="F63" s="22">
        <v>11</v>
      </c>
      <c r="G63" s="22">
        <v>0</v>
      </c>
      <c r="H63" s="22">
        <v>1</v>
      </c>
      <c r="I63" s="22">
        <v>4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1</v>
      </c>
      <c r="Q63" s="22">
        <v>5</v>
      </c>
      <c r="R63" s="22">
        <v>0</v>
      </c>
      <c r="S63" s="22">
        <v>0</v>
      </c>
      <c r="T63" s="22">
        <v>0</v>
      </c>
      <c r="U63" s="22">
        <v>0</v>
      </c>
      <c r="V63" s="22">
        <v>1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5</v>
      </c>
      <c r="AF63" s="22">
        <v>1</v>
      </c>
      <c r="AG63" s="22">
        <v>0</v>
      </c>
      <c r="AH63" s="22">
        <v>1</v>
      </c>
      <c r="AI63" s="22">
        <v>1</v>
      </c>
      <c r="AJ63" s="22">
        <v>0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223</v>
      </c>
      <c r="E64" s="31">
        <v>151</v>
      </c>
      <c r="F64" s="31">
        <v>71</v>
      </c>
      <c r="G64" s="31">
        <v>1</v>
      </c>
      <c r="H64" s="31">
        <v>61</v>
      </c>
      <c r="I64" s="31">
        <v>50</v>
      </c>
      <c r="J64" s="31">
        <v>3</v>
      </c>
      <c r="K64" s="31">
        <v>0</v>
      </c>
      <c r="L64" s="31">
        <v>0</v>
      </c>
      <c r="M64" s="31">
        <v>4</v>
      </c>
      <c r="N64" s="31">
        <v>5</v>
      </c>
      <c r="O64" s="31">
        <v>0</v>
      </c>
      <c r="P64" s="31">
        <v>6</v>
      </c>
      <c r="Q64" s="31">
        <v>1</v>
      </c>
      <c r="R64" s="31">
        <v>0</v>
      </c>
      <c r="S64" s="31">
        <v>16</v>
      </c>
      <c r="T64" s="31">
        <v>0</v>
      </c>
      <c r="U64" s="31">
        <v>0</v>
      </c>
      <c r="V64" s="31">
        <v>2</v>
      </c>
      <c r="W64" s="31">
        <v>0</v>
      </c>
      <c r="X64" s="31">
        <v>0</v>
      </c>
      <c r="Y64" s="31">
        <v>5</v>
      </c>
      <c r="Z64" s="31">
        <v>1</v>
      </c>
      <c r="AA64" s="31">
        <v>0</v>
      </c>
      <c r="AB64" s="31">
        <v>0</v>
      </c>
      <c r="AC64" s="31">
        <v>2</v>
      </c>
      <c r="AD64" s="31">
        <v>0</v>
      </c>
      <c r="AE64" s="31">
        <v>29</v>
      </c>
      <c r="AF64" s="31">
        <v>3</v>
      </c>
      <c r="AG64" s="31">
        <v>0</v>
      </c>
      <c r="AH64" s="31">
        <v>25</v>
      </c>
      <c r="AI64" s="31">
        <v>9</v>
      </c>
      <c r="AJ64" s="31">
        <v>1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208</v>
      </c>
      <c r="E65" s="22">
        <v>140</v>
      </c>
      <c r="F65" s="22">
        <v>67</v>
      </c>
      <c r="G65" s="22">
        <v>1</v>
      </c>
      <c r="H65" s="22">
        <v>57</v>
      </c>
      <c r="I65" s="22">
        <v>46</v>
      </c>
      <c r="J65" s="22">
        <v>3</v>
      </c>
      <c r="K65" s="22">
        <v>0</v>
      </c>
      <c r="L65" s="22">
        <v>0</v>
      </c>
      <c r="M65" s="22">
        <v>4</v>
      </c>
      <c r="N65" s="22">
        <v>5</v>
      </c>
      <c r="O65" s="22">
        <v>0</v>
      </c>
      <c r="P65" s="22">
        <v>6</v>
      </c>
      <c r="Q65" s="22">
        <v>1</v>
      </c>
      <c r="R65" s="22">
        <v>0</v>
      </c>
      <c r="S65" s="22">
        <v>11</v>
      </c>
      <c r="T65" s="22">
        <v>0</v>
      </c>
      <c r="U65" s="22">
        <v>0</v>
      </c>
      <c r="V65" s="22">
        <v>2</v>
      </c>
      <c r="W65" s="22">
        <v>0</v>
      </c>
      <c r="X65" s="22">
        <v>0</v>
      </c>
      <c r="Y65" s="22">
        <v>5</v>
      </c>
      <c r="Z65" s="22">
        <v>1</v>
      </c>
      <c r="AA65" s="22">
        <v>0</v>
      </c>
      <c r="AB65" s="22">
        <v>0</v>
      </c>
      <c r="AC65" s="22">
        <v>2</v>
      </c>
      <c r="AD65" s="22">
        <v>0</v>
      </c>
      <c r="AE65" s="22">
        <v>28</v>
      </c>
      <c r="AF65" s="22">
        <v>3</v>
      </c>
      <c r="AG65" s="22">
        <v>0</v>
      </c>
      <c r="AH65" s="22">
        <v>24</v>
      </c>
      <c r="AI65" s="22">
        <v>9</v>
      </c>
      <c r="AJ65" s="22">
        <v>1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15</v>
      </c>
      <c r="E66" s="22">
        <v>11</v>
      </c>
      <c r="F66" s="22">
        <v>4</v>
      </c>
      <c r="G66" s="22">
        <v>0</v>
      </c>
      <c r="H66" s="22">
        <v>4</v>
      </c>
      <c r="I66" s="22">
        <v>4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5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1</v>
      </c>
      <c r="AF66" s="22">
        <v>0</v>
      </c>
      <c r="AG66" s="22">
        <v>0</v>
      </c>
      <c r="AH66" s="22">
        <v>1</v>
      </c>
      <c r="AI66" s="22">
        <v>0</v>
      </c>
      <c r="AJ66" s="22">
        <v>0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130</v>
      </c>
      <c r="E67" s="31">
        <v>72</v>
      </c>
      <c r="F67" s="31">
        <v>56</v>
      </c>
      <c r="G67" s="31">
        <v>2</v>
      </c>
      <c r="H67" s="31">
        <v>17</v>
      </c>
      <c r="I67" s="31">
        <v>30</v>
      </c>
      <c r="J67" s="31">
        <v>2</v>
      </c>
      <c r="K67" s="31">
        <v>0</v>
      </c>
      <c r="L67" s="31">
        <v>0</v>
      </c>
      <c r="M67" s="31">
        <v>2</v>
      </c>
      <c r="N67" s="31">
        <v>3</v>
      </c>
      <c r="O67" s="31">
        <v>0</v>
      </c>
      <c r="P67" s="31">
        <v>4</v>
      </c>
      <c r="Q67" s="31">
        <v>0</v>
      </c>
      <c r="R67" s="31">
        <v>0</v>
      </c>
      <c r="S67" s="31">
        <v>6</v>
      </c>
      <c r="T67" s="31">
        <v>1</v>
      </c>
      <c r="U67" s="31">
        <v>0</v>
      </c>
      <c r="V67" s="31">
        <v>0</v>
      </c>
      <c r="W67" s="31">
        <v>0</v>
      </c>
      <c r="X67" s="31">
        <v>0</v>
      </c>
      <c r="Y67" s="31">
        <v>5</v>
      </c>
      <c r="Z67" s="31">
        <v>2</v>
      </c>
      <c r="AA67" s="31">
        <v>0</v>
      </c>
      <c r="AB67" s="31">
        <v>0</v>
      </c>
      <c r="AC67" s="31">
        <v>3</v>
      </c>
      <c r="AD67" s="31">
        <v>0</v>
      </c>
      <c r="AE67" s="31">
        <v>12</v>
      </c>
      <c r="AF67" s="31">
        <v>1</v>
      </c>
      <c r="AG67" s="31">
        <v>0</v>
      </c>
      <c r="AH67" s="31">
        <v>24</v>
      </c>
      <c r="AI67" s="31">
        <v>16</v>
      </c>
      <c r="AJ67" s="31">
        <v>2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127</v>
      </c>
      <c r="E68" s="22">
        <v>71</v>
      </c>
      <c r="F68" s="22">
        <v>54</v>
      </c>
      <c r="G68" s="22">
        <v>2</v>
      </c>
      <c r="H68" s="22">
        <v>16</v>
      </c>
      <c r="I68" s="22">
        <v>28</v>
      </c>
      <c r="J68" s="22">
        <v>2</v>
      </c>
      <c r="K68" s="22">
        <v>0</v>
      </c>
      <c r="L68" s="22">
        <v>0</v>
      </c>
      <c r="M68" s="22">
        <v>2</v>
      </c>
      <c r="N68" s="22">
        <v>3</v>
      </c>
      <c r="O68" s="22">
        <v>0</v>
      </c>
      <c r="P68" s="22">
        <v>4</v>
      </c>
      <c r="Q68" s="22">
        <v>0</v>
      </c>
      <c r="R68" s="22">
        <v>0</v>
      </c>
      <c r="S68" s="22">
        <v>6</v>
      </c>
      <c r="T68" s="22">
        <v>1</v>
      </c>
      <c r="U68" s="22">
        <v>0</v>
      </c>
      <c r="V68" s="22">
        <v>0</v>
      </c>
      <c r="W68" s="22">
        <v>0</v>
      </c>
      <c r="X68" s="22">
        <v>0</v>
      </c>
      <c r="Y68" s="22">
        <v>5</v>
      </c>
      <c r="Z68" s="22">
        <v>2</v>
      </c>
      <c r="AA68" s="22">
        <v>0</v>
      </c>
      <c r="AB68" s="22">
        <v>0</v>
      </c>
      <c r="AC68" s="22">
        <v>3</v>
      </c>
      <c r="AD68" s="22">
        <v>0</v>
      </c>
      <c r="AE68" s="22">
        <v>12</v>
      </c>
      <c r="AF68" s="22">
        <v>1</v>
      </c>
      <c r="AG68" s="22">
        <v>0</v>
      </c>
      <c r="AH68" s="22">
        <v>24</v>
      </c>
      <c r="AI68" s="22">
        <v>16</v>
      </c>
      <c r="AJ68" s="22">
        <v>2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3</v>
      </c>
      <c r="E69" s="22">
        <v>1</v>
      </c>
      <c r="F69" s="22">
        <v>2</v>
      </c>
      <c r="G69" s="22">
        <v>0</v>
      </c>
      <c r="H69" s="22">
        <v>1</v>
      </c>
      <c r="I69" s="22">
        <v>2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47</v>
      </c>
      <c r="E70" s="31">
        <v>31</v>
      </c>
      <c r="F70" s="31">
        <v>16</v>
      </c>
      <c r="G70" s="31">
        <v>0</v>
      </c>
      <c r="H70" s="31">
        <v>14</v>
      </c>
      <c r="I70" s="31">
        <v>14</v>
      </c>
      <c r="J70" s="31">
        <v>0</v>
      </c>
      <c r="K70" s="31">
        <v>0</v>
      </c>
      <c r="L70" s="31">
        <v>0</v>
      </c>
      <c r="M70" s="31">
        <v>0</v>
      </c>
      <c r="N70" s="31">
        <v>2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1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11</v>
      </c>
      <c r="AF70" s="31">
        <v>0</v>
      </c>
      <c r="AG70" s="31">
        <v>0</v>
      </c>
      <c r="AH70" s="31">
        <v>5</v>
      </c>
      <c r="AI70" s="31">
        <v>0</v>
      </c>
      <c r="AJ70" s="31">
        <v>0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47</v>
      </c>
      <c r="E71" s="22">
        <v>31</v>
      </c>
      <c r="F71" s="22">
        <v>16</v>
      </c>
      <c r="G71" s="22">
        <v>0</v>
      </c>
      <c r="H71" s="22">
        <v>14</v>
      </c>
      <c r="I71" s="22">
        <v>14</v>
      </c>
      <c r="J71" s="22">
        <v>0</v>
      </c>
      <c r="K71" s="22">
        <v>0</v>
      </c>
      <c r="L71" s="22">
        <v>0</v>
      </c>
      <c r="M71" s="22">
        <v>0</v>
      </c>
      <c r="N71" s="22">
        <v>2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1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11</v>
      </c>
      <c r="AF71" s="22">
        <v>0</v>
      </c>
      <c r="AG71" s="22">
        <v>0</v>
      </c>
      <c r="AH71" s="22">
        <v>5</v>
      </c>
      <c r="AI71" s="22">
        <v>0</v>
      </c>
      <c r="AJ71" s="22">
        <v>0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5</v>
      </c>
      <c r="E73" s="31">
        <v>5</v>
      </c>
      <c r="F73" s="31">
        <v>0</v>
      </c>
      <c r="G73" s="31">
        <v>0</v>
      </c>
      <c r="H73" s="31">
        <v>2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1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2</v>
      </c>
      <c r="AI73" s="31">
        <v>0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4</v>
      </c>
      <c r="E74" s="22">
        <v>4</v>
      </c>
      <c r="F74" s="22">
        <v>0</v>
      </c>
      <c r="G74" s="22">
        <v>0</v>
      </c>
      <c r="H74" s="22">
        <v>1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1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2</v>
      </c>
      <c r="AI74" s="22">
        <v>0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1</v>
      </c>
      <c r="E75" s="27">
        <v>1</v>
      </c>
      <c r="F75" s="27">
        <v>0</v>
      </c>
      <c r="G75" s="27">
        <v>0</v>
      </c>
      <c r="H75" s="27">
        <v>1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/>
    <row r="79" spans="1:36" ht="15.75" customHeight="1" x14ac:dyDescent="0.2">
      <c r="A79" s="64" t="s">
        <v>189</v>
      </c>
    </row>
  </sheetData>
  <mergeCells count="67">
    <mergeCell ref="A68:A69"/>
    <mergeCell ref="A71:A72"/>
    <mergeCell ref="A74:A75"/>
    <mergeCell ref="A50:A51"/>
    <mergeCell ref="A53:A54"/>
    <mergeCell ref="A56:A57"/>
    <mergeCell ref="A59:A60"/>
    <mergeCell ref="A62:A63"/>
    <mergeCell ref="A65:A66"/>
    <mergeCell ref="AJ5:AJ6"/>
    <mergeCell ref="A47:A48"/>
    <mergeCell ref="A11:A12"/>
    <mergeCell ref="A14:A15"/>
    <mergeCell ref="A17:A18"/>
    <mergeCell ref="A20:A21"/>
    <mergeCell ref="A23:A24"/>
    <mergeCell ref="A26:A27"/>
    <mergeCell ref="A32:A33"/>
    <mergeCell ref="A35:A36"/>
    <mergeCell ref="A38:A39"/>
    <mergeCell ref="A41:A42"/>
    <mergeCell ref="A44:A45"/>
    <mergeCell ref="L5:L6"/>
    <mergeCell ref="AF5:AF6"/>
    <mergeCell ref="AG5:AG6"/>
    <mergeCell ref="AH5:AH6"/>
    <mergeCell ref="AI5:AI6"/>
    <mergeCell ref="AE4:AG4"/>
    <mergeCell ref="A8:A9"/>
    <mergeCell ref="Z5:Z6"/>
    <mergeCell ref="AA5:AA6"/>
    <mergeCell ref="AB5:AB6"/>
    <mergeCell ref="AC5:AC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AD5:AD6"/>
    <mergeCell ref="AE5:AE6"/>
    <mergeCell ref="T5:T6"/>
    <mergeCell ref="U5:U6"/>
    <mergeCell ref="V5:V6"/>
    <mergeCell ref="W5:W6"/>
    <mergeCell ref="X5:X6"/>
    <mergeCell ref="Y5:Y6"/>
    <mergeCell ref="AH4:AJ4"/>
    <mergeCell ref="A4:C6"/>
    <mergeCell ref="D4:G4"/>
    <mergeCell ref="H4:I4"/>
    <mergeCell ref="J4:L4"/>
    <mergeCell ref="M4:O4"/>
    <mergeCell ref="P4:R4"/>
    <mergeCell ref="D5:D6"/>
    <mergeCell ref="E5:E6"/>
    <mergeCell ref="F5:F6"/>
    <mergeCell ref="G5:G6"/>
    <mergeCell ref="M5:M6"/>
    <mergeCell ref="S4:U4"/>
    <mergeCell ref="V4:X4"/>
    <mergeCell ref="Y4:AA4"/>
    <mergeCell ref="AB4:AD4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79"/>
  <sheetViews>
    <sheetView zoomScaleNormal="100" zoomScaleSheetLayoutView="100" workbookViewId="0">
      <pane xSplit="4" ySplit="7" topLeftCell="E8" activePane="bottomRight" state="frozen"/>
      <selection activeCell="L49" sqref="L49"/>
      <selection pane="topRight" activeCell="L49" sqref="L49"/>
      <selection pane="bottomLeft" activeCell="L49" sqref="L49"/>
      <selection pane="bottomRight" activeCell="L49" sqref="L49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63" t="s">
        <v>186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AJ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87" t="s">
        <v>164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112" t="s">
        <v>158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11350</v>
      </c>
      <c r="E7" s="68">
        <v>7490</v>
      </c>
      <c r="F7" s="68">
        <v>3768</v>
      </c>
      <c r="G7" s="68">
        <v>92</v>
      </c>
      <c r="H7" s="68">
        <v>3346</v>
      </c>
      <c r="I7" s="68">
        <v>2602</v>
      </c>
      <c r="J7" s="68">
        <v>234</v>
      </c>
      <c r="K7" s="68">
        <v>53</v>
      </c>
      <c r="L7" s="68">
        <v>0</v>
      </c>
      <c r="M7" s="68">
        <v>152</v>
      </c>
      <c r="N7" s="68">
        <v>230</v>
      </c>
      <c r="O7" s="68">
        <v>2</v>
      </c>
      <c r="P7" s="68">
        <v>352</v>
      </c>
      <c r="Q7" s="68">
        <v>103</v>
      </c>
      <c r="R7" s="68">
        <v>0</v>
      </c>
      <c r="S7" s="68">
        <v>315</v>
      </c>
      <c r="T7" s="68">
        <v>87</v>
      </c>
      <c r="U7" s="68">
        <v>0</v>
      </c>
      <c r="V7" s="68">
        <v>94</v>
      </c>
      <c r="W7" s="68">
        <v>65</v>
      </c>
      <c r="X7" s="68">
        <v>1</v>
      </c>
      <c r="Y7" s="68">
        <v>260</v>
      </c>
      <c r="Z7" s="68">
        <v>57</v>
      </c>
      <c r="AA7" s="68">
        <v>0</v>
      </c>
      <c r="AB7" s="68">
        <v>6</v>
      </c>
      <c r="AC7" s="68">
        <v>37</v>
      </c>
      <c r="AD7" s="68">
        <v>0</v>
      </c>
      <c r="AE7" s="68">
        <v>1872</v>
      </c>
      <c r="AF7" s="68">
        <v>361</v>
      </c>
      <c r="AG7" s="68">
        <v>0</v>
      </c>
      <c r="AH7" s="68">
        <v>859</v>
      </c>
      <c r="AI7" s="68">
        <v>173</v>
      </c>
      <c r="AJ7" s="68">
        <v>89</v>
      </c>
    </row>
    <row r="8" spans="1:36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10552</v>
      </c>
      <c r="E8" s="72">
        <v>7003</v>
      </c>
      <c r="F8" s="72">
        <v>3465</v>
      </c>
      <c r="G8" s="72">
        <v>84</v>
      </c>
      <c r="H8" s="72">
        <v>3138</v>
      </c>
      <c r="I8" s="72">
        <v>2393</v>
      </c>
      <c r="J8" s="72">
        <v>214</v>
      </c>
      <c r="K8" s="72">
        <v>46</v>
      </c>
      <c r="L8" s="72">
        <v>0</v>
      </c>
      <c r="M8" s="72">
        <v>137</v>
      </c>
      <c r="N8" s="72">
        <v>214</v>
      </c>
      <c r="O8" s="72">
        <v>2</v>
      </c>
      <c r="P8" s="72">
        <v>285</v>
      </c>
      <c r="Q8" s="72">
        <v>81</v>
      </c>
      <c r="R8" s="72">
        <v>0</v>
      </c>
      <c r="S8" s="72">
        <v>284</v>
      </c>
      <c r="T8" s="72">
        <v>65</v>
      </c>
      <c r="U8" s="72">
        <v>0</v>
      </c>
      <c r="V8" s="72">
        <v>92</v>
      </c>
      <c r="W8" s="72">
        <v>65</v>
      </c>
      <c r="X8" s="72">
        <v>1</v>
      </c>
      <c r="Y8" s="72">
        <v>244</v>
      </c>
      <c r="Z8" s="72">
        <v>53</v>
      </c>
      <c r="AA8" s="72">
        <v>0</v>
      </c>
      <c r="AB8" s="72">
        <v>6</v>
      </c>
      <c r="AC8" s="72">
        <v>37</v>
      </c>
      <c r="AD8" s="72">
        <v>0</v>
      </c>
      <c r="AE8" s="72">
        <v>1785</v>
      </c>
      <c r="AF8" s="72">
        <v>351</v>
      </c>
      <c r="AG8" s="72">
        <v>0</v>
      </c>
      <c r="AH8" s="72">
        <v>818</v>
      </c>
      <c r="AI8" s="72">
        <v>160</v>
      </c>
      <c r="AJ8" s="72">
        <v>81</v>
      </c>
    </row>
    <row r="9" spans="1:36" s="69" customFormat="1" ht="15" customHeight="1" x14ac:dyDescent="0.2">
      <c r="A9" s="109"/>
      <c r="B9" s="70" t="s">
        <v>177</v>
      </c>
      <c r="C9" s="71" t="s">
        <v>194</v>
      </c>
      <c r="D9" s="72">
        <v>798</v>
      </c>
      <c r="E9" s="72">
        <v>487</v>
      </c>
      <c r="F9" s="72">
        <v>303</v>
      </c>
      <c r="G9" s="72">
        <v>8</v>
      </c>
      <c r="H9" s="72">
        <v>208</v>
      </c>
      <c r="I9" s="72">
        <v>209</v>
      </c>
      <c r="J9" s="72">
        <v>20</v>
      </c>
      <c r="K9" s="72">
        <v>7</v>
      </c>
      <c r="L9" s="72">
        <v>0</v>
      </c>
      <c r="M9" s="72">
        <v>15</v>
      </c>
      <c r="N9" s="72">
        <v>16</v>
      </c>
      <c r="O9" s="72">
        <v>0</v>
      </c>
      <c r="P9" s="72">
        <v>67</v>
      </c>
      <c r="Q9" s="72">
        <v>22</v>
      </c>
      <c r="R9" s="72">
        <v>0</v>
      </c>
      <c r="S9" s="72">
        <v>31</v>
      </c>
      <c r="T9" s="72">
        <v>22</v>
      </c>
      <c r="U9" s="72">
        <v>0</v>
      </c>
      <c r="V9" s="72">
        <v>2</v>
      </c>
      <c r="W9" s="72">
        <v>0</v>
      </c>
      <c r="X9" s="72">
        <v>0</v>
      </c>
      <c r="Y9" s="72">
        <v>16</v>
      </c>
      <c r="Z9" s="72">
        <v>4</v>
      </c>
      <c r="AA9" s="72">
        <v>0</v>
      </c>
      <c r="AB9" s="72">
        <v>0</v>
      </c>
      <c r="AC9" s="72">
        <v>0</v>
      </c>
      <c r="AD9" s="72">
        <v>0</v>
      </c>
      <c r="AE9" s="72">
        <v>87</v>
      </c>
      <c r="AF9" s="72">
        <v>10</v>
      </c>
      <c r="AG9" s="72">
        <v>0</v>
      </c>
      <c r="AH9" s="72">
        <v>41</v>
      </c>
      <c r="AI9" s="72">
        <v>13</v>
      </c>
      <c r="AJ9" s="72">
        <v>8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2121</v>
      </c>
      <c r="E10" s="31">
        <v>1489</v>
      </c>
      <c r="F10" s="31">
        <v>615</v>
      </c>
      <c r="G10" s="31">
        <v>17</v>
      </c>
      <c r="H10" s="31">
        <v>618</v>
      </c>
      <c r="I10" s="31">
        <v>424</v>
      </c>
      <c r="J10" s="31">
        <v>42</v>
      </c>
      <c r="K10" s="31">
        <v>10</v>
      </c>
      <c r="L10" s="31">
        <v>0</v>
      </c>
      <c r="M10" s="31">
        <v>33</v>
      </c>
      <c r="N10" s="31">
        <v>36</v>
      </c>
      <c r="O10" s="31">
        <v>0</v>
      </c>
      <c r="P10" s="31">
        <v>75</v>
      </c>
      <c r="Q10" s="31">
        <v>20</v>
      </c>
      <c r="R10" s="31">
        <v>0</v>
      </c>
      <c r="S10" s="31">
        <v>45</v>
      </c>
      <c r="T10" s="31">
        <v>6</v>
      </c>
      <c r="U10" s="31">
        <v>0</v>
      </c>
      <c r="V10" s="31">
        <v>24</v>
      </c>
      <c r="W10" s="31">
        <v>4</v>
      </c>
      <c r="X10" s="31">
        <v>0</v>
      </c>
      <c r="Y10" s="31">
        <v>73</v>
      </c>
      <c r="Z10" s="31">
        <v>16</v>
      </c>
      <c r="AA10" s="31">
        <v>0</v>
      </c>
      <c r="AB10" s="31">
        <v>0</v>
      </c>
      <c r="AC10" s="31">
        <v>1</v>
      </c>
      <c r="AD10" s="31">
        <v>0</v>
      </c>
      <c r="AE10" s="31">
        <v>442</v>
      </c>
      <c r="AF10" s="31">
        <v>70</v>
      </c>
      <c r="AG10" s="31">
        <v>0</v>
      </c>
      <c r="AH10" s="31">
        <v>137</v>
      </c>
      <c r="AI10" s="31">
        <v>28</v>
      </c>
      <c r="AJ10" s="31">
        <v>17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2058</v>
      </c>
      <c r="E11" s="22">
        <v>1453</v>
      </c>
      <c r="F11" s="22">
        <v>588</v>
      </c>
      <c r="G11" s="22">
        <v>17</v>
      </c>
      <c r="H11" s="22">
        <v>603</v>
      </c>
      <c r="I11" s="22">
        <v>400</v>
      </c>
      <c r="J11" s="22">
        <v>42</v>
      </c>
      <c r="K11" s="22">
        <v>9</v>
      </c>
      <c r="L11" s="22">
        <v>0</v>
      </c>
      <c r="M11" s="22">
        <v>33</v>
      </c>
      <c r="N11" s="22">
        <v>36</v>
      </c>
      <c r="O11" s="22">
        <v>0</v>
      </c>
      <c r="P11" s="22">
        <v>66</v>
      </c>
      <c r="Q11" s="22">
        <v>19</v>
      </c>
      <c r="R11" s="22">
        <v>0</v>
      </c>
      <c r="S11" s="22">
        <v>41</v>
      </c>
      <c r="T11" s="22">
        <v>6</v>
      </c>
      <c r="U11" s="22">
        <v>0</v>
      </c>
      <c r="V11" s="22">
        <v>24</v>
      </c>
      <c r="W11" s="22">
        <v>4</v>
      </c>
      <c r="X11" s="22">
        <v>0</v>
      </c>
      <c r="Y11" s="22">
        <v>72</v>
      </c>
      <c r="Z11" s="22">
        <v>16</v>
      </c>
      <c r="AA11" s="22">
        <v>0</v>
      </c>
      <c r="AB11" s="22">
        <v>0</v>
      </c>
      <c r="AC11" s="22">
        <v>1</v>
      </c>
      <c r="AD11" s="22">
        <v>0</v>
      </c>
      <c r="AE11" s="22">
        <v>439</v>
      </c>
      <c r="AF11" s="22">
        <v>69</v>
      </c>
      <c r="AG11" s="22">
        <v>0</v>
      </c>
      <c r="AH11" s="22">
        <v>133</v>
      </c>
      <c r="AI11" s="22">
        <v>28</v>
      </c>
      <c r="AJ11" s="22">
        <v>17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63</v>
      </c>
      <c r="E12" s="22">
        <v>36</v>
      </c>
      <c r="F12" s="22">
        <v>27</v>
      </c>
      <c r="G12" s="22">
        <v>0</v>
      </c>
      <c r="H12" s="22">
        <v>15</v>
      </c>
      <c r="I12" s="22">
        <v>24</v>
      </c>
      <c r="J12" s="22">
        <v>0</v>
      </c>
      <c r="K12" s="22">
        <v>1</v>
      </c>
      <c r="L12" s="22">
        <v>0</v>
      </c>
      <c r="M12" s="22">
        <v>0</v>
      </c>
      <c r="N12" s="22">
        <v>0</v>
      </c>
      <c r="O12" s="22">
        <v>0</v>
      </c>
      <c r="P12" s="22">
        <v>9</v>
      </c>
      <c r="Q12" s="22">
        <v>1</v>
      </c>
      <c r="R12" s="22">
        <v>0</v>
      </c>
      <c r="S12" s="22">
        <v>4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1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3</v>
      </c>
      <c r="AF12" s="22">
        <v>1</v>
      </c>
      <c r="AG12" s="22">
        <v>0</v>
      </c>
      <c r="AH12" s="22">
        <v>4</v>
      </c>
      <c r="AI12" s="22">
        <v>0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882</v>
      </c>
      <c r="E13" s="31">
        <v>555</v>
      </c>
      <c r="F13" s="31">
        <v>324</v>
      </c>
      <c r="G13" s="31">
        <v>3</v>
      </c>
      <c r="H13" s="31">
        <v>293</v>
      </c>
      <c r="I13" s="31">
        <v>261</v>
      </c>
      <c r="J13" s="31">
        <v>27</v>
      </c>
      <c r="K13" s="31">
        <v>7</v>
      </c>
      <c r="L13" s="31">
        <v>0</v>
      </c>
      <c r="M13" s="31">
        <v>10</v>
      </c>
      <c r="N13" s="31">
        <v>14</v>
      </c>
      <c r="O13" s="31">
        <v>0</v>
      </c>
      <c r="P13" s="31">
        <v>31</v>
      </c>
      <c r="Q13" s="31">
        <v>5</v>
      </c>
      <c r="R13" s="31">
        <v>0</v>
      </c>
      <c r="S13" s="31">
        <v>17</v>
      </c>
      <c r="T13" s="31">
        <v>2</v>
      </c>
      <c r="U13" s="31">
        <v>0</v>
      </c>
      <c r="V13" s="31">
        <v>5</v>
      </c>
      <c r="W13" s="31">
        <v>0</v>
      </c>
      <c r="X13" s="31">
        <v>0</v>
      </c>
      <c r="Y13" s="31">
        <v>31</v>
      </c>
      <c r="Z13" s="31">
        <v>10</v>
      </c>
      <c r="AA13" s="31">
        <v>0</v>
      </c>
      <c r="AB13" s="31">
        <v>0</v>
      </c>
      <c r="AC13" s="31">
        <v>0</v>
      </c>
      <c r="AD13" s="31">
        <v>0</v>
      </c>
      <c r="AE13" s="31">
        <v>112</v>
      </c>
      <c r="AF13" s="31">
        <v>20</v>
      </c>
      <c r="AG13" s="31">
        <v>0</v>
      </c>
      <c r="AH13" s="31">
        <v>29</v>
      </c>
      <c r="AI13" s="31">
        <v>5</v>
      </c>
      <c r="AJ13" s="31">
        <v>3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871</v>
      </c>
      <c r="E14" s="22">
        <v>549</v>
      </c>
      <c r="F14" s="22">
        <v>319</v>
      </c>
      <c r="G14" s="22">
        <v>3</v>
      </c>
      <c r="H14" s="22">
        <v>289</v>
      </c>
      <c r="I14" s="22">
        <v>257</v>
      </c>
      <c r="J14" s="22">
        <v>27</v>
      </c>
      <c r="K14" s="22">
        <v>7</v>
      </c>
      <c r="L14" s="22">
        <v>0</v>
      </c>
      <c r="M14" s="22">
        <v>10</v>
      </c>
      <c r="N14" s="22">
        <v>13</v>
      </c>
      <c r="O14" s="22">
        <v>0</v>
      </c>
      <c r="P14" s="22">
        <v>31</v>
      </c>
      <c r="Q14" s="22">
        <v>5</v>
      </c>
      <c r="R14" s="22">
        <v>0</v>
      </c>
      <c r="S14" s="22">
        <v>17</v>
      </c>
      <c r="T14" s="22">
        <v>2</v>
      </c>
      <c r="U14" s="22">
        <v>0</v>
      </c>
      <c r="V14" s="22">
        <v>5</v>
      </c>
      <c r="W14" s="22">
        <v>0</v>
      </c>
      <c r="X14" s="22">
        <v>0</v>
      </c>
      <c r="Y14" s="22">
        <v>31</v>
      </c>
      <c r="Z14" s="22">
        <v>10</v>
      </c>
      <c r="AA14" s="22">
        <v>0</v>
      </c>
      <c r="AB14" s="22">
        <v>0</v>
      </c>
      <c r="AC14" s="22">
        <v>0</v>
      </c>
      <c r="AD14" s="22">
        <v>0</v>
      </c>
      <c r="AE14" s="22">
        <v>110</v>
      </c>
      <c r="AF14" s="22">
        <v>20</v>
      </c>
      <c r="AG14" s="22">
        <v>0</v>
      </c>
      <c r="AH14" s="22">
        <v>29</v>
      </c>
      <c r="AI14" s="22">
        <v>5</v>
      </c>
      <c r="AJ14" s="22">
        <v>3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11</v>
      </c>
      <c r="E15" s="22">
        <v>6</v>
      </c>
      <c r="F15" s="22">
        <v>5</v>
      </c>
      <c r="G15" s="22">
        <v>0</v>
      </c>
      <c r="H15" s="22">
        <v>4</v>
      </c>
      <c r="I15" s="22">
        <v>4</v>
      </c>
      <c r="J15" s="22">
        <v>0</v>
      </c>
      <c r="K15" s="22">
        <v>0</v>
      </c>
      <c r="L15" s="22">
        <v>0</v>
      </c>
      <c r="M15" s="22">
        <v>0</v>
      </c>
      <c r="N15" s="22">
        <v>1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2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1266</v>
      </c>
      <c r="E16" s="31">
        <v>815</v>
      </c>
      <c r="F16" s="31">
        <v>434</v>
      </c>
      <c r="G16" s="31">
        <v>17</v>
      </c>
      <c r="H16" s="31">
        <v>382</v>
      </c>
      <c r="I16" s="31">
        <v>316</v>
      </c>
      <c r="J16" s="31">
        <v>29</v>
      </c>
      <c r="K16" s="31">
        <v>3</v>
      </c>
      <c r="L16" s="31">
        <v>0</v>
      </c>
      <c r="M16" s="31">
        <v>18</v>
      </c>
      <c r="N16" s="31">
        <v>21</v>
      </c>
      <c r="O16" s="31">
        <v>0</v>
      </c>
      <c r="P16" s="31">
        <v>19</v>
      </c>
      <c r="Q16" s="31">
        <v>14</v>
      </c>
      <c r="R16" s="31">
        <v>0</v>
      </c>
      <c r="S16" s="31">
        <v>40</v>
      </c>
      <c r="T16" s="31">
        <v>12</v>
      </c>
      <c r="U16" s="31">
        <v>0</v>
      </c>
      <c r="V16" s="31">
        <v>0</v>
      </c>
      <c r="W16" s="31">
        <v>2</v>
      </c>
      <c r="X16" s="31">
        <v>0</v>
      </c>
      <c r="Y16" s="31">
        <v>13</v>
      </c>
      <c r="Z16" s="31">
        <v>2</v>
      </c>
      <c r="AA16" s="31">
        <v>0</v>
      </c>
      <c r="AB16" s="31">
        <v>0</v>
      </c>
      <c r="AC16" s="31">
        <v>2</v>
      </c>
      <c r="AD16" s="31">
        <v>0</v>
      </c>
      <c r="AE16" s="31">
        <v>117</v>
      </c>
      <c r="AF16" s="31">
        <v>32</v>
      </c>
      <c r="AG16" s="31">
        <v>0</v>
      </c>
      <c r="AH16" s="31">
        <v>197</v>
      </c>
      <c r="AI16" s="31">
        <v>30</v>
      </c>
      <c r="AJ16" s="31">
        <v>17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1121</v>
      </c>
      <c r="E17" s="22">
        <v>731</v>
      </c>
      <c r="F17" s="22">
        <v>373</v>
      </c>
      <c r="G17" s="22">
        <v>17</v>
      </c>
      <c r="H17" s="22">
        <v>339</v>
      </c>
      <c r="I17" s="22">
        <v>271</v>
      </c>
      <c r="J17" s="22">
        <v>20</v>
      </c>
      <c r="K17" s="22">
        <v>2</v>
      </c>
      <c r="L17" s="22">
        <v>0</v>
      </c>
      <c r="M17" s="22">
        <v>16</v>
      </c>
      <c r="N17" s="22">
        <v>19</v>
      </c>
      <c r="O17" s="22">
        <v>0</v>
      </c>
      <c r="P17" s="22">
        <v>16</v>
      </c>
      <c r="Q17" s="22">
        <v>12</v>
      </c>
      <c r="R17" s="22">
        <v>0</v>
      </c>
      <c r="S17" s="22">
        <v>35</v>
      </c>
      <c r="T17" s="22">
        <v>5</v>
      </c>
      <c r="U17" s="22">
        <v>0</v>
      </c>
      <c r="V17" s="22">
        <v>0</v>
      </c>
      <c r="W17" s="22">
        <v>2</v>
      </c>
      <c r="X17" s="22">
        <v>0</v>
      </c>
      <c r="Y17" s="22">
        <v>12</v>
      </c>
      <c r="Z17" s="22">
        <v>2</v>
      </c>
      <c r="AA17" s="22">
        <v>0</v>
      </c>
      <c r="AB17" s="22">
        <v>0</v>
      </c>
      <c r="AC17" s="22">
        <v>2</v>
      </c>
      <c r="AD17" s="22">
        <v>0</v>
      </c>
      <c r="AE17" s="22">
        <v>105</v>
      </c>
      <c r="AF17" s="22">
        <v>31</v>
      </c>
      <c r="AG17" s="22">
        <v>0</v>
      </c>
      <c r="AH17" s="22">
        <v>188</v>
      </c>
      <c r="AI17" s="22">
        <v>27</v>
      </c>
      <c r="AJ17" s="22">
        <v>17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145</v>
      </c>
      <c r="E18" s="22">
        <v>84</v>
      </c>
      <c r="F18" s="22">
        <v>61</v>
      </c>
      <c r="G18" s="22">
        <v>0</v>
      </c>
      <c r="H18" s="22">
        <v>43</v>
      </c>
      <c r="I18" s="22">
        <v>45</v>
      </c>
      <c r="J18" s="22">
        <v>9</v>
      </c>
      <c r="K18" s="22">
        <v>1</v>
      </c>
      <c r="L18" s="22">
        <v>0</v>
      </c>
      <c r="M18" s="22">
        <v>2</v>
      </c>
      <c r="N18" s="22">
        <v>2</v>
      </c>
      <c r="O18" s="22">
        <v>0</v>
      </c>
      <c r="P18" s="22">
        <v>3</v>
      </c>
      <c r="Q18" s="22">
        <v>2</v>
      </c>
      <c r="R18" s="22">
        <v>0</v>
      </c>
      <c r="S18" s="22">
        <v>5</v>
      </c>
      <c r="T18" s="22">
        <v>7</v>
      </c>
      <c r="U18" s="22">
        <v>0</v>
      </c>
      <c r="V18" s="22">
        <v>0</v>
      </c>
      <c r="W18" s="22">
        <v>0</v>
      </c>
      <c r="X18" s="22">
        <v>0</v>
      </c>
      <c r="Y18" s="22">
        <v>1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12</v>
      </c>
      <c r="AF18" s="22">
        <v>1</v>
      </c>
      <c r="AG18" s="22">
        <v>0</v>
      </c>
      <c r="AH18" s="22">
        <v>9</v>
      </c>
      <c r="AI18" s="22">
        <v>3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1928</v>
      </c>
      <c r="E19" s="31">
        <v>1089</v>
      </c>
      <c r="F19" s="31">
        <v>825</v>
      </c>
      <c r="G19" s="31">
        <v>14</v>
      </c>
      <c r="H19" s="31">
        <v>606</v>
      </c>
      <c r="I19" s="31">
        <v>545</v>
      </c>
      <c r="J19" s="31">
        <v>33</v>
      </c>
      <c r="K19" s="31">
        <v>10</v>
      </c>
      <c r="L19" s="31">
        <v>0</v>
      </c>
      <c r="M19" s="31">
        <v>17</v>
      </c>
      <c r="N19" s="31">
        <v>52</v>
      </c>
      <c r="O19" s="31">
        <v>0</v>
      </c>
      <c r="P19" s="31">
        <v>43</v>
      </c>
      <c r="Q19" s="31">
        <v>20</v>
      </c>
      <c r="R19" s="31">
        <v>0</v>
      </c>
      <c r="S19" s="31">
        <v>58</v>
      </c>
      <c r="T19" s="31">
        <v>8</v>
      </c>
      <c r="U19" s="31">
        <v>0</v>
      </c>
      <c r="V19" s="31">
        <v>22</v>
      </c>
      <c r="W19" s="31">
        <v>52</v>
      </c>
      <c r="X19" s="31">
        <v>0</v>
      </c>
      <c r="Y19" s="31">
        <v>22</v>
      </c>
      <c r="Z19" s="31">
        <v>1</v>
      </c>
      <c r="AA19" s="31">
        <v>0</v>
      </c>
      <c r="AB19" s="31">
        <v>3</v>
      </c>
      <c r="AC19" s="31">
        <v>22</v>
      </c>
      <c r="AD19" s="31">
        <v>0</v>
      </c>
      <c r="AE19" s="31">
        <v>168</v>
      </c>
      <c r="AF19" s="31">
        <v>69</v>
      </c>
      <c r="AG19" s="31">
        <v>0</v>
      </c>
      <c r="AH19" s="31">
        <v>117</v>
      </c>
      <c r="AI19" s="31">
        <v>46</v>
      </c>
      <c r="AJ19" s="31">
        <v>14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1839</v>
      </c>
      <c r="E20" s="22">
        <v>1040</v>
      </c>
      <c r="F20" s="22">
        <v>785</v>
      </c>
      <c r="G20" s="22">
        <v>14</v>
      </c>
      <c r="H20" s="22">
        <v>576</v>
      </c>
      <c r="I20" s="22">
        <v>516</v>
      </c>
      <c r="J20" s="22">
        <v>31</v>
      </c>
      <c r="K20" s="22">
        <v>8</v>
      </c>
      <c r="L20" s="22">
        <v>0</v>
      </c>
      <c r="M20" s="22">
        <v>15</v>
      </c>
      <c r="N20" s="22">
        <v>48</v>
      </c>
      <c r="O20" s="22">
        <v>0</v>
      </c>
      <c r="P20" s="22">
        <v>38</v>
      </c>
      <c r="Q20" s="22">
        <v>17</v>
      </c>
      <c r="R20" s="22">
        <v>0</v>
      </c>
      <c r="S20" s="22">
        <v>53</v>
      </c>
      <c r="T20" s="22">
        <v>6</v>
      </c>
      <c r="U20" s="22">
        <v>0</v>
      </c>
      <c r="V20" s="22">
        <v>22</v>
      </c>
      <c r="W20" s="22">
        <v>52</v>
      </c>
      <c r="X20" s="22">
        <v>0</v>
      </c>
      <c r="Y20" s="22">
        <v>22</v>
      </c>
      <c r="Z20" s="22">
        <v>1</v>
      </c>
      <c r="AA20" s="22">
        <v>0</v>
      </c>
      <c r="AB20" s="22">
        <v>3</v>
      </c>
      <c r="AC20" s="22">
        <v>22</v>
      </c>
      <c r="AD20" s="22">
        <v>0</v>
      </c>
      <c r="AE20" s="22">
        <v>165</v>
      </c>
      <c r="AF20" s="22">
        <v>69</v>
      </c>
      <c r="AG20" s="22">
        <v>0</v>
      </c>
      <c r="AH20" s="22">
        <v>115</v>
      </c>
      <c r="AI20" s="22">
        <v>46</v>
      </c>
      <c r="AJ20" s="22">
        <v>14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89</v>
      </c>
      <c r="E21" s="22">
        <v>49</v>
      </c>
      <c r="F21" s="22">
        <v>40</v>
      </c>
      <c r="G21" s="22">
        <v>0</v>
      </c>
      <c r="H21" s="22">
        <v>30</v>
      </c>
      <c r="I21" s="22">
        <v>29</v>
      </c>
      <c r="J21" s="22">
        <v>2</v>
      </c>
      <c r="K21" s="22">
        <v>2</v>
      </c>
      <c r="L21" s="22">
        <v>0</v>
      </c>
      <c r="M21" s="22">
        <v>2</v>
      </c>
      <c r="N21" s="22">
        <v>4</v>
      </c>
      <c r="O21" s="22">
        <v>0</v>
      </c>
      <c r="P21" s="22">
        <v>5</v>
      </c>
      <c r="Q21" s="22">
        <v>3</v>
      </c>
      <c r="R21" s="22">
        <v>0</v>
      </c>
      <c r="S21" s="22">
        <v>5</v>
      </c>
      <c r="T21" s="22">
        <v>2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3</v>
      </c>
      <c r="AF21" s="22">
        <v>0</v>
      </c>
      <c r="AG21" s="22">
        <v>0</v>
      </c>
      <c r="AH21" s="22">
        <v>2</v>
      </c>
      <c r="AI21" s="22">
        <v>0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706</v>
      </c>
      <c r="E22" s="31">
        <v>507</v>
      </c>
      <c r="F22" s="31">
        <v>198</v>
      </c>
      <c r="G22" s="31">
        <v>1</v>
      </c>
      <c r="H22" s="31">
        <v>200</v>
      </c>
      <c r="I22" s="31">
        <v>129</v>
      </c>
      <c r="J22" s="31">
        <v>23</v>
      </c>
      <c r="K22" s="31">
        <v>3</v>
      </c>
      <c r="L22" s="31">
        <v>0</v>
      </c>
      <c r="M22" s="31">
        <v>10</v>
      </c>
      <c r="N22" s="31">
        <v>14</v>
      </c>
      <c r="O22" s="31">
        <v>0</v>
      </c>
      <c r="P22" s="31">
        <v>25</v>
      </c>
      <c r="Q22" s="31">
        <v>7</v>
      </c>
      <c r="R22" s="31">
        <v>0</v>
      </c>
      <c r="S22" s="31">
        <v>34</v>
      </c>
      <c r="T22" s="31">
        <v>6</v>
      </c>
      <c r="U22" s="31">
        <v>0</v>
      </c>
      <c r="V22" s="31">
        <v>6</v>
      </c>
      <c r="W22" s="31">
        <v>3</v>
      </c>
      <c r="X22" s="31">
        <v>0</v>
      </c>
      <c r="Y22" s="31">
        <v>18</v>
      </c>
      <c r="Z22" s="31">
        <v>5</v>
      </c>
      <c r="AA22" s="31">
        <v>0</v>
      </c>
      <c r="AB22" s="31">
        <v>1</v>
      </c>
      <c r="AC22" s="31">
        <v>7</v>
      </c>
      <c r="AD22" s="31">
        <v>0</v>
      </c>
      <c r="AE22" s="31">
        <v>160</v>
      </c>
      <c r="AF22" s="31">
        <v>21</v>
      </c>
      <c r="AG22" s="31">
        <v>0</v>
      </c>
      <c r="AH22" s="31">
        <v>30</v>
      </c>
      <c r="AI22" s="31">
        <v>3</v>
      </c>
      <c r="AJ22" s="31">
        <v>1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695</v>
      </c>
      <c r="E23" s="22">
        <v>498</v>
      </c>
      <c r="F23" s="22">
        <v>196</v>
      </c>
      <c r="G23" s="22">
        <v>1</v>
      </c>
      <c r="H23" s="22">
        <v>195</v>
      </c>
      <c r="I23" s="22">
        <v>128</v>
      </c>
      <c r="J23" s="22">
        <v>23</v>
      </c>
      <c r="K23" s="22">
        <v>3</v>
      </c>
      <c r="L23" s="22">
        <v>0</v>
      </c>
      <c r="M23" s="22">
        <v>10</v>
      </c>
      <c r="N23" s="22">
        <v>14</v>
      </c>
      <c r="O23" s="22">
        <v>0</v>
      </c>
      <c r="P23" s="22">
        <v>22</v>
      </c>
      <c r="Q23" s="22">
        <v>7</v>
      </c>
      <c r="R23" s="22">
        <v>0</v>
      </c>
      <c r="S23" s="22">
        <v>34</v>
      </c>
      <c r="T23" s="22">
        <v>6</v>
      </c>
      <c r="U23" s="22">
        <v>0</v>
      </c>
      <c r="V23" s="22">
        <v>6</v>
      </c>
      <c r="W23" s="22">
        <v>3</v>
      </c>
      <c r="X23" s="22">
        <v>0</v>
      </c>
      <c r="Y23" s="22">
        <v>18</v>
      </c>
      <c r="Z23" s="22">
        <v>5</v>
      </c>
      <c r="AA23" s="22">
        <v>0</v>
      </c>
      <c r="AB23" s="22">
        <v>1</v>
      </c>
      <c r="AC23" s="22">
        <v>7</v>
      </c>
      <c r="AD23" s="22">
        <v>0</v>
      </c>
      <c r="AE23" s="22">
        <v>159</v>
      </c>
      <c r="AF23" s="22">
        <v>20</v>
      </c>
      <c r="AG23" s="22">
        <v>0</v>
      </c>
      <c r="AH23" s="22">
        <v>30</v>
      </c>
      <c r="AI23" s="22">
        <v>3</v>
      </c>
      <c r="AJ23" s="22">
        <v>1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11</v>
      </c>
      <c r="E24" s="22">
        <v>9</v>
      </c>
      <c r="F24" s="22">
        <v>2</v>
      </c>
      <c r="G24" s="22">
        <v>0</v>
      </c>
      <c r="H24" s="22">
        <v>5</v>
      </c>
      <c r="I24" s="22">
        <v>1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3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1</v>
      </c>
      <c r="AF24" s="22">
        <v>1</v>
      </c>
      <c r="AG24" s="22">
        <v>0</v>
      </c>
      <c r="AH24" s="22">
        <v>0</v>
      </c>
      <c r="AI24" s="22">
        <v>0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1193</v>
      </c>
      <c r="E25" s="31">
        <v>751</v>
      </c>
      <c r="F25" s="31">
        <v>438</v>
      </c>
      <c r="G25" s="31">
        <v>4</v>
      </c>
      <c r="H25" s="31">
        <v>316</v>
      </c>
      <c r="I25" s="31">
        <v>328</v>
      </c>
      <c r="J25" s="31">
        <v>21</v>
      </c>
      <c r="K25" s="31">
        <v>6</v>
      </c>
      <c r="L25" s="31">
        <v>0</v>
      </c>
      <c r="M25" s="31">
        <v>13</v>
      </c>
      <c r="N25" s="31">
        <v>30</v>
      </c>
      <c r="O25" s="31">
        <v>1</v>
      </c>
      <c r="P25" s="31">
        <v>26</v>
      </c>
      <c r="Q25" s="31">
        <v>8</v>
      </c>
      <c r="R25" s="31">
        <v>0</v>
      </c>
      <c r="S25" s="31">
        <v>32</v>
      </c>
      <c r="T25" s="31">
        <v>19</v>
      </c>
      <c r="U25" s="31">
        <v>0</v>
      </c>
      <c r="V25" s="31">
        <v>6</v>
      </c>
      <c r="W25" s="31">
        <v>0</v>
      </c>
      <c r="X25" s="31">
        <v>0</v>
      </c>
      <c r="Y25" s="31">
        <v>31</v>
      </c>
      <c r="Z25" s="31">
        <v>5</v>
      </c>
      <c r="AA25" s="31">
        <v>0</v>
      </c>
      <c r="AB25" s="31">
        <v>0</v>
      </c>
      <c r="AC25" s="31">
        <v>0</v>
      </c>
      <c r="AD25" s="31">
        <v>0</v>
      </c>
      <c r="AE25" s="31">
        <v>232</v>
      </c>
      <c r="AF25" s="31">
        <v>32</v>
      </c>
      <c r="AG25" s="31">
        <v>0</v>
      </c>
      <c r="AH25" s="31">
        <v>74</v>
      </c>
      <c r="AI25" s="31">
        <v>10</v>
      </c>
      <c r="AJ25" s="31">
        <v>3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1144</v>
      </c>
      <c r="E26" s="22">
        <v>725</v>
      </c>
      <c r="F26" s="22">
        <v>415</v>
      </c>
      <c r="G26" s="22">
        <v>4</v>
      </c>
      <c r="H26" s="22">
        <v>300</v>
      </c>
      <c r="I26" s="22">
        <v>312</v>
      </c>
      <c r="J26" s="22">
        <v>21</v>
      </c>
      <c r="K26" s="22">
        <v>5</v>
      </c>
      <c r="L26" s="22">
        <v>0</v>
      </c>
      <c r="M26" s="22">
        <v>13</v>
      </c>
      <c r="N26" s="22">
        <v>29</v>
      </c>
      <c r="O26" s="22">
        <v>1</v>
      </c>
      <c r="P26" s="22">
        <v>25</v>
      </c>
      <c r="Q26" s="22">
        <v>6</v>
      </c>
      <c r="R26" s="22">
        <v>0</v>
      </c>
      <c r="S26" s="22">
        <v>31</v>
      </c>
      <c r="T26" s="22">
        <v>17</v>
      </c>
      <c r="U26" s="22">
        <v>0</v>
      </c>
      <c r="V26" s="22">
        <v>6</v>
      </c>
      <c r="W26" s="22">
        <v>0</v>
      </c>
      <c r="X26" s="22">
        <v>0</v>
      </c>
      <c r="Y26" s="22">
        <v>28</v>
      </c>
      <c r="Z26" s="22">
        <v>5</v>
      </c>
      <c r="AA26" s="22">
        <v>0</v>
      </c>
      <c r="AB26" s="22">
        <v>0</v>
      </c>
      <c r="AC26" s="22">
        <v>0</v>
      </c>
      <c r="AD26" s="22">
        <v>0</v>
      </c>
      <c r="AE26" s="22">
        <v>227</v>
      </c>
      <c r="AF26" s="22">
        <v>32</v>
      </c>
      <c r="AG26" s="22">
        <v>0</v>
      </c>
      <c r="AH26" s="22">
        <v>74</v>
      </c>
      <c r="AI26" s="22">
        <v>9</v>
      </c>
      <c r="AJ26" s="22">
        <v>3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49</v>
      </c>
      <c r="E27" s="22">
        <v>26</v>
      </c>
      <c r="F27" s="22">
        <v>23</v>
      </c>
      <c r="G27" s="22">
        <v>0</v>
      </c>
      <c r="H27" s="22">
        <v>16</v>
      </c>
      <c r="I27" s="22">
        <v>16</v>
      </c>
      <c r="J27" s="22">
        <v>0</v>
      </c>
      <c r="K27" s="22">
        <v>1</v>
      </c>
      <c r="L27" s="22">
        <v>0</v>
      </c>
      <c r="M27" s="22">
        <v>0</v>
      </c>
      <c r="N27" s="22">
        <v>1</v>
      </c>
      <c r="O27" s="22">
        <v>0</v>
      </c>
      <c r="P27" s="22">
        <v>1</v>
      </c>
      <c r="Q27" s="22">
        <v>2</v>
      </c>
      <c r="R27" s="22">
        <v>0</v>
      </c>
      <c r="S27" s="22">
        <v>1</v>
      </c>
      <c r="T27" s="22">
        <v>2</v>
      </c>
      <c r="U27" s="22">
        <v>0</v>
      </c>
      <c r="V27" s="22">
        <v>0</v>
      </c>
      <c r="W27" s="22">
        <v>0</v>
      </c>
      <c r="X27" s="22">
        <v>0</v>
      </c>
      <c r="Y27" s="22">
        <v>3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5</v>
      </c>
      <c r="AF27" s="22">
        <v>0</v>
      </c>
      <c r="AG27" s="22">
        <v>0</v>
      </c>
      <c r="AH27" s="22">
        <v>0</v>
      </c>
      <c r="AI27" s="22">
        <v>1</v>
      </c>
      <c r="AJ27" s="22">
        <v>0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138</v>
      </c>
      <c r="E28" s="31">
        <v>99</v>
      </c>
      <c r="F28" s="31">
        <v>37</v>
      </c>
      <c r="G28" s="31">
        <v>2</v>
      </c>
      <c r="H28" s="31">
        <v>31</v>
      </c>
      <c r="I28" s="31">
        <v>22</v>
      </c>
      <c r="J28" s="31">
        <v>2</v>
      </c>
      <c r="K28" s="31">
        <v>1</v>
      </c>
      <c r="L28" s="31">
        <v>0</v>
      </c>
      <c r="M28" s="31">
        <v>1</v>
      </c>
      <c r="N28" s="31">
        <v>1</v>
      </c>
      <c r="O28" s="31">
        <v>0</v>
      </c>
      <c r="P28" s="31">
        <v>6</v>
      </c>
      <c r="Q28" s="31">
        <v>0</v>
      </c>
      <c r="R28" s="31">
        <v>0</v>
      </c>
      <c r="S28" s="31">
        <v>4</v>
      </c>
      <c r="T28" s="31">
        <v>1</v>
      </c>
      <c r="U28" s="31">
        <v>0</v>
      </c>
      <c r="V28" s="31">
        <v>1</v>
      </c>
      <c r="W28" s="31">
        <v>0</v>
      </c>
      <c r="X28" s="31">
        <v>0</v>
      </c>
      <c r="Y28" s="31">
        <v>5</v>
      </c>
      <c r="Z28" s="31">
        <v>1</v>
      </c>
      <c r="AA28" s="31">
        <v>0</v>
      </c>
      <c r="AB28" s="31">
        <v>0</v>
      </c>
      <c r="AC28" s="31">
        <v>0</v>
      </c>
      <c r="AD28" s="31">
        <v>0</v>
      </c>
      <c r="AE28" s="31">
        <v>46</v>
      </c>
      <c r="AF28" s="31">
        <v>11</v>
      </c>
      <c r="AG28" s="31">
        <v>0</v>
      </c>
      <c r="AH28" s="31">
        <v>3</v>
      </c>
      <c r="AI28" s="31">
        <v>0</v>
      </c>
      <c r="AJ28" s="31">
        <v>2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120</v>
      </c>
      <c r="E29" s="22">
        <v>87</v>
      </c>
      <c r="F29" s="22">
        <v>32</v>
      </c>
      <c r="G29" s="22">
        <v>1</v>
      </c>
      <c r="H29" s="22">
        <v>29</v>
      </c>
      <c r="I29" s="22">
        <v>20</v>
      </c>
      <c r="J29" s="22">
        <v>2</v>
      </c>
      <c r="K29" s="22">
        <v>1</v>
      </c>
      <c r="L29" s="22">
        <v>0</v>
      </c>
      <c r="M29" s="22">
        <v>1</v>
      </c>
      <c r="N29" s="22">
        <v>1</v>
      </c>
      <c r="O29" s="22">
        <v>0</v>
      </c>
      <c r="P29" s="22">
        <v>5</v>
      </c>
      <c r="Q29" s="22">
        <v>0</v>
      </c>
      <c r="R29" s="22">
        <v>0</v>
      </c>
      <c r="S29" s="22">
        <v>3</v>
      </c>
      <c r="T29" s="22">
        <v>1</v>
      </c>
      <c r="U29" s="22">
        <v>0</v>
      </c>
      <c r="V29" s="22">
        <v>1</v>
      </c>
      <c r="W29" s="22">
        <v>0</v>
      </c>
      <c r="X29" s="22">
        <v>0</v>
      </c>
      <c r="Y29" s="22">
        <v>4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39</v>
      </c>
      <c r="AF29" s="22">
        <v>9</v>
      </c>
      <c r="AG29" s="22">
        <v>0</v>
      </c>
      <c r="AH29" s="22">
        <v>3</v>
      </c>
      <c r="AI29" s="22">
        <v>0</v>
      </c>
      <c r="AJ29" s="22">
        <v>1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18</v>
      </c>
      <c r="E30" s="22">
        <v>12</v>
      </c>
      <c r="F30" s="22">
        <v>5</v>
      </c>
      <c r="G30" s="22">
        <v>1</v>
      </c>
      <c r="H30" s="22">
        <v>2</v>
      </c>
      <c r="I30" s="22">
        <v>2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1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1</v>
      </c>
      <c r="Z30" s="22">
        <v>1</v>
      </c>
      <c r="AA30" s="22">
        <v>0</v>
      </c>
      <c r="AB30" s="22">
        <v>0</v>
      </c>
      <c r="AC30" s="22">
        <v>0</v>
      </c>
      <c r="AD30" s="22">
        <v>0</v>
      </c>
      <c r="AE30" s="22">
        <v>7</v>
      </c>
      <c r="AF30" s="22">
        <v>2</v>
      </c>
      <c r="AG30" s="22">
        <v>0</v>
      </c>
      <c r="AH30" s="22">
        <v>0</v>
      </c>
      <c r="AI30" s="22">
        <v>0</v>
      </c>
      <c r="AJ30" s="22">
        <v>1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245</v>
      </c>
      <c r="E31" s="31">
        <v>170</v>
      </c>
      <c r="F31" s="31">
        <v>69</v>
      </c>
      <c r="G31" s="31">
        <v>6</v>
      </c>
      <c r="H31" s="31">
        <v>63</v>
      </c>
      <c r="I31" s="31">
        <v>46</v>
      </c>
      <c r="J31" s="31">
        <v>9</v>
      </c>
      <c r="K31" s="31">
        <v>1</v>
      </c>
      <c r="L31" s="31">
        <v>0</v>
      </c>
      <c r="M31" s="31">
        <v>3</v>
      </c>
      <c r="N31" s="31">
        <v>7</v>
      </c>
      <c r="O31" s="31">
        <v>0</v>
      </c>
      <c r="P31" s="31">
        <v>13</v>
      </c>
      <c r="Q31" s="31">
        <v>0</v>
      </c>
      <c r="R31" s="31">
        <v>0</v>
      </c>
      <c r="S31" s="31">
        <v>3</v>
      </c>
      <c r="T31" s="31">
        <v>1</v>
      </c>
      <c r="U31" s="31">
        <v>0</v>
      </c>
      <c r="V31" s="31">
        <v>0</v>
      </c>
      <c r="W31" s="31">
        <v>0</v>
      </c>
      <c r="X31" s="31">
        <v>0</v>
      </c>
      <c r="Y31" s="31">
        <v>5</v>
      </c>
      <c r="Z31" s="31">
        <v>3</v>
      </c>
      <c r="AA31" s="31">
        <v>0</v>
      </c>
      <c r="AB31" s="31">
        <v>0</v>
      </c>
      <c r="AC31" s="31">
        <v>1</v>
      </c>
      <c r="AD31" s="31">
        <v>0</v>
      </c>
      <c r="AE31" s="31">
        <v>27</v>
      </c>
      <c r="AF31" s="31">
        <v>3</v>
      </c>
      <c r="AG31" s="31">
        <v>0</v>
      </c>
      <c r="AH31" s="31">
        <v>47</v>
      </c>
      <c r="AI31" s="31">
        <v>7</v>
      </c>
      <c r="AJ31" s="31">
        <v>6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206</v>
      </c>
      <c r="E32" s="22">
        <v>142</v>
      </c>
      <c r="F32" s="22">
        <v>58</v>
      </c>
      <c r="G32" s="22">
        <v>6</v>
      </c>
      <c r="H32" s="22">
        <v>54</v>
      </c>
      <c r="I32" s="22">
        <v>37</v>
      </c>
      <c r="J32" s="22">
        <v>7</v>
      </c>
      <c r="K32" s="22">
        <v>1</v>
      </c>
      <c r="L32" s="22">
        <v>0</v>
      </c>
      <c r="M32" s="22">
        <v>2</v>
      </c>
      <c r="N32" s="22">
        <v>6</v>
      </c>
      <c r="O32" s="22">
        <v>0</v>
      </c>
      <c r="P32" s="22">
        <v>7</v>
      </c>
      <c r="Q32" s="22">
        <v>0</v>
      </c>
      <c r="R32" s="22">
        <v>0</v>
      </c>
      <c r="S32" s="22">
        <v>3</v>
      </c>
      <c r="T32" s="22">
        <v>1</v>
      </c>
      <c r="U32" s="22">
        <v>0</v>
      </c>
      <c r="V32" s="22">
        <v>0</v>
      </c>
      <c r="W32" s="22">
        <v>0</v>
      </c>
      <c r="X32" s="22">
        <v>0</v>
      </c>
      <c r="Y32" s="22">
        <v>5</v>
      </c>
      <c r="Z32" s="22">
        <v>2</v>
      </c>
      <c r="AA32" s="22">
        <v>0</v>
      </c>
      <c r="AB32" s="22">
        <v>0</v>
      </c>
      <c r="AC32" s="22">
        <v>1</v>
      </c>
      <c r="AD32" s="22">
        <v>0</v>
      </c>
      <c r="AE32" s="22">
        <v>21</v>
      </c>
      <c r="AF32" s="22">
        <v>3</v>
      </c>
      <c r="AG32" s="22">
        <v>0</v>
      </c>
      <c r="AH32" s="22">
        <v>43</v>
      </c>
      <c r="AI32" s="22">
        <v>7</v>
      </c>
      <c r="AJ32" s="22">
        <v>6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39</v>
      </c>
      <c r="E33" s="22">
        <v>28</v>
      </c>
      <c r="F33" s="22">
        <v>11</v>
      </c>
      <c r="G33" s="22">
        <v>0</v>
      </c>
      <c r="H33" s="22">
        <v>9</v>
      </c>
      <c r="I33" s="22">
        <v>9</v>
      </c>
      <c r="J33" s="22">
        <v>2</v>
      </c>
      <c r="K33" s="22">
        <v>0</v>
      </c>
      <c r="L33" s="22">
        <v>0</v>
      </c>
      <c r="M33" s="22">
        <v>1</v>
      </c>
      <c r="N33" s="22">
        <v>1</v>
      </c>
      <c r="O33" s="22">
        <v>0</v>
      </c>
      <c r="P33" s="22">
        <v>6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1</v>
      </c>
      <c r="AA33" s="22">
        <v>0</v>
      </c>
      <c r="AB33" s="22">
        <v>0</v>
      </c>
      <c r="AC33" s="22">
        <v>0</v>
      </c>
      <c r="AD33" s="22">
        <v>0</v>
      </c>
      <c r="AE33" s="22">
        <v>6</v>
      </c>
      <c r="AF33" s="22">
        <v>0</v>
      </c>
      <c r="AG33" s="22">
        <v>0</v>
      </c>
      <c r="AH33" s="22">
        <v>4</v>
      </c>
      <c r="AI33" s="22">
        <v>0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140</v>
      </c>
      <c r="E34" s="31">
        <v>110</v>
      </c>
      <c r="F34" s="31">
        <v>30</v>
      </c>
      <c r="G34" s="31">
        <v>0</v>
      </c>
      <c r="H34" s="31">
        <v>24</v>
      </c>
      <c r="I34" s="31">
        <v>26</v>
      </c>
      <c r="J34" s="31">
        <v>4</v>
      </c>
      <c r="K34" s="31">
        <v>0</v>
      </c>
      <c r="L34" s="31">
        <v>0</v>
      </c>
      <c r="M34" s="31">
        <v>3</v>
      </c>
      <c r="N34" s="31">
        <v>2</v>
      </c>
      <c r="O34" s="31">
        <v>0</v>
      </c>
      <c r="P34" s="31">
        <v>7</v>
      </c>
      <c r="Q34" s="31">
        <v>0</v>
      </c>
      <c r="R34" s="31">
        <v>0</v>
      </c>
      <c r="S34" s="31">
        <v>4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4</v>
      </c>
      <c r="Z34" s="31">
        <v>1</v>
      </c>
      <c r="AA34" s="31">
        <v>0</v>
      </c>
      <c r="AB34" s="31">
        <v>0</v>
      </c>
      <c r="AC34" s="31">
        <v>0</v>
      </c>
      <c r="AD34" s="31">
        <v>0</v>
      </c>
      <c r="AE34" s="31">
        <v>55</v>
      </c>
      <c r="AF34" s="31">
        <v>0</v>
      </c>
      <c r="AG34" s="31">
        <v>0</v>
      </c>
      <c r="AH34" s="31">
        <v>9</v>
      </c>
      <c r="AI34" s="31">
        <v>1</v>
      </c>
      <c r="AJ34" s="31">
        <v>0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128</v>
      </c>
      <c r="E35" s="22">
        <v>100</v>
      </c>
      <c r="F35" s="22">
        <v>28</v>
      </c>
      <c r="G35" s="22">
        <v>0</v>
      </c>
      <c r="H35" s="22">
        <v>22</v>
      </c>
      <c r="I35" s="22">
        <v>24</v>
      </c>
      <c r="J35" s="22">
        <v>4</v>
      </c>
      <c r="K35" s="22">
        <v>0</v>
      </c>
      <c r="L35" s="22">
        <v>0</v>
      </c>
      <c r="M35" s="22">
        <v>3</v>
      </c>
      <c r="N35" s="22">
        <v>2</v>
      </c>
      <c r="O35" s="22">
        <v>0</v>
      </c>
      <c r="P35" s="22">
        <v>5</v>
      </c>
      <c r="Q35" s="22">
        <v>0</v>
      </c>
      <c r="R35" s="22">
        <v>0</v>
      </c>
      <c r="S35" s="22">
        <v>4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4</v>
      </c>
      <c r="Z35" s="22">
        <v>1</v>
      </c>
      <c r="AA35" s="22">
        <v>0</v>
      </c>
      <c r="AB35" s="22">
        <v>0</v>
      </c>
      <c r="AC35" s="22">
        <v>0</v>
      </c>
      <c r="AD35" s="22">
        <v>0</v>
      </c>
      <c r="AE35" s="22">
        <v>49</v>
      </c>
      <c r="AF35" s="22">
        <v>0</v>
      </c>
      <c r="AG35" s="22">
        <v>0</v>
      </c>
      <c r="AH35" s="22">
        <v>9</v>
      </c>
      <c r="AI35" s="22">
        <v>1</v>
      </c>
      <c r="AJ35" s="22">
        <v>0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12</v>
      </c>
      <c r="E36" s="22">
        <v>10</v>
      </c>
      <c r="F36" s="22">
        <v>2</v>
      </c>
      <c r="G36" s="22">
        <v>0</v>
      </c>
      <c r="H36" s="22">
        <v>2</v>
      </c>
      <c r="I36" s="22">
        <v>2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2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6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440</v>
      </c>
      <c r="E37" s="31">
        <v>298</v>
      </c>
      <c r="F37" s="31">
        <v>137</v>
      </c>
      <c r="G37" s="31">
        <v>5</v>
      </c>
      <c r="H37" s="31">
        <v>128</v>
      </c>
      <c r="I37" s="31">
        <v>77</v>
      </c>
      <c r="J37" s="31">
        <v>10</v>
      </c>
      <c r="K37" s="31">
        <v>0</v>
      </c>
      <c r="L37" s="31">
        <v>0</v>
      </c>
      <c r="M37" s="31">
        <v>9</v>
      </c>
      <c r="N37" s="31">
        <v>10</v>
      </c>
      <c r="O37" s="31">
        <v>0</v>
      </c>
      <c r="P37" s="31">
        <v>12</v>
      </c>
      <c r="Q37" s="31">
        <v>3</v>
      </c>
      <c r="R37" s="31">
        <v>0</v>
      </c>
      <c r="S37" s="31">
        <v>17</v>
      </c>
      <c r="T37" s="31">
        <v>2</v>
      </c>
      <c r="U37" s="31">
        <v>0</v>
      </c>
      <c r="V37" s="31">
        <v>10</v>
      </c>
      <c r="W37" s="31">
        <v>1</v>
      </c>
      <c r="X37" s="31">
        <v>1</v>
      </c>
      <c r="Y37" s="31">
        <v>6</v>
      </c>
      <c r="Z37" s="31">
        <v>1</v>
      </c>
      <c r="AA37" s="31">
        <v>0</v>
      </c>
      <c r="AB37" s="31">
        <v>0</v>
      </c>
      <c r="AC37" s="31">
        <v>2</v>
      </c>
      <c r="AD37" s="31">
        <v>0</v>
      </c>
      <c r="AE37" s="31">
        <v>50</v>
      </c>
      <c r="AF37" s="31">
        <v>36</v>
      </c>
      <c r="AG37" s="31">
        <v>0</v>
      </c>
      <c r="AH37" s="31">
        <v>56</v>
      </c>
      <c r="AI37" s="31">
        <v>5</v>
      </c>
      <c r="AJ37" s="31">
        <v>4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436</v>
      </c>
      <c r="E38" s="22">
        <v>295</v>
      </c>
      <c r="F38" s="22">
        <v>136</v>
      </c>
      <c r="G38" s="22">
        <v>5</v>
      </c>
      <c r="H38" s="22">
        <v>125</v>
      </c>
      <c r="I38" s="22">
        <v>76</v>
      </c>
      <c r="J38" s="22">
        <v>10</v>
      </c>
      <c r="K38" s="22">
        <v>0</v>
      </c>
      <c r="L38" s="22">
        <v>0</v>
      </c>
      <c r="M38" s="22">
        <v>9</v>
      </c>
      <c r="N38" s="22">
        <v>10</v>
      </c>
      <c r="O38" s="22">
        <v>0</v>
      </c>
      <c r="P38" s="22">
        <v>12</v>
      </c>
      <c r="Q38" s="22">
        <v>3</v>
      </c>
      <c r="R38" s="22">
        <v>0</v>
      </c>
      <c r="S38" s="22">
        <v>17</v>
      </c>
      <c r="T38" s="22">
        <v>2</v>
      </c>
      <c r="U38" s="22">
        <v>0</v>
      </c>
      <c r="V38" s="22">
        <v>10</v>
      </c>
      <c r="W38" s="22">
        <v>1</v>
      </c>
      <c r="X38" s="22">
        <v>1</v>
      </c>
      <c r="Y38" s="22">
        <v>6</v>
      </c>
      <c r="Z38" s="22">
        <v>1</v>
      </c>
      <c r="AA38" s="22">
        <v>0</v>
      </c>
      <c r="AB38" s="22">
        <v>0</v>
      </c>
      <c r="AC38" s="22">
        <v>2</v>
      </c>
      <c r="AD38" s="22">
        <v>0</v>
      </c>
      <c r="AE38" s="22">
        <v>50</v>
      </c>
      <c r="AF38" s="22">
        <v>36</v>
      </c>
      <c r="AG38" s="22">
        <v>0</v>
      </c>
      <c r="AH38" s="22">
        <v>56</v>
      </c>
      <c r="AI38" s="22">
        <v>5</v>
      </c>
      <c r="AJ38" s="22">
        <v>4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4</v>
      </c>
      <c r="E39" s="22">
        <v>3</v>
      </c>
      <c r="F39" s="22">
        <v>1</v>
      </c>
      <c r="G39" s="22">
        <v>0</v>
      </c>
      <c r="H39" s="22">
        <v>3</v>
      </c>
      <c r="I39" s="22">
        <v>1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197</v>
      </c>
      <c r="E40" s="31">
        <v>141</v>
      </c>
      <c r="F40" s="31">
        <v>52</v>
      </c>
      <c r="G40" s="31">
        <v>4</v>
      </c>
      <c r="H40" s="31">
        <v>65</v>
      </c>
      <c r="I40" s="31">
        <v>42</v>
      </c>
      <c r="J40" s="31">
        <v>4</v>
      </c>
      <c r="K40" s="31">
        <v>1</v>
      </c>
      <c r="L40" s="31">
        <v>0</v>
      </c>
      <c r="M40" s="31">
        <v>4</v>
      </c>
      <c r="N40" s="31">
        <v>1</v>
      </c>
      <c r="O40" s="31">
        <v>0</v>
      </c>
      <c r="P40" s="31">
        <v>6</v>
      </c>
      <c r="Q40" s="31">
        <v>3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4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28</v>
      </c>
      <c r="AF40" s="31">
        <v>0</v>
      </c>
      <c r="AG40" s="31">
        <v>0</v>
      </c>
      <c r="AH40" s="31">
        <v>30</v>
      </c>
      <c r="AI40" s="31">
        <v>5</v>
      </c>
      <c r="AJ40" s="31">
        <v>4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164</v>
      </c>
      <c r="E41" s="22">
        <v>122</v>
      </c>
      <c r="F41" s="22">
        <v>38</v>
      </c>
      <c r="G41" s="22">
        <v>4</v>
      </c>
      <c r="H41" s="22">
        <v>56</v>
      </c>
      <c r="I41" s="22">
        <v>31</v>
      </c>
      <c r="J41" s="22">
        <v>3</v>
      </c>
      <c r="K41" s="22">
        <v>1</v>
      </c>
      <c r="L41" s="22">
        <v>0</v>
      </c>
      <c r="M41" s="22">
        <v>4</v>
      </c>
      <c r="N41" s="22">
        <v>1</v>
      </c>
      <c r="O41" s="22">
        <v>0</v>
      </c>
      <c r="P41" s="22">
        <v>4</v>
      </c>
      <c r="Q41" s="22">
        <v>2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4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25</v>
      </c>
      <c r="AF41" s="22">
        <v>0</v>
      </c>
      <c r="AG41" s="22">
        <v>0</v>
      </c>
      <c r="AH41" s="22">
        <v>26</v>
      </c>
      <c r="AI41" s="22">
        <v>3</v>
      </c>
      <c r="AJ41" s="22">
        <v>4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33</v>
      </c>
      <c r="E42" s="22">
        <v>19</v>
      </c>
      <c r="F42" s="22">
        <v>14</v>
      </c>
      <c r="G42" s="22">
        <v>0</v>
      </c>
      <c r="H42" s="22">
        <v>9</v>
      </c>
      <c r="I42" s="22">
        <v>11</v>
      </c>
      <c r="J42" s="22">
        <v>1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2</v>
      </c>
      <c r="Q42" s="22">
        <v>1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3</v>
      </c>
      <c r="AF42" s="22">
        <v>0</v>
      </c>
      <c r="AG42" s="22">
        <v>0</v>
      </c>
      <c r="AH42" s="22">
        <v>4</v>
      </c>
      <c r="AI42" s="22">
        <v>2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273</v>
      </c>
      <c r="E43" s="31">
        <v>196</v>
      </c>
      <c r="F43" s="31">
        <v>77</v>
      </c>
      <c r="G43" s="31">
        <v>0</v>
      </c>
      <c r="H43" s="31">
        <v>88</v>
      </c>
      <c r="I43" s="31">
        <v>50</v>
      </c>
      <c r="J43" s="31">
        <v>4</v>
      </c>
      <c r="K43" s="31">
        <v>2</v>
      </c>
      <c r="L43" s="31">
        <v>0</v>
      </c>
      <c r="M43" s="31">
        <v>1</v>
      </c>
      <c r="N43" s="31">
        <v>3</v>
      </c>
      <c r="O43" s="31">
        <v>0</v>
      </c>
      <c r="P43" s="31">
        <v>17</v>
      </c>
      <c r="Q43" s="31">
        <v>1</v>
      </c>
      <c r="R43" s="31">
        <v>0</v>
      </c>
      <c r="S43" s="31">
        <v>4</v>
      </c>
      <c r="T43" s="31">
        <v>0</v>
      </c>
      <c r="U43" s="31">
        <v>0</v>
      </c>
      <c r="V43" s="31">
        <v>3</v>
      </c>
      <c r="W43" s="31">
        <v>0</v>
      </c>
      <c r="X43" s="31">
        <v>0</v>
      </c>
      <c r="Y43" s="31">
        <v>4</v>
      </c>
      <c r="Z43" s="31">
        <v>1</v>
      </c>
      <c r="AA43" s="31">
        <v>0</v>
      </c>
      <c r="AB43" s="31">
        <v>0</v>
      </c>
      <c r="AC43" s="31">
        <v>0</v>
      </c>
      <c r="AD43" s="31">
        <v>0</v>
      </c>
      <c r="AE43" s="31">
        <v>67</v>
      </c>
      <c r="AF43" s="31">
        <v>17</v>
      </c>
      <c r="AG43" s="31">
        <v>0</v>
      </c>
      <c r="AH43" s="31">
        <v>8</v>
      </c>
      <c r="AI43" s="31">
        <v>3</v>
      </c>
      <c r="AJ43" s="31">
        <v>0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273</v>
      </c>
      <c r="E44" s="22">
        <v>196</v>
      </c>
      <c r="F44" s="22">
        <v>77</v>
      </c>
      <c r="G44" s="22">
        <v>0</v>
      </c>
      <c r="H44" s="22">
        <v>88</v>
      </c>
      <c r="I44" s="22">
        <v>50</v>
      </c>
      <c r="J44" s="22">
        <v>4</v>
      </c>
      <c r="K44" s="22">
        <v>2</v>
      </c>
      <c r="L44" s="22">
        <v>0</v>
      </c>
      <c r="M44" s="22">
        <v>1</v>
      </c>
      <c r="N44" s="22">
        <v>3</v>
      </c>
      <c r="O44" s="22">
        <v>0</v>
      </c>
      <c r="P44" s="22">
        <v>17</v>
      </c>
      <c r="Q44" s="22">
        <v>1</v>
      </c>
      <c r="R44" s="22">
        <v>0</v>
      </c>
      <c r="S44" s="22">
        <v>4</v>
      </c>
      <c r="T44" s="22">
        <v>0</v>
      </c>
      <c r="U44" s="22">
        <v>0</v>
      </c>
      <c r="V44" s="22">
        <v>3</v>
      </c>
      <c r="W44" s="22">
        <v>0</v>
      </c>
      <c r="X44" s="22">
        <v>0</v>
      </c>
      <c r="Y44" s="22">
        <v>4</v>
      </c>
      <c r="Z44" s="22">
        <v>1</v>
      </c>
      <c r="AA44" s="22">
        <v>0</v>
      </c>
      <c r="AB44" s="22">
        <v>0</v>
      </c>
      <c r="AC44" s="22">
        <v>0</v>
      </c>
      <c r="AD44" s="22">
        <v>0</v>
      </c>
      <c r="AE44" s="22">
        <v>67</v>
      </c>
      <c r="AF44" s="22">
        <v>17</v>
      </c>
      <c r="AG44" s="22">
        <v>0</v>
      </c>
      <c r="AH44" s="22">
        <v>8</v>
      </c>
      <c r="AI44" s="22">
        <v>3</v>
      </c>
      <c r="AJ44" s="22">
        <v>0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198</v>
      </c>
      <c r="E46" s="31">
        <v>136</v>
      </c>
      <c r="F46" s="31">
        <v>62</v>
      </c>
      <c r="G46" s="31">
        <v>0</v>
      </c>
      <c r="H46" s="31">
        <v>52</v>
      </c>
      <c r="I46" s="31">
        <v>35</v>
      </c>
      <c r="J46" s="31">
        <v>9</v>
      </c>
      <c r="K46" s="31">
        <v>0</v>
      </c>
      <c r="L46" s="31">
        <v>0</v>
      </c>
      <c r="M46" s="31">
        <v>1</v>
      </c>
      <c r="N46" s="31">
        <v>11</v>
      </c>
      <c r="O46" s="31">
        <v>0</v>
      </c>
      <c r="P46" s="31">
        <v>0</v>
      </c>
      <c r="Q46" s="31">
        <v>1</v>
      </c>
      <c r="R46" s="31">
        <v>0</v>
      </c>
      <c r="S46" s="31">
        <v>4</v>
      </c>
      <c r="T46" s="31">
        <v>2</v>
      </c>
      <c r="U46" s="31">
        <v>0</v>
      </c>
      <c r="V46" s="31">
        <v>3</v>
      </c>
      <c r="W46" s="31">
        <v>0</v>
      </c>
      <c r="X46" s="31">
        <v>0</v>
      </c>
      <c r="Y46" s="31">
        <v>5</v>
      </c>
      <c r="Z46" s="31">
        <v>2</v>
      </c>
      <c r="AA46" s="31">
        <v>0</v>
      </c>
      <c r="AB46" s="31">
        <v>0</v>
      </c>
      <c r="AC46" s="31">
        <v>0</v>
      </c>
      <c r="AD46" s="31">
        <v>0</v>
      </c>
      <c r="AE46" s="31">
        <v>55</v>
      </c>
      <c r="AF46" s="31">
        <v>11</v>
      </c>
      <c r="AG46" s="31">
        <v>0</v>
      </c>
      <c r="AH46" s="31">
        <v>7</v>
      </c>
      <c r="AI46" s="31">
        <v>0</v>
      </c>
      <c r="AJ46" s="31">
        <v>0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193</v>
      </c>
      <c r="E47" s="22">
        <v>133</v>
      </c>
      <c r="F47" s="22">
        <v>60</v>
      </c>
      <c r="G47" s="22">
        <v>0</v>
      </c>
      <c r="H47" s="22">
        <v>50</v>
      </c>
      <c r="I47" s="22">
        <v>33</v>
      </c>
      <c r="J47" s="22">
        <v>9</v>
      </c>
      <c r="K47" s="22">
        <v>0</v>
      </c>
      <c r="L47" s="22">
        <v>0</v>
      </c>
      <c r="M47" s="22">
        <v>1</v>
      </c>
      <c r="N47" s="22">
        <v>11</v>
      </c>
      <c r="O47" s="22">
        <v>0</v>
      </c>
      <c r="P47" s="22">
        <v>0</v>
      </c>
      <c r="Q47" s="22">
        <v>1</v>
      </c>
      <c r="R47" s="22">
        <v>0</v>
      </c>
      <c r="S47" s="22">
        <v>4</v>
      </c>
      <c r="T47" s="22">
        <v>2</v>
      </c>
      <c r="U47" s="22">
        <v>0</v>
      </c>
      <c r="V47" s="22">
        <v>3</v>
      </c>
      <c r="W47" s="22">
        <v>0</v>
      </c>
      <c r="X47" s="22">
        <v>0</v>
      </c>
      <c r="Y47" s="22">
        <v>5</v>
      </c>
      <c r="Z47" s="22">
        <v>2</v>
      </c>
      <c r="AA47" s="22">
        <v>0</v>
      </c>
      <c r="AB47" s="22">
        <v>0</v>
      </c>
      <c r="AC47" s="22">
        <v>0</v>
      </c>
      <c r="AD47" s="22">
        <v>0</v>
      </c>
      <c r="AE47" s="22">
        <v>54</v>
      </c>
      <c r="AF47" s="22">
        <v>11</v>
      </c>
      <c r="AG47" s="22">
        <v>0</v>
      </c>
      <c r="AH47" s="22">
        <v>7</v>
      </c>
      <c r="AI47" s="22">
        <v>0</v>
      </c>
      <c r="AJ47" s="22">
        <v>0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5</v>
      </c>
      <c r="E48" s="22">
        <v>3</v>
      </c>
      <c r="F48" s="22">
        <v>2</v>
      </c>
      <c r="G48" s="22">
        <v>0</v>
      </c>
      <c r="H48" s="22">
        <v>2</v>
      </c>
      <c r="I48" s="22">
        <v>2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1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436</v>
      </c>
      <c r="E49" s="31">
        <v>315</v>
      </c>
      <c r="F49" s="31">
        <v>121</v>
      </c>
      <c r="G49" s="31">
        <v>0</v>
      </c>
      <c r="H49" s="31">
        <v>146</v>
      </c>
      <c r="I49" s="31">
        <v>74</v>
      </c>
      <c r="J49" s="31">
        <v>2</v>
      </c>
      <c r="K49" s="31">
        <v>1</v>
      </c>
      <c r="L49" s="31">
        <v>0</v>
      </c>
      <c r="M49" s="31">
        <v>7</v>
      </c>
      <c r="N49" s="31">
        <v>10</v>
      </c>
      <c r="O49" s="31">
        <v>0</v>
      </c>
      <c r="P49" s="31">
        <v>20</v>
      </c>
      <c r="Q49" s="31">
        <v>4</v>
      </c>
      <c r="R49" s="31">
        <v>0</v>
      </c>
      <c r="S49" s="31">
        <v>15</v>
      </c>
      <c r="T49" s="31">
        <v>8</v>
      </c>
      <c r="U49" s="31">
        <v>0</v>
      </c>
      <c r="V49" s="31">
        <v>5</v>
      </c>
      <c r="W49" s="31">
        <v>1</v>
      </c>
      <c r="X49" s="31">
        <v>0</v>
      </c>
      <c r="Y49" s="31">
        <v>4</v>
      </c>
      <c r="Z49" s="31">
        <v>2</v>
      </c>
      <c r="AA49" s="31">
        <v>0</v>
      </c>
      <c r="AB49" s="31">
        <v>2</v>
      </c>
      <c r="AC49" s="31">
        <v>1</v>
      </c>
      <c r="AD49" s="31">
        <v>0</v>
      </c>
      <c r="AE49" s="31">
        <v>90</v>
      </c>
      <c r="AF49" s="31">
        <v>15</v>
      </c>
      <c r="AG49" s="31">
        <v>0</v>
      </c>
      <c r="AH49" s="31">
        <v>24</v>
      </c>
      <c r="AI49" s="31">
        <v>5</v>
      </c>
      <c r="AJ49" s="31">
        <v>0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386</v>
      </c>
      <c r="E50" s="22">
        <v>286</v>
      </c>
      <c r="F50" s="22">
        <v>100</v>
      </c>
      <c r="G50" s="22">
        <v>0</v>
      </c>
      <c r="H50" s="22">
        <v>133</v>
      </c>
      <c r="I50" s="22">
        <v>62</v>
      </c>
      <c r="J50" s="22">
        <v>2</v>
      </c>
      <c r="K50" s="22">
        <v>0</v>
      </c>
      <c r="L50" s="22">
        <v>0</v>
      </c>
      <c r="M50" s="22">
        <v>7</v>
      </c>
      <c r="N50" s="22">
        <v>9</v>
      </c>
      <c r="O50" s="22">
        <v>0</v>
      </c>
      <c r="P50" s="22">
        <v>15</v>
      </c>
      <c r="Q50" s="22">
        <v>3</v>
      </c>
      <c r="R50" s="22">
        <v>0</v>
      </c>
      <c r="S50" s="22">
        <v>10</v>
      </c>
      <c r="T50" s="22">
        <v>6</v>
      </c>
      <c r="U50" s="22">
        <v>0</v>
      </c>
      <c r="V50" s="22">
        <v>5</v>
      </c>
      <c r="W50" s="22">
        <v>1</v>
      </c>
      <c r="X50" s="22">
        <v>0</v>
      </c>
      <c r="Y50" s="22">
        <v>3</v>
      </c>
      <c r="Z50" s="22">
        <v>2</v>
      </c>
      <c r="AA50" s="22">
        <v>0</v>
      </c>
      <c r="AB50" s="22">
        <v>2</v>
      </c>
      <c r="AC50" s="22">
        <v>1</v>
      </c>
      <c r="AD50" s="22">
        <v>0</v>
      </c>
      <c r="AE50" s="22">
        <v>87</v>
      </c>
      <c r="AF50" s="22">
        <v>13</v>
      </c>
      <c r="AG50" s="22">
        <v>0</v>
      </c>
      <c r="AH50" s="22">
        <v>22</v>
      </c>
      <c r="AI50" s="22">
        <v>3</v>
      </c>
      <c r="AJ50" s="22">
        <v>0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50</v>
      </c>
      <c r="E51" s="22">
        <v>29</v>
      </c>
      <c r="F51" s="22">
        <v>21</v>
      </c>
      <c r="G51" s="22">
        <v>0</v>
      </c>
      <c r="H51" s="22">
        <v>13</v>
      </c>
      <c r="I51" s="22">
        <v>12</v>
      </c>
      <c r="J51" s="22">
        <v>0</v>
      </c>
      <c r="K51" s="22">
        <v>1</v>
      </c>
      <c r="L51" s="22">
        <v>0</v>
      </c>
      <c r="M51" s="22">
        <v>0</v>
      </c>
      <c r="N51" s="22">
        <v>1</v>
      </c>
      <c r="O51" s="22">
        <v>0</v>
      </c>
      <c r="P51" s="22">
        <v>5</v>
      </c>
      <c r="Q51" s="22">
        <v>1</v>
      </c>
      <c r="R51" s="22">
        <v>0</v>
      </c>
      <c r="S51" s="22">
        <v>5</v>
      </c>
      <c r="T51" s="22">
        <v>2</v>
      </c>
      <c r="U51" s="22">
        <v>0</v>
      </c>
      <c r="V51" s="22">
        <v>0</v>
      </c>
      <c r="W51" s="22">
        <v>0</v>
      </c>
      <c r="X51" s="22">
        <v>0</v>
      </c>
      <c r="Y51" s="22">
        <v>1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3</v>
      </c>
      <c r="AF51" s="22">
        <v>2</v>
      </c>
      <c r="AG51" s="22">
        <v>0</v>
      </c>
      <c r="AH51" s="22">
        <v>2</v>
      </c>
      <c r="AI51" s="22">
        <v>2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273</v>
      </c>
      <c r="E52" s="31">
        <v>199</v>
      </c>
      <c r="F52" s="31">
        <v>71</v>
      </c>
      <c r="G52" s="31">
        <v>3</v>
      </c>
      <c r="H52" s="31">
        <v>80</v>
      </c>
      <c r="I52" s="31">
        <v>30</v>
      </c>
      <c r="J52" s="31">
        <v>5</v>
      </c>
      <c r="K52" s="31">
        <v>2</v>
      </c>
      <c r="L52" s="31">
        <v>0</v>
      </c>
      <c r="M52" s="31">
        <v>11</v>
      </c>
      <c r="N52" s="31">
        <v>5</v>
      </c>
      <c r="O52" s="31">
        <v>1</v>
      </c>
      <c r="P52" s="31">
        <v>32</v>
      </c>
      <c r="Q52" s="31">
        <v>12</v>
      </c>
      <c r="R52" s="31">
        <v>0</v>
      </c>
      <c r="S52" s="31">
        <v>7</v>
      </c>
      <c r="T52" s="31">
        <v>8</v>
      </c>
      <c r="U52" s="31">
        <v>0</v>
      </c>
      <c r="V52" s="31">
        <v>3</v>
      </c>
      <c r="W52" s="31">
        <v>0</v>
      </c>
      <c r="X52" s="31">
        <v>0</v>
      </c>
      <c r="Y52" s="31">
        <v>12</v>
      </c>
      <c r="Z52" s="31">
        <v>2</v>
      </c>
      <c r="AA52" s="31">
        <v>0</v>
      </c>
      <c r="AB52" s="31">
        <v>0</v>
      </c>
      <c r="AC52" s="31">
        <v>1</v>
      </c>
      <c r="AD52" s="31">
        <v>0</v>
      </c>
      <c r="AE52" s="31">
        <v>26</v>
      </c>
      <c r="AF52" s="31">
        <v>5</v>
      </c>
      <c r="AG52" s="31">
        <v>0</v>
      </c>
      <c r="AH52" s="31">
        <v>23</v>
      </c>
      <c r="AI52" s="31">
        <v>6</v>
      </c>
      <c r="AJ52" s="31">
        <v>2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145</v>
      </c>
      <c r="E53" s="22">
        <v>103</v>
      </c>
      <c r="F53" s="22">
        <v>39</v>
      </c>
      <c r="G53" s="22">
        <v>3</v>
      </c>
      <c r="H53" s="22">
        <v>55</v>
      </c>
      <c r="I53" s="22">
        <v>24</v>
      </c>
      <c r="J53" s="22">
        <v>2</v>
      </c>
      <c r="K53" s="22">
        <v>1</v>
      </c>
      <c r="L53" s="22">
        <v>0</v>
      </c>
      <c r="M53" s="22">
        <v>5</v>
      </c>
      <c r="N53" s="22">
        <v>1</v>
      </c>
      <c r="O53" s="22">
        <v>1</v>
      </c>
      <c r="P53" s="22">
        <v>10</v>
      </c>
      <c r="Q53" s="22">
        <v>2</v>
      </c>
      <c r="R53" s="22">
        <v>0</v>
      </c>
      <c r="S53" s="22">
        <v>2</v>
      </c>
      <c r="T53" s="22">
        <v>2</v>
      </c>
      <c r="U53" s="22">
        <v>0</v>
      </c>
      <c r="V53" s="22">
        <v>1</v>
      </c>
      <c r="W53" s="22">
        <v>0</v>
      </c>
      <c r="X53" s="22">
        <v>0</v>
      </c>
      <c r="Y53" s="22">
        <v>4</v>
      </c>
      <c r="Z53" s="22">
        <v>1</v>
      </c>
      <c r="AA53" s="22">
        <v>0</v>
      </c>
      <c r="AB53" s="22">
        <v>0</v>
      </c>
      <c r="AC53" s="22">
        <v>1</v>
      </c>
      <c r="AD53" s="22">
        <v>0</v>
      </c>
      <c r="AE53" s="22">
        <v>13</v>
      </c>
      <c r="AF53" s="22">
        <v>4</v>
      </c>
      <c r="AG53" s="22">
        <v>0</v>
      </c>
      <c r="AH53" s="22">
        <v>11</v>
      </c>
      <c r="AI53" s="22">
        <v>3</v>
      </c>
      <c r="AJ53" s="22">
        <v>2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128</v>
      </c>
      <c r="E54" s="22">
        <v>96</v>
      </c>
      <c r="F54" s="22">
        <v>32</v>
      </c>
      <c r="G54" s="22">
        <v>0</v>
      </c>
      <c r="H54" s="22">
        <v>25</v>
      </c>
      <c r="I54" s="22">
        <v>6</v>
      </c>
      <c r="J54" s="22">
        <v>3</v>
      </c>
      <c r="K54" s="22">
        <v>1</v>
      </c>
      <c r="L54" s="22">
        <v>0</v>
      </c>
      <c r="M54" s="22">
        <v>6</v>
      </c>
      <c r="N54" s="22">
        <v>4</v>
      </c>
      <c r="O54" s="22">
        <v>0</v>
      </c>
      <c r="P54" s="22">
        <v>22</v>
      </c>
      <c r="Q54" s="22">
        <v>10</v>
      </c>
      <c r="R54" s="22">
        <v>0</v>
      </c>
      <c r="S54" s="22">
        <v>5</v>
      </c>
      <c r="T54" s="22">
        <v>6</v>
      </c>
      <c r="U54" s="22">
        <v>0</v>
      </c>
      <c r="V54" s="22">
        <v>2</v>
      </c>
      <c r="W54" s="22">
        <v>0</v>
      </c>
      <c r="X54" s="22">
        <v>0</v>
      </c>
      <c r="Y54" s="22">
        <v>8</v>
      </c>
      <c r="Z54" s="22">
        <v>1</v>
      </c>
      <c r="AA54" s="22">
        <v>0</v>
      </c>
      <c r="AB54" s="22">
        <v>0</v>
      </c>
      <c r="AC54" s="22">
        <v>0</v>
      </c>
      <c r="AD54" s="22">
        <v>0</v>
      </c>
      <c r="AE54" s="22">
        <v>13</v>
      </c>
      <c r="AF54" s="22">
        <v>1</v>
      </c>
      <c r="AG54" s="22">
        <v>0</v>
      </c>
      <c r="AH54" s="22">
        <v>12</v>
      </c>
      <c r="AI54" s="22">
        <v>3</v>
      </c>
      <c r="AJ54" s="22">
        <v>0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261</v>
      </c>
      <c r="E55" s="31">
        <v>190</v>
      </c>
      <c r="F55" s="31">
        <v>71</v>
      </c>
      <c r="G55" s="31">
        <v>0</v>
      </c>
      <c r="H55" s="31">
        <v>57</v>
      </c>
      <c r="I55" s="31">
        <v>60</v>
      </c>
      <c r="J55" s="31">
        <v>4</v>
      </c>
      <c r="K55" s="31">
        <v>0</v>
      </c>
      <c r="L55" s="31">
        <v>0</v>
      </c>
      <c r="M55" s="31">
        <v>6</v>
      </c>
      <c r="N55" s="31">
        <v>2</v>
      </c>
      <c r="O55" s="31">
        <v>0</v>
      </c>
      <c r="P55" s="31">
        <v>15</v>
      </c>
      <c r="Q55" s="31">
        <v>2</v>
      </c>
      <c r="R55" s="31">
        <v>0</v>
      </c>
      <c r="S55" s="31">
        <v>5</v>
      </c>
      <c r="T55" s="31">
        <v>5</v>
      </c>
      <c r="U55" s="31">
        <v>0</v>
      </c>
      <c r="V55" s="31">
        <v>1</v>
      </c>
      <c r="W55" s="31">
        <v>0</v>
      </c>
      <c r="X55" s="31">
        <v>0</v>
      </c>
      <c r="Y55" s="31">
        <v>7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90</v>
      </c>
      <c r="AF55" s="31">
        <v>2</v>
      </c>
      <c r="AG55" s="31">
        <v>0</v>
      </c>
      <c r="AH55" s="31">
        <v>5</v>
      </c>
      <c r="AI55" s="31">
        <v>0</v>
      </c>
      <c r="AJ55" s="31">
        <v>0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154</v>
      </c>
      <c r="E56" s="22">
        <v>132</v>
      </c>
      <c r="F56" s="22">
        <v>22</v>
      </c>
      <c r="G56" s="22">
        <v>0</v>
      </c>
      <c r="H56" s="22">
        <v>38</v>
      </c>
      <c r="I56" s="22">
        <v>20</v>
      </c>
      <c r="J56" s="22">
        <v>1</v>
      </c>
      <c r="K56" s="22">
        <v>0</v>
      </c>
      <c r="L56" s="22">
        <v>0</v>
      </c>
      <c r="M56" s="22">
        <v>2</v>
      </c>
      <c r="N56" s="22">
        <v>0</v>
      </c>
      <c r="O56" s="22">
        <v>0</v>
      </c>
      <c r="P56" s="22">
        <v>8</v>
      </c>
      <c r="Q56" s="22">
        <v>0</v>
      </c>
      <c r="R56" s="22">
        <v>0</v>
      </c>
      <c r="S56" s="22">
        <v>3</v>
      </c>
      <c r="T56" s="22">
        <v>2</v>
      </c>
      <c r="U56" s="22">
        <v>0</v>
      </c>
      <c r="V56" s="22">
        <v>1</v>
      </c>
      <c r="W56" s="22">
        <v>0</v>
      </c>
      <c r="X56" s="22">
        <v>0</v>
      </c>
      <c r="Y56" s="22">
        <v>6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71</v>
      </c>
      <c r="AF56" s="22">
        <v>0</v>
      </c>
      <c r="AG56" s="22">
        <v>0</v>
      </c>
      <c r="AH56" s="22">
        <v>2</v>
      </c>
      <c r="AI56" s="22">
        <v>0</v>
      </c>
      <c r="AJ56" s="22">
        <v>0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107</v>
      </c>
      <c r="E57" s="22">
        <v>58</v>
      </c>
      <c r="F57" s="22">
        <v>49</v>
      </c>
      <c r="G57" s="22">
        <v>0</v>
      </c>
      <c r="H57" s="22">
        <v>19</v>
      </c>
      <c r="I57" s="22">
        <v>40</v>
      </c>
      <c r="J57" s="22">
        <v>3</v>
      </c>
      <c r="K57" s="22">
        <v>0</v>
      </c>
      <c r="L57" s="22">
        <v>0</v>
      </c>
      <c r="M57" s="22">
        <v>4</v>
      </c>
      <c r="N57" s="22">
        <v>2</v>
      </c>
      <c r="O57" s="22">
        <v>0</v>
      </c>
      <c r="P57" s="22">
        <v>7</v>
      </c>
      <c r="Q57" s="22">
        <v>2</v>
      </c>
      <c r="R57" s="22">
        <v>0</v>
      </c>
      <c r="S57" s="22">
        <v>2</v>
      </c>
      <c r="T57" s="22">
        <v>3</v>
      </c>
      <c r="U57" s="22">
        <v>0</v>
      </c>
      <c r="V57" s="22">
        <v>0</v>
      </c>
      <c r="W57" s="22">
        <v>0</v>
      </c>
      <c r="X57" s="22">
        <v>0</v>
      </c>
      <c r="Y57" s="22">
        <v>1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19</v>
      </c>
      <c r="AF57" s="22">
        <v>2</v>
      </c>
      <c r="AG57" s="22">
        <v>0</v>
      </c>
      <c r="AH57" s="22">
        <v>3</v>
      </c>
      <c r="AI57" s="22">
        <v>0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31</v>
      </c>
      <c r="E58" s="31">
        <v>22</v>
      </c>
      <c r="F58" s="31">
        <v>7</v>
      </c>
      <c r="G58" s="31">
        <v>2</v>
      </c>
      <c r="H58" s="31">
        <v>7</v>
      </c>
      <c r="I58" s="31">
        <v>2</v>
      </c>
      <c r="J58" s="31">
        <v>0</v>
      </c>
      <c r="K58" s="31">
        <v>0</v>
      </c>
      <c r="L58" s="31">
        <v>0</v>
      </c>
      <c r="M58" s="31">
        <v>1</v>
      </c>
      <c r="N58" s="31">
        <v>1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9</v>
      </c>
      <c r="AF58" s="31">
        <v>2</v>
      </c>
      <c r="AG58" s="31">
        <v>0</v>
      </c>
      <c r="AH58" s="31">
        <v>5</v>
      </c>
      <c r="AI58" s="31">
        <v>2</v>
      </c>
      <c r="AJ58" s="31">
        <v>2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29</v>
      </c>
      <c r="E59" s="22">
        <v>20</v>
      </c>
      <c r="F59" s="22">
        <v>7</v>
      </c>
      <c r="G59" s="22">
        <v>2</v>
      </c>
      <c r="H59" s="22">
        <v>7</v>
      </c>
      <c r="I59" s="22">
        <v>2</v>
      </c>
      <c r="J59" s="22">
        <v>0</v>
      </c>
      <c r="K59" s="22">
        <v>0</v>
      </c>
      <c r="L59" s="22">
        <v>0</v>
      </c>
      <c r="M59" s="22">
        <v>1</v>
      </c>
      <c r="N59" s="22">
        <v>1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7</v>
      </c>
      <c r="AF59" s="22">
        <v>2</v>
      </c>
      <c r="AG59" s="22">
        <v>0</v>
      </c>
      <c r="AH59" s="22">
        <v>5</v>
      </c>
      <c r="AI59" s="22">
        <v>2</v>
      </c>
      <c r="AJ59" s="22">
        <v>2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2</v>
      </c>
      <c r="E60" s="22">
        <v>2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2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230</v>
      </c>
      <c r="E61" s="31">
        <v>154</v>
      </c>
      <c r="F61" s="31">
        <v>68</v>
      </c>
      <c r="G61" s="31">
        <v>8</v>
      </c>
      <c r="H61" s="31">
        <v>70</v>
      </c>
      <c r="I61" s="31">
        <v>42</v>
      </c>
      <c r="J61" s="31">
        <v>3</v>
      </c>
      <c r="K61" s="31">
        <v>0</v>
      </c>
      <c r="L61" s="31">
        <v>0</v>
      </c>
      <c r="M61" s="31">
        <v>2</v>
      </c>
      <c r="N61" s="31">
        <v>5</v>
      </c>
      <c r="O61" s="31">
        <v>0</v>
      </c>
      <c r="P61" s="31">
        <v>1</v>
      </c>
      <c r="Q61" s="31">
        <v>0</v>
      </c>
      <c r="R61" s="31">
        <v>0</v>
      </c>
      <c r="S61" s="31">
        <v>10</v>
      </c>
      <c r="T61" s="31">
        <v>2</v>
      </c>
      <c r="U61" s="31">
        <v>0</v>
      </c>
      <c r="V61" s="31">
        <v>3</v>
      </c>
      <c r="W61" s="31">
        <v>2</v>
      </c>
      <c r="X61" s="31">
        <v>0</v>
      </c>
      <c r="Y61" s="31">
        <v>10</v>
      </c>
      <c r="Z61" s="31">
        <v>4</v>
      </c>
      <c r="AA61" s="31">
        <v>0</v>
      </c>
      <c r="AB61" s="31">
        <v>0</v>
      </c>
      <c r="AC61" s="31">
        <v>0</v>
      </c>
      <c r="AD61" s="31">
        <v>0</v>
      </c>
      <c r="AE61" s="31">
        <v>51</v>
      </c>
      <c r="AF61" s="31">
        <v>12</v>
      </c>
      <c r="AG61" s="31">
        <v>0</v>
      </c>
      <c r="AH61" s="31">
        <v>4</v>
      </c>
      <c r="AI61" s="31">
        <v>1</v>
      </c>
      <c r="AJ61" s="31">
        <v>8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212</v>
      </c>
      <c r="E62" s="22">
        <v>145</v>
      </c>
      <c r="F62" s="22">
        <v>66</v>
      </c>
      <c r="G62" s="22">
        <v>1</v>
      </c>
      <c r="H62" s="22">
        <v>64</v>
      </c>
      <c r="I62" s="22">
        <v>40</v>
      </c>
      <c r="J62" s="22">
        <v>3</v>
      </c>
      <c r="K62" s="22">
        <v>0</v>
      </c>
      <c r="L62" s="22">
        <v>0</v>
      </c>
      <c r="M62" s="22">
        <v>2</v>
      </c>
      <c r="N62" s="22">
        <v>5</v>
      </c>
      <c r="O62" s="22">
        <v>0</v>
      </c>
      <c r="P62" s="22">
        <v>1</v>
      </c>
      <c r="Q62" s="22">
        <v>0</v>
      </c>
      <c r="R62" s="22">
        <v>0</v>
      </c>
      <c r="S62" s="22">
        <v>8</v>
      </c>
      <c r="T62" s="22">
        <v>2</v>
      </c>
      <c r="U62" s="22">
        <v>0</v>
      </c>
      <c r="V62" s="22">
        <v>3</v>
      </c>
      <c r="W62" s="22">
        <v>2</v>
      </c>
      <c r="X62" s="22">
        <v>0</v>
      </c>
      <c r="Y62" s="22">
        <v>10</v>
      </c>
      <c r="Z62" s="22">
        <v>4</v>
      </c>
      <c r="AA62" s="22">
        <v>0</v>
      </c>
      <c r="AB62" s="22">
        <v>0</v>
      </c>
      <c r="AC62" s="22">
        <v>0</v>
      </c>
      <c r="AD62" s="22">
        <v>0</v>
      </c>
      <c r="AE62" s="22">
        <v>50</v>
      </c>
      <c r="AF62" s="22">
        <v>12</v>
      </c>
      <c r="AG62" s="22">
        <v>0</v>
      </c>
      <c r="AH62" s="22">
        <v>4</v>
      </c>
      <c r="AI62" s="22">
        <v>1</v>
      </c>
      <c r="AJ62" s="22">
        <v>1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18</v>
      </c>
      <c r="E63" s="22">
        <v>9</v>
      </c>
      <c r="F63" s="22">
        <v>2</v>
      </c>
      <c r="G63" s="22">
        <v>7</v>
      </c>
      <c r="H63" s="22">
        <v>6</v>
      </c>
      <c r="I63" s="22">
        <v>2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2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1</v>
      </c>
      <c r="AF63" s="22">
        <v>0</v>
      </c>
      <c r="AG63" s="22">
        <v>0</v>
      </c>
      <c r="AH63" s="22">
        <v>0</v>
      </c>
      <c r="AI63" s="22">
        <v>0</v>
      </c>
      <c r="AJ63" s="22">
        <v>7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200</v>
      </c>
      <c r="E64" s="31">
        <v>137</v>
      </c>
      <c r="F64" s="31">
        <v>57</v>
      </c>
      <c r="G64" s="31">
        <v>6</v>
      </c>
      <c r="H64" s="31">
        <v>50</v>
      </c>
      <c r="I64" s="31">
        <v>36</v>
      </c>
      <c r="J64" s="31">
        <v>0</v>
      </c>
      <c r="K64" s="31">
        <v>0</v>
      </c>
      <c r="L64" s="31">
        <v>0</v>
      </c>
      <c r="M64" s="31">
        <v>0</v>
      </c>
      <c r="N64" s="31">
        <v>3</v>
      </c>
      <c r="O64" s="31">
        <v>0</v>
      </c>
      <c r="P64" s="31">
        <v>3</v>
      </c>
      <c r="Q64" s="31">
        <v>1</v>
      </c>
      <c r="R64" s="31">
        <v>0</v>
      </c>
      <c r="S64" s="31">
        <v>8</v>
      </c>
      <c r="T64" s="31">
        <v>2</v>
      </c>
      <c r="U64" s="31">
        <v>0</v>
      </c>
      <c r="V64" s="31">
        <v>1</v>
      </c>
      <c r="W64" s="31">
        <v>0</v>
      </c>
      <c r="X64" s="31">
        <v>0</v>
      </c>
      <c r="Y64" s="31">
        <v>2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29</v>
      </c>
      <c r="AF64" s="31">
        <v>0</v>
      </c>
      <c r="AG64" s="31">
        <v>0</v>
      </c>
      <c r="AH64" s="31">
        <v>44</v>
      </c>
      <c r="AI64" s="31">
        <v>15</v>
      </c>
      <c r="AJ64" s="31">
        <v>6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191</v>
      </c>
      <c r="E65" s="22">
        <v>133</v>
      </c>
      <c r="F65" s="22">
        <v>52</v>
      </c>
      <c r="G65" s="22">
        <v>6</v>
      </c>
      <c r="H65" s="22">
        <v>48</v>
      </c>
      <c r="I65" s="22">
        <v>33</v>
      </c>
      <c r="J65" s="22">
        <v>0</v>
      </c>
      <c r="K65" s="22">
        <v>0</v>
      </c>
      <c r="L65" s="22">
        <v>0</v>
      </c>
      <c r="M65" s="22">
        <v>0</v>
      </c>
      <c r="N65" s="22">
        <v>3</v>
      </c>
      <c r="O65" s="22">
        <v>0</v>
      </c>
      <c r="P65" s="22">
        <v>2</v>
      </c>
      <c r="Q65" s="22">
        <v>1</v>
      </c>
      <c r="R65" s="22">
        <v>0</v>
      </c>
      <c r="S65" s="22">
        <v>8</v>
      </c>
      <c r="T65" s="22">
        <v>2</v>
      </c>
      <c r="U65" s="22">
        <v>0</v>
      </c>
      <c r="V65" s="22">
        <v>1</v>
      </c>
      <c r="W65" s="22">
        <v>0</v>
      </c>
      <c r="X65" s="22">
        <v>0</v>
      </c>
      <c r="Y65" s="22">
        <v>2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29</v>
      </c>
      <c r="AF65" s="22">
        <v>0</v>
      </c>
      <c r="AG65" s="22">
        <v>0</v>
      </c>
      <c r="AH65" s="22">
        <v>43</v>
      </c>
      <c r="AI65" s="22">
        <v>13</v>
      </c>
      <c r="AJ65" s="22">
        <v>6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9</v>
      </c>
      <c r="E66" s="22">
        <v>4</v>
      </c>
      <c r="F66" s="22">
        <v>5</v>
      </c>
      <c r="G66" s="22">
        <v>0</v>
      </c>
      <c r="H66" s="22">
        <v>2</v>
      </c>
      <c r="I66" s="22">
        <v>3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1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1</v>
      </c>
      <c r="AI66" s="22">
        <v>2</v>
      </c>
      <c r="AJ66" s="22">
        <v>0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143</v>
      </c>
      <c r="E67" s="31">
        <v>84</v>
      </c>
      <c r="F67" s="31">
        <v>59</v>
      </c>
      <c r="G67" s="31">
        <v>0</v>
      </c>
      <c r="H67" s="31">
        <v>46</v>
      </c>
      <c r="I67" s="31">
        <v>47</v>
      </c>
      <c r="J67" s="31">
        <v>3</v>
      </c>
      <c r="K67" s="31">
        <v>6</v>
      </c>
      <c r="L67" s="31">
        <v>0</v>
      </c>
      <c r="M67" s="31">
        <v>1</v>
      </c>
      <c r="N67" s="31">
        <v>0</v>
      </c>
      <c r="O67" s="31">
        <v>0</v>
      </c>
      <c r="P67" s="31">
        <v>1</v>
      </c>
      <c r="Q67" s="31">
        <v>2</v>
      </c>
      <c r="R67" s="31">
        <v>0</v>
      </c>
      <c r="S67" s="31">
        <v>8</v>
      </c>
      <c r="T67" s="31">
        <v>2</v>
      </c>
      <c r="U67" s="31">
        <v>0</v>
      </c>
      <c r="V67" s="31">
        <v>1</v>
      </c>
      <c r="W67" s="31">
        <v>0</v>
      </c>
      <c r="X67" s="31">
        <v>0</v>
      </c>
      <c r="Y67" s="31">
        <v>2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15</v>
      </c>
      <c r="AF67" s="31">
        <v>2</v>
      </c>
      <c r="AG67" s="31">
        <v>0</v>
      </c>
      <c r="AH67" s="31">
        <v>7</v>
      </c>
      <c r="AI67" s="31">
        <v>0</v>
      </c>
      <c r="AJ67" s="31">
        <v>0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141</v>
      </c>
      <c r="E68" s="22">
        <v>82</v>
      </c>
      <c r="F68" s="22">
        <v>59</v>
      </c>
      <c r="G68" s="22">
        <v>0</v>
      </c>
      <c r="H68" s="22">
        <v>45</v>
      </c>
      <c r="I68" s="22">
        <v>47</v>
      </c>
      <c r="J68" s="22">
        <v>3</v>
      </c>
      <c r="K68" s="22">
        <v>6</v>
      </c>
      <c r="L68" s="22">
        <v>0</v>
      </c>
      <c r="M68" s="22">
        <v>1</v>
      </c>
      <c r="N68" s="22">
        <v>0</v>
      </c>
      <c r="O68" s="22">
        <v>0</v>
      </c>
      <c r="P68" s="22">
        <v>1</v>
      </c>
      <c r="Q68" s="22">
        <v>2</v>
      </c>
      <c r="R68" s="22">
        <v>0</v>
      </c>
      <c r="S68" s="22">
        <v>7</v>
      </c>
      <c r="T68" s="22">
        <v>2</v>
      </c>
      <c r="U68" s="22">
        <v>0</v>
      </c>
      <c r="V68" s="22">
        <v>1</v>
      </c>
      <c r="W68" s="22">
        <v>0</v>
      </c>
      <c r="X68" s="22">
        <v>0</v>
      </c>
      <c r="Y68" s="22">
        <v>2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15</v>
      </c>
      <c r="AF68" s="22">
        <v>2</v>
      </c>
      <c r="AG68" s="22">
        <v>0</v>
      </c>
      <c r="AH68" s="22">
        <v>7</v>
      </c>
      <c r="AI68" s="22">
        <v>0</v>
      </c>
      <c r="AJ68" s="22">
        <v>0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2</v>
      </c>
      <c r="E69" s="22">
        <v>2</v>
      </c>
      <c r="F69" s="22">
        <v>0</v>
      </c>
      <c r="G69" s="22">
        <v>0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1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43</v>
      </c>
      <c r="E70" s="31">
        <v>30</v>
      </c>
      <c r="F70" s="31">
        <v>13</v>
      </c>
      <c r="G70" s="31">
        <v>0</v>
      </c>
      <c r="H70" s="31">
        <v>24</v>
      </c>
      <c r="I70" s="31">
        <v>9</v>
      </c>
      <c r="J70" s="31">
        <v>0</v>
      </c>
      <c r="K70" s="31">
        <v>0</v>
      </c>
      <c r="L70" s="31">
        <v>0</v>
      </c>
      <c r="M70" s="31">
        <v>1</v>
      </c>
      <c r="N70" s="31">
        <v>2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1</v>
      </c>
      <c r="U70" s="31">
        <v>0</v>
      </c>
      <c r="V70" s="31">
        <v>0</v>
      </c>
      <c r="W70" s="31">
        <v>0</v>
      </c>
      <c r="X70" s="31">
        <v>0</v>
      </c>
      <c r="Y70" s="31">
        <v>2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2</v>
      </c>
      <c r="AF70" s="31">
        <v>1</v>
      </c>
      <c r="AG70" s="31">
        <v>0</v>
      </c>
      <c r="AH70" s="31">
        <v>1</v>
      </c>
      <c r="AI70" s="31">
        <v>0</v>
      </c>
      <c r="AJ70" s="31">
        <v>0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41</v>
      </c>
      <c r="E71" s="22">
        <v>28</v>
      </c>
      <c r="F71" s="22">
        <v>13</v>
      </c>
      <c r="G71" s="22">
        <v>0</v>
      </c>
      <c r="H71" s="22">
        <v>22</v>
      </c>
      <c r="I71" s="22">
        <v>9</v>
      </c>
      <c r="J71" s="22">
        <v>0</v>
      </c>
      <c r="K71" s="22">
        <v>0</v>
      </c>
      <c r="L71" s="22">
        <v>0</v>
      </c>
      <c r="M71" s="22">
        <v>1</v>
      </c>
      <c r="N71" s="22">
        <v>2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1</v>
      </c>
      <c r="U71" s="22">
        <v>0</v>
      </c>
      <c r="V71" s="22">
        <v>0</v>
      </c>
      <c r="W71" s="22">
        <v>0</v>
      </c>
      <c r="X71" s="22">
        <v>0</v>
      </c>
      <c r="Y71" s="22">
        <v>2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2</v>
      </c>
      <c r="AF71" s="22">
        <v>1</v>
      </c>
      <c r="AG71" s="22">
        <v>0</v>
      </c>
      <c r="AH71" s="22">
        <v>1</v>
      </c>
      <c r="AI71" s="22">
        <v>0</v>
      </c>
      <c r="AJ71" s="22">
        <v>0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2</v>
      </c>
      <c r="E72" s="22">
        <v>2</v>
      </c>
      <c r="F72" s="22">
        <v>0</v>
      </c>
      <c r="G72" s="22">
        <v>0</v>
      </c>
      <c r="H72" s="22">
        <v>2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6</v>
      </c>
      <c r="E73" s="31">
        <v>3</v>
      </c>
      <c r="F73" s="31">
        <v>3</v>
      </c>
      <c r="G73" s="31">
        <v>0</v>
      </c>
      <c r="H73" s="31">
        <v>0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1</v>
      </c>
      <c r="AA73" s="31">
        <v>0</v>
      </c>
      <c r="AB73" s="31">
        <v>0</v>
      </c>
      <c r="AC73" s="31">
        <v>0</v>
      </c>
      <c r="AD73" s="31">
        <v>0</v>
      </c>
      <c r="AE73" s="31">
        <v>1</v>
      </c>
      <c r="AF73" s="31">
        <v>0</v>
      </c>
      <c r="AG73" s="31">
        <v>0</v>
      </c>
      <c r="AH73" s="31">
        <v>2</v>
      </c>
      <c r="AI73" s="31">
        <v>1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5</v>
      </c>
      <c r="E74" s="22">
        <v>3</v>
      </c>
      <c r="F74" s="22">
        <v>2</v>
      </c>
      <c r="G74" s="22">
        <v>0</v>
      </c>
      <c r="H74" s="22">
        <v>0</v>
      </c>
      <c r="I74" s="22">
        <v>1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1</v>
      </c>
      <c r="AF74" s="22">
        <v>0</v>
      </c>
      <c r="AG74" s="22">
        <v>0</v>
      </c>
      <c r="AH74" s="22">
        <v>2</v>
      </c>
      <c r="AI74" s="22">
        <v>1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1</v>
      </c>
      <c r="E75" s="27">
        <v>0</v>
      </c>
      <c r="F75" s="27">
        <v>1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1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/>
    <row r="79" spans="1:36" ht="15.75" customHeight="1" x14ac:dyDescent="0.2">
      <c r="A79" s="64" t="s">
        <v>185</v>
      </c>
    </row>
  </sheetData>
  <mergeCells count="67">
    <mergeCell ref="A68:A69"/>
    <mergeCell ref="A71:A72"/>
    <mergeCell ref="A74:A75"/>
    <mergeCell ref="A50:A51"/>
    <mergeCell ref="A53:A54"/>
    <mergeCell ref="A56:A57"/>
    <mergeCell ref="A59:A60"/>
    <mergeCell ref="A62:A63"/>
    <mergeCell ref="A65:A66"/>
    <mergeCell ref="AJ5:AJ6"/>
    <mergeCell ref="A47:A48"/>
    <mergeCell ref="A11:A12"/>
    <mergeCell ref="A14:A15"/>
    <mergeCell ref="A17:A18"/>
    <mergeCell ref="A20:A21"/>
    <mergeCell ref="A23:A24"/>
    <mergeCell ref="A26:A27"/>
    <mergeCell ref="A32:A33"/>
    <mergeCell ref="A35:A36"/>
    <mergeCell ref="A38:A39"/>
    <mergeCell ref="A41:A42"/>
    <mergeCell ref="A44:A45"/>
    <mergeCell ref="L5:L6"/>
    <mergeCell ref="AF5:AF6"/>
    <mergeCell ref="AG5:AG6"/>
    <mergeCell ref="AH5:AH6"/>
    <mergeCell ref="AI5:AI6"/>
    <mergeCell ref="AE4:AG4"/>
    <mergeCell ref="A8:A9"/>
    <mergeCell ref="Z5:Z6"/>
    <mergeCell ref="AA5:AA6"/>
    <mergeCell ref="AB5:AB6"/>
    <mergeCell ref="AC5:AC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AD5:AD6"/>
    <mergeCell ref="AE5:AE6"/>
    <mergeCell ref="T5:T6"/>
    <mergeCell ref="U5:U6"/>
    <mergeCell ref="V5:V6"/>
    <mergeCell ref="W5:W6"/>
    <mergeCell ref="X5:X6"/>
    <mergeCell ref="Y5:Y6"/>
    <mergeCell ref="AH4:AJ4"/>
    <mergeCell ref="A4:C6"/>
    <mergeCell ref="D4:G4"/>
    <mergeCell ref="H4:I4"/>
    <mergeCell ref="J4:L4"/>
    <mergeCell ref="M4:O4"/>
    <mergeCell ref="P4:R4"/>
    <mergeCell ref="D5:D6"/>
    <mergeCell ref="E5:E6"/>
    <mergeCell ref="F5:F6"/>
    <mergeCell ref="G5:G6"/>
    <mergeCell ref="M5:M6"/>
    <mergeCell ref="S4:U4"/>
    <mergeCell ref="V4:X4"/>
    <mergeCell ref="Y4:AA4"/>
    <mergeCell ref="AB4:AD4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79"/>
  <sheetViews>
    <sheetView zoomScaleNormal="100" zoomScaleSheetLayoutView="100" workbookViewId="0">
      <pane xSplit="4" ySplit="7" topLeftCell="E8" activePane="bottomRight" state="frozen"/>
      <selection activeCell="L49" sqref="L49"/>
      <selection pane="topRight" activeCell="L49" sqref="L49"/>
      <selection pane="bottomLeft" activeCell="L49" sqref="L49"/>
      <selection pane="bottomRight" activeCell="L49" sqref="L49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63" t="s">
        <v>172</v>
      </c>
      <c r="B3" s="60"/>
      <c r="C3" s="60"/>
      <c r="D3" s="5" t="str">
        <f>IF(D8=SUM(D11,D14,D17,D20,D23,D26,D29,D32,D35,D38,D41,D44,D47,D50,D53,D56,D59,D62,D65,D68,D71,D74,),"","*")</f>
        <v/>
      </c>
      <c r="E3" s="5" t="str">
        <f t="shared" ref="E3:AJ3" si="0">IF(E8=SUM(E11,E14,E17,E20,E23,E26,E29,E32,E35,E38,E41,E44,E47,E50,E53,E56,E59,E62,E65,E68,E71,E74,),"","*")</f>
        <v/>
      </c>
      <c r="F3" s="5" t="str">
        <f t="shared" si="0"/>
        <v/>
      </c>
      <c r="G3" s="5" t="str">
        <f t="shared" si="0"/>
        <v/>
      </c>
      <c r="H3" s="5" t="str">
        <f t="shared" si="0"/>
        <v/>
      </c>
      <c r="I3" s="5" t="str">
        <f t="shared" si="0"/>
        <v/>
      </c>
      <c r="J3" s="5" t="str">
        <f t="shared" si="0"/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0"/>
        <v/>
      </c>
      <c r="AB3" s="5" t="str">
        <f t="shared" si="0"/>
        <v/>
      </c>
      <c r="AC3" s="5" t="str">
        <f t="shared" si="0"/>
        <v/>
      </c>
      <c r="AD3" s="5" t="str">
        <f t="shared" si="0"/>
        <v/>
      </c>
      <c r="AE3" s="5" t="str">
        <f t="shared" si="0"/>
        <v/>
      </c>
      <c r="AF3" s="5" t="str">
        <f t="shared" si="0"/>
        <v/>
      </c>
      <c r="AG3" s="5" t="str">
        <f t="shared" si="0"/>
        <v/>
      </c>
      <c r="AH3" s="5" t="str">
        <f t="shared" si="0"/>
        <v/>
      </c>
      <c r="AI3" s="5" t="str">
        <f t="shared" si="0"/>
        <v/>
      </c>
      <c r="AJ3" s="5" t="str">
        <f t="shared" si="0"/>
        <v/>
      </c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87" t="s">
        <v>164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112" t="s">
        <v>158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174</v>
      </c>
      <c r="B7" s="66" t="s">
        <v>175</v>
      </c>
      <c r="C7" s="67" t="s">
        <v>0</v>
      </c>
      <c r="D7" s="68">
        <v>10809</v>
      </c>
      <c r="E7" s="68">
        <v>7156</v>
      </c>
      <c r="F7" s="68">
        <v>3553</v>
      </c>
      <c r="G7" s="68">
        <v>100</v>
      </c>
      <c r="H7" s="68">
        <v>3220</v>
      </c>
      <c r="I7" s="68">
        <v>2571</v>
      </c>
      <c r="J7" s="68">
        <v>237</v>
      </c>
      <c r="K7" s="68">
        <v>42</v>
      </c>
      <c r="L7" s="68">
        <v>0</v>
      </c>
      <c r="M7" s="68">
        <v>129</v>
      </c>
      <c r="N7" s="68">
        <v>166</v>
      </c>
      <c r="O7" s="68">
        <v>0</v>
      </c>
      <c r="P7" s="68">
        <v>327</v>
      </c>
      <c r="Q7" s="68">
        <v>98</v>
      </c>
      <c r="R7" s="68">
        <v>1</v>
      </c>
      <c r="S7" s="68">
        <v>192</v>
      </c>
      <c r="T7" s="68">
        <v>56</v>
      </c>
      <c r="U7" s="68">
        <v>0</v>
      </c>
      <c r="V7" s="68">
        <v>44</v>
      </c>
      <c r="W7" s="68">
        <v>13</v>
      </c>
      <c r="X7" s="68">
        <v>0</v>
      </c>
      <c r="Y7" s="68">
        <v>162</v>
      </c>
      <c r="Z7" s="68">
        <v>47</v>
      </c>
      <c r="AA7" s="68">
        <v>0</v>
      </c>
      <c r="AB7" s="68">
        <v>2</v>
      </c>
      <c r="AC7" s="68">
        <v>10</v>
      </c>
      <c r="AD7" s="68">
        <v>0</v>
      </c>
      <c r="AE7" s="68">
        <v>1316</v>
      </c>
      <c r="AF7" s="68">
        <v>186</v>
      </c>
      <c r="AG7" s="68">
        <v>2</v>
      </c>
      <c r="AH7" s="68">
        <v>1527</v>
      </c>
      <c r="AI7" s="68">
        <v>364</v>
      </c>
      <c r="AJ7" s="68">
        <v>97</v>
      </c>
    </row>
    <row r="8" spans="1:36" s="69" customFormat="1" ht="15" customHeight="1" x14ac:dyDescent="0.2">
      <c r="A8" s="108" t="s">
        <v>1</v>
      </c>
      <c r="B8" s="70" t="s">
        <v>176</v>
      </c>
      <c r="C8" s="71" t="s">
        <v>2</v>
      </c>
      <c r="D8" s="72">
        <v>9939</v>
      </c>
      <c r="E8" s="72">
        <v>6624</v>
      </c>
      <c r="F8" s="72">
        <v>3217</v>
      </c>
      <c r="G8" s="72">
        <v>98</v>
      </c>
      <c r="H8" s="72">
        <v>2980</v>
      </c>
      <c r="I8" s="72">
        <v>2341</v>
      </c>
      <c r="J8" s="72">
        <v>210</v>
      </c>
      <c r="K8" s="72">
        <v>28</v>
      </c>
      <c r="L8" s="72">
        <v>0</v>
      </c>
      <c r="M8" s="72">
        <v>124</v>
      </c>
      <c r="N8" s="72">
        <v>149</v>
      </c>
      <c r="O8" s="72">
        <v>0</v>
      </c>
      <c r="P8" s="72">
        <v>279</v>
      </c>
      <c r="Q8" s="72">
        <v>82</v>
      </c>
      <c r="R8" s="72">
        <v>1</v>
      </c>
      <c r="S8" s="72">
        <v>171</v>
      </c>
      <c r="T8" s="72">
        <v>48</v>
      </c>
      <c r="U8" s="72">
        <v>0</v>
      </c>
      <c r="V8" s="72">
        <v>41</v>
      </c>
      <c r="W8" s="72">
        <v>13</v>
      </c>
      <c r="X8" s="72">
        <v>0</v>
      </c>
      <c r="Y8" s="72">
        <v>147</v>
      </c>
      <c r="Z8" s="72">
        <v>39</v>
      </c>
      <c r="AA8" s="72">
        <v>0</v>
      </c>
      <c r="AB8" s="72">
        <v>2</v>
      </c>
      <c r="AC8" s="72">
        <v>9</v>
      </c>
      <c r="AD8" s="72">
        <v>0</v>
      </c>
      <c r="AE8" s="72">
        <v>1240</v>
      </c>
      <c r="AF8" s="72">
        <v>174</v>
      </c>
      <c r="AG8" s="72">
        <v>1</v>
      </c>
      <c r="AH8" s="72">
        <v>1430</v>
      </c>
      <c r="AI8" s="72">
        <v>334</v>
      </c>
      <c r="AJ8" s="72">
        <v>96</v>
      </c>
    </row>
    <row r="9" spans="1:36" s="69" customFormat="1" ht="15" customHeight="1" x14ac:dyDescent="0.2">
      <c r="A9" s="109"/>
      <c r="B9" s="70" t="s">
        <v>177</v>
      </c>
      <c r="C9" s="71" t="s">
        <v>194</v>
      </c>
      <c r="D9" s="72">
        <v>870</v>
      </c>
      <c r="E9" s="72">
        <v>532</v>
      </c>
      <c r="F9" s="72">
        <v>336</v>
      </c>
      <c r="G9" s="72">
        <v>2</v>
      </c>
      <c r="H9" s="72">
        <v>240</v>
      </c>
      <c r="I9" s="72">
        <v>230</v>
      </c>
      <c r="J9" s="72">
        <v>27</v>
      </c>
      <c r="K9" s="72">
        <v>14</v>
      </c>
      <c r="L9" s="72">
        <v>0</v>
      </c>
      <c r="M9" s="72">
        <v>5</v>
      </c>
      <c r="N9" s="72">
        <v>17</v>
      </c>
      <c r="O9" s="72">
        <v>0</v>
      </c>
      <c r="P9" s="72">
        <v>48</v>
      </c>
      <c r="Q9" s="72">
        <v>16</v>
      </c>
      <c r="R9" s="72">
        <v>0</v>
      </c>
      <c r="S9" s="72">
        <v>21</v>
      </c>
      <c r="T9" s="72">
        <v>8</v>
      </c>
      <c r="U9" s="72">
        <v>0</v>
      </c>
      <c r="V9" s="72">
        <v>3</v>
      </c>
      <c r="W9" s="72">
        <v>0</v>
      </c>
      <c r="X9" s="72">
        <v>0</v>
      </c>
      <c r="Y9" s="72">
        <v>15</v>
      </c>
      <c r="Z9" s="72">
        <v>8</v>
      </c>
      <c r="AA9" s="72">
        <v>0</v>
      </c>
      <c r="AB9" s="72">
        <v>0</v>
      </c>
      <c r="AC9" s="72">
        <v>1</v>
      </c>
      <c r="AD9" s="72">
        <v>0</v>
      </c>
      <c r="AE9" s="72">
        <v>76</v>
      </c>
      <c r="AF9" s="72">
        <v>12</v>
      </c>
      <c r="AG9" s="72">
        <v>1</v>
      </c>
      <c r="AH9" s="72">
        <v>97</v>
      </c>
      <c r="AI9" s="72">
        <v>30</v>
      </c>
      <c r="AJ9" s="72">
        <v>1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1965</v>
      </c>
      <c r="E10" s="31">
        <v>1388</v>
      </c>
      <c r="F10" s="31">
        <v>563</v>
      </c>
      <c r="G10" s="31">
        <v>14</v>
      </c>
      <c r="H10" s="31">
        <v>589</v>
      </c>
      <c r="I10" s="31">
        <v>399</v>
      </c>
      <c r="J10" s="31">
        <v>61</v>
      </c>
      <c r="K10" s="31">
        <v>9</v>
      </c>
      <c r="L10" s="31">
        <v>0</v>
      </c>
      <c r="M10" s="31">
        <v>27</v>
      </c>
      <c r="N10" s="31">
        <v>24</v>
      </c>
      <c r="O10" s="31">
        <v>0</v>
      </c>
      <c r="P10" s="31">
        <v>59</v>
      </c>
      <c r="Q10" s="31">
        <v>12</v>
      </c>
      <c r="R10" s="31">
        <v>0</v>
      </c>
      <c r="S10" s="31">
        <v>21</v>
      </c>
      <c r="T10" s="31">
        <v>3</v>
      </c>
      <c r="U10" s="31">
        <v>0</v>
      </c>
      <c r="V10" s="31">
        <v>15</v>
      </c>
      <c r="W10" s="31">
        <v>2</v>
      </c>
      <c r="X10" s="31">
        <v>0</v>
      </c>
      <c r="Y10" s="31">
        <v>33</v>
      </c>
      <c r="Z10" s="31">
        <v>6</v>
      </c>
      <c r="AA10" s="31">
        <v>0</v>
      </c>
      <c r="AB10" s="31">
        <v>1</v>
      </c>
      <c r="AC10" s="31">
        <v>1</v>
      </c>
      <c r="AD10" s="31">
        <v>0</v>
      </c>
      <c r="AE10" s="31">
        <v>318</v>
      </c>
      <c r="AF10" s="31">
        <v>36</v>
      </c>
      <c r="AG10" s="31">
        <v>0</v>
      </c>
      <c r="AH10" s="31">
        <v>264</v>
      </c>
      <c r="AI10" s="31">
        <v>71</v>
      </c>
      <c r="AJ10" s="31">
        <v>14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1890</v>
      </c>
      <c r="E11" s="22">
        <v>1337</v>
      </c>
      <c r="F11" s="22">
        <v>539</v>
      </c>
      <c r="G11" s="22">
        <v>14</v>
      </c>
      <c r="H11" s="22">
        <v>567</v>
      </c>
      <c r="I11" s="22">
        <v>382</v>
      </c>
      <c r="J11" s="22">
        <v>54</v>
      </c>
      <c r="K11" s="22">
        <v>8</v>
      </c>
      <c r="L11" s="22">
        <v>0</v>
      </c>
      <c r="M11" s="22">
        <v>26</v>
      </c>
      <c r="N11" s="22">
        <v>22</v>
      </c>
      <c r="O11" s="22">
        <v>0</v>
      </c>
      <c r="P11" s="22">
        <v>50</v>
      </c>
      <c r="Q11" s="22">
        <v>11</v>
      </c>
      <c r="R11" s="22">
        <v>0</v>
      </c>
      <c r="S11" s="22">
        <v>19</v>
      </c>
      <c r="T11" s="22">
        <v>2</v>
      </c>
      <c r="U11" s="22">
        <v>0</v>
      </c>
      <c r="V11" s="22">
        <v>15</v>
      </c>
      <c r="W11" s="22">
        <v>2</v>
      </c>
      <c r="X11" s="22">
        <v>0</v>
      </c>
      <c r="Y11" s="22">
        <v>33</v>
      </c>
      <c r="Z11" s="22">
        <v>6</v>
      </c>
      <c r="AA11" s="22">
        <v>0</v>
      </c>
      <c r="AB11" s="22">
        <v>1</v>
      </c>
      <c r="AC11" s="22">
        <v>1</v>
      </c>
      <c r="AD11" s="22">
        <v>0</v>
      </c>
      <c r="AE11" s="22">
        <v>314</v>
      </c>
      <c r="AF11" s="22">
        <v>36</v>
      </c>
      <c r="AG11" s="22">
        <v>0</v>
      </c>
      <c r="AH11" s="22">
        <v>258</v>
      </c>
      <c r="AI11" s="22">
        <v>69</v>
      </c>
      <c r="AJ11" s="22">
        <v>14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75</v>
      </c>
      <c r="E12" s="22">
        <v>51</v>
      </c>
      <c r="F12" s="22">
        <v>24</v>
      </c>
      <c r="G12" s="22">
        <v>0</v>
      </c>
      <c r="H12" s="22">
        <v>22</v>
      </c>
      <c r="I12" s="22">
        <v>17</v>
      </c>
      <c r="J12" s="22">
        <v>7</v>
      </c>
      <c r="K12" s="22">
        <v>1</v>
      </c>
      <c r="L12" s="22">
        <v>0</v>
      </c>
      <c r="M12" s="22">
        <v>1</v>
      </c>
      <c r="N12" s="22">
        <v>2</v>
      </c>
      <c r="O12" s="22">
        <v>0</v>
      </c>
      <c r="P12" s="22">
        <v>9</v>
      </c>
      <c r="Q12" s="22">
        <v>1</v>
      </c>
      <c r="R12" s="22">
        <v>0</v>
      </c>
      <c r="S12" s="22">
        <v>2</v>
      </c>
      <c r="T12" s="22">
        <v>1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4</v>
      </c>
      <c r="AF12" s="22">
        <v>0</v>
      </c>
      <c r="AG12" s="22">
        <v>0</v>
      </c>
      <c r="AH12" s="22">
        <v>6</v>
      </c>
      <c r="AI12" s="22">
        <v>2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940</v>
      </c>
      <c r="E13" s="31">
        <v>589</v>
      </c>
      <c r="F13" s="31">
        <v>349</v>
      </c>
      <c r="G13" s="31">
        <v>2</v>
      </c>
      <c r="H13" s="31">
        <v>338</v>
      </c>
      <c r="I13" s="31">
        <v>262</v>
      </c>
      <c r="J13" s="31">
        <v>18</v>
      </c>
      <c r="K13" s="31">
        <v>3</v>
      </c>
      <c r="L13" s="31">
        <v>0</v>
      </c>
      <c r="M13" s="31">
        <v>9</v>
      </c>
      <c r="N13" s="31">
        <v>23</v>
      </c>
      <c r="O13" s="31">
        <v>0</v>
      </c>
      <c r="P13" s="31">
        <v>21</v>
      </c>
      <c r="Q13" s="31">
        <v>8</v>
      </c>
      <c r="R13" s="31">
        <v>0</v>
      </c>
      <c r="S13" s="31">
        <v>11</v>
      </c>
      <c r="T13" s="31">
        <v>1</v>
      </c>
      <c r="U13" s="31">
        <v>0</v>
      </c>
      <c r="V13" s="31">
        <v>1</v>
      </c>
      <c r="W13" s="31">
        <v>0</v>
      </c>
      <c r="X13" s="31">
        <v>0</v>
      </c>
      <c r="Y13" s="31">
        <v>48</v>
      </c>
      <c r="Z13" s="31">
        <v>17</v>
      </c>
      <c r="AA13" s="31">
        <v>0</v>
      </c>
      <c r="AB13" s="31">
        <v>0</v>
      </c>
      <c r="AC13" s="31">
        <v>0</v>
      </c>
      <c r="AD13" s="31">
        <v>0</v>
      </c>
      <c r="AE13" s="31">
        <v>106</v>
      </c>
      <c r="AF13" s="31">
        <v>21</v>
      </c>
      <c r="AG13" s="31">
        <v>0</v>
      </c>
      <c r="AH13" s="31">
        <v>37</v>
      </c>
      <c r="AI13" s="31">
        <v>14</v>
      </c>
      <c r="AJ13" s="31">
        <v>2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932</v>
      </c>
      <c r="E14" s="22">
        <v>585</v>
      </c>
      <c r="F14" s="22">
        <v>345</v>
      </c>
      <c r="G14" s="22">
        <v>2</v>
      </c>
      <c r="H14" s="22">
        <v>335</v>
      </c>
      <c r="I14" s="22">
        <v>259</v>
      </c>
      <c r="J14" s="22">
        <v>17</v>
      </c>
      <c r="K14" s="22">
        <v>3</v>
      </c>
      <c r="L14" s="22">
        <v>0</v>
      </c>
      <c r="M14" s="22">
        <v>9</v>
      </c>
      <c r="N14" s="22">
        <v>23</v>
      </c>
      <c r="O14" s="22">
        <v>0</v>
      </c>
      <c r="P14" s="22">
        <v>21</v>
      </c>
      <c r="Q14" s="22">
        <v>8</v>
      </c>
      <c r="R14" s="22">
        <v>0</v>
      </c>
      <c r="S14" s="22">
        <v>11</v>
      </c>
      <c r="T14" s="22">
        <v>1</v>
      </c>
      <c r="U14" s="22">
        <v>0</v>
      </c>
      <c r="V14" s="22">
        <v>1</v>
      </c>
      <c r="W14" s="22">
        <v>0</v>
      </c>
      <c r="X14" s="22">
        <v>0</v>
      </c>
      <c r="Y14" s="22">
        <v>48</v>
      </c>
      <c r="Z14" s="22">
        <v>17</v>
      </c>
      <c r="AA14" s="22">
        <v>0</v>
      </c>
      <c r="AB14" s="22">
        <v>0</v>
      </c>
      <c r="AC14" s="22">
        <v>0</v>
      </c>
      <c r="AD14" s="22">
        <v>0</v>
      </c>
      <c r="AE14" s="22">
        <v>106</v>
      </c>
      <c r="AF14" s="22">
        <v>20</v>
      </c>
      <c r="AG14" s="22">
        <v>0</v>
      </c>
      <c r="AH14" s="22">
        <v>37</v>
      </c>
      <c r="AI14" s="22">
        <v>14</v>
      </c>
      <c r="AJ14" s="22">
        <v>2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8</v>
      </c>
      <c r="E15" s="22">
        <v>4</v>
      </c>
      <c r="F15" s="22">
        <v>4</v>
      </c>
      <c r="G15" s="22">
        <v>0</v>
      </c>
      <c r="H15" s="22">
        <v>3</v>
      </c>
      <c r="I15" s="22">
        <v>3</v>
      </c>
      <c r="J15" s="22">
        <v>1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1</v>
      </c>
      <c r="AG15" s="22">
        <v>0</v>
      </c>
      <c r="AH15" s="22">
        <v>0</v>
      </c>
      <c r="AI15" s="22">
        <v>0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1197</v>
      </c>
      <c r="E16" s="31">
        <v>779</v>
      </c>
      <c r="F16" s="31">
        <v>400</v>
      </c>
      <c r="G16" s="31">
        <v>18</v>
      </c>
      <c r="H16" s="31">
        <v>324</v>
      </c>
      <c r="I16" s="31">
        <v>271</v>
      </c>
      <c r="J16" s="31">
        <v>23</v>
      </c>
      <c r="K16" s="31">
        <v>4</v>
      </c>
      <c r="L16" s="31">
        <v>0</v>
      </c>
      <c r="M16" s="31">
        <v>11</v>
      </c>
      <c r="N16" s="31">
        <v>16</v>
      </c>
      <c r="O16" s="31">
        <v>0</v>
      </c>
      <c r="P16" s="31">
        <v>31</v>
      </c>
      <c r="Q16" s="31">
        <v>15</v>
      </c>
      <c r="R16" s="31">
        <v>0</v>
      </c>
      <c r="S16" s="31">
        <v>24</v>
      </c>
      <c r="T16" s="31">
        <v>11</v>
      </c>
      <c r="U16" s="31">
        <v>0</v>
      </c>
      <c r="V16" s="31">
        <v>3</v>
      </c>
      <c r="W16" s="31">
        <v>1</v>
      </c>
      <c r="X16" s="31">
        <v>0</v>
      </c>
      <c r="Y16" s="31">
        <v>2</v>
      </c>
      <c r="Z16" s="31">
        <v>1</v>
      </c>
      <c r="AA16" s="31">
        <v>0</v>
      </c>
      <c r="AB16" s="31">
        <v>0</v>
      </c>
      <c r="AC16" s="31">
        <v>2</v>
      </c>
      <c r="AD16" s="31">
        <v>0</v>
      </c>
      <c r="AE16" s="31">
        <v>116</v>
      </c>
      <c r="AF16" s="31">
        <v>29</v>
      </c>
      <c r="AG16" s="31">
        <v>0</v>
      </c>
      <c r="AH16" s="31">
        <v>245</v>
      </c>
      <c r="AI16" s="31">
        <v>50</v>
      </c>
      <c r="AJ16" s="31">
        <v>18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1054</v>
      </c>
      <c r="E17" s="22">
        <v>693</v>
      </c>
      <c r="F17" s="22">
        <v>343</v>
      </c>
      <c r="G17" s="22">
        <v>18</v>
      </c>
      <c r="H17" s="22">
        <v>277</v>
      </c>
      <c r="I17" s="22">
        <v>228</v>
      </c>
      <c r="J17" s="22">
        <v>16</v>
      </c>
      <c r="K17" s="22">
        <v>3</v>
      </c>
      <c r="L17" s="22">
        <v>0</v>
      </c>
      <c r="M17" s="22">
        <v>11</v>
      </c>
      <c r="N17" s="22">
        <v>16</v>
      </c>
      <c r="O17" s="22">
        <v>0</v>
      </c>
      <c r="P17" s="22">
        <v>27</v>
      </c>
      <c r="Q17" s="22">
        <v>13</v>
      </c>
      <c r="R17" s="22">
        <v>0</v>
      </c>
      <c r="S17" s="22">
        <v>23</v>
      </c>
      <c r="T17" s="22">
        <v>6</v>
      </c>
      <c r="U17" s="22">
        <v>0</v>
      </c>
      <c r="V17" s="22">
        <v>3</v>
      </c>
      <c r="W17" s="22">
        <v>1</v>
      </c>
      <c r="X17" s="22">
        <v>0</v>
      </c>
      <c r="Y17" s="22">
        <v>2</v>
      </c>
      <c r="Z17" s="22">
        <v>1</v>
      </c>
      <c r="AA17" s="22">
        <v>0</v>
      </c>
      <c r="AB17" s="22">
        <v>0</v>
      </c>
      <c r="AC17" s="22">
        <v>2</v>
      </c>
      <c r="AD17" s="22">
        <v>0</v>
      </c>
      <c r="AE17" s="22">
        <v>105</v>
      </c>
      <c r="AF17" s="22">
        <v>28</v>
      </c>
      <c r="AG17" s="22">
        <v>0</v>
      </c>
      <c r="AH17" s="22">
        <v>229</v>
      </c>
      <c r="AI17" s="22">
        <v>45</v>
      </c>
      <c r="AJ17" s="22">
        <v>18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143</v>
      </c>
      <c r="E18" s="22">
        <v>86</v>
      </c>
      <c r="F18" s="22">
        <v>57</v>
      </c>
      <c r="G18" s="22">
        <v>0</v>
      </c>
      <c r="H18" s="22">
        <v>47</v>
      </c>
      <c r="I18" s="22">
        <v>43</v>
      </c>
      <c r="J18" s="22">
        <v>7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4</v>
      </c>
      <c r="Q18" s="22">
        <v>2</v>
      </c>
      <c r="R18" s="22">
        <v>0</v>
      </c>
      <c r="S18" s="22">
        <v>1</v>
      </c>
      <c r="T18" s="22">
        <v>5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11</v>
      </c>
      <c r="AF18" s="22">
        <v>1</v>
      </c>
      <c r="AG18" s="22">
        <v>0</v>
      </c>
      <c r="AH18" s="22">
        <v>16</v>
      </c>
      <c r="AI18" s="22">
        <v>5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1251</v>
      </c>
      <c r="E19" s="31">
        <v>765</v>
      </c>
      <c r="F19" s="31">
        <v>469</v>
      </c>
      <c r="G19" s="31">
        <v>17</v>
      </c>
      <c r="H19" s="31">
        <v>423</v>
      </c>
      <c r="I19" s="31">
        <v>381</v>
      </c>
      <c r="J19" s="31">
        <v>20</v>
      </c>
      <c r="K19" s="31">
        <v>3</v>
      </c>
      <c r="L19" s="31">
        <v>0</v>
      </c>
      <c r="M19" s="31">
        <v>11</v>
      </c>
      <c r="N19" s="31">
        <v>21</v>
      </c>
      <c r="O19" s="31">
        <v>0</v>
      </c>
      <c r="P19" s="31">
        <v>28</v>
      </c>
      <c r="Q19" s="31">
        <v>18</v>
      </c>
      <c r="R19" s="31">
        <v>0</v>
      </c>
      <c r="S19" s="31">
        <v>44</v>
      </c>
      <c r="T19" s="31">
        <v>12</v>
      </c>
      <c r="U19" s="31">
        <v>0</v>
      </c>
      <c r="V19" s="31">
        <v>8</v>
      </c>
      <c r="W19" s="31">
        <v>0</v>
      </c>
      <c r="X19" s="31">
        <v>0</v>
      </c>
      <c r="Y19" s="31">
        <v>9</v>
      </c>
      <c r="Z19" s="31">
        <v>0</v>
      </c>
      <c r="AA19" s="31">
        <v>0</v>
      </c>
      <c r="AB19" s="31">
        <v>0</v>
      </c>
      <c r="AC19" s="31">
        <v>2</v>
      </c>
      <c r="AD19" s="31">
        <v>0</v>
      </c>
      <c r="AE19" s="31">
        <v>86</v>
      </c>
      <c r="AF19" s="31">
        <v>13</v>
      </c>
      <c r="AG19" s="31">
        <v>2</v>
      </c>
      <c r="AH19" s="31">
        <v>136</v>
      </c>
      <c r="AI19" s="31">
        <v>19</v>
      </c>
      <c r="AJ19" s="31">
        <v>15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1176</v>
      </c>
      <c r="E20" s="22">
        <v>731</v>
      </c>
      <c r="F20" s="22">
        <v>429</v>
      </c>
      <c r="G20" s="22">
        <v>16</v>
      </c>
      <c r="H20" s="22">
        <v>409</v>
      </c>
      <c r="I20" s="22">
        <v>357</v>
      </c>
      <c r="J20" s="22">
        <v>18</v>
      </c>
      <c r="K20" s="22">
        <v>3</v>
      </c>
      <c r="L20" s="22">
        <v>0</v>
      </c>
      <c r="M20" s="22">
        <v>11</v>
      </c>
      <c r="N20" s="22">
        <v>18</v>
      </c>
      <c r="O20" s="22">
        <v>0</v>
      </c>
      <c r="P20" s="22">
        <v>23</v>
      </c>
      <c r="Q20" s="22">
        <v>9</v>
      </c>
      <c r="R20" s="22">
        <v>0</v>
      </c>
      <c r="S20" s="22">
        <v>38</v>
      </c>
      <c r="T20" s="22">
        <v>12</v>
      </c>
      <c r="U20" s="22">
        <v>0</v>
      </c>
      <c r="V20" s="22">
        <v>8</v>
      </c>
      <c r="W20" s="22">
        <v>0</v>
      </c>
      <c r="X20" s="22">
        <v>0</v>
      </c>
      <c r="Y20" s="22">
        <v>7</v>
      </c>
      <c r="Z20" s="22">
        <v>0</v>
      </c>
      <c r="AA20" s="22">
        <v>0</v>
      </c>
      <c r="AB20" s="22">
        <v>0</v>
      </c>
      <c r="AC20" s="22">
        <v>2</v>
      </c>
      <c r="AD20" s="22">
        <v>0</v>
      </c>
      <c r="AE20" s="22">
        <v>82</v>
      </c>
      <c r="AF20" s="22">
        <v>10</v>
      </c>
      <c r="AG20" s="22">
        <v>1</v>
      </c>
      <c r="AH20" s="22">
        <v>135</v>
      </c>
      <c r="AI20" s="22">
        <v>18</v>
      </c>
      <c r="AJ20" s="22">
        <v>15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75</v>
      </c>
      <c r="E21" s="22">
        <v>34</v>
      </c>
      <c r="F21" s="22">
        <v>40</v>
      </c>
      <c r="G21" s="22">
        <v>1</v>
      </c>
      <c r="H21" s="22">
        <v>14</v>
      </c>
      <c r="I21" s="22">
        <v>24</v>
      </c>
      <c r="J21" s="22">
        <v>2</v>
      </c>
      <c r="K21" s="22">
        <v>0</v>
      </c>
      <c r="L21" s="22">
        <v>0</v>
      </c>
      <c r="M21" s="22">
        <v>0</v>
      </c>
      <c r="N21" s="22">
        <v>3</v>
      </c>
      <c r="O21" s="22">
        <v>0</v>
      </c>
      <c r="P21" s="22">
        <v>5</v>
      </c>
      <c r="Q21" s="22">
        <v>9</v>
      </c>
      <c r="R21" s="22">
        <v>0</v>
      </c>
      <c r="S21" s="22">
        <v>6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2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4</v>
      </c>
      <c r="AF21" s="22">
        <v>3</v>
      </c>
      <c r="AG21" s="22">
        <v>1</v>
      </c>
      <c r="AH21" s="22">
        <v>1</v>
      </c>
      <c r="AI21" s="22">
        <v>1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712</v>
      </c>
      <c r="E22" s="31">
        <v>503</v>
      </c>
      <c r="F22" s="31">
        <v>205</v>
      </c>
      <c r="G22" s="31">
        <v>4</v>
      </c>
      <c r="H22" s="31">
        <v>193</v>
      </c>
      <c r="I22" s="31">
        <v>152</v>
      </c>
      <c r="J22" s="31">
        <v>20</v>
      </c>
      <c r="K22" s="31">
        <v>1</v>
      </c>
      <c r="L22" s="31">
        <v>0</v>
      </c>
      <c r="M22" s="31">
        <v>8</v>
      </c>
      <c r="N22" s="31">
        <v>16</v>
      </c>
      <c r="O22" s="31">
        <v>0</v>
      </c>
      <c r="P22" s="31">
        <v>38</v>
      </c>
      <c r="Q22" s="31">
        <v>3</v>
      </c>
      <c r="R22" s="31">
        <v>0</v>
      </c>
      <c r="S22" s="31">
        <v>28</v>
      </c>
      <c r="T22" s="31">
        <v>11</v>
      </c>
      <c r="U22" s="31">
        <v>0</v>
      </c>
      <c r="V22" s="31">
        <v>1</v>
      </c>
      <c r="W22" s="31">
        <v>1</v>
      </c>
      <c r="X22" s="31">
        <v>0</v>
      </c>
      <c r="Y22" s="31">
        <v>14</v>
      </c>
      <c r="Z22" s="31">
        <v>0</v>
      </c>
      <c r="AA22" s="31">
        <v>0</v>
      </c>
      <c r="AB22" s="31">
        <v>0</v>
      </c>
      <c r="AC22" s="31">
        <v>2</v>
      </c>
      <c r="AD22" s="31">
        <v>0</v>
      </c>
      <c r="AE22" s="31">
        <v>120</v>
      </c>
      <c r="AF22" s="31">
        <v>11</v>
      </c>
      <c r="AG22" s="31">
        <v>0</v>
      </c>
      <c r="AH22" s="31">
        <v>81</v>
      </c>
      <c r="AI22" s="31">
        <v>8</v>
      </c>
      <c r="AJ22" s="31">
        <v>4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690</v>
      </c>
      <c r="E23" s="22">
        <v>487</v>
      </c>
      <c r="F23" s="22">
        <v>199</v>
      </c>
      <c r="G23" s="22">
        <v>4</v>
      </c>
      <c r="H23" s="22">
        <v>184</v>
      </c>
      <c r="I23" s="22">
        <v>147</v>
      </c>
      <c r="J23" s="22">
        <v>19</v>
      </c>
      <c r="K23" s="22">
        <v>0</v>
      </c>
      <c r="L23" s="22">
        <v>0</v>
      </c>
      <c r="M23" s="22">
        <v>8</v>
      </c>
      <c r="N23" s="22">
        <v>16</v>
      </c>
      <c r="O23" s="22">
        <v>0</v>
      </c>
      <c r="P23" s="22">
        <v>34</v>
      </c>
      <c r="Q23" s="22">
        <v>3</v>
      </c>
      <c r="R23" s="22">
        <v>0</v>
      </c>
      <c r="S23" s="22">
        <v>27</v>
      </c>
      <c r="T23" s="22">
        <v>11</v>
      </c>
      <c r="U23" s="22">
        <v>0</v>
      </c>
      <c r="V23" s="22">
        <v>1</v>
      </c>
      <c r="W23" s="22">
        <v>1</v>
      </c>
      <c r="X23" s="22">
        <v>0</v>
      </c>
      <c r="Y23" s="22">
        <v>14</v>
      </c>
      <c r="Z23" s="22">
        <v>0</v>
      </c>
      <c r="AA23" s="22">
        <v>0</v>
      </c>
      <c r="AB23" s="22">
        <v>0</v>
      </c>
      <c r="AC23" s="22">
        <v>2</v>
      </c>
      <c r="AD23" s="22">
        <v>0</v>
      </c>
      <c r="AE23" s="22">
        <v>119</v>
      </c>
      <c r="AF23" s="22">
        <v>11</v>
      </c>
      <c r="AG23" s="22">
        <v>0</v>
      </c>
      <c r="AH23" s="22">
        <v>81</v>
      </c>
      <c r="AI23" s="22">
        <v>8</v>
      </c>
      <c r="AJ23" s="22">
        <v>4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22</v>
      </c>
      <c r="E24" s="22">
        <v>16</v>
      </c>
      <c r="F24" s="22">
        <v>6</v>
      </c>
      <c r="G24" s="22">
        <v>0</v>
      </c>
      <c r="H24" s="22">
        <v>9</v>
      </c>
      <c r="I24" s="22">
        <v>5</v>
      </c>
      <c r="J24" s="22">
        <v>1</v>
      </c>
      <c r="K24" s="22">
        <v>1</v>
      </c>
      <c r="L24" s="22">
        <v>0</v>
      </c>
      <c r="M24" s="22">
        <v>0</v>
      </c>
      <c r="N24" s="22">
        <v>0</v>
      </c>
      <c r="O24" s="22">
        <v>0</v>
      </c>
      <c r="P24" s="22">
        <v>4</v>
      </c>
      <c r="Q24" s="22">
        <v>0</v>
      </c>
      <c r="R24" s="22">
        <v>0</v>
      </c>
      <c r="S24" s="22">
        <v>1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1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1523</v>
      </c>
      <c r="E25" s="31">
        <v>930</v>
      </c>
      <c r="F25" s="31">
        <v>584</v>
      </c>
      <c r="G25" s="31">
        <v>9</v>
      </c>
      <c r="H25" s="31">
        <v>504</v>
      </c>
      <c r="I25" s="31">
        <v>434</v>
      </c>
      <c r="J25" s="31">
        <v>21</v>
      </c>
      <c r="K25" s="31">
        <v>5</v>
      </c>
      <c r="L25" s="31">
        <v>0</v>
      </c>
      <c r="M25" s="31">
        <v>27</v>
      </c>
      <c r="N25" s="31">
        <v>28</v>
      </c>
      <c r="O25" s="31">
        <v>0</v>
      </c>
      <c r="P25" s="31">
        <v>27</v>
      </c>
      <c r="Q25" s="31">
        <v>18</v>
      </c>
      <c r="R25" s="31">
        <v>0</v>
      </c>
      <c r="S25" s="31">
        <v>23</v>
      </c>
      <c r="T25" s="31">
        <v>8</v>
      </c>
      <c r="U25" s="31">
        <v>0</v>
      </c>
      <c r="V25" s="31">
        <v>2</v>
      </c>
      <c r="W25" s="31">
        <v>5</v>
      </c>
      <c r="X25" s="31">
        <v>0</v>
      </c>
      <c r="Y25" s="31">
        <v>17</v>
      </c>
      <c r="Z25" s="31">
        <v>9</v>
      </c>
      <c r="AA25" s="31">
        <v>0</v>
      </c>
      <c r="AB25" s="31">
        <v>1</v>
      </c>
      <c r="AC25" s="31">
        <v>1</v>
      </c>
      <c r="AD25" s="31">
        <v>0</v>
      </c>
      <c r="AE25" s="31">
        <v>167</v>
      </c>
      <c r="AF25" s="31">
        <v>28</v>
      </c>
      <c r="AG25" s="31">
        <v>0</v>
      </c>
      <c r="AH25" s="31">
        <v>141</v>
      </c>
      <c r="AI25" s="31">
        <v>48</v>
      </c>
      <c r="AJ25" s="31">
        <v>9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1463</v>
      </c>
      <c r="E26" s="22">
        <v>898</v>
      </c>
      <c r="F26" s="22">
        <v>556</v>
      </c>
      <c r="G26" s="22">
        <v>9</v>
      </c>
      <c r="H26" s="22">
        <v>484</v>
      </c>
      <c r="I26" s="22">
        <v>414</v>
      </c>
      <c r="J26" s="22">
        <v>21</v>
      </c>
      <c r="K26" s="22">
        <v>3</v>
      </c>
      <c r="L26" s="22">
        <v>0</v>
      </c>
      <c r="M26" s="22">
        <v>27</v>
      </c>
      <c r="N26" s="22">
        <v>26</v>
      </c>
      <c r="O26" s="22">
        <v>0</v>
      </c>
      <c r="P26" s="22">
        <v>27</v>
      </c>
      <c r="Q26" s="22">
        <v>18</v>
      </c>
      <c r="R26" s="22">
        <v>0</v>
      </c>
      <c r="S26" s="22">
        <v>23</v>
      </c>
      <c r="T26" s="22">
        <v>8</v>
      </c>
      <c r="U26" s="22">
        <v>0</v>
      </c>
      <c r="V26" s="22">
        <v>2</v>
      </c>
      <c r="W26" s="22">
        <v>5</v>
      </c>
      <c r="X26" s="22">
        <v>0</v>
      </c>
      <c r="Y26" s="22">
        <v>16</v>
      </c>
      <c r="Z26" s="22">
        <v>9</v>
      </c>
      <c r="AA26" s="22">
        <v>0</v>
      </c>
      <c r="AB26" s="22">
        <v>1</v>
      </c>
      <c r="AC26" s="22">
        <v>1</v>
      </c>
      <c r="AD26" s="22">
        <v>0</v>
      </c>
      <c r="AE26" s="22">
        <v>163</v>
      </c>
      <c r="AF26" s="22">
        <v>26</v>
      </c>
      <c r="AG26" s="22">
        <v>0</v>
      </c>
      <c r="AH26" s="22">
        <v>134</v>
      </c>
      <c r="AI26" s="22">
        <v>46</v>
      </c>
      <c r="AJ26" s="22">
        <v>9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60</v>
      </c>
      <c r="E27" s="22">
        <v>32</v>
      </c>
      <c r="F27" s="22">
        <v>28</v>
      </c>
      <c r="G27" s="22">
        <v>0</v>
      </c>
      <c r="H27" s="22">
        <v>20</v>
      </c>
      <c r="I27" s="22">
        <v>20</v>
      </c>
      <c r="J27" s="22">
        <v>0</v>
      </c>
      <c r="K27" s="22">
        <v>2</v>
      </c>
      <c r="L27" s="22">
        <v>0</v>
      </c>
      <c r="M27" s="22">
        <v>0</v>
      </c>
      <c r="N27" s="22">
        <v>2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1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4</v>
      </c>
      <c r="AF27" s="22">
        <v>2</v>
      </c>
      <c r="AG27" s="22">
        <v>0</v>
      </c>
      <c r="AH27" s="22">
        <v>7</v>
      </c>
      <c r="AI27" s="22">
        <v>2</v>
      </c>
      <c r="AJ27" s="22">
        <v>0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170</v>
      </c>
      <c r="E28" s="31">
        <v>127</v>
      </c>
      <c r="F28" s="31">
        <v>40</v>
      </c>
      <c r="G28" s="31">
        <v>3</v>
      </c>
      <c r="H28" s="31">
        <v>33</v>
      </c>
      <c r="I28" s="31">
        <v>22</v>
      </c>
      <c r="J28" s="31">
        <v>6</v>
      </c>
      <c r="K28" s="31">
        <v>1</v>
      </c>
      <c r="L28" s="31">
        <v>0</v>
      </c>
      <c r="M28" s="31">
        <v>2</v>
      </c>
      <c r="N28" s="31">
        <v>4</v>
      </c>
      <c r="O28" s="31">
        <v>0</v>
      </c>
      <c r="P28" s="31">
        <v>5</v>
      </c>
      <c r="Q28" s="31">
        <v>0</v>
      </c>
      <c r="R28" s="31">
        <v>0</v>
      </c>
      <c r="S28" s="31">
        <v>1</v>
      </c>
      <c r="T28" s="31">
        <v>0</v>
      </c>
      <c r="U28" s="31">
        <v>0</v>
      </c>
      <c r="V28" s="31">
        <v>3</v>
      </c>
      <c r="W28" s="31">
        <v>0</v>
      </c>
      <c r="X28" s="31">
        <v>0</v>
      </c>
      <c r="Y28" s="31">
        <v>2</v>
      </c>
      <c r="Z28" s="31">
        <v>2</v>
      </c>
      <c r="AA28" s="31">
        <v>0</v>
      </c>
      <c r="AB28" s="31">
        <v>0</v>
      </c>
      <c r="AC28" s="31">
        <v>0</v>
      </c>
      <c r="AD28" s="31">
        <v>0</v>
      </c>
      <c r="AE28" s="31">
        <v>23</v>
      </c>
      <c r="AF28" s="31">
        <v>1</v>
      </c>
      <c r="AG28" s="31">
        <v>0</v>
      </c>
      <c r="AH28" s="31">
        <v>52</v>
      </c>
      <c r="AI28" s="31">
        <v>10</v>
      </c>
      <c r="AJ28" s="31">
        <v>3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140</v>
      </c>
      <c r="E29" s="22">
        <v>100</v>
      </c>
      <c r="F29" s="22">
        <v>37</v>
      </c>
      <c r="G29" s="22">
        <v>3</v>
      </c>
      <c r="H29" s="22">
        <v>28</v>
      </c>
      <c r="I29" s="22">
        <v>19</v>
      </c>
      <c r="J29" s="22">
        <v>3</v>
      </c>
      <c r="K29" s="22">
        <v>1</v>
      </c>
      <c r="L29" s="22">
        <v>0</v>
      </c>
      <c r="M29" s="22">
        <v>2</v>
      </c>
      <c r="N29" s="22">
        <v>4</v>
      </c>
      <c r="O29" s="22">
        <v>0</v>
      </c>
      <c r="P29" s="22">
        <v>4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1</v>
      </c>
      <c r="W29" s="22">
        <v>0</v>
      </c>
      <c r="X29" s="22">
        <v>0</v>
      </c>
      <c r="Y29" s="22">
        <v>0</v>
      </c>
      <c r="Z29" s="22">
        <v>2</v>
      </c>
      <c r="AA29" s="22">
        <v>0</v>
      </c>
      <c r="AB29" s="22">
        <v>0</v>
      </c>
      <c r="AC29" s="22">
        <v>0</v>
      </c>
      <c r="AD29" s="22">
        <v>0</v>
      </c>
      <c r="AE29" s="22">
        <v>19</v>
      </c>
      <c r="AF29" s="22">
        <v>1</v>
      </c>
      <c r="AG29" s="22">
        <v>0</v>
      </c>
      <c r="AH29" s="22">
        <v>43</v>
      </c>
      <c r="AI29" s="22">
        <v>10</v>
      </c>
      <c r="AJ29" s="22">
        <v>3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30</v>
      </c>
      <c r="E30" s="22">
        <v>27</v>
      </c>
      <c r="F30" s="22">
        <v>3</v>
      </c>
      <c r="G30" s="22">
        <v>0</v>
      </c>
      <c r="H30" s="22">
        <v>5</v>
      </c>
      <c r="I30" s="22">
        <v>3</v>
      </c>
      <c r="J30" s="22">
        <v>3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1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2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4</v>
      </c>
      <c r="AF30" s="22">
        <v>0</v>
      </c>
      <c r="AG30" s="22">
        <v>0</v>
      </c>
      <c r="AH30" s="22">
        <v>9</v>
      </c>
      <c r="AI30" s="22">
        <v>0</v>
      </c>
      <c r="AJ30" s="22">
        <v>0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226</v>
      </c>
      <c r="E31" s="31">
        <v>162</v>
      </c>
      <c r="F31" s="31">
        <v>61</v>
      </c>
      <c r="G31" s="31">
        <v>3</v>
      </c>
      <c r="H31" s="31">
        <v>86</v>
      </c>
      <c r="I31" s="31">
        <v>41</v>
      </c>
      <c r="J31" s="31">
        <v>5</v>
      </c>
      <c r="K31" s="31">
        <v>1</v>
      </c>
      <c r="L31" s="31">
        <v>0</v>
      </c>
      <c r="M31" s="31">
        <v>6</v>
      </c>
      <c r="N31" s="31">
        <v>1</v>
      </c>
      <c r="O31" s="31">
        <v>0</v>
      </c>
      <c r="P31" s="31">
        <v>4</v>
      </c>
      <c r="Q31" s="31">
        <v>0</v>
      </c>
      <c r="R31" s="31">
        <v>0</v>
      </c>
      <c r="S31" s="31">
        <v>1</v>
      </c>
      <c r="T31" s="31">
        <v>1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12</v>
      </c>
      <c r="AF31" s="31">
        <v>6</v>
      </c>
      <c r="AG31" s="31">
        <v>0</v>
      </c>
      <c r="AH31" s="31">
        <v>48</v>
      </c>
      <c r="AI31" s="31">
        <v>11</v>
      </c>
      <c r="AJ31" s="31">
        <v>3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197</v>
      </c>
      <c r="E32" s="22">
        <v>140</v>
      </c>
      <c r="F32" s="22">
        <v>54</v>
      </c>
      <c r="G32" s="22">
        <v>3</v>
      </c>
      <c r="H32" s="22">
        <v>72</v>
      </c>
      <c r="I32" s="22">
        <v>35</v>
      </c>
      <c r="J32" s="22">
        <v>4</v>
      </c>
      <c r="K32" s="22">
        <v>1</v>
      </c>
      <c r="L32" s="22">
        <v>0</v>
      </c>
      <c r="M32" s="22">
        <v>6</v>
      </c>
      <c r="N32" s="22">
        <v>0</v>
      </c>
      <c r="O32" s="22">
        <v>0</v>
      </c>
      <c r="P32" s="22">
        <v>4</v>
      </c>
      <c r="Q32" s="22">
        <v>0</v>
      </c>
      <c r="R32" s="22">
        <v>0</v>
      </c>
      <c r="S32" s="22">
        <v>1</v>
      </c>
      <c r="T32" s="22">
        <v>1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9</v>
      </c>
      <c r="AF32" s="22">
        <v>6</v>
      </c>
      <c r="AG32" s="22">
        <v>0</v>
      </c>
      <c r="AH32" s="22">
        <v>44</v>
      </c>
      <c r="AI32" s="22">
        <v>11</v>
      </c>
      <c r="AJ32" s="22">
        <v>3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29</v>
      </c>
      <c r="E33" s="22">
        <v>22</v>
      </c>
      <c r="F33" s="22">
        <v>7</v>
      </c>
      <c r="G33" s="22">
        <v>0</v>
      </c>
      <c r="H33" s="22">
        <v>14</v>
      </c>
      <c r="I33" s="22">
        <v>6</v>
      </c>
      <c r="J33" s="22">
        <v>1</v>
      </c>
      <c r="K33" s="22">
        <v>0</v>
      </c>
      <c r="L33" s="22">
        <v>0</v>
      </c>
      <c r="M33" s="22">
        <v>0</v>
      </c>
      <c r="N33" s="22">
        <v>1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3</v>
      </c>
      <c r="AF33" s="22">
        <v>0</v>
      </c>
      <c r="AG33" s="22">
        <v>0</v>
      </c>
      <c r="AH33" s="22">
        <v>4</v>
      </c>
      <c r="AI33" s="22">
        <v>0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163</v>
      </c>
      <c r="E34" s="31">
        <v>110</v>
      </c>
      <c r="F34" s="31">
        <v>52</v>
      </c>
      <c r="G34" s="31">
        <v>1</v>
      </c>
      <c r="H34" s="31">
        <v>31</v>
      </c>
      <c r="I34" s="31">
        <v>34</v>
      </c>
      <c r="J34" s="31">
        <v>4</v>
      </c>
      <c r="K34" s="31">
        <v>1</v>
      </c>
      <c r="L34" s="31">
        <v>0</v>
      </c>
      <c r="M34" s="31">
        <v>1</v>
      </c>
      <c r="N34" s="31">
        <v>2</v>
      </c>
      <c r="O34" s="31">
        <v>0</v>
      </c>
      <c r="P34" s="31">
        <v>3</v>
      </c>
      <c r="Q34" s="31">
        <v>2</v>
      </c>
      <c r="R34" s="31">
        <v>0</v>
      </c>
      <c r="S34" s="31">
        <v>6</v>
      </c>
      <c r="T34" s="31">
        <v>2</v>
      </c>
      <c r="U34" s="31">
        <v>0</v>
      </c>
      <c r="V34" s="31">
        <v>0</v>
      </c>
      <c r="W34" s="31">
        <v>0</v>
      </c>
      <c r="X34" s="31">
        <v>0</v>
      </c>
      <c r="Y34" s="31">
        <v>1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25</v>
      </c>
      <c r="AF34" s="31">
        <v>2</v>
      </c>
      <c r="AG34" s="31">
        <v>0</v>
      </c>
      <c r="AH34" s="31">
        <v>39</v>
      </c>
      <c r="AI34" s="31">
        <v>9</v>
      </c>
      <c r="AJ34" s="31">
        <v>1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148</v>
      </c>
      <c r="E35" s="22">
        <v>101</v>
      </c>
      <c r="F35" s="22">
        <v>46</v>
      </c>
      <c r="G35" s="22">
        <v>1</v>
      </c>
      <c r="H35" s="22">
        <v>30</v>
      </c>
      <c r="I35" s="22">
        <v>28</v>
      </c>
      <c r="J35" s="22">
        <v>4</v>
      </c>
      <c r="K35" s="22">
        <v>1</v>
      </c>
      <c r="L35" s="22">
        <v>0</v>
      </c>
      <c r="M35" s="22">
        <v>1</v>
      </c>
      <c r="N35" s="22">
        <v>2</v>
      </c>
      <c r="O35" s="22">
        <v>0</v>
      </c>
      <c r="P35" s="22">
        <v>3</v>
      </c>
      <c r="Q35" s="22">
        <v>2</v>
      </c>
      <c r="R35" s="22">
        <v>0</v>
      </c>
      <c r="S35" s="22">
        <v>3</v>
      </c>
      <c r="T35" s="22">
        <v>2</v>
      </c>
      <c r="U35" s="22">
        <v>0</v>
      </c>
      <c r="V35" s="22">
        <v>0</v>
      </c>
      <c r="W35" s="22">
        <v>0</v>
      </c>
      <c r="X35" s="22">
        <v>0</v>
      </c>
      <c r="Y35" s="22">
        <v>1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21</v>
      </c>
      <c r="AF35" s="22">
        <v>2</v>
      </c>
      <c r="AG35" s="22">
        <v>0</v>
      </c>
      <c r="AH35" s="22">
        <v>38</v>
      </c>
      <c r="AI35" s="22">
        <v>9</v>
      </c>
      <c r="AJ35" s="22">
        <v>1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15</v>
      </c>
      <c r="E36" s="22">
        <v>9</v>
      </c>
      <c r="F36" s="22">
        <v>6</v>
      </c>
      <c r="G36" s="22">
        <v>0</v>
      </c>
      <c r="H36" s="22">
        <v>1</v>
      </c>
      <c r="I36" s="22">
        <v>6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3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4</v>
      </c>
      <c r="AF36" s="22">
        <v>0</v>
      </c>
      <c r="AG36" s="22">
        <v>0</v>
      </c>
      <c r="AH36" s="22">
        <v>1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394</v>
      </c>
      <c r="E37" s="31">
        <v>270</v>
      </c>
      <c r="F37" s="31">
        <v>110</v>
      </c>
      <c r="G37" s="31">
        <v>14</v>
      </c>
      <c r="H37" s="31">
        <v>115</v>
      </c>
      <c r="I37" s="31">
        <v>72</v>
      </c>
      <c r="J37" s="31">
        <v>11</v>
      </c>
      <c r="K37" s="31">
        <v>1</v>
      </c>
      <c r="L37" s="31">
        <v>0</v>
      </c>
      <c r="M37" s="31">
        <v>9</v>
      </c>
      <c r="N37" s="31">
        <v>3</v>
      </c>
      <c r="O37" s="31">
        <v>0</v>
      </c>
      <c r="P37" s="31">
        <v>14</v>
      </c>
      <c r="Q37" s="31">
        <v>3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2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35</v>
      </c>
      <c r="AF37" s="31">
        <v>5</v>
      </c>
      <c r="AG37" s="31">
        <v>0</v>
      </c>
      <c r="AH37" s="31">
        <v>84</v>
      </c>
      <c r="AI37" s="31">
        <v>26</v>
      </c>
      <c r="AJ37" s="31">
        <v>14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391</v>
      </c>
      <c r="E38" s="22">
        <v>269</v>
      </c>
      <c r="F38" s="22">
        <v>108</v>
      </c>
      <c r="G38" s="22">
        <v>14</v>
      </c>
      <c r="H38" s="22">
        <v>115</v>
      </c>
      <c r="I38" s="22">
        <v>72</v>
      </c>
      <c r="J38" s="22">
        <v>11</v>
      </c>
      <c r="K38" s="22">
        <v>1</v>
      </c>
      <c r="L38" s="22">
        <v>0</v>
      </c>
      <c r="M38" s="22">
        <v>9</v>
      </c>
      <c r="N38" s="22">
        <v>3</v>
      </c>
      <c r="O38" s="22">
        <v>0</v>
      </c>
      <c r="P38" s="22">
        <v>14</v>
      </c>
      <c r="Q38" s="22">
        <v>2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2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35</v>
      </c>
      <c r="AF38" s="22">
        <v>5</v>
      </c>
      <c r="AG38" s="22">
        <v>0</v>
      </c>
      <c r="AH38" s="22">
        <v>83</v>
      </c>
      <c r="AI38" s="22">
        <v>25</v>
      </c>
      <c r="AJ38" s="22">
        <v>14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3</v>
      </c>
      <c r="E39" s="22">
        <v>1</v>
      </c>
      <c r="F39" s="22">
        <v>2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1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1</v>
      </c>
      <c r="AI39" s="22">
        <v>1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242</v>
      </c>
      <c r="E40" s="31">
        <v>177</v>
      </c>
      <c r="F40" s="31">
        <v>61</v>
      </c>
      <c r="G40" s="31">
        <v>4</v>
      </c>
      <c r="H40" s="31">
        <v>66</v>
      </c>
      <c r="I40" s="31">
        <v>45</v>
      </c>
      <c r="J40" s="31">
        <v>8</v>
      </c>
      <c r="K40" s="31">
        <v>0</v>
      </c>
      <c r="L40" s="31">
        <v>0</v>
      </c>
      <c r="M40" s="31">
        <v>1</v>
      </c>
      <c r="N40" s="31">
        <v>6</v>
      </c>
      <c r="O40" s="31">
        <v>0</v>
      </c>
      <c r="P40" s="31">
        <v>10</v>
      </c>
      <c r="Q40" s="31">
        <v>1</v>
      </c>
      <c r="R40" s="31">
        <v>1</v>
      </c>
      <c r="S40" s="31">
        <v>2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2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16</v>
      </c>
      <c r="AF40" s="31">
        <v>0</v>
      </c>
      <c r="AG40" s="31">
        <v>0</v>
      </c>
      <c r="AH40" s="31">
        <v>72</v>
      </c>
      <c r="AI40" s="31">
        <v>9</v>
      </c>
      <c r="AJ40" s="31">
        <v>3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198</v>
      </c>
      <c r="E41" s="22">
        <v>144</v>
      </c>
      <c r="F41" s="22">
        <v>50</v>
      </c>
      <c r="G41" s="22">
        <v>4</v>
      </c>
      <c r="H41" s="22">
        <v>51</v>
      </c>
      <c r="I41" s="22">
        <v>38</v>
      </c>
      <c r="J41" s="22">
        <v>5</v>
      </c>
      <c r="K41" s="22">
        <v>0</v>
      </c>
      <c r="L41" s="22">
        <v>0</v>
      </c>
      <c r="M41" s="22">
        <v>1</v>
      </c>
      <c r="N41" s="22">
        <v>5</v>
      </c>
      <c r="O41" s="22">
        <v>0</v>
      </c>
      <c r="P41" s="22">
        <v>6</v>
      </c>
      <c r="Q41" s="22">
        <v>1</v>
      </c>
      <c r="R41" s="22">
        <v>1</v>
      </c>
      <c r="S41" s="22">
        <v>2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15</v>
      </c>
      <c r="AF41" s="22">
        <v>0</v>
      </c>
      <c r="AG41" s="22">
        <v>0</v>
      </c>
      <c r="AH41" s="22">
        <v>64</v>
      </c>
      <c r="AI41" s="22">
        <v>6</v>
      </c>
      <c r="AJ41" s="22">
        <v>3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44</v>
      </c>
      <c r="E42" s="22">
        <v>33</v>
      </c>
      <c r="F42" s="22">
        <v>11</v>
      </c>
      <c r="G42" s="22">
        <v>0</v>
      </c>
      <c r="H42" s="22">
        <v>15</v>
      </c>
      <c r="I42" s="22">
        <v>7</v>
      </c>
      <c r="J42" s="22">
        <v>3</v>
      </c>
      <c r="K42" s="22">
        <v>0</v>
      </c>
      <c r="L42" s="22">
        <v>0</v>
      </c>
      <c r="M42" s="22">
        <v>0</v>
      </c>
      <c r="N42" s="22">
        <v>1</v>
      </c>
      <c r="O42" s="22">
        <v>0</v>
      </c>
      <c r="P42" s="22">
        <v>4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2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1</v>
      </c>
      <c r="AF42" s="22">
        <v>0</v>
      </c>
      <c r="AG42" s="22">
        <v>0</v>
      </c>
      <c r="AH42" s="22">
        <v>8</v>
      </c>
      <c r="AI42" s="22">
        <v>3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268</v>
      </c>
      <c r="E43" s="31">
        <v>183</v>
      </c>
      <c r="F43" s="31">
        <v>84</v>
      </c>
      <c r="G43" s="31">
        <v>1</v>
      </c>
      <c r="H43" s="31">
        <v>73</v>
      </c>
      <c r="I43" s="31">
        <v>62</v>
      </c>
      <c r="J43" s="31">
        <v>4</v>
      </c>
      <c r="K43" s="31">
        <v>3</v>
      </c>
      <c r="L43" s="31">
        <v>0</v>
      </c>
      <c r="M43" s="31">
        <v>2</v>
      </c>
      <c r="N43" s="31">
        <v>1</v>
      </c>
      <c r="O43" s="31">
        <v>0</v>
      </c>
      <c r="P43" s="31">
        <v>10</v>
      </c>
      <c r="Q43" s="31">
        <v>2</v>
      </c>
      <c r="R43" s="31">
        <v>0</v>
      </c>
      <c r="S43" s="31">
        <v>5</v>
      </c>
      <c r="T43" s="31">
        <v>2</v>
      </c>
      <c r="U43" s="31">
        <v>0</v>
      </c>
      <c r="V43" s="31">
        <v>3</v>
      </c>
      <c r="W43" s="31">
        <v>0</v>
      </c>
      <c r="X43" s="31">
        <v>0</v>
      </c>
      <c r="Y43" s="31">
        <v>14</v>
      </c>
      <c r="Z43" s="31">
        <v>3</v>
      </c>
      <c r="AA43" s="31">
        <v>0</v>
      </c>
      <c r="AB43" s="31">
        <v>0</v>
      </c>
      <c r="AC43" s="31">
        <v>1</v>
      </c>
      <c r="AD43" s="31">
        <v>0</v>
      </c>
      <c r="AE43" s="31">
        <v>54</v>
      </c>
      <c r="AF43" s="31">
        <v>5</v>
      </c>
      <c r="AG43" s="31">
        <v>0</v>
      </c>
      <c r="AH43" s="31">
        <v>18</v>
      </c>
      <c r="AI43" s="31">
        <v>5</v>
      </c>
      <c r="AJ43" s="31">
        <v>1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266</v>
      </c>
      <c r="E44" s="22">
        <v>182</v>
      </c>
      <c r="F44" s="22">
        <v>83</v>
      </c>
      <c r="G44" s="22">
        <v>1</v>
      </c>
      <c r="H44" s="22">
        <v>73</v>
      </c>
      <c r="I44" s="22">
        <v>62</v>
      </c>
      <c r="J44" s="22">
        <v>4</v>
      </c>
      <c r="K44" s="22">
        <v>3</v>
      </c>
      <c r="L44" s="22">
        <v>0</v>
      </c>
      <c r="M44" s="22">
        <v>2</v>
      </c>
      <c r="N44" s="22">
        <v>1</v>
      </c>
      <c r="O44" s="22">
        <v>0</v>
      </c>
      <c r="P44" s="22">
        <v>10</v>
      </c>
      <c r="Q44" s="22">
        <v>2</v>
      </c>
      <c r="R44" s="22">
        <v>0</v>
      </c>
      <c r="S44" s="22">
        <v>5</v>
      </c>
      <c r="T44" s="22">
        <v>2</v>
      </c>
      <c r="U44" s="22">
        <v>0</v>
      </c>
      <c r="V44" s="22">
        <v>3</v>
      </c>
      <c r="W44" s="22">
        <v>0</v>
      </c>
      <c r="X44" s="22">
        <v>0</v>
      </c>
      <c r="Y44" s="22">
        <v>14</v>
      </c>
      <c r="Z44" s="22">
        <v>3</v>
      </c>
      <c r="AA44" s="22">
        <v>0</v>
      </c>
      <c r="AB44" s="22">
        <v>0</v>
      </c>
      <c r="AC44" s="22">
        <v>0</v>
      </c>
      <c r="AD44" s="22">
        <v>0</v>
      </c>
      <c r="AE44" s="22">
        <v>53</v>
      </c>
      <c r="AF44" s="22">
        <v>5</v>
      </c>
      <c r="AG44" s="22">
        <v>0</v>
      </c>
      <c r="AH44" s="22">
        <v>18</v>
      </c>
      <c r="AI44" s="22">
        <v>5</v>
      </c>
      <c r="AJ44" s="22">
        <v>1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2</v>
      </c>
      <c r="E45" s="22">
        <v>1</v>
      </c>
      <c r="F45" s="22">
        <v>1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1</v>
      </c>
      <c r="AD45" s="22">
        <v>0</v>
      </c>
      <c r="AE45" s="22">
        <v>1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156</v>
      </c>
      <c r="E46" s="31">
        <v>107</v>
      </c>
      <c r="F46" s="31">
        <v>49</v>
      </c>
      <c r="G46" s="31">
        <v>0</v>
      </c>
      <c r="H46" s="31">
        <v>39</v>
      </c>
      <c r="I46" s="31">
        <v>37</v>
      </c>
      <c r="J46" s="31">
        <v>4</v>
      </c>
      <c r="K46" s="31">
        <v>0</v>
      </c>
      <c r="L46" s="31">
        <v>0</v>
      </c>
      <c r="M46" s="31">
        <v>3</v>
      </c>
      <c r="N46" s="31">
        <v>2</v>
      </c>
      <c r="O46" s="31">
        <v>0</v>
      </c>
      <c r="P46" s="31">
        <v>6</v>
      </c>
      <c r="Q46" s="31">
        <v>1</v>
      </c>
      <c r="R46" s="31">
        <v>0</v>
      </c>
      <c r="S46" s="31">
        <v>2</v>
      </c>
      <c r="T46" s="31">
        <v>0</v>
      </c>
      <c r="U46" s="31">
        <v>0</v>
      </c>
      <c r="V46" s="31">
        <v>4</v>
      </c>
      <c r="W46" s="31">
        <v>0</v>
      </c>
      <c r="X46" s="31">
        <v>0</v>
      </c>
      <c r="Y46" s="31">
        <v>2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28</v>
      </c>
      <c r="AF46" s="31">
        <v>7</v>
      </c>
      <c r="AG46" s="31">
        <v>0</v>
      </c>
      <c r="AH46" s="31">
        <v>19</v>
      </c>
      <c r="AI46" s="31">
        <v>2</v>
      </c>
      <c r="AJ46" s="31">
        <v>0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151</v>
      </c>
      <c r="E47" s="22">
        <v>102</v>
      </c>
      <c r="F47" s="22">
        <v>49</v>
      </c>
      <c r="G47" s="22">
        <v>0</v>
      </c>
      <c r="H47" s="22">
        <v>38</v>
      </c>
      <c r="I47" s="22">
        <v>37</v>
      </c>
      <c r="J47" s="22">
        <v>4</v>
      </c>
      <c r="K47" s="22">
        <v>0</v>
      </c>
      <c r="L47" s="22">
        <v>0</v>
      </c>
      <c r="M47" s="22">
        <v>3</v>
      </c>
      <c r="N47" s="22">
        <v>2</v>
      </c>
      <c r="O47" s="22">
        <v>0</v>
      </c>
      <c r="P47" s="22">
        <v>6</v>
      </c>
      <c r="Q47" s="22">
        <v>1</v>
      </c>
      <c r="R47" s="22">
        <v>0</v>
      </c>
      <c r="S47" s="22">
        <v>2</v>
      </c>
      <c r="T47" s="22">
        <v>0</v>
      </c>
      <c r="U47" s="22">
        <v>0</v>
      </c>
      <c r="V47" s="22">
        <v>4</v>
      </c>
      <c r="W47" s="22">
        <v>0</v>
      </c>
      <c r="X47" s="22">
        <v>0</v>
      </c>
      <c r="Y47" s="22">
        <v>2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25</v>
      </c>
      <c r="AF47" s="22">
        <v>7</v>
      </c>
      <c r="AG47" s="22">
        <v>0</v>
      </c>
      <c r="AH47" s="22">
        <v>18</v>
      </c>
      <c r="AI47" s="22">
        <v>2</v>
      </c>
      <c r="AJ47" s="22">
        <v>0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5</v>
      </c>
      <c r="E48" s="22">
        <v>5</v>
      </c>
      <c r="F48" s="22">
        <v>0</v>
      </c>
      <c r="G48" s="22">
        <v>0</v>
      </c>
      <c r="H48" s="22">
        <v>1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3</v>
      </c>
      <c r="AF48" s="22">
        <v>0</v>
      </c>
      <c r="AG48" s="22">
        <v>0</v>
      </c>
      <c r="AH48" s="22">
        <v>1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411</v>
      </c>
      <c r="E49" s="31">
        <v>282</v>
      </c>
      <c r="F49" s="31">
        <v>128</v>
      </c>
      <c r="G49" s="31">
        <v>1</v>
      </c>
      <c r="H49" s="31">
        <v>110</v>
      </c>
      <c r="I49" s="31">
        <v>86</v>
      </c>
      <c r="J49" s="31">
        <v>5</v>
      </c>
      <c r="K49" s="31">
        <v>2</v>
      </c>
      <c r="L49" s="31">
        <v>0</v>
      </c>
      <c r="M49" s="31">
        <v>2</v>
      </c>
      <c r="N49" s="31">
        <v>5</v>
      </c>
      <c r="O49" s="31">
        <v>0</v>
      </c>
      <c r="P49" s="31">
        <v>17</v>
      </c>
      <c r="Q49" s="31">
        <v>6</v>
      </c>
      <c r="R49" s="31">
        <v>0</v>
      </c>
      <c r="S49" s="31">
        <v>0</v>
      </c>
      <c r="T49" s="31">
        <v>0</v>
      </c>
      <c r="U49" s="31">
        <v>0</v>
      </c>
      <c r="V49" s="31">
        <v>3</v>
      </c>
      <c r="W49" s="31">
        <v>4</v>
      </c>
      <c r="X49" s="31">
        <v>0</v>
      </c>
      <c r="Y49" s="31">
        <v>6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46</v>
      </c>
      <c r="AF49" s="31">
        <v>2</v>
      </c>
      <c r="AG49" s="31">
        <v>0</v>
      </c>
      <c r="AH49" s="31">
        <v>93</v>
      </c>
      <c r="AI49" s="31">
        <v>23</v>
      </c>
      <c r="AJ49" s="31">
        <v>1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332</v>
      </c>
      <c r="E50" s="22">
        <v>232</v>
      </c>
      <c r="F50" s="22">
        <v>99</v>
      </c>
      <c r="G50" s="22">
        <v>1</v>
      </c>
      <c r="H50" s="22">
        <v>90</v>
      </c>
      <c r="I50" s="22">
        <v>64</v>
      </c>
      <c r="J50" s="22">
        <v>5</v>
      </c>
      <c r="K50" s="22">
        <v>0</v>
      </c>
      <c r="L50" s="22">
        <v>0</v>
      </c>
      <c r="M50" s="22">
        <v>2</v>
      </c>
      <c r="N50" s="22">
        <v>4</v>
      </c>
      <c r="O50" s="22">
        <v>0</v>
      </c>
      <c r="P50" s="22">
        <v>14</v>
      </c>
      <c r="Q50" s="22">
        <v>6</v>
      </c>
      <c r="R50" s="22">
        <v>0</v>
      </c>
      <c r="S50" s="22">
        <v>0</v>
      </c>
      <c r="T50" s="22">
        <v>0</v>
      </c>
      <c r="U50" s="22">
        <v>0</v>
      </c>
      <c r="V50" s="22">
        <v>3</v>
      </c>
      <c r="W50" s="22">
        <v>4</v>
      </c>
      <c r="X50" s="22">
        <v>0</v>
      </c>
      <c r="Y50" s="22">
        <v>2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38</v>
      </c>
      <c r="AF50" s="22">
        <v>2</v>
      </c>
      <c r="AG50" s="22">
        <v>0</v>
      </c>
      <c r="AH50" s="22">
        <v>78</v>
      </c>
      <c r="AI50" s="22">
        <v>19</v>
      </c>
      <c r="AJ50" s="22">
        <v>1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79</v>
      </c>
      <c r="E51" s="22">
        <v>50</v>
      </c>
      <c r="F51" s="22">
        <v>29</v>
      </c>
      <c r="G51" s="22">
        <v>0</v>
      </c>
      <c r="H51" s="22">
        <v>20</v>
      </c>
      <c r="I51" s="22">
        <v>22</v>
      </c>
      <c r="J51" s="22">
        <v>0</v>
      </c>
      <c r="K51" s="22">
        <v>2</v>
      </c>
      <c r="L51" s="22">
        <v>0</v>
      </c>
      <c r="M51" s="22">
        <v>0</v>
      </c>
      <c r="N51" s="22">
        <v>1</v>
      </c>
      <c r="O51" s="22">
        <v>0</v>
      </c>
      <c r="P51" s="22">
        <v>3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4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8</v>
      </c>
      <c r="AF51" s="22">
        <v>0</v>
      </c>
      <c r="AG51" s="22">
        <v>0</v>
      </c>
      <c r="AH51" s="22">
        <v>15</v>
      </c>
      <c r="AI51" s="22">
        <v>4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271</v>
      </c>
      <c r="E52" s="31">
        <v>169</v>
      </c>
      <c r="F52" s="31">
        <v>101</v>
      </c>
      <c r="G52" s="31">
        <v>1</v>
      </c>
      <c r="H52" s="31">
        <v>62</v>
      </c>
      <c r="I52" s="31">
        <v>60</v>
      </c>
      <c r="J52" s="31">
        <v>9</v>
      </c>
      <c r="K52" s="31">
        <v>4</v>
      </c>
      <c r="L52" s="31">
        <v>0</v>
      </c>
      <c r="M52" s="31">
        <v>2</v>
      </c>
      <c r="N52" s="31">
        <v>4</v>
      </c>
      <c r="O52" s="31">
        <v>0</v>
      </c>
      <c r="P52" s="31">
        <v>10</v>
      </c>
      <c r="Q52" s="31">
        <v>3</v>
      </c>
      <c r="R52" s="31">
        <v>0</v>
      </c>
      <c r="S52" s="31">
        <v>6</v>
      </c>
      <c r="T52" s="31">
        <v>2</v>
      </c>
      <c r="U52" s="31">
        <v>0</v>
      </c>
      <c r="V52" s="31">
        <v>1</v>
      </c>
      <c r="W52" s="31">
        <v>0</v>
      </c>
      <c r="X52" s="31">
        <v>0</v>
      </c>
      <c r="Y52" s="31">
        <v>4</v>
      </c>
      <c r="Z52" s="31">
        <v>8</v>
      </c>
      <c r="AA52" s="31">
        <v>0</v>
      </c>
      <c r="AB52" s="31">
        <v>0</v>
      </c>
      <c r="AC52" s="31">
        <v>0</v>
      </c>
      <c r="AD52" s="31">
        <v>0</v>
      </c>
      <c r="AE52" s="31">
        <v>47</v>
      </c>
      <c r="AF52" s="31">
        <v>10</v>
      </c>
      <c r="AG52" s="31">
        <v>0</v>
      </c>
      <c r="AH52" s="31">
        <v>28</v>
      </c>
      <c r="AI52" s="31">
        <v>10</v>
      </c>
      <c r="AJ52" s="31">
        <v>1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126</v>
      </c>
      <c r="E53" s="22">
        <v>85</v>
      </c>
      <c r="F53" s="22">
        <v>40</v>
      </c>
      <c r="G53" s="22">
        <v>1</v>
      </c>
      <c r="H53" s="22">
        <v>29</v>
      </c>
      <c r="I53" s="22">
        <v>30</v>
      </c>
      <c r="J53" s="22">
        <v>9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5</v>
      </c>
      <c r="Q53" s="22">
        <v>1</v>
      </c>
      <c r="R53" s="22">
        <v>0</v>
      </c>
      <c r="S53" s="22">
        <v>2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26</v>
      </c>
      <c r="AF53" s="22">
        <v>6</v>
      </c>
      <c r="AG53" s="22">
        <v>0</v>
      </c>
      <c r="AH53" s="22">
        <v>14</v>
      </c>
      <c r="AI53" s="22">
        <v>3</v>
      </c>
      <c r="AJ53" s="22">
        <v>1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145</v>
      </c>
      <c r="E54" s="22">
        <v>84</v>
      </c>
      <c r="F54" s="22">
        <v>61</v>
      </c>
      <c r="G54" s="22">
        <v>0</v>
      </c>
      <c r="H54" s="22">
        <v>33</v>
      </c>
      <c r="I54" s="22">
        <v>30</v>
      </c>
      <c r="J54" s="22">
        <v>0</v>
      </c>
      <c r="K54" s="22">
        <v>4</v>
      </c>
      <c r="L54" s="22">
        <v>0</v>
      </c>
      <c r="M54" s="22">
        <v>2</v>
      </c>
      <c r="N54" s="22">
        <v>4</v>
      </c>
      <c r="O54" s="22">
        <v>0</v>
      </c>
      <c r="P54" s="22">
        <v>5</v>
      </c>
      <c r="Q54" s="22">
        <v>2</v>
      </c>
      <c r="R54" s="22">
        <v>0</v>
      </c>
      <c r="S54" s="22">
        <v>4</v>
      </c>
      <c r="T54" s="22">
        <v>2</v>
      </c>
      <c r="U54" s="22">
        <v>0</v>
      </c>
      <c r="V54" s="22">
        <v>1</v>
      </c>
      <c r="W54" s="22">
        <v>0</v>
      </c>
      <c r="X54" s="22">
        <v>0</v>
      </c>
      <c r="Y54" s="22">
        <v>4</v>
      </c>
      <c r="Z54" s="22">
        <v>8</v>
      </c>
      <c r="AA54" s="22">
        <v>0</v>
      </c>
      <c r="AB54" s="22">
        <v>0</v>
      </c>
      <c r="AC54" s="22">
        <v>0</v>
      </c>
      <c r="AD54" s="22">
        <v>0</v>
      </c>
      <c r="AE54" s="22">
        <v>21</v>
      </c>
      <c r="AF54" s="22">
        <v>4</v>
      </c>
      <c r="AG54" s="22">
        <v>0</v>
      </c>
      <c r="AH54" s="22">
        <v>14</v>
      </c>
      <c r="AI54" s="22">
        <v>7</v>
      </c>
      <c r="AJ54" s="22">
        <v>0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251</v>
      </c>
      <c r="E55" s="31">
        <v>166</v>
      </c>
      <c r="F55" s="31">
        <v>85</v>
      </c>
      <c r="G55" s="31">
        <v>0</v>
      </c>
      <c r="H55" s="31">
        <v>49</v>
      </c>
      <c r="I55" s="31">
        <v>72</v>
      </c>
      <c r="J55" s="31">
        <v>4</v>
      </c>
      <c r="K55" s="31">
        <v>0</v>
      </c>
      <c r="L55" s="31">
        <v>0</v>
      </c>
      <c r="M55" s="31">
        <v>2</v>
      </c>
      <c r="N55" s="31">
        <v>4</v>
      </c>
      <c r="O55" s="31">
        <v>0</v>
      </c>
      <c r="P55" s="31">
        <v>20</v>
      </c>
      <c r="Q55" s="31">
        <v>1</v>
      </c>
      <c r="R55" s="31">
        <v>0</v>
      </c>
      <c r="S55" s="31">
        <v>5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2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50</v>
      </c>
      <c r="AF55" s="31">
        <v>2</v>
      </c>
      <c r="AG55" s="31">
        <v>0</v>
      </c>
      <c r="AH55" s="31">
        <v>34</v>
      </c>
      <c r="AI55" s="31">
        <v>6</v>
      </c>
      <c r="AJ55" s="31">
        <v>0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151</v>
      </c>
      <c r="E56" s="22">
        <v>108</v>
      </c>
      <c r="F56" s="22">
        <v>43</v>
      </c>
      <c r="G56" s="22">
        <v>0</v>
      </c>
      <c r="H56" s="22">
        <v>22</v>
      </c>
      <c r="I56" s="22">
        <v>37</v>
      </c>
      <c r="J56" s="22">
        <v>4</v>
      </c>
      <c r="K56" s="22">
        <v>0</v>
      </c>
      <c r="L56" s="22">
        <v>0</v>
      </c>
      <c r="M56" s="22">
        <v>0</v>
      </c>
      <c r="N56" s="22">
        <v>1</v>
      </c>
      <c r="O56" s="22">
        <v>0</v>
      </c>
      <c r="P56" s="22">
        <v>8</v>
      </c>
      <c r="Q56" s="22">
        <v>1</v>
      </c>
      <c r="R56" s="22">
        <v>0</v>
      </c>
      <c r="S56" s="22">
        <v>4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2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44</v>
      </c>
      <c r="AF56" s="22">
        <v>2</v>
      </c>
      <c r="AG56" s="22">
        <v>0</v>
      </c>
      <c r="AH56" s="22">
        <v>24</v>
      </c>
      <c r="AI56" s="22">
        <v>2</v>
      </c>
      <c r="AJ56" s="22">
        <v>0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100</v>
      </c>
      <c r="E57" s="22">
        <v>58</v>
      </c>
      <c r="F57" s="22">
        <v>42</v>
      </c>
      <c r="G57" s="22">
        <v>0</v>
      </c>
      <c r="H57" s="22">
        <v>27</v>
      </c>
      <c r="I57" s="22">
        <v>35</v>
      </c>
      <c r="J57" s="22">
        <v>0</v>
      </c>
      <c r="K57" s="22">
        <v>0</v>
      </c>
      <c r="L57" s="22">
        <v>0</v>
      </c>
      <c r="M57" s="22">
        <v>2</v>
      </c>
      <c r="N57" s="22">
        <v>3</v>
      </c>
      <c r="O57" s="22">
        <v>0</v>
      </c>
      <c r="P57" s="22">
        <v>12</v>
      </c>
      <c r="Q57" s="22">
        <v>0</v>
      </c>
      <c r="R57" s="22">
        <v>0</v>
      </c>
      <c r="S57" s="22">
        <v>1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6</v>
      </c>
      <c r="AF57" s="22">
        <v>0</v>
      </c>
      <c r="AG57" s="22">
        <v>0</v>
      </c>
      <c r="AH57" s="22">
        <v>10</v>
      </c>
      <c r="AI57" s="22">
        <v>4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22</v>
      </c>
      <c r="E58" s="31">
        <v>17</v>
      </c>
      <c r="F58" s="31">
        <v>5</v>
      </c>
      <c r="G58" s="31">
        <v>0</v>
      </c>
      <c r="H58" s="31">
        <v>2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1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4</v>
      </c>
      <c r="AF58" s="31">
        <v>0</v>
      </c>
      <c r="AG58" s="31">
        <v>0</v>
      </c>
      <c r="AH58" s="31">
        <v>11</v>
      </c>
      <c r="AI58" s="31">
        <v>2</v>
      </c>
      <c r="AJ58" s="31">
        <v>0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22</v>
      </c>
      <c r="E59" s="22">
        <v>17</v>
      </c>
      <c r="F59" s="22">
        <v>5</v>
      </c>
      <c r="G59" s="22">
        <v>0</v>
      </c>
      <c r="H59" s="22">
        <v>2</v>
      </c>
      <c r="I59" s="22">
        <v>2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1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4</v>
      </c>
      <c r="AF59" s="22">
        <v>0</v>
      </c>
      <c r="AG59" s="22">
        <v>0</v>
      </c>
      <c r="AH59" s="22">
        <v>11</v>
      </c>
      <c r="AI59" s="22">
        <v>2</v>
      </c>
      <c r="AJ59" s="22">
        <v>0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216</v>
      </c>
      <c r="E61" s="31">
        <v>155</v>
      </c>
      <c r="F61" s="31">
        <v>61</v>
      </c>
      <c r="G61" s="31">
        <v>0</v>
      </c>
      <c r="H61" s="31">
        <v>74</v>
      </c>
      <c r="I61" s="31">
        <v>46</v>
      </c>
      <c r="J61" s="31">
        <v>7</v>
      </c>
      <c r="K61" s="31">
        <v>3</v>
      </c>
      <c r="L61" s="31">
        <v>0</v>
      </c>
      <c r="M61" s="31">
        <v>2</v>
      </c>
      <c r="N61" s="31">
        <v>3</v>
      </c>
      <c r="O61" s="31">
        <v>0</v>
      </c>
      <c r="P61" s="31">
        <v>4</v>
      </c>
      <c r="Q61" s="31">
        <v>0</v>
      </c>
      <c r="R61" s="31">
        <v>0</v>
      </c>
      <c r="S61" s="31">
        <v>1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3</v>
      </c>
      <c r="Z61" s="31">
        <v>1</v>
      </c>
      <c r="AA61" s="31">
        <v>0</v>
      </c>
      <c r="AB61" s="31">
        <v>0</v>
      </c>
      <c r="AC61" s="31">
        <v>0</v>
      </c>
      <c r="AD61" s="31">
        <v>0</v>
      </c>
      <c r="AE61" s="31">
        <v>29</v>
      </c>
      <c r="AF61" s="31">
        <v>4</v>
      </c>
      <c r="AG61" s="31">
        <v>0</v>
      </c>
      <c r="AH61" s="31">
        <v>35</v>
      </c>
      <c r="AI61" s="31">
        <v>4</v>
      </c>
      <c r="AJ61" s="31">
        <v>0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205</v>
      </c>
      <c r="E62" s="22">
        <v>150</v>
      </c>
      <c r="F62" s="22">
        <v>55</v>
      </c>
      <c r="G62" s="22">
        <v>0</v>
      </c>
      <c r="H62" s="22">
        <v>72</v>
      </c>
      <c r="I62" s="22">
        <v>43</v>
      </c>
      <c r="J62" s="22">
        <v>6</v>
      </c>
      <c r="K62" s="22">
        <v>0</v>
      </c>
      <c r="L62" s="22">
        <v>0</v>
      </c>
      <c r="M62" s="22">
        <v>2</v>
      </c>
      <c r="N62" s="22">
        <v>3</v>
      </c>
      <c r="O62" s="22">
        <v>0</v>
      </c>
      <c r="P62" s="22">
        <v>3</v>
      </c>
      <c r="Q62" s="22">
        <v>0</v>
      </c>
      <c r="R62" s="22">
        <v>0</v>
      </c>
      <c r="S62" s="22">
        <v>1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3</v>
      </c>
      <c r="Z62" s="22">
        <v>1</v>
      </c>
      <c r="AA62" s="22">
        <v>0</v>
      </c>
      <c r="AB62" s="22">
        <v>0</v>
      </c>
      <c r="AC62" s="22">
        <v>0</v>
      </c>
      <c r="AD62" s="22">
        <v>0</v>
      </c>
      <c r="AE62" s="22">
        <v>29</v>
      </c>
      <c r="AF62" s="22">
        <v>4</v>
      </c>
      <c r="AG62" s="22">
        <v>0</v>
      </c>
      <c r="AH62" s="22">
        <v>34</v>
      </c>
      <c r="AI62" s="22">
        <v>4</v>
      </c>
      <c r="AJ62" s="22">
        <v>0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11</v>
      </c>
      <c r="E63" s="22">
        <v>5</v>
      </c>
      <c r="F63" s="22">
        <v>6</v>
      </c>
      <c r="G63" s="22">
        <v>0</v>
      </c>
      <c r="H63" s="22">
        <v>2</v>
      </c>
      <c r="I63" s="22">
        <v>3</v>
      </c>
      <c r="J63" s="22">
        <v>1</v>
      </c>
      <c r="K63" s="22">
        <v>3</v>
      </c>
      <c r="L63" s="22">
        <v>0</v>
      </c>
      <c r="M63" s="22">
        <v>0</v>
      </c>
      <c r="N63" s="22">
        <v>0</v>
      </c>
      <c r="O63" s="22">
        <v>0</v>
      </c>
      <c r="P63" s="22">
        <v>1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1</v>
      </c>
      <c r="AI63" s="22">
        <v>0</v>
      </c>
      <c r="AJ63" s="22">
        <v>0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288</v>
      </c>
      <c r="E64" s="31">
        <v>190</v>
      </c>
      <c r="F64" s="31">
        <v>91</v>
      </c>
      <c r="G64" s="31">
        <v>7</v>
      </c>
      <c r="H64" s="31">
        <v>62</v>
      </c>
      <c r="I64" s="31">
        <v>52</v>
      </c>
      <c r="J64" s="31">
        <v>4</v>
      </c>
      <c r="K64" s="31">
        <v>1</v>
      </c>
      <c r="L64" s="31">
        <v>0</v>
      </c>
      <c r="M64" s="31">
        <v>2</v>
      </c>
      <c r="N64" s="31">
        <v>2</v>
      </c>
      <c r="O64" s="31">
        <v>0</v>
      </c>
      <c r="P64" s="31">
        <v>11</v>
      </c>
      <c r="Q64" s="31">
        <v>2</v>
      </c>
      <c r="R64" s="31">
        <v>0</v>
      </c>
      <c r="S64" s="31">
        <v>8</v>
      </c>
      <c r="T64" s="31">
        <v>3</v>
      </c>
      <c r="U64" s="31">
        <v>0</v>
      </c>
      <c r="V64" s="31">
        <v>0</v>
      </c>
      <c r="W64" s="31">
        <v>0</v>
      </c>
      <c r="X64" s="31">
        <v>0</v>
      </c>
      <c r="Y64" s="31">
        <v>1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24</v>
      </c>
      <c r="AF64" s="31">
        <v>3</v>
      </c>
      <c r="AG64" s="31">
        <v>0</v>
      </c>
      <c r="AH64" s="31">
        <v>78</v>
      </c>
      <c r="AI64" s="31">
        <v>28</v>
      </c>
      <c r="AJ64" s="31">
        <v>7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267</v>
      </c>
      <c r="E65" s="22">
        <v>177</v>
      </c>
      <c r="F65" s="22">
        <v>84</v>
      </c>
      <c r="G65" s="22">
        <v>6</v>
      </c>
      <c r="H65" s="22">
        <v>56</v>
      </c>
      <c r="I65" s="22">
        <v>46</v>
      </c>
      <c r="J65" s="22">
        <v>3</v>
      </c>
      <c r="K65" s="22">
        <v>1</v>
      </c>
      <c r="L65" s="22">
        <v>0</v>
      </c>
      <c r="M65" s="22">
        <v>2</v>
      </c>
      <c r="N65" s="22">
        <v>2</v>
      </c>
      <c r="O65" s="22">
        <v>0</v>
      </c>
      <c r="P65" s="22">
        <v>11</v>
      </c>
      <c r="Q65" s="22">
        <v>2</v>
      </c>
      <c r="R65" s="22">
        <v>0</v>
      </c>
      <c r="S65" s="22">
        <v>6</v>
      </c>
      <c r="T65" s="22">
        <v>3</v>
      </c>
      <c r="U65" s="22">
        <v>0</v>
      </c>
      <c r="V65" s="22">
        <v>0</v>
      </c>
      <c r="W65" s="22">
        <v>0</v>
      </c>
      <c r="X65" s="22">
        <v>0</v>
      </c>
      <c r="Y65" s="22">
        <v>1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23</v>
      </c>
      <c r="AF65" s="22">
        <v>2</v>
      </c>
      <c r="AG65" s="22">
        <v>0</v>
      </c>
      <c r="AH65" s="22">
        <v>75</v>
      </c>
      <c r="AI65" s="22">
        <v>28</v>
      </c>
      <c r="AJ65" s="22">
        <v>6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21</v>
      </c>
      <c r="E66" s="22">
        <v>13</v>
      </c>
      <c r="F66" s="22">
        <v>7</v>
      </c>
      <c r="G66" s="22">
        <v>1</v>
      </c>
      <c r="H66" s="22">
        <v>6</v>
      </c>
      <c r="I66" s="22">
        <v>6</v>
      </c>
      <c r="J66" s="22">
        <v>1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2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1</v>
      </c>
      <c r="AF66" s="22">
        <v>1</v>
      </c>
      <c r="AG66" s="22">
        <v>0</v>
      </c>
      <c r="AH66" s="22">
        <v>3</v>
      </c>
      <c r="AI66" s="22">
        <v>0</v>
      </c>
      <c r="AJ66" s="22">
        <v>1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107</v>
      </c>
      <c r="E67" s="31">
        <v>64</v>
      </c>
      <c r="F67" s="31">
        <v>42</v>
      </c>
      <c r="G67" s="31">
        <v>1</v>
      </c>
      <c r="H67" s="31">
        <v>34</v>
      </c>
      <c r="I67" s="31">
        <v>32</v>
      </c>
      <c r="J67" s="31">
        <v>3</v>
      </c>
      <c r="K67" s="31">
        <v>0</v>
      </c>
      <c r="L67" s="31">
        <v>0</v>
      </c>
      <c r="M67" s="31">
        <v>2</v>
      </c>
      <c r="N67" s="31">
        <v>1</v>
      </c>
      <c r="O67" s="31">
        <v>0</v>
      </c>
      <c r="P67" s="31">
        <v>6</v>
      </c>
      <c r="Q67" s="31">
        <v>2</v>
      </c>
      <c r="R67" s="31">
        <v>0</v>
      </c>
      <c r="S67" s="31">
        <v>4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1</v>
      </c>
      <c r="AD67" s="31">
        <v>0</v>
      </c>
      <c r="AE67" s="31">
        <v>9</v>
      </c>
      <c r="AF67" s="31">
        <v>1</v>
      </c>
      <c r="AG67" s="31">
        <v>0</v>
      </c>
      <c r="AH67" s="31">
        <v>6</v>
      </c>
      <c r="AI67" s="31">
        <v>5</v>
      </c>
      <c r="AJ67" s="31">
        <v>1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105</v>
      </c>
      <c r="E68" s="22">
        <v>63</v>
      </c>
      <c r="F68" s="22">
        <v>41</v>
      </c>
      <c r="G68" s="22">
        <v>1</v>
      </c>
      <c r="H68" s="22">
        <v>33</v>
      </c>
      <c r="I68" s="22">
        <v>32</v>
      </c>
      <c r="J68" s="22">
        <v>3</v>
      </c>
      <c r="K68" s="22">
        <v>0</v>
      </c>
      <c r="L68" s="22">
        <v>0</v>
      </c>
      <c r="M68" s="22">
        <v>2</v>
      </c>
      <c r="N68" s="22">
        <v>1</v>
      </c>
      <c r="O68" s="22">
        <v>0</v>
      </c>
      <c r="P68" s="22">
        <v>6</v>
      </c>
      <c r="Q68" s="22">
        <v>1</v>
      </c>
      <c r="R68" s="22">
        <v>0</v>
      </c>
      <c r="S68" s="22">
        <v>4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1</v>
      </c>
      <c r="AD68" s="22">
        <v>0</v>
      </c>
      <c r="AE68" s="22">
        <v>9</v>
      </c>
      <c r="AF68" s="22">
        <v>1</v>
      </c>
      <c r="AG68" s="22">
        <v>0</v>
      </c>
      <c r="AH68" s="22">
        <v>6</v>
      </c>
      <c r="AI68" s="22">
        <v>5</v>
      </c>
      <c r="AJ68" s="22">
        <v>1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2</v>
      </c>
      <c r="E69" s="22">
        <v>1</v>
      </c>
      <c r="F69" s="22">
        <v>1</v>
      </c>
      <c r="G69" s="22">
        <v>0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1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32</v>
      </c>
      <c r="E70" s="31">
        <v>20</v>
      </c>
      <c r="F70" s="31">
        <v>12</v>
      </c>
      <c r="G70" s="31">
        <v>0</v>
      </c>
      <c r="H70" s="31">
        <v>13</v>
      </c>
      <c r="I70" s="31">
        <v>8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1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6</v>
      </c>
      <c r="AI70" s="31">
        <v>4</v>
      </c>
      <c r="AJ70" s="31">
        <v>0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31</v>
      </c>
      <c r="E71" s="22">
        <v>20</v>
      </c>
      <c r="F71" s="22">
        <v>11</v>
      </c>
      <c r="G71" s="22">
        <v>0</v>
      </c>
      <c r="H71" s="22">
        <v>13</v>
      </c>
      <c r="I71" s="22">
        <v>8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1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6</v>
      </c>
      <c r="AI71" s="22">
        <v>3</v>
      </c>
      <c r="AJ71" s="22">
        <v>0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1</v>
      </c>
      <c r="E72" s="22">
        <v>0</v>
      </c>
      <c r="F72" s="22">
        <v>1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1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4</v>
      </c>
      <c r="E73" s="31">
        <v>3</v>
      </c>
      <c r="F73" s="31">
        <v>1</v>
      </c>
      <c r="G73" s="31">
        <v>0</v>
      </c>
      <c r="H73" s="31">
        <v>0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2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1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4</v>
      </c>
      <c r="E74" s="22">
        <v>3</v>
      </c>
      <c r="F74" s="22">
        <v>1</v>
      </c>
      <c r="G74" s="22">
        <v>0</v>
      </c>
      <c r="H74" s="22">
        <v>0</v>
      </c>
      <c r="I74" s="22">
        <v>1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2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1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/>
    <row r="79" spans="1:36" ht="15.75" customHeight="1" x14ac:dyDescent="0.2">
      <c r="A79" s="64" t="s">
        <v>173</v>
      </c>
    </row>
  </sheetData>
  <mergeCells count="67">
    <mergeCell ref="AH4:AJ4"/>
    <mergeCell ref="A4:C6"/>
    <mergeCell ref="D4:G4"/>
    <mergeCell ref="H4:I4"/>
    <mergeCell ref="J4:L4"/>
    <mergeCell ref="M4:O4"/>
    <mergeCell ref="P4:R4"/>
    <mergeCell ref="D5:D6"/>
    <mergeCell ref="E5:E6"/>
    <mergeCell ref="F5:F6"/>
    <mergeCell ref="G5:G6"/>
    <mergeCell ref="M5:M6"/>
    <mergeCell ref="S4:U4"/>
    <mergeCell ref="V4:X4"/>
    <mergeCell ref="Y4:AA4"/>
    <mergeCell ref="AB4:AD4"/>
    <mergeCell ref="J5:J6"/>
    <mergeCell ref="K5:K6"/>
    <mergeCell ref="AD5:AD6"/>
    <mergeCell ref="AE5:AE6"/>
    <mergeCell ref="T5:T6"/>
    <mergeCell ref="U5:U6"/>
    <mergeCell ref="V5:V6"/>
    <mergeCell ref="W5:W6"/>
    <mergeCell ref="X5:X6"/>
    <mergeCell ref="Y5:Y6"/>
    <mergeCell ref="AH5:AH6"/>
    <mergeCell ref="AI5:AI6"/>
    <mergeCell ref="AE4:AG4"/>
    <mergeCell ref="A8:A9"/>
    <mergeCell ref="Z5:Z6"/>
    <mergeCell ref="AA5:AA6"/>
    <mergeCell ref="AB5:AB6"/>
    <mergeCell ref="AC5:AC6"/>
    <mergeCell ref="N5:N6"/>
    <mergeCell ref="O5:O6"/>
    <mergeCell ref="P5:P6"/>
    <mergeCell ref="Q5:Q6"/>
    <mergeCell ref="R5:R6"/>
    <mergeCell ref="S5:S6"/>
    <mergeCell ref="H5:H6"/>
    <mergeCell ref="I5:I6"/>
    <mergeCell ref="AJ5:AJ6"/>
    <mergeCell ref="A47:A48"/>
    <mergeCell ref="A11:A12"/>
    <mergeCell ref="A14:A15"/>
    <mergeCell ref="A17:A18"/>
    <mergeCell ref="A20:A21"/>
    <mergeCell ref="A23:A24"/>
    <mergeCell ref="A26:A27"/>
    <mergeCell ref="A32:A33"/>
    <mergeCell ref="A35:A36"/>
    <mergeCell ref="A38:A39"/>
    <mergeCell ref="A41:A42"/>
    <mergeCell ref="A44:A45"/>
    <mergeCell ref="L5:L6"/>
    <mergeCell ref="AF5:AF6"/>
    <mergeCell ref="AG5:AG6"/>
    <mergeCell ref="A68:A69"/>
    <mergeCell ref="A71:A72"/>
    <mergeCell ref="A74:A75"/>
    <mergeCell ref="A50:A51"/>
    <mergeCell ref="A53:A54"/>
    <mergeCell ref="A56:A57"/>
    <mergeCell ref="A59:A60"/>
    <mergeCell ref="A62:A63"/>
    <mergeCell ref="A65:A66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9"/>
  <sheetViews>
    <sheetView zoomScaleNormal="100" zoomScaleSheetLayoutView="100" workbookViewId="0">
      <pane xSplit="4" ySplit="7" topLeftCell="E8" activePane="bottomRight" state="frozen"/>
      <selection activeCell="L49" sqref="L49"/>
      <selection pane="topRight" activeCell="L49" sqref="L49"/>
      <selection pane="bottomLeft" activeCell="L49" sqref="L49"/>
      <selection pane="bottomRight" activeCell="L49" sqref="L49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26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61" t="s">
        <v>170</v>
      </c>
      <c r="B3" s="60"/>
      <c r="C3" s="60"/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87" t="s">
        <v>164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112" t="s">
        <v>158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182</v>
      </c>
      <c r="B7" s="66" t="s">
        <v>179</v>
      </c>
      <c r="C7" s="67" t="s">
        <v>0</v>
      </c>
      <c r="D7" s="68">
        <v>11746</v>
      </c>
      <c r="E7" s="68">
        <v>7944</v>
      </c>
      <c r="F7" s="68">
        <v>3614</v>
      </c>
      <c r="G7" s="68">
        <v>188</v>
      </c>
      <c r="H7" s="68">
        <v>3206</v>
      </c>
      <c r="I7" s="68">
        <v>2325</v>
      </c>
      <c r="J7" s="68">
        <v>172</v>
      </c>
      <c r="K7" s="68">
        <v>34</v>
      </c>
      <c r="L7" s="68">
        <v>0</v>
      </c>
      <c r="M7" s="68">
        <v>133</v>
      </c>
      <c r="N7" s="68">
        <v>193</v>
      </c>
      <c r="O7" s="68">
        <v>0</v>
      </c>
      <c r="P7" s="68">
        <v>304</v>
      </c>
      <c r="Q7" s="68">
        <v>79</v>
      </c>
      <c r="R7" s="68">
        <v>3</v>
      </c>
      <c r="S7" s="68">
        <v>253</v>
      </c>
      <c r="T7" s="68">
        <v>77</v>
      </c>
      <c r="U7" s="68">
        <v>0</v>
      </c>
      <c r="V7" s="68">
        <v>50</v>
      </c>
      <c r="W7" s="68">
        <v>20</v>
      </c>
      <c r="X7" s="68">
        <v>1</v>
      </c>
      <c r="Y7" s="68">
        <v>245</v>
      </c>
      <c r="Z7" s="68">
        <v>50</v>
      </c>
      <c r="AA7" s="68">
        <v>6</v>
      </c>
      <c r="AB7" s="68">
        <v>1</v>
      </c>
      <c r="AC7" s="68">
        <v>23</v>
      </c>
      <c r="AD7" s="68">
        <v>0</v>
      </c>
      <c r="AE7" s="68">
        <v>1516</v>
      </c>
      <c r="AF7" s="68">
        <v>251</v>
      </c>
      <c r="AG7" s="68">
        <v>29</v>
      </c>
      <c r="AH7" s="68">
        <v>2064</v>
      </c>
      <c r="AI7" s="68">
        <v>562</v>
      </c>
      <c r="AJ7" s="68">
        <v>149</v>
      </c>
    </row>
    <row r="8" spans="1:36" s="69" customFormat="1" ht="15" customHeight="1" x14ac:dyDescent="0.2">
      <c r="A8" s="108" t="s">
        <v>1</v>
      </c>
      <c r="B8" s="70" t="s">
        <v>180</v>
      </c>
      <c r="C8" s="71" t="s">
        <v>2</v>
      </c>
      <c r="D8" s="72">
        <v>10853</v>
      </c>
      <c r="E8" s="72">
        <v>7350</v>
      </c>
      <c r="F8" s="72">
        <v>3315</v>
      </c>
      <c r="G8" s="72">
        <v>188</v>
      </c>
      <c r="H8" s="72">
        <v>2988</v>
      </c>
      <c r="I8" s="72">
        <v>2143</v>
      </c>
      <c r="J8" s="72">
        <v>151</v>
      </c>
      <c r="K8" s="72">
        <v>28</v>
      </c>
      <c r="L8" s="72">
        <v>0</v>
      </c>
      <c r="M8" s="72">
        <v>123</v>
      </c>
      <c r="N8" s="72">
        <v>172</v>
      </c>
      <c r="O8" s="72">
        <v>0</v>
      </c>
      <c r="P8" s="72">
        <v>242</v>
      </c>
      <c r="Q8" s="72">
        <v>67</v>
      </c>
      <c r="R8" s="72">
        <v>3</v>
      </c>
      <c r="S8" s="72">
        <v>234</v>
      </c>
      <c r="T8" s="72">
        <v>68</v>
      </c>
      <c r="U8" s="72">
        <v>0</v>
      </c>
      <c r="V8" s="72">
        <v>49</v>
      </c>
      <c r="W8" s="72">
        <v>20</v>
      </c>
      <c r="X8" s="72">
        <v>1</v>
      </c>
      <c r="Y8" s="72">
        <v>219</v>
      </c>
      <c r="Z8" s="72">
        <v>46</v>
      </c>
      <c r="AA8" s="72">
        <v>6</v>
      </c>
      <c r="AB8" s="72">
        <v>1</v>
      </c>
      <c r="AC8" s="72">
        <v>23</v>
      </c>
      <c r="AD8" s="72">
        <v>0</v>
      </c>
      <c r="AE8" s="72">
        <v>1391</v>
      </c>
      <c r="AF8" s="72">
        <v>220</v>
      </c>
      <c r="AG8" s="72">
        <v>29</v>
      </c>
      <c r="AH8" s="72">
        <v>1952</v>
      </c>
      <c r="AI8" s="72">
        <v>528</v>
      </c>
      <c r="AJ8" s="72">
        <v>149</v>
      </c>
    </row>
    <row r="9" spans="1:36" s="69" customFormat="1" ht="15" customHeight="1" x14ac:dyDescent="0.2">
      <c r="A9" s="109"/>
      <c r="B9" s="70" t="s">
        <v>183</v>
      </c>
      <c r="C9" s="71" t="s">
        <v>194</v>
      </c>
      <c r="D9" s="72">
        <v>893</v>
      </c>
      <c r="E9" s="72">
        <v>594</v>
      </c>
      <c r="F9" s="72">
        <v>299</v>
      </c>
      <c r="G9" s="72">
        <v>0</v>
      </c>
      <c r="H9" s="72">
        <v>218</v>
      </c>
      <c r="I9" s="72">
        <v>182</v>
      </c>
      <c r="J9" s="72">
        <v>21</v>
      </c>
      <c r="K9" s="72">
        <v>6</v>
      </c>
      <c r="L9" s="72">
        <v>0</v>
      </c>
      <c r="M9" s="72">
        <v>10</v>
      </c>
      <c r="N9" s="72">
        <v>21</v>
      </c>
      <c r="O9" s="72">
        <v>0</v>
      </c>
      <c r="P9" s="72">
        <v>62</v>
      </c>
      <c r="Q9" s="72">
        <v>12</v>
      </c>
      <c r="R9" s="72">
        <v>0</v>
      </c>
      <c r="S9" s="72">
        <v>19</v>
      </c>
      <c r="T9" s="72">
        <v>9</v>
      </c>
      <c r="U9" s="72">
        <v>0</v>
      </c>
      <c r="V9" s="72">
        <v>1</v>
      </c>
      <c r="W9" s="72">
        <v>0</v>
      </c>
      <c r="X9" s="72">
        <v>0</v>
      </c>
      <c r="Y9" s="72">
        <v>26</v>
      </c>
      <c r="Z9" s="72">
        <v>4</v>
      </c>
      <c r="AA9" s="72">
        <v>0</v>
      </c>
      <c r="AB9" s="72">
        <v>0</v>
      </c>
      <c r="AC9" s="72">
        <v>0</v>
      </c>
      <c r="AD9" s="72">
        <v>0</v>
      </c>
      <c r="AE9" s="72">
        <v>125</v>
      </c>
      <c r="AF9" s="72">
        <v>31</v>
      </c>
      <c r="AG9" s="72">
        <v>0</v>
      </c>
      <c r="AH9" s="72">
        <v>112</v>
      </c>
      <c r="AI9" s="72">
        <v>34</v>
      </c>
      <c r="AJ9" s="72">
        <v>0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2019</v>
      </c>
      <c r="E10" s="31">
        <v>1457</v>
      </c>
      <c r="F10" s="31">
        <v>524</v>
      </c>
      <c r="G10" s="31">
        <v>38</v>
      </c>
      <c r="H10" s="31">
        <v>552</v>
      </c>
      <c r="I10" s="31">
        <v>340</v>
      </c>
      <c r="J10" s="31">
        <v>31</v>
      </c>
      <c r="K10" s="31">
        <v>6</v>
      </c>
      <c r="L10" s="31">
        <v>0</v>
      </c>
      <c r="M10" s="31">
        <v>32</v>
      </c>
      <c r="N10" s="31">
        <v>26</v>
      </c>
      <c r="O10" s="31">
        <v>0</v>
      </c>
      <c r="P10" s="31">
        <v>67</v>
      </c>
      <c r="Q10" s="31">
        <v>15</v>
      </c>
      <c r="R10" s="31">
        <v>0</v>
      </c>
      <c r="S10" s="31">
        <v>52</v>
      </c>
      <c r="T10" s="31">
        <v>18</v>
      </c>
      <c r="U10" s="31">
        <v>0</v>
      </c>
      <c r="V10" s="31">
        <v>9</v>
      </c>
      <c r="W10" s="31">
        <v>3</v>
      </c>
      <c r="X10" s="31">
        <v>0</v>
      </c>
      <c r="Y10" s="31">
        <v>73</v>
      </c>
      <c r="Z10" s="31">
        <v>8</v>
      </c>
      <c r="AA10" s="31">
        <v>4</v>
      </c>
      <c r="AB10" s="31">
        <v>0</v>
      </c>
      <c r="AC10" s="31">
        <v>4</v>
      </c>
      <c r="AD10" s="31">
        <v>0</v>
      </c>
      <c r="AE10" s="31">
        <v>329</v>
      </c>
      <c r="AF10" s="31">
        <v>33</v>
      </c>
      <c r="AG10" s="31">
        <v>13</v>
      </c>
      <c r="AH10" s="31">
        <v>312</v>
      </c>
      <c r="AI10" s="31">
        <v>71</v>
      </c>
      <c r="AJ10" s="31">
        <v>21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1963</v>
      </c>
      <c r="E11" s="22">
        <v>1420</v>
      </c>
      <c r="F11" s="22">
        <v>505</v>
      </c>
      <c r="G11" s="22">
        <v>38</v>
      </c>
      <c r="H11" s="22">
        <v>543</v>
      </c>
      <c r="I11" s="22">
        <v>329</v>
      </c>
      <c r="J11" s="22">
        <v>29</v>
      </c>
      <c r="K11" s="22">
        <v>4</v>
      </c>
      <c r="L11" s="22">
        <v>0</v>
      </c>
      <c r="M11" s="22">
        <v>31</v>
      </c>
      <c r="N11" s="22">
        <v>24</v>
      </c>
      <c r="O11" s="22">
        <v>0</v>
      </c>
      <c r="P11" s="22">
        <v>60</v>
      </c>
      <c r="Q11" s="22">
        <v>15</v>
      </c>
      <c r="R11" s="22">
        <v>0</v>
      </c>
      <c r="S11" s="22">
        <v>51</v>
      </c>
      <c r="T11" s="22">
        <v>16</v>
      </c>
      <c r="U11" s="22">
        <v>0</v>
      </c>
      <c r="V11" s="22">
        <v>9</v>
      </c>
      <c r="W11" s="22">
        <v>3</v>
      </c>
      <c r="X11" s="22">
        <v>0</v>
      </c>
      <c r="Y11" s="22">
        <v>72</v>
      </c>
      <c r="Z11" s="22">
        <v>8</v>
      </c>
      <c r="AA11" s="22">
        <v>4</v>
      </c>
      <c r="AB11" s="22">
        <v>0</v>
      </c>
      <c r="AC11" s="22">
        <v>4</v>
      </c>
      <c r="AD11" s="22">
        <v>0</v>
      </c>
      <c r="AE11" s="22">
        <v>322</v>
      </c>
      <c r="AF11" s="22">
        <v>33</v>
      </c>
      <c r="AG11" s="22">
        <v>13</v>
      </c>
      <c r="AH11" s="22">
        <v>303</v>
      </c>
      <c r="AI11" s="22">
        <v>69</v>
      </c>
      <c r="AJ11" s="22">
        <v>21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56</v>
      </c>
      <c r="E12" s="22">
        <v>37</v>
      </c>
      <c r="F12" s="22">
        <v>19</v>
      </c>
      <c r="G12" s="22">
        <v>0</v>
      </c>
      <c r="H12" s="22">
        <v>9</v>
      </c>
      <c r="I12" s="22">
        <v>11</v>
      </c>
      <c r="J12" s="22">
        <v>2</v>
      </c>
      <c r="K12" s="22">
        <v>2</v>
      </c>
      <c r="L12" s="22">
        <v>0</v>
      </c>
      <c r="M12" s="22">
        <v>1</v>
      </c>
      <c r="N12" s="22">
        <v>2</v>
      </c>
      <c r="O12" s="22">
        <v>0</v>
      </c>
      <c r="P12" s="22">
        <v>7</v>
      </c>
      <c r="Q12" s="22">
        <v>0</v>
      </c>
      <c r="R12" s="22">
        <v>0</v>
      </c>
      <c r="S12" s="22">
        <v>1</v>
      </c>
      <c r="T12" s="22">
        <v>2</v>
      </c>
      <c r="U12" s="22">
        <v>0</v>
      </c>
      <c r="V12" s="22">
        <v>0</v>
      </c>
      <c r="W12" s="22">
        <v>0</v>
      </c>
      <c r="X12" s="22">
        <v>0</v>
      </c>
      <c r="Y12" s="22">
        <v>1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7</v>
      </c>
      <c r="AF12" s="22">
        <v>0</v>
      </c>
      <c r="AG12" s="22">
        <v>0</v>
      </c>
      <c r="AH12" s="22">
        <v>9</v>
      </c>
      <c r="AI12" s="22">
        <v>2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975</v>
      </c>
      <c r="E13" s="31">
        <v>621</v>
      </c>
      <c r="F13" s="31">
        <v>345</v>
      </c>
      <c r="G13" s="31">
        <v>9</v>
      </c>
      <c r="H13" s="31">
        <v>343</v>
      </c>
      <c r="I13" s="31">
        <v>236</v>
      </c>
      <c r="J13" s="31">
        <v>14</v>
      </c>
      <c r="K13" s="31">
        <v>7</v>
      </c>
      <c r="L13" s="31">
        <v>0</v>
      </c>
      <c r="M13" s="31">
        <v>6</v>
      </c>
      <c r="N13" s="31">
        <v>19</v>
      </c>
      <c r="O13" s="31">
        <v>0</v>
      </c>
      <c r="P13" s="31">
        <v>12</v>
      </c>
      <c r="Q13" s="31">
        <v>6</v>
      </c>
      <c r="R13" s="31">
        <v>0</v>
      </c>
      <c r="S13" s="31">
        <v>10</v>
      </c>
      <c r="T13" s="31">
        <v>1</v>
      </c>
      <c r="U13" s="31">
        <v>0</v>
      </c>
      <c r="V13" s="31">
        <v>4</v>
      </c>
      <c r="W13" s="31">
        <v>1</v>
      </c>
      <c r="X13" s="31">
        <v>0</v>
      </c>
      <c r="Y13" s="31">
        <v>42</v>
      </c>
      <c r="Z13" s="31">
        <v>13</v>
      </c>
      <c r="AA13" s="31">
        <v>0</v>
      </c>
      <c r="AB13" s="31">
        <v>1</v>
      </c>
      <c r="AC13" s="31">
        <v>0</v>
      </c>
      <c r="AD13" s="31">
        <v>0</v>
      </c>
      <c r="AE13" s="31">
        <v>107</v>
      </c>
      <c r="AF13" s="31">
        <v>20</v>
      </c>
      <c r="AG13" s="31">
        <v>0</v>
      </c>
      <c r="AH13" s="31">
        <v>82</v>
      </c>
      <c r="AI13" s="31">
        <v>42</v>
      </c>
      <c r="AJ13" s="31">
        <v>9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955</v>
      </c>
      <c r="E14" s="22">
        <v>613</v>
      </c>
      <c r="F14" s="22">
        <v>333</v>
      </c>
      <c r="G14" s="22">
        <v>9</v>
      </c>
      <c r="H14" s="22">
        <v>337</v>
      </c>
      <c r="I14" s="22">
        <v>227</v>
      </c>
      <c r="J14" s="22">
        <v>14</v>
      </c>
      <c r="K14" s="22">
        <v>7</v>
      </c>
      <c r="L14" s="22">
        <v>0</v>
      </c>
      <c r="M14" s="22">
        <v>6</v>
      </c>
      <c r="N14" s="22">
        <v>18</v>
      </c>
      <c r="O14" s="22">
        <v>0</v>
      </c>
      <c r="P14" s="22">
        <v>12</v>
      </c>
      <c r="Q14" s="22">
        <v>6</v>
      </c>
      <c r="R14" s="22">
        <v>0</v>
      </c>
      <c r="S14" s="22">
        <v>10</v>
      </c>
      <c r="T14" s="22">
        <v>1</v>
      </c>
      <c r="U14" s="22">
        <v>0</v>
      </c>
      <c r="V14" s="22">
        <v>4</v>
      </c>
      <c r="W14" s="22">
        <v>1</v>
      </c>
      <c r="X14" s="22">
        <v>0</v>
      </c>
      <c r="Y14" s="22">
        <v>42</v>
      </c>
      <c r="Z14" s="22">
        <v>13</v>
      </c>
      <c r="AA14" s="22">
        <v>0</v>
      </c>
      <c r="AB14" s="22">
        <v>1</v>
      </c>
      <c r="AC14" s="22">
        <v>0</v>
      </c>
      <c r="AD14" s="22">
        <v>0</v>
      </c>
      <c r="AE14" s="22">
        <v>106</v>
      </c>
      <c r="AF14" s="22">
        <v>20</v>
      </c>
      <c r="AG14" s="22">
        <v>0</v>
      </c>
      <c r="AH14" s="22">
        <v>81</v>
      </c>
      <c r="AI14" s="22">
        <v>40</v>
      </c>
      <c r="AJ14" s="22">
        <v>9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20</v>
      </c>
      <c r="E15" s="22">
        <v>8</v>
      </c>
      <c r="F15" s="22">
        <v>12</v>
      </c>
      <c r="G15" s="22">
        <v>0</v>
      </c>
      <c r="H15" s="22">
        <v>6</v>
      </c>
      <c r="I15" s="22">
        <v>9</v>
      </c>
      <c r="J15" s="22">
        <v>0</v>
      </c>
      <c r="K15" s="22">
        <v>0</v>
      </c>
      <c r="L15" s="22">
        <v>0</v>
      </c>
      <c r="M15" s="22">
        <v>0</v>
      </c>
      <c r="N15" s="22">
        <v>1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1</v>
      </c>
      <c r="AF15" s="22">
        <v>0</v>
      </c>
      <c r="AG15" s="22">
        <v>0</v>
      </c>
      <c r="AH15" s="22">
        <v>1</v>
      </c>
      <c r="AI15" s="22">
        <v>2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1618</v>
      </c>
      <c r="E16" s="31">
        <v>1041</v>
      </c>
      <c r="F16" s="31">
        <v>544</v>
      </c>
      <c r="G16" s="31">
        <v>33</v>
      </c>
      <c r="H16" s="31">
        <v>476</v>
      </c>
      <c r="I16" s="31">
        <v>377</v>
      </c>
      <c r="J16" s="31">
        <v>32</v>
      </c>
      <c r="K16" s="31">
        <v>5</v>
      </c>
      <c r="L16" s="31">
        <v>0</v>
      </c>
      <c r="M16" s="31">
        <v>14</v>
      </c>
      <c r="N16" s="31">
        <v>28</v>
      </c>
      <c r="O16" s="31">
        <v>0</v>
      </c>
      <c r="P16" s="31">
        <v>35</v>
      </c>
      <c r="Q16" s="31">
        <v>14</v>
      </c>
      <c r="R16" s="31">
        <v>2</v>
      </c>
      <c r="S16" s="31">
        <v>39</v>
      </c>
      <c r="T16" s="31">
        <v>16</v>
      </c>
      <c r="U16" s="31">
        <v>0</v>
      </c>
      <c r="V16" s="31">
        <v>3</v>
      </c>
      <c r="W16" s="31">
        <v>2</v>
      </c>
      <c r="X16" s="31">
        <v>0</v>
      </c>
      <c r="Y16" s="31">
        <v>11</v>
      </c>
      <c r="Z16" s="31">
        <v>1</v>
      </c>
      <c r="AA16" s="31">
        <v>1</v>
      </c>
      <c r="AB16" s="31">
        <v>0</v>
      </c>
      <c r="AC16" s="31">
        <v>5</v>
      </c>
      <c r="AD16" s="31">
        <v>0</v>
      </c>
      <c r="AE16" s="31">
        <v>142</v>
      </c>
      <c r="AF16" s="31">
        <v>29</v>
      </c>
      <c r="AG16" s="31">
        <v>2</v>
      </c>
      <c r="AH16" s="31">
        <v>289</v>
      </c>
      <c r="AI16" s="31">
        <v>67</v>
      </c>
      <c r="AJ16" s="31">
        <v>28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1447</v>
      </c>
      <c r="E17" s="22">
        <v>936</v>
      </c>
      <c r="F17" s="22">
        <v>478</v>
      </c>
      <c r="G17" s="22">
        <v>33</v>
      </c>
      <c r="H17" s="22">
        <v>422</v>
      </c>
      <c r="I17" s="22">
        <v>333</v>
      </c>
      <c r="J17" s="22">
        <v>26</v>
      </c>
      <c r="K17" s="22">
        <v>5</v>
      </c>
      <c r="L17" s="22">
        <v>0</v>
      </c>
      <c r="M17" s="22">
        <v>14</v>
      </c>
      <c r="N17" s="22">
        <v>22</v>
      </c>
      <c r="O17" s="22">
        <v>0</v>
      </c>
      <c r="P17" s="22">
        <v>22</v>
      </c>
      <c r="Q17" s="22">
        <v>10</v>
      </c>
      <c r="R17" s="22">
        <v>2</v>
      </c>
      <c r="S17" s="22">
        <v>38</v>
      </c>
      <c r="T17" s="22">
        <v>14</v>
      </c>
      <c r="U17" s="22">
        <v>0</v>
      </c>
      <c r="V17" s="22">
        <v>3</v>
      </c>
      <c r="W17" s="22">
        <v>2</v>
      </c>
      <c r="X17" s="22">
        <v>0</v>
      </c>
      <c r="Y17" s="22">
        <v>9</v>
      </c>
      <c r="Z17" s="22">
        <v>0</v>
      </c>
      <c r="AA17" s="22">
        <v>1</v>
      </c>
      <c r="AB17" s="22">
        <v>0</v>
      </c>
      <c r="AC17" s="22">
        <v>5</v>
      </c>
      <c r="AD17" s="22">
        <v>0</v>
      </c>
      <c r="AE17" s="22">
        <v>126</v>
      </c>
      <c r="AF17" s="22">
        <v>25</v>
      </c>
      <c r="AG17" s="22">
        <v>2</v>
      </c>
      <c r="AH17" s="22">
        <v>276</v>
      </c>
      <c r="AI17" s="22">
        <v>62</v>
      </c>
      <c r="AJ17" s="22">
        <v>28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171</v>
      </c>
      <c r="E18" s="22">
        <v>105</v>
      </c>
      <c r="F18" s="22">
        <v>66</v>
      </c>
      <c r="G18" s="22">
        <v>0</v>
      </c>
      <c r="H18" s="22">
        <v>54</v>
      </c>
      <c r="I18" s="22">
        <v>44</v>
      </c>
      <c r="J18" s="22">
        <v>6</v>
      </c>
      <c r="K18" s="22">
        <v>0</v>
      </c>
      <c r="L18" s="22">
        <v>0</v>
      </c>
      <c r="M18" s="22">
        <v>0</v>
      </c>
      <c r="N18" s="22">
        <v>6</v>
      </c>
      <c r="O18" s="22">
        <v>0</v>
      </c>
      <c r="P18" s="22">
        <v>13</v>
      </c>
      <c r="Q18" s="22">
        <v>4</v>
      </c>
      <c r="R18" s="22">
        <v>0</v>
      </c>
      <c r="S18" s="22">
        <v>1</v>
      </c>
      <c r="T18" s="22">
        <v>2</v>
      </c>
      <c r="U18" s="22">
        <v>0</v>
      </c>
      <c r="V18" s="22">
        <v>0</v>
      </c>
      <c r="W18" s="22">
        <v>0</v>
      </c>
      <c r="X18" s="22">
        <v>0</v>
      </c>
      <c r="Y18" s="22">
        <v>2</v>
      </c>
      <c r="Z18" s="22">
        <v>1</v>
      </c>
      <c r="AA18" s="22">
        <v>0</v>
      </c>
      <c r="AB18" s="22">
        <v>0</v>
      </c>
      <c r="AC18" s="22">
        <v>0</v>
      </c>
      <c r="AD18" s="22">
        <v>0</v>
      </c>
      <c r="AE18" s="22">
        <v>16</v>
      </c>
      <c r="AF18" s="22">
        <v>4</v>
      </c>
      <c r="AG18" s="22">
        <v>0</v>
      </c>
      <c r="AH18" s="22">
        <v>13</v>
      </c>
      <c r="AI18" s="22">
        <v>5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1092</v>
      </c>
      <c r="E19" s="31">
        <v>703</v>
      </c>
      <c r="F19" s="31">
        <v>379</v>
      </c>
      <c r="G19" s="31">
        <v>10</v>
      </c>
      <c r="H19" s="31">
        <v>336</v>
      </c>
      <c r="I19" s="31">
        <v>291</v>
      </c>
      <c r="J19" s="31">
        <v>8</v>
      </c>
      <c r="K19" s="31">
        <v>3</v>
      </c>
      <c r="L19" s="31">
        <v>0</v>
      </c>
      <c r="M19" s="31">
        <v>13</v>
      </c>
      <c r="N19" s="31">
        <v>21</v>
      </c>
      <c r="O19" s="31">
        <v>0</v>
      </c>
      <c r="P19" s="31">
        <v>26</v>
      </c>
      <c r="Q19" s="31">
        <v>8</v>
      </c>
      <c r="R19" s="31">
        <v>0</v>
      </c>
      <c r="S19" s="31">
        <v>28</v>
      </c>
      <c r="T19" s="31">
        <v>5</v>
      </c>
      <c r="U19" s="31">
        <v>0</v>
      </c>
      <c r="V19" s="31">
        <v>3</v>
      </c>
      <c r="W19" s="31">
        <v>0</v>
      </c>
      <c r="X19" s="31">
        <v>0</v>
      </c>
      <c r="Y19" s="31">
        <v>13</v>
      </c>
      <c r="Z19" s="31">
        <v>2</v>
      </c>
      <c r="AA19" s="31">
        <v>0</v>
      </c>
      <c r="AB19" s="31">
        <v>0</v>
      </c>
      <c r="AC19" s="31">
        <v>3</v>
      </c>
      <c r="AD19" s="31">
        <v>0</v>
      </c>
      <c r="AE19" s="31">
        <v>100</v>
      </c>
      <c r="AF19" s="31">
        <v>8</v>
      </c>
      <c r="AG19" s="31">
        <v>0</v>
      </c>
      <c r="AH19" s="31">
        <v>176</v>
      </c>
      <c r="AI19" s="31">
        <v>38</v>
      </c>
      <c r="AJ19" s="31">
        <v>10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1055</v>
      </c>
      <c r="E20" s="22">
        <v>682</v>
      </c>
      <c r="F20" s="22">
        <v>363</v>
      </c>
      <c r="G20" s="22">
        <v>10</v>
      </c>
      <c r="H20" s="22">
        <v>326</v>
      </c>
      <c r="I20" s="22">
        <v>283</v>
      </c>
      <c r="J20" s="22">
        <v>7</v>
      </c>
      <c r="K20" s="22">
        <v>3</v>
      </c>
      <c r="L20" s="22">
        <v>0</v>
      </c>
      <c r="M20" s="22">
        <v>13</v>
      </c>
      <c r="N20" s="22">
        <v>18</v>
      </c>
      <c r="O20" s="22">
        <v>0</v>
      </c>
      <c r="P20" s="22">
        <v>21</v>
      </c>
      <c r="Q20" s="22">
        <v>5</v>
      </c>
      <c r="R20" s="22">
        <v>0</v>
      </c>
      <c r="S20" s="22">
        <v>27</v>
      </c>
      <c r="T20" s="22">
        <v>3</v>
      </c>
      <c r="U20" s="22">
        <v>0</v>
      </c>
      <c r="V20" s="22">
        <v>3</v>
      </c>
      <c r="W20" s="22">
        <v>0</v>
      </c>
      <c r="X20" s="22">
        <v>0</v>
      </c>
      <c r="Y20" s="22">
        <v>13</v>
      </c>
      <c r="Z20" s="22">
        <v>2</v>
      </c>
      <c r="AA20" s="22">
        <v>0</v>
      </c>
      <c r="AB20" s="22">
        <v>0</v>
      </c>
      <c r="AC20" s="22">
        <v>3</v>
      </c>
      <c r="AD20" s="22">
        <v>0</v>
      </c>
      <c r="AE20" s="22">
        <v>99</v>
      </c>
      <c r="AF20" s="22">
        <v>8</v>
      </c>
      <c r="AG20" s="22">
        <v>0</v>
      </c>
      <c r="AH20" s="22">
        <v>173</v>
      </c>
      <c r="AI20" s="22">
        <v>38</v>
      </c>
      <c r="AJ20" s="22">
        <v>10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37</v>
      </c>
      <c r="E21" s="22">
        <v>21</v>
      </c>
      <c r="F21" s="22">
        <v>16</v>
      </c>
      <c r="G21" s="22">
        <v>0</v>
      </c>
      <c r="H21" s="22">
        <v>10</v>
      </c>
      <c r="I21" s="22">
        <v>8</v>
      </c>
      <c r="J21" s="22">
        <v>1</v>
      </c>
      <c r="K21" s="22">
        <v>0</v>
      </c>
      <c r="L21" s="22">
        <v>0</v>
      </c>
      <c r="M21" s="22">
        <v>0</v>
      </c>
      <c r="N21" s="22">
        <v>3</v>
      </c>
      <c r="O21" s="22">
        <v>0</v>
      </c>
      <c r="P21" s="22">
        <v>5</v>
      </c>
      <c r="Q21" s="22">
        <v>3</v>
      </c>
      <c r="R21" s="22">
        <v>0</v>
      </c>
      <c r="S21" s="22">
        <v>1</v>
      </c>
      <c r="T21" s="22">
        <v>2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1</v>
      </c>
      <c r="AF21" s="22">
        <v>0</v>
      </c>
      <c r="AG21" s="22">
        <v>0</v>
      </c>
      <c r="AH21" s="22">
        <v>3</v>
      </c>
      <c r="AI21" s="22">
        <v>0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740</v>
      </c>
      <c r="E22" s="31">
        <v>489</v>
      </c>
      <c r="F22" s="31">
        <v>244</v>
      </c>
      <c r="G22" s="31">
        <v>7</v>
      </c>
      <c r="H22" s="31">
        <v>191</v>
      </c>
      <c r="I22" s="31">
        <v>171</v>
      </c>
      <c r="J22" s="31">
        <v>12</v>
      </c>
      <c r="K22" s="31">
        <v>2</v>
      </c>
      <c r="L22" s="31">
        <v>0</v>
      </c>
      <c r="M22" s="31">
        <v>12</v>
      </c>
      <c r="N22" s="31">
        <v>11</v>
      </c>
      <c r="O22" s="31">
        <v>0</v>
      </c>
      <c r="P22" s="31">
        <v>24</v>
      </c>
      <c r="Q22" s="31">
        <v>4</v>
      </c>
      <c r="R22" s="31">
        <v>0</v>
      </c>
      <c r="S22" s="31">
        <v>22</v>
      </c>
      <c r="T22" s="31">
        <v>5</v>
      </c>
      <c r="U22" s="31">
        <v>0</v>
      </c>
      <c r="V22" s="31">
        <v>4</v>
      </c>
      <c r="W22" s="31">
        <v>1</v>
      </c>
      <c r="X22" s="31">
        <v>0</v>
      </c>
      <c r="Y22" s="31">
        <v>9</v>
      </c>
      <c r="Z22" s="31">
        <v>0</v>
      </c>
      <c r="AA22" s="31">
        <v>0</v>
      </c>
      <c r="AB22" s="31">
        <v>0</v>
      </c>
      <c r="AC22" s="31">
        <v>5</v>
      </c>
      <c r="AD22" s="31">
        <v>0</v>
      </c>
      <c r="AE22" s="31">
        <v>110</v>
      </c>
      <c r="AF22" s="31">
        <v>25</v>
      </c>
      <c r="AG22" s="31">
        <v>3</v>
      </c>
      <c r="AH22" s="31">
        <v>105</v>
      </c>
      <c r="AI22" s="31">
        <v>20</v>
      </c>
      <c r="AJ22" s="31">
        <v>4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709</v>
      </c>
      <c r="E23" s="22">
        <v>468</v>
      </c>
      <c r="F23" s="22">
        <v>234</v>
      </c>
      <c r="G23" s="22">
        <v>7</v>
      </c>
      <c r="H23" s="22">
        <v>183</v>
      </c>
      <c r="I23" s="22">
        <v>162</v>
      </c>
      <c r="J23" s="22">
        <v>11</v>
      </c>
      <c r="K23" s="22">
        <v>2</v>
      </c>
      <c r="L23" s="22">
        <v>0</v>
      </c>
      <c r="M23" s="22">
        <v>11</v>
      </c>
      <c r="N23" s="22">
        <v>11</v>
      </c>
      <c r="O23" s="22">
        <v>0</v>
      </c>
      <c r="P23" s="22">
        <v>24</v>
      </c>
      <c r="Q23" s="22">
        <v>4</v>
      </c>
      <c r="R23" s="22">
        <v>0</v>
      </c>
      <c r="S23" s="22">
        <v>22</v>
      </c>
      <c r="T23" s="22">
        <v>5</v>
      </c>
      <c r="U23" s="22">
        <v>0</v>
      </c>
      <c r="V23" s="22">
        <v>4</v>
      </c>
      <c r="W23" s="22">
        <v>1</v>
      </c>
      <c r="X23" s="22">
        <v>0</v>
      </c>
      <c r="Y23" s="22">
        <v>9</v>
      </c>
      <c r="Z23" s="22">
        <v>0</v>
      </c>
      <c r="AA23" s="22">
        <v>0</v>
      </c>
      <c r="AB23" s="22">
        <v>0</v>
      </c>
      <c r="AC23" s="22">
        <v>5</v>
      </c>
      <c r="AD23" s="22">
        <v>0</v>
      </c>
      <c r="AE23" s="22">
        <v>101</v>
      </c>
      <c r="AF23" s="22">
        <v>25</v>
      </c>
      <c r="AG23" s="22">
        <v>3</v>
      </c>
      <c r="AH23" s="22">
        <v>103</v>
      </c>
      <c r="AI23" s="22">
        <v>19</v>
      </c>
      <c r="AJ23" s="22">
        <v>4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31</v>
      </c>
      <c r="E24" s="22">
        <v>21</v>
      </c>
      <c r="F24" s="22">
        <v>10</v>
      </c>
      <c r="G24" s="22">
        <v>0</v>
      </c>
      <c r="H24" s="22">
        <v>8</v>
      </c>
      <c r="I24" s="22">
        <v>9</v>
      </c>
      <c r="J24" s="22">
        <v>1</v>
      </c>
      <c r="K24" s="22">
        <v>0</v>
      </c>
      <c r="L24" s="22">
        <v>0</v>
      </c>
      <c r="M24" s="22">
        <v>1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9</v>
      </c>
      <c r="AF24" s="22">
        <v>0</v>
      </c>
      <c r="AG24" s="22">
        <v>0</v>
      </c>
      <c r="AH24" s="22">
        <v>2</v>
      </c>
      <c r="AI24" s="22">
        <v>1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1576</v>
      </c>
      <c r="E25" s="31">
        <v>1024</v>
      </c>
      <c r="F25" s="31">
        <v>540</v>
      </c>
      <c r="G25" s="31">
        <v>12</v>
      </c>
      <c r="H25" s="31">
        <v>452</v>
      </c>
      <c r="I25" s="31">
        <v>333</v>
      </c>
      <c r="J25" s="31">
        <v>18</v>
      </c>
      <c r="K25" s="31">
        <v>3</v>
      </c>
      <c r="L25" s="31">
        <v>0</v>
      </c>
      <c r="M25" s="31">
        <v>27</v>
      </c>
      <c r="N25" s="31">
        <v>45</v>
      </c>
      <c r="O25" s="31">
        <v>0</v>
      </c>
      <c r="P25" s="31">
        <v>44</v>
      </c>
      <c r="Q25" s="31">
        <v>9</v>
      </c>
      <c r="R25" s="31">
        <v>0</v>
      </c>
      <c r="S25" s="31">
        <v>19</v>
      </c>
      <c r="T25" s="31">
        <v>11</v>
      </c>
      <c r="U25" s="31">
        <v>0</v>
      </c>
      <c r="V25" s="31">
        <v>4</v>
      </c>
      <c r="W25" s="31">
        <v>7</v>
      </c>
      <c r="X25" s="31">
        <v>0</v>
      </c>
      <c r="Y25" s="31">
        <v>19</v>
      </c>
      <c r="Z25" s="31">
        <v>16</v>
      </c>
      <c r="AA25" s="31">
        <v>0</v>
      </c>
      <c r="AB25" s="31">
        <v>0</v>
      </c>
      <c r="AC25" s="31">
        <v>2</v>
      </c>
      <c r="AD25" s="31">
        <v>0</v>
      </c>
      <c r="AE25" s="31">
        <v>190</v>
      </c>
      <c r="AF25" s="31">
        <v>47</v>
      </c>
      <c r="AG25" s="31">
        <v>1</v>
      </c>
      <c r="AH25" s="31">
        <v>251</v>
      </c>
      <c r="AI25" s="31">
        <v>67</v>
      </c>
      <c r="AJ25" s="31">
        <v>11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1515</v>
      </c>
      <c r="E26" s="22">
        <v>985</v>
      </c>
      <c r="F26" s="22">
        <v>518</v>
      </c>
      <c r="G26" s="22">
        <v>12</v>
      </c>
      <c r="H26" s="22">
        <v>439</v>
      </c>
      <c r="I26" s="22">
        <v>322</v>
      </c>
      <c r="J26" s="22">
        <v>18</v>
      </c>
      <c r="K26" s="22">
        <v>3</v>
      </c>
      <c r="L26" s="22">
        <v>0</v>
      </c>
      <c r="M26" s="22">
        <v>24</v>
      </c>
      <c r="N26" s="22">
        <v>41</v>
      </c>
      <c r="O26" s="22">
        <v>0</v>
      </c>
      <c r="P26" s="22">
        <v>39</v>
      </c>
      <c r="Q26" s="22">
        <v>8</v>
      </c>
      <c r="R26" s="22">
        <v>0</v>
      </c>
      <c r="S26" s="22">
        <v>19</v>
      </c>
      <c r="T26" s="22">
        <v>10</v>
      </c>
      <c r="U26" s="22">
        <v>0</v>
      </c>
      <c r="V26" s="22">
        <v>4</v>
      </c>
      <c r="W26" s="22">
        <v>7</v>
      </c>
      <c r="X26" s="22">
        <v>0</v>
      </c>
      <c r="Y26" s="22">
        <v>19</v>
      </c>
      <c r="Z26" s="22">
        <v>15</v>
      </c>
      <c r="AA26" s="22">
        <v>0</v>
      </c>
      <c r="AB26" s="22">
        <v>0</v>
      </c>
      <c r="AC26" s="22">
        <v>2</v>
      </c>
      <c r="AD26" s="22">
        <v>0</v>
      </c>
      <c r="AE26" s="22">
        <v>181</v>
      </c>
      <c r="AF26" s="22">
        <v>45</v>
      </c>
      <c r="AG26" s="22">
        <v>1</v>
      </c>
      <c r="AH26" s="22">
        <v>242</v>
      </c>
      <c r="AI26" s="22">
        <v>65</v>
      </c>
      <c r="AJ26" s="22">
        <v>11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61</v>
      </c>
      <c r="E27" s="22">
        <v>39</v>
      </c>
      <c r="F27" s="22">
        <v>22</v>
      </c>
      <c r="G27" s="22">
        <v>0</v>
      </c>
      <c r="H27" s="22">
        <v>13</v>
      </c>
      <c r="I27" s="22">
        <v>11</v>
      </c>
      <c r="J27" s="22">
        <v>0</v>
      </c>
      <c r="K27" s="22">
        <v>0</v>
      </c>
      <c r="L27" s="22">
        <v>0</v>
      </c>
      <c r="M27" s="22">
        <v>3</v>
      </c>
      <c r="N27" s="22">
        <v>4</v>
      </c>
      <c r="O27" s="22">
        <v>0</v>
      </c>
      <c r="P27" s="22">
        <v>5</v>
      </c>
      <c r="Q27" s="22">
        <v>1</v>
      </c>
      <c r="R27" s="22">
        <v>0</v>
      </c>
      <c r="S27" s="22">
        <v>0</v>
      </c>
      <c r="T27" s="22">
        <v>1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1</v>
      </c>
      <c r="AA27" s="22">
        <v>0</v>
      </c>
      <c r="AB27" s="22">
        <v>0</v>
      </c>
      <c r="AC27" s="22">
        <v>0</v>
      </c>
      <c r="AD27" s="22">
        <v>0</v>
      </c>
      <c r="AE27" s="22">
        <v>9</v>
      </c>
      <c r="AF27" s="22">
        <v>2</v>
      </c>
      <c r="AG27" s="22">
        <v>0</v>
      </c>
      <c r="AH27" s="22">
        <v>9</v>
      </c>
      <c r="AI27" s="22">
        <v>2</v>
      </c>
      <c r="AJ27" s="22">
        <v>0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145</v>
      </c>
      <c r="E28" s="31">
        <v>110</v>
      </c>
      <c r="F28" s="31">
        <v>22</v>
      </c>
      <c r="G28" s="31">
        <v>13</v>
      </c>
      <c r="H28" s="31">
        <v>42</v>
      </c>
      <c r="I28" s="31">
        <v>14</v>
      </c>
      <c r="J28" s="31">
        <v>6</v>
      </c>
      <c r="K28" s="31">
        <v>0</v>
      </c>
      <c r="L28" s="31">
        <v>0</v>
      </c>
      <c r="M28" s="31">
        <v>1</v>
      </c>
      <c r="N28" s="31">
        <v>2</v>
      </c>
      <c r="O28" s="31">
        <v>0</v>
      </c>
      <c r="P28" s="31">
        <v>2</v>
      </c>
      <c r="Q28" s="31">
        <v>0</v>
      </c>
      <c r="R28" s="31">
        <v>0</v>
      </c>
      <c r="S28" s="31">
        <v>2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3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31</v>
      </c>
      <c r="AF28" s="31">
        <v>4</v>
      </c>
      <c r="AG28" s="31">
        <v>0</v>
      </c>
      <c r="AH28" s="31">
        <v>23</v>
      </c>
      <c r="AI28" s="31">
        <v>2</v>
      </c>
      <c r="AJ28" s="31">
        <v>13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131</v>
      </c>
      <c r="E29" s="22">
        <v>98</v>
      </c>
      <c r="F29" s="22">
        <v>20</v>
      </c>
      <c r="G29" s="22">
        <v>13</v>
      </c>
      <c r="H29" s="22">
        <v>42</v>
      </c>
      <c r="I29" s="22">
        <v>13</v>
      </c>
      <c r="J29" s="22">
        <v>4</v>
      </c>
      <c r="K29" s="22">
        <v>0</v>
      </c>
      <c r="L29" s="22">
        <v>0</v>
      </c>
      <c r="M29" s="22">
        <v>1</v>
      </c>
      <c r="N29" s="22">
        <v>2</v>
      </c>
      <c r="O29" s="22">
        <v>0</v>
      </c>
      <c r="P29" s="22">
        <v>1</v>
      </c>
      <c r="Q29" s="22">
        <v>0</v>
      </c>
      <c r="R29" s="22">
        <v>0</v>
      </c>
      <c r="S29" s="22">
        <v>2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3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24</v>
      </c>
      <c r="AF29" s="22">
        <v>4</v>
      </c>
      <c r="AG29" s="22">
        <v>0</v>
      </c>
      <c r="AH29" s="22">
        <v>21</v>
      </c>
      <c r="AI29" s="22">
        <v>1</v>
      </c>
      <c r="AJ29" s="22">
        <v>13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14</v>
      </c>
      <c r="E30" s="22">
        <v>12</v>
      </c>
      <c r="F30" s="22">
        <v>2</v>
      </c>
      <c r="G30" s="22">
        <v>0</v>
      </c>
      <c r="H30" s="22">
        <v>0</v>
      </c>
      <c r="I30" s="22">
        <v>1</v>
      </c>
      <c r="J30" s="22">
        <v>2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7</v>
      </c>
      <c r="AF30" s="22">
        <v>0</v>
      </c>
      <c r="AG30" s="22">
        <v>0</v>
      </c>
      <c r="AH30" s="22">
        <v>2</v>
      </c>
      <c r="AI30" s="22">
        <v>1</v>
      </c>
      <c r="AJ30" s="22">
        <v>0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294</v>
      </c>
      <c r="E31" s="31">
        <v>221</v>
      </c>
      <c r="F31" s="31">
        <v>60</v>
      </c>
      <c r="G31" s="31">
        <v>13</v>
      </c>
      <c r="H31" s="31">
        <v>92</v>
      </c>
      <c r="I31" s="31">
        <v>36</v>
      </c>
      <c r="J31" s="31">
        <v>8</v>
      </c>
      <c r="K31" s="31">
        <v>0</v>
      </c>
      <c r="L31" s="31">
        <v>0</v>
      </c>
      <c r="M31" s="31">
        <v>0</v>
      </c>
      <c r="N31" s="31">
        <v>3</v>
      </c>
      <c r="O31" s="31">
        <v>0</v>
      </c>
      <c r="P31" s="31">
        <v>6</v>
      </c>
      <c r="Q31" s="31">
        <v>1</v>
      </c>
      <c r="R31" s="31">
        <v>0</v>
      </c>
      <c r="S31" s="31">
        <v>3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3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13</v>
      </c>
      <c r="AF31" s="31">
        <v>5</v>
      </c>
      <c r="AG31" s="31">
        <v>1</v>
      </c>
      <c r="AH31" s="31">
        <v>96</v>
      </c>
      <c r="AI31" s="31">
        <v>15</v>
      </c>
      <c r="AJ31" s="31">
        <v>12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264</v>
      </c>
      <c r="E32" s="22">
        <v>199</v>
      </c>
      <c r="F32" s="22">
        <v>52</v>
      </c>
      <c r="G32" s="22">
        <v>13</v>
      </c>
      <c r="H32" s="22">
        <v>81</v>
      </c>
      <c r="I32" s="22">
        <v>31</v>
      </c>
      <c r="J32" s="22">
        <v>7</v>
      </c>
      <c r="K32" s="22">
        <v>0</v>
      </c>
      <c r="L32" s="22">
        <v>0</v>
      </c>
      <c r="M32" s="22">
        <v>0</v>
      </c>
      <c r="N32" s="22">
        <v>3</v>
      </c>
      <c r="O32" s="22">
        <v>0</v>
      </c>
      <c r="P32" s="22">
        <v>4</v>
      </c>
      <c r="Q32" s="22">
        <v>1</v>
      </c>
      <c r="R32" s="22">
        <v>0</v>
      </c>
      <c r="S32" s="22">
        <v>3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3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10</v>
      </c>
      <c r="AF32" s="22">
        <v>5</v>
      </c>
      <c r="AG32" s="22">
        <v>1</v>
      </c>
      <c r="AH32" s="22">
        <v>91</v>
      </c>
      <c r="AI32" s="22">
        <v>12</v>
      </c>
      <c r="AJ32" s="22">
        <v>12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30</v>
      </c>
      <c r="E33" s="22">
        <v>22</v>
      </c>
      <c r="F33" s="22">
        <v>8</v>
      </c>
      <c r="G33" s="22">
        <v>0</v>
      </c>
      <c r="H33" s="22">
        <v>11</v>
      </c>
      <c r="I33" s="22">
        <v>5</v>
      </c>
      <c r="J33" s="22">
        <v>1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2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3</v>
      </c>
      <c r="AF33" s="22">
        <v>0</v>
      </c>
      <c r="AG33" s="22">
        <v>0</v>
      </c>
      <c r="AH33" s="22">
        <v>5</v>
      </c>
      <c r="AI33" s="22">
        <v>3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186</v>
      </c>
      <c r="E34" s="31">
        <v>143</v>
      </c>
      <c r="F34" s="31">
        <v>38</v>
      </c>
      <c r="G34" s="31">
        <v>5</v>
      </c>
      <c r="H34" s="31">
        <v>27</v>
      </c>
      <c r="I34" s="31">
        <v>21</v>
      </c>
      <c r="J34" s="31">
        <v>1</v>
      </c>
      <c r="K34" s="31">
        <v>1</v>
      </c>
      <c r="L34" s="31">
        <v>0</v>
      </c>
      <c r="M34" s="31">
        <v>0</v>
      </c>
      <c r="N34" s="31">
        <v>0</v>
      </c>
      <c r="O34" s="31">
        <v>0</v>
      </c>
      <c r="P34" s="31">
        <v>4</v>
      </c>
      <c r="Q34" s="31">
        <v>0</v>
      </c>
      <c r="R34" s="31">
        <v>0</v>
      </c>
      <c r="S34" s="31">
        <v>4</v>
      </c>
      <c r="T34" s="31">
        <v>1</v>
      </c>
      <c r="U34" s="31">
        <v>0</v>
      </c>
      <c r="V34" s="31">
        <v>1</v>
      </c>
      <c r="W34" s="31">
        <v>0</v>
      </c>
      <c r="X34" s="31">
        <v>0</v>
      </c>
      <c r="Y34" s="31">
        <v>4</v>
      </c>
      <c r="Z34" s="31">
        <v>1</v>
      </c>
      <c r="AA34" s="31">
        <v>1</v>
      </c>
      <c r="AB34" s="31">
        <v>0</v>
      </c>
      <c r="AC34" s="31">
        <v>0</v>
      </c>
      <c r="AD34" s="31">
        <v>0</v>
      </c>
      <c r="AE34" s="31">
        <v>54</v>
      </c>
      <c r="AF34" s="31">
        <v>6</v>
      </c>
      <c r="AG34" s="31">
        <v>2</v>
      </c>
      <c r="AH34" s="31">
        <v>48</v>
      </c>
      <c r="AI34" s="31">
        <v>8</v>
      </c>
      <c r="AJ34" s="31">
        <v>2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168</v>
      </c>
      <c r="E35" s="22">
        <v>131</v>
      </c>
      <c r="F35" s="22">
        <v>32</v>
      </c>
      <c r="G35" s="22">
        <v>5</v>
      </c>
      <c r="H35" s="22">
        <v>23</v>
      </c>
      <c r="I35" s="22">
        <v>18</v>
      </c>
      <c r="J35" s="22">
        <v>1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4</v>
      </c>
      <c r="Q35" s="22">
        <v>0</v>
      </c>
      <c r="R35" s="22">
        <v>0</v>
      </c>
      <c r="S35" s="22">
        <v>3</v>
      </c>
      <c r="T35" s="22">
        <v>1</v>
      </c>
      <c r="U35" s="22">
        <v>0</v>
      </c>
      <c r="V35" s="22">
        <v>1</v>
      </c>
      <c r="W35" s="22">
        <v>0</v>
      </c>
      <c r="X35" s="22">
        <v>0</v>
      </c>
      <c r="Y35" s="22">
        <v>3</v>
      </c>
      <c r="Z35" s="22">
        <v>1</v>
      </c>
      <c r="AA35" s="22">
        <v>1</v>
      </c>
      <c r="AB35" s="22">
        <v>0</v>
      </c>
      <c r="AC35" s="22">
        <v>0</v>
      </c>
      <c r="AD35" s="22">
        <v>0</v>
      </c>
      <c r="AE35" s="22">
        <v>51</v>
      </c>
      <c r="AF35" s="22">
        <v>4</v>
      </c>
      <c r="AG35" s="22">
        <v>2</v>
      </c>
      <c r="AH35" s="22">
        <v>45</v>
      </c>
      <c r="AI35" s="22">
        <v>8</v>
      </c>
      <c r="AJ35" s="22">
        <v>2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18</v>
      </c>
      <c r="E36" s="22">
        <v>12</v>
      </c>
      <c r="F36" s="22">
        <v>6</v>
      </c>
      <c r="G36" s="22">
        <v>0</v>
      </c>
      <c r="H36" s="22">
        <v>4</v>
      </c>
      <c r="I36" s="22">
        <v>3</v>
      </c>
      <c r="J36" s="22">
        <v>0</v>
      </c>
      <c r="K36" s="22">
        <v>1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1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1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3</v>
      </c>
      <c r="AF36" s="22">
        <v>2</v>
      </c>
      <c r="AG36" s="22">
        <v>0</v>
      </c>
      <c r="AH36" s="22">
        <v>3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528</v>
      </c>
      <c r="E37" s="31">
        <v>337</v>
      </c>
      <c r="F37" s="31">
        <v>174</v>
      </c>
      <c r="G37" s="31">
        <v>17</v>
      </c>
      <c r="H37" s="31">
        <v>107</v>
      </c>
      <c r="I37" s="31">
        <v>93</v>
      </c>
      <c r="J37" s="31">
        <v>12</v>
      </c>
      <c r="K37" s="31">
        <v>1</v>
      </c>
      <c r="L37" s="31">
        <v>0</v>
      </c>
      <c r="M37" s="31">
        <v>10</v>
      </c>
      <c r="N37" s="31">
        <v>9</v>
      </c>
      <c r="O37" s="31">
        <v>0</v>
      </c>
      <c r="P37" s="31">
        <v>11</v>
      </c>
      <c r="Q37" s="31">
        <v>3</v>
      </c>
      <c r="R37" s="31">
        <v>1</v>
      </c>
      <c r="S37" s="31">
        <v>11</v>
      </c>
      <c r="T37" s="31">
        <v>3</v>
      </c>
      <c r="U37" s="31">
        <v>0</v>
      </c>
      <c r="V37" s="31">
        <v>1</v>
      </c>
      <c r="W37" s="31">
        <v>0</v>
      </c>
      <c r="X37" s="31">
        <v>1</v>
      </c>
      <c r="Y37" s="31">
        <v>5</v>
      </c>
      <c r="Z37" s="31">
        <v>2</v>
      </c>
      <c r="AA37" s="31">
        <v>0</v>
      </c>
      <c r="AB37" s="31">
        <v>0</v>
      </c>
      <c r="AC37" s="31">
        <v>1</v>
      </c>
      <c r="AD37" s="31">
        <v>0</v>
      </c>
      <c r="AE37" s="31">
        <v>28</v>
      </c>
      <c r="AF37" s="31">
        <v>10</v>
      </c>
      <c r="AG37" s="31">
        <v>0</v>
      </c>
      <c r="AH37" s="31">
        <v>152</v>
      </c>
      <c r="AI37" s="31">
        <v>52</v>
      </c>
      <c r="AJ37" s="31">
        <v>15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523</v>
      </c>
      <c r="E38" s="22">
        <v>334</v>
      </c>
      <c r="F38" s="22">
        <v>172</v>
      </c>
      <c r="G38" s="22">
        <v>17</v>
      </c>
      <c r="H38" s="22">
        <v>104</v>
      </c>
      <c r="I38" s="22">
        <v>92</v>
      </c>
      <c r="J38" s="22">
        <v>12</v>
      </c>
      <c r="K38" s="22">
        <v>0</v>
      </c>
      <c r="L38" s="22">
        <v>0</v>
      </c>
      <c r="M38" s="22">
        <v>10</v>
      </c>
      <c r="N38" s="22">
        <v>9</v>
      </c>
      <c r="O38" s="22">
        <v>0</v>
      </c>
      <c r="P38" s="22">
        <v>11</v>
      </c>
      <c r="Q38" s="22">
        <v>3</v>
      </c>
      <c r="R38" s="22">
        <v>1</v>
      </c>
      <c r="S38" s="22">
        <v>11</v>
      </c>
      <c r="T38" s="22">
        <v>3</v>
      </c>
      <c r="U38" s="22">
        <v>0</v>
      </c>
      <c r="V38" s="22">
        <v>1</v>
      </c>
      <c r="W38" s="22">
        <v>0</v>
      </c>
      <c r="X38" s="22">
        <v>1</v>
      </c>
      <c r="Y38" s="22">
        <v>5</v>
      </c>
      <c r="Z38" s="22">
        <v>2</v>
      </c>
      <c r="AA38" s="22">
        <v>0</v>
      </c>
      <c r="AB38" s="22">
        <v>0</v>
      </c>
      <c r="AC38" s="22">
        <v>1</v>
      </c>
      <c r="AD38" s="22">
        <v>0</v>
      </c>
      <c r="AE38" s="22">
        <v>28</v>
      </c>
      <c r="AF38" s="22">
        <v>10</v>
      </c>
      <c r="AG38" s="22">
        <v>0</v>
      </c>
      <c r="AH38" s="22">
        <v>152</v>
      </c>
      <c r="AI38" s="22">
        <v>52</v>
      </c>
      <c r="AJ38" s="22">
        <v>15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5</v>
      </c>
      <c r="E39" s="22">
        <v>3</v>
      </c>
      <c r="F39" s="22">
        <v>2</v>
      </c>
      <c r="G39" s="22">
        <v>0</v>
      </c>
      <c r="H39" s="22">
        <v>3</v>
      </c>
      <c r="I39" s="22">
        <v>1</v>
      </c>
      <c r="J39" s="22">
        <v>0</v>
      </c>
      <c r="K39" s="22">
        <v>1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291</v>
      </c>
      <c r="E40" s="31">
        <v>200</v>
      </c>
      <c r="F40" s="31">
        <v>85</v>
      </c>
      <c r="G40" s="31">
        <v>6</v>
      </c>
      <c r="H40" s="31">
        <v>64</v>
      </c>
      <c r="I40" s="31">
        <v>48</v>
      </c>
      <c r="J40" s="31">
        <v>0</v>
      </c>
      <c r="K40" s="31">
        <v>0</v>
      </c>
      <c r="L40" s="31">
        <v>0</v>
      </c>
      <c r="M40" s="31">
        <v>1</v>
      </c>
      <c r="N40" s="31">
        <v>0</v>
      </c>
      <c r="O40" s="31">
        <v>0</v>
      </c>
      <c r="P40" s="31">
        <v>3</v>
      </c>
      <c r="Q40" s="31">
        <v>2</v>
      </c>
      <c r="R40" s="31">
        <v>0</v>
      </c>
      <c r="S40" s="31">
        <v>3</v>
      </c>
      <c r="T40" s="31">
        <v>4</v>
      </c>
      <c r="U40" s="31">
        <v>0</v>
      </c>
      <c r="V40" s="31">
        <v>1</v>
      </c>
      <c r="W40" s="31">
        <v>0</v>
      </c>
      <c r="X40" s="31">
        <v>0</v>
      </c>
      <c r="Y40" s="31">
        <v>2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13</v>
      </c>
      <c r="AF40" s="31">
        <v>0</v>
      </c>
      <c r="AG40" s="31">
        <v>0</v>
      </c>
      <c r="AH40" s="31">
        <v>113</v>
      </c>
      <c r="AI40" s="31">
        <v>31</v>
      </c>
      <c r="AJ40" s="31">
        <v>6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250</v>
      </c>
      <c r="E41" s="22">
        <v>166</v>
      </c>
      <c r="F41" s="22">
        <v>78</v>
      </c>
      <c r="G41" s="22">
        <v>6</v>
      </c>
      <c r="H41" s="22">
        <v>54</v>
      </c>
      <c r="I41" s="22">
        <v>42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1</v>
      </c>
      <c r="Q41" s="22">
        <v>2</v>
      </c>
      <c r="R41" s="22">
        <v>0</v>
      </c>
      <c r="S41" s="22">
        <v>3</v>
      </c>
      <c r="T41" s="22">
        <v>4</v>
      </c>
      <c r="U41" s="22">
        <v>0</v>
      </c>
      <c r="V41" s="22">
        <v>1</v>
      </c>
      <c r="W41" s="22">
        <v>0</v>
      </c>
      <c r="X41" s="22">
        <v>0</v>
      </c>
      <c r="Y41" s="22">
        <v>2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11</v>
      </c>
      <c r="AF41" s="22">
        <v>0</v>
      </c>
      <c r="AG41" s="22">
        <v>0</v>
      </c>
      <c r="AH41" s="22">
        <v>93</v>
      </c>
      <c r="AI41" s="22">
        <v>30</v>
      </c>
      <c r="AJ41" s="22">
        <v>6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41</v>
      </c>
      <c r="E42" s="22">
        <v>34</v>
      </c>
      <c r="F42" s="22">
        <v>7</v>
      </c>
      <c r="G42" s="22">
        <v>0</v>
      </c>
      <c r="H42" s="22">
        <v>10</v>
      </c>
      <c r="I42" s="22">
        <v>6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2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2</v>
      </c>
      <c r="AF42" s="22">
        <v>0</v>
      </c>
      <c r="AG42" s="22">
        <v>0</v>
      </c>
      <c r="AH42" s="22">
        <v>20</v>
      </c>
      <c r="AI42" s="22">
        <v>1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263</v>
      </c>
      <c r="E43" s="31">
        <v>184</v>
      </c>
      <c r="F43" s="31">
        <v>79</v>
      </c>
      <c r="G43" s="31">
        <v>0</v>
      </c>
      <c r="H43" s="31">
        <v>81</v>
      </c>
      <c r="I43" s="31">
        <v>51</v>
      </c>
      <c r="J43" s="31">
        <v>4</v>
      </c>
      <c r="K43" s="31">
        <v>0</v>
      </c>
      <c r="L43" s="31">
        <v>0</v>
      </c>
      <c r="M43" s="31">
        <v>1</v>
      </c>
      <c r="N43" s="31">
        <v>4</v>
      </c>
      <c r="O43" s="31">
        <v>0</v>
      </c>
      <c r="P43" s="31">
        <v>8</v>
      </c>
      <c r="Q43" s="31">
        <v>4</v>
      </c>
      <c r="R43" s="31">
        <v>0</v>
      </c>
      <c r="S43" s="31">
        <v>7</v>
      </c>
      <c r="T43" s="31">
        <v>1</v>
      </c>
      <c r="U43" s="31">
        <v>0</v>
      </c>
      <c r="V43" s="31">
        <v>1</v>
      </c>
      <c r="W43" s="31">
        <v>1</v>
      </c>
      <c r="X43" s="31">
        <v>0</v>
      </c>
      <c r="Y43" s="31">
        <v>10</v>
      </c>
      <c r="Z43" s="31">
        <v>2</v>
      </c>
      <c r="AA43" s="31">
        <v>0</v>
      </c>
      <c r="AB43" s="31">
        <v>0</v>
      </c>
      <c r="AC43" s="31">
        <v>0</v>
      </c>
      <c r="AD43" s="31">
        <v>0</v>
      </c>
      <c r="AE43" s="31">
        <v>46</v>
      </c>
      <c r="AF43" s="31">
        <v>9</v>
      </c>
      <c r="AG43" s="31">
        <v>0</v>
      </c>
      <c r="AH43" s="31">
        <v>26</v>
      </c>
      <c r="AI43" s="31">
        <v>7</v>
      </c>
      <c r="AJ43" s="31">
        <v>0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260</v>
      </c>
      <c r="E44" s="22">
        <v>181</v>
      </c>
      <c r="F44" s="22">
        <v>79</v>
      </c>
      <c r="G44" s="22">
        <v>0</v>
      </c>
      <c r="H44" s="22">
        <v>81</v>
      </c>
      <c r="I44" s="22">
        <v>51</v>
      </c>
      <c r="J44" s="22">
        <v>4</v>
      </c>
      <c r="K44" s="22">
        <v>0</v>
      </c>
      <c r="L44" s="22">
        <v>0</v>
      </c>
      <c r="M44" s="22">
        <v>1</v>
      </c>
      <c r="N44" s="22">
        <v>4</v>
      </c>
      <c r="O44" s="22">
        <v>0</v>
      </c>
      <c r="P44" s="22">
        <v>8</v>
      </c>
      <c r="Q44" s="22">
        <v>4</v>
      </c>
      <c r="R44" s="22">
        <v>0</v>
      </c>
      <c r="S44" s="22">
        <v>5</v>
      </c>
      <c r="T44" s="22">
        <v>1</v>
      </c>
      <c r="U44" s="22">
        <v>0</v>
      </c>
      <c r="V44" s="22">
        <v>1</v>
      </c>
      <c r="W44" s="22">
        <v>1</v>
      </c>
      <c r="X44" s="22">
        <v>0</v>
      </c>
      <c r="Y44" s="22">
        <v>10</v>
      </c>
      <c r="Z44" s="22">
        <v>2</v>
      </c>
      <c r="AA44" s="22">
        <v>0</v>
      </c>
      <c r="AB44" s="22">
        <v>0</v>
      </c>
      <c r="AC44" s="22">
        <v>0</v>
      </c>
      <c r="AD44" s="22">
        <v>0</v>
      </c>
      <c r="AE44" s="22">
        <v>46</v>
      </c>
      <c r="AF44" s="22">
        <v>9</v>
      </c>
      <c r="AG44" s="22">
        <v>0</v>
      </c>
      <c r="AH44" s="22">
        <v>25</v>
      </c>
      <c r="AI44" s="22">
        <v>7</v>
      </c>
      <c r="AJ44" s="22">
        <v>0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3</v>
      </c>
      <c r="E45" s="22">
        <v>3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2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1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196</v>
      </c>
      <c r="E46" s="31">
        <v>148</v>
      </c>
      <c r="F46" s="31">
        <v>46</v>
      </c>
      <c r="G46" s="31">
        <v>2</v>
      </c>
      <c r="H46" s="31">
        <v>47</v>
      </c>
      <c r="I46" s="31">
        <v>22</v>
      </c>
      <c r="J46" s="31">
        <v>5</v>
      </c>
      <c r="K46" s="31">
        <v>0</v>
      </c>
      <c r="L46" s="31">
        <v>0</v>
      </c>
      <c r="M46" s="31">
        <v>1</v>
      </c>
      <c r="N46" s="31">
        <v>2</v>
      </c>
      <c r="O46" s="31">
        <v>0</v>
      </c>
      <c r="P46" s="31">
        <v>8</v>
      </c>
      <c r="Q46" s="31">
        <v>1</v>
      </c>
      <c r="R46" s="31">
        <v>0</v>
      </c>
      <c r="S46" s="31">
        <v>9</v>
      </c>
      <c r="T46" s="31">
        <v>2</v>
      </c>
      <c r="U46" s="31">
        <v>0</v>
      </c>
      <c r="V46" s="31">
        <v>2</v>
      </c>
      <c r="W46" s="31">
        <v>3</v>
      </c>
      <c r="X46" s="31">
        <v>0</v>
      </c>
      <c r="Y46" s="31">
        <v>4</v>
      </c>
      <c r="Z46" s="31">
        <v>2</v>
      </c>
      <c r="AA46" s="31">
        <v>0</v>
      </c>
      <c r="AB46" s="31">
        <v>0</v>
      </c>
      <c r="AC46" s="31">
        <v>0</v>
      </c>
      <c r="AD46" s="31">
        <v>0</v>
      </c>
      <c r="AE46" s="31">
        <v>51</v>
      </c>
      <c r="AF46" s="31">
        <v>7</v>
      </c>
      <c r="AG46" s="31">
        <v>2</v>
      </c>
      <c r="AH46" s="31">
        <v>21</v>
      </c>
      <c r="AI46" s="31">
        <v>7</v>
      </c>
      <c r="AJ46" s="31">
        <v>0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190</v>
      </c>
      <c r="E47" s="22">
        <v>143</v>
      </c>
      <c r="F47" s="22">
        <v>45</v>
      </c>
      <c r="G47" s="22">
        <v>2</v>
      </c>
      <c r="H47" s="22">
        <v>47</v>
      </c>
      <c r="I47" s="22">
        <v>22</v>
      </c>
      <c r="J47" s="22">
        <v>5</v>
      </c>
      <c r="K47" s="22">
        <v>0</v>
      </c>
      <c r="L47" s="22">
        <v>0</v>
      </c>
      <c r="M47" s="22">
        <v>1</v>
      </c>
      <c r="N47" s="22">
        <v>2</v>
      </c>
      <c r="O47" s="22">
        <v>0</v>
      </c>
      <c r="P47" s="22">
        <v>5</v>
      </c>
      <c r="Q47" s="22">
        <v>1</v>
      </c>
      <c r="R47" s="22">
        <v>0</v>
      </c>
      <c r="S47" s="22">
        <v>9</v>
      </c>
      <c r="T47" s="22">
        <v>2</v>
      </c>
      <c r="U47" s="22">
        <v>0</v>
      </c>
      <c r="V47" s="22">
        <v>2</v>
      </c>
      <c r="W47" s="22">
        <v>3</v>
      </c>
      <c r="X47" s="22">
        <v>0</v>
      </c>
      <c r="Y47" s="22">
        <v>4</v>
      </c>
      <c r="Z47" s="22">
        <v>2</v>
      </c>
      <c r="AA47" s="22">
        <v>0</v>
      </c>
      <c r="AB47" s="22">
        <v>0</v>
      </c>
      <c r="AC47" s="22">
        <v>0</v>
      </c>
      <c r="AD47" s="22">
        <v>0</v>
      </c>
      <c r="AE47" s="22">
        <v>50</v>
      </c>
      <c r="AF47" s="22">
        <v>6</v>
      </c>
      <c r="AG47" s="22">
        <v>2</v>
      </c>
      <c r="AH47" s="22">
        <v>20</v>
      </c>
      <c r="AI47" s="22">
        <v>7</v>
      </c>
      <c r="AJ47" s="22">
        <v>0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6</v>
      </c>
      <c r="E48" s="22">
        <v>5</v>
      </c>
      <c r="F48" s="22">
        <v>1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3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1</v>
      </c>
      <c r="AF48" s="22">
        <v>1</v>
      </c>
      <c r="AG48" s="22">
        <v>0</v>
      </c>
      <c r="AH48" s="22">
        <v>1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606</v>
      </c>
      <c r="E49" s="31">
        <v>434</v>
      </c>
      <c r="F49" s="31">
        <v>162</v>
      </c>
      <c r="G49" s="31">
        <v>10</v>
      </c>
      <c r="H49" s="31">
        <v>119</v>
      </c>
      <c r="I49" s="31">
        <v>84</v>
      </c>
      <c r="J49" s="31">
        <v>5</v>
      </c>
      <c r="K49" s="31">
        <v>0</v>
      </c>
      <c r="L49" s="31">
        <v>0</v>
      </c>
      <c r="M49" s="31">
        <v>3</v>
      </c>
      <c r="N49" s="31">
        <v>6</v>
      </c>
      <c r="O49" s="31">
        <v>0</v>
      </c>
      <c r="P49" s="31">
        <v>22</v>
      </c>
      <c r="Q49" s="31">
        <v>4</v>
      </c>
      <c r="R49" s="31">
        <v>0</v>
      </c>
      <c r="S49" s="31">
        <v>11</v>
      </c>
      <c r="T49" s="31">
        <v>2</v>
      </c>
      <c r="U49" s="31">
        <v>0</v>
      </c>
      <c r="V49" s="31">
        <v>7</v>
      </c>
      <c r="W49" s="31">
        <v>0</v>
      </c>
      <c r="X49" s="31">
        <v>0</v>
      </c>
      <c r="Y49" s="31">
        <v>12</v>
      </c>
      <c r="Z49" s="31">
        <v>0</v>
      </c>
      <c r="AA49" s="31">
        <v>0</v>
      </c>
      <c r="AB49" s="31">
        <v>0</v>
      </c>
      <c r="AC49" s="31">
        <v>1</v>
      </c>
      <c r="AD49" s="31">
        <v>0</v>
      </c>
      <c r="AE49" s="31">
        <v>82</v>
      </c>
      <c r="AF49" s="31">
        <v>6</v>
      </c>
      <c r="AG49" s="31">
        <v>1</v>
      </c>
      <c r="AH49" s="31">
        <v>173</v>
      </c>
      <c r="AI49" s="31">
        <v>59</v>
      </c>
      <c r="AJ49" s="31">
        <v>9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520</v>
      </c>
      <c r="E50" s="22">
        <v>372</v>
      </c>
      <c r="F50" s="22">
        <v>138</v>
      </c>
      <c r="G50" s="22">
        <v>10</v>
      </c>
      <c r="H50" s="22">
        <v>102</v>
      </c>
      <c r="I50" s="22">
        <v>70</v>
      </c>
      <c r="J50" s="22">
        <v>3</v>
      </c>
      <c r="K50" s="22">
        <v>0</v>
      </c>
      <c r="L50" s="22">
        <v>0</v>
      </c>
      <c r="M50" s="22">
        <v>3</v>
      </c>
      <c r="N50" s="22">
        <v>4</v>
      </c>
      <c r="O50" s="22">
        <v>0</v>
      </c>
      <c r="P50" s="22">
        <v>15</v>
      </c>
      <c r="Q50" s="22">
        <v>4</v>
      </c>
      <c r="R50" s="22">
        <v>0</v>
      </c>
      <c r="S50" s="22">
        <v>7</v>
      </c>
      <c r="T50" s="22">
        <v>2</v>
      </c>
      <c r="U50" s="22">
        <v>0</v>
      </c>
      <c r="V50" s="22">
        <v>7</v>
      </c>
      <c r="W50" s="22">
        <v>0</v>
      </c>
      <c r="X50" s="22">
        <v>0</v>
      </c>
      <c r="Y50" s="22">
        <v>5</v>
      </c>
      <c r="Z50" s="22">
        <v>0</v>
      </c>
      <c r="AA50" s="22">
        <v>0</v>
      </c>
      <c r="AB50" s="22">
        <v>0</v>
      </c>
      <c r="AC50" s="22">
        <v>1</v>
      </c>
      <c r="AD50" s="22">
        <v>0</v>
      </c>
      <c r="AE50" s="22">
        <v>73</v>
      </c>
      <c r="AF50" s="22">
        <v>6</v>
      </c>
      <c r="AG50" s="22">
        <v>1</v>
      </c>
      <c r="AH50" s="22">
        <v>157</v>
      </c>
      <c r="AI50" s="22">
        <v>51</v>
      </c>
      <c r="AJ50" s="22">
        <v>9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86</v>
      </c>
      <c r="E51" s="22">
        <v>62</v>
      </c>
      <c r="F51" s="22">
        <v>24</v>
      </c>
      <c r="G51" s="22">
        <v>0</v>
      </c>
      <c r="H51" s="22">
        <v>17</v>
      </c>
      <c r="I51" s="22">
        <v>14</v>
      </c>
      <c r="J51" s="22">
        <v>2</v>
      </c>
      <c r="K51" s="22">
        <v>0</v>
      </c>
      <c r="L51" s="22">
        <v>0</v>
      </c>
      <c r="M51" s="22">
        <v>0</v>
      </c>
      <c r="N51" s="22">
        <v>2</v>
      </c>
      <c r="O51" s="22">
        <v>0</v>
      </c>
      <c r="P51" s="22">
        <v>7</v>
      </c>
      <c r="Q51" s="22">
        <v>0</v>
      </c>
      <c r="R51" s="22">
        <v>0</v>
      </c>
      <c r="S51" s="22">
        <v>4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7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9</v>
      </c>
      <c r="AF51" s="22">
        <v>0</v>
      </c>
      <c r="AG51" s="22">
        <v>0</v>
      </c>
      <c r="AH51" s="22">
        <v>16</v>
      </c>
      <c r="AI51" s="22">
        <v>8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330</v>
      </c>
      <c r="E52" s="31">
        <v>221</v>
      </c>
      <c r="F52" s="31">
        <v>108</v>
      </c>
      <c r="G52" s="31">
        <v>1</v>
      </c>
      <c r="H52" s="31">
        <v>69</v>
      </c>
      <c r="I52" s="31">
        <v>57</v>
      </c>
      <c r="J52" s="31">
        <v>7</v>
      </c>
      <c r="K52" s="31">
        <v>4</v>
      </c>
      <c r="L52" s="31">
        <v>0</v>
      </c>
      <c r="M52" s="31">
        <v>3</v>
      </c>
      <c r="N52" s="31">
        <v>5</v>
      </c>
      <c r="O52" s="31">
        <v>0</v>
      </c>
      <c r="P52" s="31">
        <v>13</v>
      </c>
      <c r="Q52" s="31">
        <v>3</v>
      </c>
      <c r="R52" s="31">
        <v>0</v>
      </c>
      <c r="S52" s="31">
        <v>12</v>
      </c>
      <c r="T52" s="31">
        <v>0</v>
      </c>
      <c r="U52" s="31">
        <v>0</v>
      </c>
      <c r="V52" s="31">
        <v>4</v>
      </c>
      <c r="W52" s="31">
        <v>1</v>
      </c>
      <c r="X52" s="31">
        <v>0</v>
      </c>
      <c r="Y52" s="31">
        <v>13</v>
      </c>
      <c r="Z52" s="31">
        <v>3</v>
      </c>
      <c r="AA52" s="31">
        <v>0</v>
      </c>
      <c r="AB52" s="31">
        <v>0</v>
      </c>
      <c r="AC52" s="31">
        <v>1</v>
      </c>
      <c r="AD52" s="31">
        <v>0</v>
      </c>
      <c r="AE52" s="31">
        <v>73</v>
      </c>
      <c r="AF52" s="31">
        <v>25</v>
      </c>
      <c r="AG52" s="31">
        <v>0</v>
      </c>
      <c r="AH52" s="31">
        <v>27</v>
      </c>
      <c r="AI52" s="31">
        <v>9</v>
      </c>
      <c r="AJ52" s="31">
        <v>1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175</v>
      </c>
      <c r="E53" s="22">
        <v>117</v>
      </c>
      <c r="F53" s="22">
        <v>57</v>
      </c>
      <c r="G53" s="22">
        <v>1</v>
      </c>
      <c r="H53" s="22">
        <v>34</v>
      </c>
      <c r="I53" s="22">
        <v>33</v>
      </c>
      <c r="J53" s="22">
        <v>3</v>
      </c>
      <c r="K53" s="22">
        <v>2</v>
      </c>
      <c r="L53" s="22">
        <v>0</v>
      </c>
      <c r="M53" s="22">
        <v>2</v>
      </c>
      <c r="N53" s="22">
        <v>3</v>
      </c>
      <c r="O53" s="22">
        <v>0</v>
      </c>
      <c r="P53" s="22">
        <v>4</v>
      </c>
      <c r="Q53" s="22">
        <v>1</v>
      </c>
      <c r="R53" s="22">
        <v>0</v>
      </c>
      <c r="S53" s="22">
        <v>6</v>
      </c>
      <c r="T53" s="22">
        <v>0</v>
      </c>
      <c r="U53" s="22">
        <v>0</v>
      </c>
      <c r="V53" s="22">
        <v>3</v>
      </c>
      <c r="W53" s="22">
        <v>1</v>
      </c>
      <c r="X53" s="22">
        <v>0</v>
      </c>
      <c r="Y53" s="22">
        <v>5</v>
      </c>
      <c r="Z53" s="22">
        <v>1</v>
      </c>
      <c r="AA53" s="22">
        <v>0</v>
      </c>
      <c r="AB53" s="22">
        <v>0</v>
      </c>
      <c r="AC53" s="22">
        <v>1</v>
      </c>
      <c r="AD53" s="22">
        <v>0</v>
      </c>
      <c r="AE53" s="22">
        <v>46</v>
      </c>
      <c r="AF53" s="22">
        <v>11</v>
      </c>
      <c r="AG53" s="22">
        <v>0</v>
      </c>
      <c r="AH53" s="22">
        <v>14</v>
      </c>
      <c r="AI53" s="22">
        <v>4</v>
      </c>
      <c r="AJ53" s="22">
        <v>1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155</v>
      </c>
      <c r="E54" s="22">
        <v>104</v>
      </c>
      <c r="F54" s="22">
        <v>51</v>
      </c>
      <c r="G54" s="22">
        <v>0</v>
      </c>
      <c r="H54" s="22">
        <v>35</v>
      </c>
      <c r="I54" s="22">
        <v>24</v>
      </c>
      <c r="J54" s="22">
        <v>4</v>
      </c>
      <c r="K54" s="22">
        <v>2</v>
      </c>
      <c r="L54" s="22">
        <v>0</v>
      </c>
      <c r="M54" s="22">
        <v>1</v>
      </c>
      <c r="N54" s="22">
        <v>2</v>
      </c>
      <c r="O54" s="22">
        <v>0</v>
      </c>
      <c r="P54" s="22">
        <v>9</v>
      </c>
      <c r="Q54" s="22">
        <v>2</v>
      </c>
      <c r="R54" s="22">
        <v>0</v>
      </c>
      <c r="S54" s="22">
        <v>6</v>
      </c>
      <c r="T54" s="22">
        <v>0</v>
      </c>
      <c r="U54" s="22">
        <v>0</v>
      </c>
      <c r="V54" s="22">
        <v>1</v>
      </c>
      <c r="W54" s="22">
        <v>0</v>
      </c>
      <c r="X54" s="22">
        <v>0</v>
      </c>
      <c r="Y54" s="22">
        <v>8</v>
      </c>
      <c r="Z54" s="22">
        <v>2</v>
      </c>
      <c r="AA54" s="22">
        <v>0</v>
      </c>
      <c r="AB54" s="22">
        <v>0</v>
      </c>
      <c r="AC54" s="22">
        <v>0</v>
      </c>
      <c r="AD54" s="22">
        <v>0</v>
      </c>
      <c r="AE54" s="22">
        <v>27</v>
      </c>
      <c r="AF54" s="22">
        <v>14</v>
      </c>
      <c r="AG54" s="22">
        <v>0</v>
      </c>
      <c r="AH54" s="22">
        <v>13</v>
      </c>
      <c r="AI54" s="22">
        <v>5</v>
      </c>
      <c r="AJ54" s="22">
        <v>0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253</v>
      </c>
      <c r="E55" s="31">
        <v>176</v>
      </c>
      <c r="F55" s="31">
        <v>75</v>
      </c>
      <c r="G55" s="31">
        <v>2</v>
      </c>
      <c r="H55" s="31">
        <v>50</v>
      </c>
      <c r="I55" s="31">
        <v>48</v>
      </c>
      <c r="J55" s="31">
        <v>2</v>
      </c>
      <c r="K55" s="31">
        <v>1</v>
      </c>
      <c r="L55" s="31">
        <v>0</v>
      </c>
      <c r="M55" s="31">
        <v>5</v>
      </c>
      <c r="N55" s="31">
        <v>4</v>
      </c>
      <c r="O55" s="31">
        <v>0</v>
      </c>
      <c r="P55" s="31">
        <v>10</v>
      </c>
      <c r="Q55" s="31">
        <v>2</v>
      </c>
      <c r="R55" s="31">
        <v>0</v>
      </c>
      <c r="S55" s="31">
        <v>7</v>
      </c>
      <c r="T55" s="31">
        <v>2</v>
      </c>
      <c r="U55" s="31">
        <v>0</v>
      </c>
      <c r="V55" s="31">
        <v>0</v>
      </c>
      <c r="W55" s="31">
        <v>0</v>
      </c>
      <c r="X55" s="31">
        <v>0</v>
      </c>
      <c r="Y55" s="31">
        <v>9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75</v>
      </c>
      <c r="AF55" s="31">
        <v>13</v>
      </c>
      <c r="AG55" s="31">
        <v>1</v>
      </c>
      <c r="AH55" s="31">
        <v>18</v>
      </c>
      <c r="AI55" s="31">
        <v>5</v>
      </c>
      <c r="AJ55" s="31">
        <v>1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139</v>
      </c>
      <c r="E56" s="22">
        <v>103</v>
      </c>
      <c r="F56" s="22">
        <v>34</v>
      </c>
      <c r="G56" s="22">
        <v>2</v>
      </c>
      <c r="H56" s="22">
        <v>27</v>
      </c>
      <c r="I56" s="22">
        <v>22</v>
      </c>
      <c r="J56" s="22">
        <v>1</v>
      </c>
      <c r="K56" s="22">
        <v>1</v>
      </c>
      <c r="L56" s="22">
        <v>0</v>
      </c>
      <c r="M56" s="22">
        <v>1</v>
      </c>
      <c r="N56" s="22">
        <v>3</v>
      </c>
      <c r="O56" s="22">
        <v>0</v>
      </c>
      <c r="P56" s="22">
        <v>5</v>
      </c>
      <c r="Q56" s="22">
        <v>0</v>
      </c>
      <c r="R56" s="22">
        <v>0</v>
      </c>
      <c r="S56" s="22">
        <v>5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2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51</v>
      </c>
      <c r="AF56" s="22">
        <v>6</v>
      </c>
      <c r="AG56" s="22">
        <v>1</v>
      </c>
      <c r="AH56" s="22">
        <v>11</v>
      </c>
      <c r="AI56" s="22">
        <v>2</v>
      </c>
      <c r="AJ56" s="22">
        <v>1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114</v>
      </c>
      <c r="E57" s="22">
        <v>73</v>
      </c>
      <c r="F57" s="22">
        <v>41</v>
      </c>
      <c r="G57" s="22">
        <v>0</v>
      </c>
      <c r="H57" s="22">
        <v>23</v>
      </c>
      <c r="I57" s="22">
        <v>26</v>
      </c>
      <c r="J57" s="22">
        <v>1</v>
      </c>
      <c r="K57" s="22">
        <v>0</v>
      </c>
      <c r="L57" s="22">
        <v>0</v>
      </c>
      <c r="M57" s="22">
        <v>4</v>
      </c>
      <c r="N57" s="22">
        <v>1</v>
      </c>
      <c r="O57" s="22">
        <v>0</v>
      </c>
      <c r="P57" s="22">
        <v>5</v>
      </c>
      <c r="Q57" s="22">
        <v>2</v>
      </c>
      <c r="R57" s="22">
        <v>0</v>
      </c>
      <c r="S57" s="22">
        <v>2</v>
      </c>
      <c r="T57" s="22">
        <v>2</v>
      </c>
      <c r="U57" s="22">
        <v>0</v>
      </c>
      <c r="V57" s="22">
        <v>0</v>
      </c>
      <c r="W57" s="22">
        <v>0</v>
      </c>
      <c r="X57" s="22">
        <v>0</v>
      </c>
      <c r="Y57" s="22">
        <v>7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24</v>
      </c>
      <c r="AF57" s="22">
        <v>7</v>
      </c>
      <c r="AG57" s="22">
        <v>0</v>
      </c>
      <c r="AH57" s="22">
        <v>7</v>
      </c>
      <c r="AI57" s="22">
        <v>3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36</v>
      </c>
      <c r="E58" s="31">
        <v>24</v>
      </c>
      <c r="F58" s="31">
        <v>12</v>
      </c>
      <c r="G58" s="31">
        <v>0</v>
      </c>
      <c r="H58" s="31">
        <v>6</v>
      </c>
      <c r="I58" s="31">
        <v>6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2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1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13</v>
      </c>
      <c r="AF58" s="31">
        <v>0</v>
      </c>
      <c r="AG58" s="31">
        <v>0</v>
      </c>
      <c r="AH58" s="31">
        <v>5</v>
      </c>
      <c r="AI58" s="31">
        <v>3</v>
      </c>
      <c r="AJ58" s="31">
        <v>0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36</v>
      </c>
      <c r="E59" s="22">
        <v>24</v>
      </c>
      <c r="F59" s="22">
        <v>12</v>
      </c>
      <c r="G59" s="22">
        <v>0</v>
      </c>
      <c r="H59" s="22">
        <v>6</v>
      </c>
      <c r="I59" s="22">
        <v>6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2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13</v>
      </c>
      <c r="AF59" s="22">
        <v>0</v>
      </c>
      <c r="AG59" s="22">
        <v>0</v>
      </c>
      <c r="AH59" s="22">
        <v>5</v>
      </c>
      <c r="AI59" s="22">
        <v>3</v>
      </c>
      <c r="AJ59" s="22">
        <v>0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304</v>
      </c>
      <c r="E61" s="31">
        <v>219</v>
      </c>
      <c r="F61" s="31">
        <v>80</v>
      </c>
      <c r="G61" s="31">
        <v>5</v>
      </c>
      <c r="H61" s="31">
        <v>82</v>
      </c>
      <c r="I61" s="31">
        <v>43</v>
      </c>
      <c r="J61" s="31">
        <v>1</v>
      </c>
      <c r="K61" s="31">
        <v>1</v>
      </c>
      <c r="L61" s="31">
        <v>0</v>
      </c>
      <c r="M61" s="31">
        <v>1</v>
      </c>
      <c r="N61" s="31">
        <v>3</v>
      </c>
      <c r="O61" s="31">
        <v>0</v>
      </c>
      <c r="P61" s="31">
        <v>3</v>
      </c>
      <c r="Q61" s="31">
        <v>0</v>
      </c>
      <c r="R61" s="31">
        <v>0</v>
      </c>
      <c r="S61" s="31">
        <v>5</v>
      </c>
      <c r="T61" s="31">
        <v>5</v>
      </c>
      <c r="U61" s="31">
        <v>0</v>
      </c>
      <c r="V61" s="31">
        <v>2</v>
      </c>
      <c r="W61" s="31">
        <v>0</v>
      </c>
      <c r="X61" s="31">
        <v>0</v>
      </c>
      <c r="Y61" s="31">
        <v>4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38</v>
      </c>
      <c r="AF61" s="31">
        <v>3</v>
      </c>
      <c r="AG61" s="31">
        <v>2</v>
      </c>
      <c r="AH61" s="31">
        <v>83</v>
      </c>
      <c r="AI61" s="31">
        <v>25</v>
      </c>
      <c r="AJ61" s="31">
        <v>3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281</v>
      </c>
      <c r="E62" s="22">
        <v>202</v>
      </c>
      <c r="F62" s="22">
        <v>74</v>
      </c>
      <c r="G62" s="22">
        <v>5</v>
      </c>
      <c r="H62" s="22">
        <v>75</v>
      </c>
      <c r="I62" s="22">
        <v>38</v>
      </c>
      <c r="J62" s="22">
        <v>1</v>
      </c>
      <c r="K62" s="22">
        <v>1</v>
      </c>
      <c r="L62" s="22">
        <v>0</v>
      </c>
      <c r="M62" s="22">
        <v>1</v>
      </c>
      <c r="N62" s="22">
        <v>3</v>
      </c>
      <c r="O62" s="22">
        <v>0</v>
      </c>
      <c r="P62" s="22">
        <v>1</v>
      </c>
      <c r="Q62" s="22">
        <v>0</v>
      </c>
      <c r="R62" s="22">
        <v>0</v>
      </c>
      <c r="S62" s="22">
        <v>5</v>
      </c>
      <c r="T62" s="22">
        <v>5</v>
      </c>
      <c r="U62" s="22">
        <v>0</v>
      </c>
      <c r="V62" s="22">
        <v>2</v>
      </c>
      <c r="W62" s="22">
        <v>0</v>
      </c>
      <c r="X62" s="22">
        <v>0</v>
      </c>
      <c r="Y62" s="22">
        <v>4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34</v>
      </c>
      <c r="AF62" s="22">
        <v>3</v>
      </c>
      <c r="AG62" s="22">
        <v>2</v>
      </c>
      <c r="AH62" s="22">
        <v>79</v>
      </c>
      <c r="AI62" s="22">
        <v>24</v>
      </c>
      <c r="AJ62" s="22">
        <v>3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23</v>
      </c>
      <c r="E63" s="22">
        <v>17</v>
      </c>
      <c r="F63" s="22">
        <v>6</v>
      </c>
      <c r="G63" s="22">
        <v>0</v>
      </c>
      <c r="H63" s="22">
        <v>7</v>
      </c>
      <c r="I63" s="22">
        <v>5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2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4</v>
      </c>
      <c r="AF63" s="22">
        <v>0</v>
      </c>
      <c r="AG63" s="22">
        <v>0</v>
      </c>
      <c r="AH63" s="22">
        <v>4</v>
      </c>
      <c r="AI63" s="22">
        <v>1</v>
      </c>
      <c r="AJ63" s="22">
        <v>0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148</v>
      </c>
      <c r="E64" s="31">
        <v>94</v>
      </c>
      <c r="F64" s="31">
        <v>49</v>
      </c>
      <c r="G64" s="31">
        <v>5</v>
      </c>
      <c r="H64" s="31">
        <v>27</v>
      </c>
      <c r="I64" s="31">
        <v>23</v>
      </c>
      <c r="J64" s="31">
        <v>1</v>
      </c>
      <c r="K64" s="31">
        <v>0</v>
      </c>
      <c r="L64" s="31">
        <v>0</v>
      </c>
      <c r="M64" s="31">
        <v>0</v>
      </c>
      <c r="N64" s="31">
        <v>1</v>
      </c>
      <c r="O64" s="31">
        <v>0</v>
      </c>
      <c r="P64" s="31">
        <v>4</v>
      </c>
      <c r="Q64" s="31">
        <v>0</v>
      </c>
      <c r="R64" s="31">
        <v>0</v>
      </c>
      <c r="S64" s="31">
        <v>6</v>
      </c>
      <c r="T64" s="31">
        <v>1</v>
      </c>
      <c r="U64" s="31">
        <v>0</v>
      </c>
      <c r="V64" s="31">
        <v>3</v>
      </c>
      <c r="W64" s="31">
        <v>0</v>
      </c>
      <c r="X64" s="31">
        <v>0</v>
      </c>
      <c r="Y64" s="31">
        <v>6</v>
      </c>
      <c r="Z64" s="31">
        <v>0</v>
      </c>
      <c r="AA64" s="31">
        <v>0</v>
      </c>
      <c r="AB64" s="31">
        <v>0</v>
      </c>
      <c r="AC64" s="31">
        <v>1</v>
      </c>
      <c r="AD64" s="31">
        <v>0</v>
      </c>
      <c r="AE64" s="31">
        <v>8</v>
      </c>
      <c r="AF64" s="31">
        <v>0</v>
      </c>
      <c r="AG64" s="31">
        <v>1</v>
      </c>
      <c r="AH64" s="31">
        <v>39</v>
      </c>
      <c r="AI64" s="31">
        <v>23</v>
      </c>
      <c r="AJ64" s="31">
        <v>4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132</v>
      </c>
      <c r="E65" s="22">
        <v>81</v>
      </c>
      <c r="F65" s="22">
        <v>46</v>
      </c>
      <c r="G65" s="22">
        <v>5</v>
      </c>
      <c r="H65" s="22">
        <v>21</v>
      </c>
      <c r="I65" s="22">
        <v>20</v>
      </c>
      <c r="J65" s="22">
        <v>0</v>
      </c>
      <c r="K65" s="22">
        <v>0</v>
      </c>
      <c r="L65" s="22">
        <v>0</v>
      </c>
      <c r="M65" s="22">
        <v>0</v>
      </c>
      <c r="N65" s="22">
        <v>1</v>
      </c>
      <c r="O65" s="22">
        <v>0</v>
      </c>
      <c r="P65" s="22">
        <v>3</v>
      </c>
      <c r="Q65" s="22">
        <v>0</v>
      </c>
      <c r="R65" s="22">
        <v>0</v>
      </c>
      <c r="S65" s="22">
        <v>5</v>
      </c>
      <c r="T65" s="22">
        <v>1</v>
      </c>
      <c r="U65" s="22">
        <v>0</v>
      </c>
      <c r="V65" s="22">
        <v>3</v>
      </c>
      <c r="W65" s="22">
        <v>0</v>
      </c>
      <c r="X65" s="22">
        <v>0</v>
      </c>
      <c r="Y65" s="22">
        <v>6</v>
      </c>
      <c r="Z65" s="22">
        <v>0</v>
      </c>
      <c r="AA65" s="22">
        <v>0</v>
      </c>
      <c r="AB65" s="22">
        <v>0</v>
      </c>
      <c r="AC65" s="22">
        <v>1</v>
      </c>
      <c r="AD65" s="22">
        <v>0</v>
      </c>
      <c r="AE65" s="22">
        <v>7</v>
      </c>
      <c r="AF65" s="22">
        <v>0</v>
      </c>
      <c r="AG65" s="22">
        <v>1</v>
      </c>
      <c r="AH65" s="22">
        <v>36</v>
      </c>
      <c r="AI65" s="22">
        <v>23</v>
      </c>
      <c r="AJ65" s="22">
        <v>4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16</v>
      </c>
      <c r="E66" s="22">
        <v>13</v>
      </c>
      <c r="F66" s="22">
        <v>3</v>
      </c>
      <c r="G66" s="22">
        <v>0</v>
      </c>
      <c r="H66" s="22">
        <v>6</v>
      </c>
      <c r="I66" s="22">
        <v>3</v>
      </c>
      <c r="J66" s="22">
        <v>1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1</v>
      </c>
      <c r="Q66" s="22">
        <v>0</v>
      </c>
      <c r="R66" s="22">
        <v>0</v>
      </c>
      <c r="S66" s="22">
        <v>1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1</v>
      </c>
      <c r="AF66" s="22">
        <v>0</v>
      </c>
      <c r="AG66" s="22">
        <v>0</v>
      </c>
      <c r="AH66" s="22">
        <v>3</v>
      </c>
      <c r="AI66" s="22">
        <v>0</v>
      </c>
      <c r="AJ66" s="22">
        <v>0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107</v>
      </c>
      <c r="E67" s="31">
        <v>74</v>
      </c>
      <c r="F67" s="31">
        <v>33</v>
      </c>
      <c r="G67" s="31">
        <v>0</v>
      </c>
      <c r="H67" s="31">
        <v>36</v>
      </c>
      <c r="I67" s="31">
        <v>25</v>
      </c>
      <c r="J67" s="31">
        <v>5</v>
      </c>
      <c r="K67" s="31">
        <v>0</v>
      </c>
      <c r="L67" s="31">
        <v>0</v>
      </c>
      <c r="M67" s="31">
        <v>3</v>
      </c>
      <c r="N67" s="31">
        <v>2</v>
      </c>
      <c r="O67" s="31">
        <v>0</v>
      </c>
      <c r="P67" s="31">
        <v>2</v>
      </c>
      <c r="Q67" s="31">
        <v>1</v>
      </c>
      <c r="R67" s="31">
        <v>0</v>
      </c>
      <c r="S67" s="31">
        <v>3</v>
      </c>
      <c r="T67" s="31">
        <v>0</v>
      </c>
      <c r="U67" s="31">
        <v>0</v>
      </c>
      <c r="V67" s="31">
        <v>1</v>
      </c>
      <c r="W67" s="31">
        <v>0</v>
      </c>
      <c r="X67" s="31">
        <v>0</v>
      </c>
      <c r="Y67" s="31">
        <v>2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12</v>
      </c>
      <c r="AF67" s="31">
        <v>1</v>
      </c>
      <c r="AG67" s="31">
        <v>0</v>
      </c>
      <c r="AH67" s="31">
        <v>10</v>
      </c>
      <c r="AI67" s="31">
        <v>4</v>
      </c>
      <c r="AJ67" s="31">
        <v>0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103</v>
      </c>
      <c r="E68" s="22">
        <v>72</v>
      </c>
      <c r="F68" s="22">
        <v>31</v>
      </c>
      <c r="G68" s="22">
        <v>0</v>
      </c>
      <c r="H68" s="22">
        <v>35</v>
      </c>
      <c r="I68" s="22">
        <v>24</v>
      </c>
      <c r="J68" s="22">
        <v>5</v>
      </c>
      <c r="K68" s="22">
        <v>0</v>
      </c>
      <c r="L68" s="22">
        <v>0</v>
      </c>
      <c r="M68" s="22">
        <v>3</v>
      </c>
      <c r="N68" s="22">
        <v>2</v>
      </c>
      <c r="O68" s="22">
        <v>0</v>
      </c>
      <c r="P68" s="22">
        <v>2</v>
      </c>
      <c r="Q68" s="22">
        <v>1</v>
      </c>
      <c r="R68" s="22">
        <v>0</v>
      </c>
      <c r="S68" s="22">
        <v>3</v>
      </c>
      <c r="T68" s="22">
        <v>0</v>
      </c>
      <c r="U68" s="22">
        <v>0</v>
      </c>
      <c r="V68" s="22">
        <v>1</v>
      </c>
      <c r="W68" s="22">
        <v>0</v>
      </c>
      <c r="X68" s="22">
        <v>0</v>
      </c>
      <c r="Y68" s="22">
        <v>2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11</v>
      </c>
      <c r="AF68" s="22">
        <v>0</v>
      </c>
      <c r="AG68" s="22">
        <v>0</v>
      </c>
      <c r="AH68" s="22">
        <v>10</v>
      </c>
      <c r="AI68" s="22">
        <v>4</v>
      </c>
      <c r="AJ68" s="22">
        <v>0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4</v>
      </c>
      <c r="E69" s="22">
        <v>2</v>
      </c>
      <c r="F69" s="22">
        <v>2</v>
      </c>
      <c r="G69" s="22">
        <v>0</v>
      </c>
      <c r="H69" s="22">
        <v>1</v>
      </c>
      <c r="I69" s="22">
        <v>1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1</v>
      </c>
      <c r="AF69" s="22">
        <v>1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30</v>
      </c>
      <c r="E70" s="31">
        <v>20</v>
      </c>
      <c r="F70" s="31">
        <v>10</v>
      </c>
      <c r="G70" s="31">
        <v>0</v>
      </c>
      <c r="H70" s="31">
        <v>4</v>
      </c>
      <c r="I70" s="31">
        <v>2</v>
      </c>
      <c r="J70" s="31">
        <v>0</v>
      </c>
      <c r="K70" s="31">
        <v>0</v>
      </c>
      <c r="L70" s="31">
        <v>0</v>
      </c>
      <c r="M70" s="31">
        <v>0</v>
      </c>
      <c r="N70" s="31">
        <v>2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1</v>
      </c>
      <c r="AF70" s="31">
        <v>0</v>
      </c>
      <c r="AG70" s="31">
        <v>0</v>
      </c>
      <c r="AH70" s="31">
        <v>15</v>
      </c>
      <c r="AI70" s="31">
        <v>6</v>
      </c>
      <c r="AJ70" s="31">
        <v>0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29</v>
      </c>
      <c r="E71" s="22">
        <v>19</v>
      </c>
      <c r="F71" s="22">
        <v>10</v>
      </c>
      <c r="G71" s="22">
        <v>0</v>
      </c>
      <c r="H71" s="22">
        <v>3</v>
      </c>
      <c r="I71" s="22">
        <v>2</v>
      </c>
      <c r="J71" s="22">
        <v>0</v>
      </c>
      <c r="K71" s="22">
        <v>0</v>
      </c>
      <c r="L71" s="22">
        <v>0</v>
      </c>
      <c r="M71" s="22">
        <v>0</v>
      </c>
      <c r="N71" s="22">
        <v>2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1</v>
      </c>
      <c r="AF71" s="22">
        <v>0</v>
      </c>
      <c r="AG71" s="22">
        <v>0</v>
      </c>
      <c r="AH71" s="22">
        <v>15</v>
      </c>
      <c r="AI71" s="22">
        <v>6</v>
      </c>
      <c r="AJ71" s="22">
        <v>0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1</v>
      </c>
      <c r="E72" s="22">
        <v>1</v>
      </c>
      <c r="F72" s="22">
        <v>0</v>
      </c>
      <c r="G72" s="22">
        <v>0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9</v>
      </c>
      <c r="E73" s="31">
        <v>4</v>
      </c>
      <c r="F73" s="31">
        <v>5</v>
      </c>
      <c r="G73" s="31">
        <v>0</v>
      </c>
      <c r="H73" s="31">
        <v>3</v>
      </c>
      <c r="I73" s="31">
        <v>4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1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1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8</v>
      </c>
      <c r="E74" s="22">
        <v>4</v>
      </c>
      <c r="F74" s="22">
        <v>4</v>
      </c>
      <c r="G74" s="22">
        <v>0</v>
      </c>
      <c r="H74" s="22">
        <v>3</v>
      </c>
      <c r="I74" s="22">
        <v>3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1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1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1</v>
      </c>
      <c r="E75" s="27">
        <v>0</v>
      </c>
      <c r="F75" s="27">
        <v>1</v>
      </c>
      <c r="G75" s="27">
        <v>0</v>
      </c>
      <c r="H75" s="27">
        <v>0</v>
      </c>
      <c r="I75" s="27">
        <v>1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/>
    <row r="79" spans="1:36" ht="15.75" customHeight="1" x14ac:dyDescent="0.2">
      <c r="A79" s="50" t="s">
        <v>171</v>
      </c>
    </row>
  </sheetData>
  <mergeCells count="67">
    <mergeCell ref="A44:A45"/>
    <mergeCell ref="A47:A48"/>
    <mergeCell ref="A68:A69"/>
    <mergeCell ref="A71:A72"/>
    <mergeCell ref="A74:A75"/>
    <mergeCell ref="A50:A51"/>
    <mergeCell ref="A53:A54"/>
    <mergeCell ref="A56:A57"/>
    <mergeCell ref="A59:A60"/>
    <mergeCell ref="A62:A63"/>
    <mergeCell ref="A65:A66"/>
    <mergeCell ref="A26:A27"/>
    <mergeCell ref="A32:A33"/>
    <mergeCell ref="A35:A36"/>
    <mergeCell ref="A38:A39"/>
    <mergeCell ref="A41:A42"/>
    <mergeCell ref="A11:A12"/>
    <mergeCell ref="A14:A15"/>
    <mergeCell ref="A17:A18"/>
    <mergeCell ref="A20:A21"/>
    <mergeCell ref="A23:A24"/>
    <mergeCell ref="AH5:AH6"/>
    <mergeCell ref="AI5:AI6"/>
    <mergeCell ref="AJ5:AJ6"/>
    <mergeCell ref="A8:A9"/>
    <mergeCell ref="Z5:Z6"/>
    <mergeCell ref="AA5:AA6"/>
    <mergeCell ref="AB5:AB6"/>
    <mergeCell ref="AC5:AC6"/>
    <mergeCell ref="U5:U6"/>
    <mergeCell ref="V5:V6"/>
    <mergeCell ref="W5:W6"/>
    <mergeCell ref="X5:X6"/>
    <mergeCell ref="Y5:Y6"/>
    <mergeCell ref="A4:C6"/>
    <mergeCell ref="S4:U4"/>
    <mergeCell ref="V4:X4"/>
    <mergeCell ref="AH4:AJ4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AD5:AD6"/>
    <mergeCell ref="AE5:AE6"/>
    <mergeCell ref="T5:T6"/>
    <mergeCell ref="AE4:AG4"/>
    <mergeCell ref="P4:R4"/>
    <mergeCell ref="D5:D6"/>
    <mergeCell ref="E5:E6"/>
    <mergeCell ref="F5:F6"/>
    <mergeCell ref="G5:G6"/>
    <mergeCell ref="D4:G4"/>
    <mergeCell ref="H4:I4"/>
    <mergeCell ref="J4:L4"/>
    <mergeCell ref="M4:O4"/>
    <mergeCell ref="AF5:AF6"/>
    <mergeCell ref="AG5:AG6"/>
    <mergeCell ref="Y4:AA4"/>
    <mergeCell ref="AB4:AD4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79"/>
  <sheetViews>
    <sheetView zoomScaleNormal="100" zoomScaleSheetLayoutView="100" workbookViewId="0">
      <pane xSplit="4" ySplit="7" topLeftCell="E8" activePane="bottomRight" state="frozen"/>
      <selection activeCell="L49" sqref="L49"/>
      <selection pane="topRight" activeCell="L49" sqref="L49"/>
      <selection pane="bottomLeft" activeCell="L49" sqref="L49"/>
      <selection pane="bottomRight" activeCell="K31" sqref="K31"/>
    </sheetView>
  </sheetViews>
  <sheetFormatPr defaultColWidth="5.5" defaultRowHeight="11.1" customHeight="1" x14ac:dyDescent="0.2"/>
  <cols>
    <col min="1" max="1" width="19.33203125" style="5" customWidth="1"/>
    <col min="2" max="2" width="10.6640625" style="5" customWidth="1"/>
    <col min="3" max="3" width="12.33203125" style="5" customWidth="1"/>
    <col min="4" max="36" width="11.5" style="5" customWidth="1"/>
    <col min="37" max="16384" width="5.5" style="5"/>
  </cols>
  <sheetData>
    <row r="1" spans="1:36" ht="20.25" customHeight="1" x14ac:dyDescent="0.2">
      <c r="A1" s="2" t="s">
        <v>160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6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6" ht="12.75" customHeight="1" x14ac:dyDescent="0.2">
      <c r="A3" s="59" t="s">
        <v>159</v>
      </c>
      <c r="B3" s="60"/>
      <c r="C3" s="60"/>
    </row>
    <row r="4" spans="1:36" s="36" customFormat="1" ht="36" customHeight="1" x14ac:dyDescent="0.2">
      <c r="A4" s="106" t="s">
        <v>89</v>
      </c>
      <c r="B4" s="106"/>
      <c r="C4" s="93"/>
      <c r="D4" s="83" t="s">
        <v>79</v>
      </c>
      <c r="E4" s="95"/>
      <c r="F4" s="95"/>
      <c r="G4" s="96"/>
      <c r="H4" s="83" t="s">
        <v>80</v>
      </c>
      <c r="I4" s="96"/>
      <c r="J4" s="87" t="s">
        <v>81</v>
      </c>
      <c r="K4" s="88"/>
      <c r="L4" s="97"/>
      <c r="M4" s="87" t="s">
        <v>82</v>
      </c>
      <c r="N4" s="88"/>
      <c r="O4" s="97"/>
      <c r="P4" s="87" t="s">
        <v>83</v>
      </c>
      <c r="Q4" s="88"/>
      <c r="R4" s="97"/>
      <c r="S4" s="87" t="s">
        <v>84</v>
      </c>
      <c r="T4" s="88"/>
      <c r="U4" s="97"/>
      <c r="V4" s="99" t="s">
        <v>161</v>
      </c>
      <c r="W4" s="100"/>
      <c r="X4" s="101"/>
      <c r="Y4" s="102" t="s">
        <v>162</v>
      </c>
      <c r="Z4" s="103"/>
      <c r="AA4" s="104"/>
      <c r="AB4" s="102" t="s">
        <v>163</v>
      </c>
      <c r="AC4" s="103"/>
      <c r="AD4" s="104"/>
      <c r="AE4" s="87" t="s">
        <v>85</v>
      </c>
      <c r="AF4" s="88"/>
      <c r="AG4" s="88"/>
      <c r="AH4" s="87" t="s">
        <v>156</v>
      </c>
      <c r="AI4" s="88"/>
      <c r="AJ4" s="88"/>
    </row>
    <row r="5" spans="1:36" s="36" customFormat="1" ht="21" customHeight="1" x14ac:dyDescent="0.2">
      <c r="A5" s="106"/>
      <c r="B5" s="106"/>
      <c r="C5" s="93"/>
      <c r="D5" s="85" t="s">
        <v>86</v>
      </c>
      <c r="E5" s="85" t="s">
        <v>87</v>
      </c>
      <c r="F5" s="85" t="s">
        <v>88</v>
      </c>
      <c r="G5" s="83" t="s">
        <v>155</v>
      </c>
      <c r="H5" s="85" t="s">
        <v>87</v>
      </c>
      <c r="I5" s="85" t="s">
        <v>88</v>
      </c>
      <c r="J5" s="85" t="s">
        <v>87</v>
      </c>
      <c r="K5" s="85" t="s">
        <v>88</v>
      </c>
      <c r="L5" s="83" t="s">
        <v>155</v>
      </c>
      <c r="M5" s="85" t="s">
        <v>87</v>
      </c>
      <c r="N5" s="85" t="s">
        <v>88</v>
      </c>
      <c r="O5" s="83" t="s">
        <v>155</v>
      </c>
      <c r="P5" s="85" t="s">
        <v>87</v>
      </c>
      <c r="Q5" s="85" t="s">
        <v>88</v>
      </c>
      <c r="R5" s="83" t="s">
        <v>155</v>
      </c>
      <c r="S5" s="85" t="s">
        <v>87</v>
      </c>
      <c r="T5" s="85" t="s">
        <v>88</v>
      </c>
      <c r="U5" s="83" t="s">
        <v>155</v>
      </c>
      <c r="V5" s="85" t="s">
        <v>87</v>
      </c>
      <c r="W5" s="85" t="s">
        <v>88</v>
      </c>
      <c r="X5" s="83" t="s">
        <v>155</v>
      </c>
      <c r="Y5" s="85" t="s">
        <v>87</v>
      </c>
      <c r="Z5" s="85" t="s">
        <v>88</v>
      </c>
      <c r="AA5" s="83" t="s">
        <v>155</v>
      </c>
      <c r="AB5" s="85" t="s">
        <v>87</v>
      </c>
      <c r="AC5" s="85" t="s">
        <v>88</v>
      </c>
      <c r="AD5" s="83" t="s">
        <v>155</v>
      </c>
      <c r="AE5" s="85" t="s">
        <v>87</v>
      </c>
      <c r="AF5" s="85" t="s">
        <v>88</v>
      </c>
      <c r="AG5" s="83" t="s">
        <v>155</v>
      </c>
      <c r="AH5" s="85" t="s">
        <v>87</v>
      </c>
      <c r="AI5" s="85" t="s">
        <v>88</v>
      </c>
      <c r="AJ5" s="112" t="s">
        <v>158</v>
      </c>
    </row>
    <row r="6" spans="1:36" s="37" customFormat="1" ht="21" customHeight="1" x14ac:dyDescent="0.2">
      <c r="A6" s="107"/>
      <c r="B6" s="107"/>
      <c r="C6" s="94"/>
      <c r="D6" s="86"/>
      <c r="E6" s="86"/>
      <c r="F6" s="86"/>
      <c r="G6" s="84"/>
      <c r="H6" s="86"/>
      <c r="I6" s="86"/>
      <c r="J6" s="86"/>
      <c r="K6" s="86"/>
      <c r="L6" s="84"/>
      <c r="M6" s="86"/>
      <c r="N6" s="86"/>
      <c r="O6" s="84"/>
      <c r="P6" s="86"/>
      <c r="Q6" s="86"/>
      <c r="R6" s="84"/>
      <c r="S6" s="86"/>
      <c r="T6" s="86"/>
      <c r="U6" s="84"/>
      <c r="V6" s="86"/>
      <c r="W6" s="86"/>
      <c r="X6" s="84"/>
      <c r="Y6" s="86"/>
      <c r="Z6" s="86"/>
      <c r="AA6" s="84"/>
      <c r="AB6" s="86"/>
      <c r="AC6" s="86"/>
      <c r="AD6" s="84"/>
      <c r="AE6" s="86"/>
      <c r="AF6" s="86"/>
      <c r="AG6" s="84"/>
      <c r="AH6" s="86"/>
      <c r="AI6" s="86"/>
      <c r="AJ6" s="84"/>
    </row>
    <row r="7" spans="1:36" s="69" customFormat="1" ht="16.5" customHeight="1" x14ac:dyDescent="0.2">
      <c r="A7" s="65" t="s">
        <v>178</v>
      </c>
      <c r="B7" s="66" t="s">
        <v>179</v>
      </c>
      <c r="C7" s="67" t="s">
        <v>0</v>
      </c>
      <c r="D7" s="68">
        <v>10192</v>
      </c>
      <c r="E7" s="68">
        <v>6900</v>
      </c>
      <c r="F7" s="68">
        <v>3095</v>
      </c>
      <c r="G7" s="68">
        <v>197</v>
      </c>
      <c r="H7" s="68">
        <v>2862</v>
      </c>
      <c r="I7" s="68">
        <v>2081</v>
      </c>
      <c r="J7" s="68">
        <v>183</v>
      </c>
      <c r="K7" s="68">
        <v>24</v>
      </c>
      <c r="L7" s="68">
        <v>2</v>
      </c>
      <c r="M7" s="68">
        <v>98</v>
      </c>
      <c r="N7" s="68">
        <v>146</v>
      </c>
      <c r="O7" s="68">
        <v>0</v>
      </c>
      <c r="P7" s="68">
        <v>279</v>
      </c>
      <c r="Q7" s="68">
        <v>87</v>
      </c>
      <c r="R7" s="68">
        <v>8</v>
      </c>
      <c r="S7" s="68">
        <v>217</v>
      </c>
      <c r="T7" s="68">
        <v>73</v>
      </c>
      <c r="U7" s="68">
        <v>4</v>
      </c>
      <c r="V7" s="68">
        <v>52</v>
      </c>
      <c r="W7" s="68">
        <v>17</v>
      </c>
      <c r="X7" s="68">
        <v>2</v>
      </c>
      <c r="Y7" s="68">
        <v>172</v>
      </c>
      <c r="Z7" s="68">
        <v>44</v>
      </c>
      <c r="AA7" s="68">
        <v>6</v>
      </c>
      <c r="AB7" s="68">
        <v>1</v>
      </c>
      <c r="AC7" s="68">
        <v>17</v>
      </c>
      <c r="AD7" s="68">
        <v>0</v>
      </c>
      <c r="AE7" s="68">
        <v>1333</v>
      </c>
      <c r="AF7" s="68">
        <v>189</v>
      </c>
      <c r="AG7" s="68">
        <v>42</v>
      </c>
      <c r="AH7" s="68">
        <v>1703</v>
      </c>
      <c r="AI7" s="68">
        <v>417</v>
      </c>
      <c r="AJ7" s="68">
        <v>133</v>
      </c>
    </row>
    <row r="8" spans="1:36" s="69" customFormat="1" ht="15" customHeight="1" x14ac:dyDescent="0.2">
      <c r="A8" s="108" t="s">
        <v>1</v>
      </c>
      <c r="B8" s="70" t="s">
        <v>180</v>
      </c>
      <c r="C8" s="71" t="s">
        <v>2</v>
      </c>
      <c r="D8" s="72">
        <v>9449</v>
      </c>
      <c r="E8" s="72">
        <v>6406</v>
      </c>
      <c r="F8" s="72">
        <v>2850</v>
      </c>
      <c r="G8" s="72">
        <v>193</v>
      </c>
      <c r="H8" s="72">
        <v>2660</v>
      </c>
      <c r="I8" s="72">
        <v>1920</v>
      </c>
      <c r="J8" s="72">
        <v>156</v>
      </c>
      <c r="K8" s="72">
        <v>23</v>
      </c>
      <c r="L8" s="72">
        <v>1</v>
      </c>
      <c r="M8" s="72">
        <v>92</v>
      </c>
      <c r="N8" s="72">
        <v>133</v>
      </c>
      <c r="O8" s="72">
        <v>0</v>
      </c>
      <c r="P8" s="72">
        <v>241</v>
      </c>
      <c r="Q8" s="72">
        <v>75</v>
      </c>
      <c r="R8" s="72">
        <v>8</v>
      </c>
      <c r="S8" s="72">
        <v>206</v>
      </c>
      <c r="T8" s="72">
        <v>70</v>
      </c>
      <c r="U8" s="72">
        <v>4</v>
      </c>
      <c r="V8" s="72">
        <v>50</v>
      </c>
      <c r="W8" s="72">
        <v>17</v>
      </c>
      <c r="X8" s="72">
        <v>2</v>
      </c>
      <c r="Y8" s="72">
        <v>159</v>
      </c>
      <c r="Z8" s="72">
        <v>40</v>
      </c>
      <c r="AA8" s="72">
        <v>6</v>
      </c>
      <c r="AB8" s="72">
        <v>1</v>
      </c>
      <c r="AC8" s="72">
        <v>17</v>
      </c>
      <c r="AD8" s="72">
        <v>0</v>
      </c>
      <c r="AE8" s="72">
        <v>1249</v>
      </c>
      <c r="AF8" s="72">
        <v>173</v>
      </c>
      <c r="AG8" s="72">
        <v>40</v>
      </c>
      <c r="AH8" s="72">
        <v>1592</v>
      </c>
      <c r="AI8" s="72">
        <v>382</v>
      </c>
      <c r="AJ8" s="72">
        <v>132</v>
      </c>
    </row>
    <row r="9" spans="1:36" s="69" customFormat="1" ht="15" customHeight="1" x14ac:dyDescent="0.2">
      <c r="A9" s="109"/>
      <c r="B9" s="70" t="s">
        <v>181</v>
      </c>
      <c r="C9" s="71" t="s">
        <v>194</v>
      </c>
      <c r="D9" s="72">
        <v>743</v>
      </c>
      <c r="E9" s="72">
        <v>494</v>
      </c>
      <c r="F9" s="72">
        <v>245</v>
      </c>
      <c r="G9" s="72">
        <v>4</v>
      </c>
      <c r="H9" s="72">
        <v>202</v>
      </c>
      <c r="I9" s="72">
        <v>161</v>
      </c>
      <c r="J9" s="72">
        <v>27</v>
      </c>
      <c r="K9" s="72">
        <v>1</v>
      </c>
      <c r="L9" s="72">
        <v>1</v>
      </c>
      <c r="M9" s="72">
        <v>6</v>
      </c>
      <c r="N9" s="72">
        <v>13</v>
      </c>
      <c r="O9" s="72">
        <v>0</v>
      </c>
      <c r="P9" s="72">
        <v>38</v>
      </c>
      <c r="Q9" s="72">
        <v>12</v>
      </c>
      <c r="R9" s="72">
        <v>0</v>
      </c>
      <c r="S9" s="72">
        <v>11</v>
      </c>
      <c r="T9" s="72">
        <v>3</v>
      </c>
      <c r="U9" s="72">
        <v>0</v>
      </c>
      <c r="V9" s="72">
        <v>2</v>
      </c>
      <c r="W9" s="72">
        <v>0</v>
      </c>
      <c r="X9" s="72">
        <v>0</v>
      </c>
      <c r="Y9" s="72">
        <v>13</v>
      </c>
      <c r="Z9" s="72">
        <v>4</v>
      </c>
      <c r="AA9" s="72">
        <v>0</v>
      </c>
      <c r="AB9" s="72">
        <v>0</v>
      </c>
      <c r="AC9" s="72">
        <v>0</v>
      </c>
      <c r="AD9" s="72">
        <v>0</v>
      </c>
      <c r="AE9" s="72">
        <v>84</v>
      </c>
      <c r="AF9" s="72">
        <v>16</v>
      </c>
      <c r="AG9" s="72">
        <v>2</v>
      </c>
      <c r="AH9" s="72">
        <v>111</v>
      </c>
      <c r="AI9" s="72">
        <v>35</v>
      </c>
      <c r="AJ9" s="72">
        <v>1</v>
      </c>
    </row>
    <row r="10" spans="1:36" s="23" customFormat="1" ht="15" customHeight="1" x14ac:dyDescent="0.2">
      <c r="A10" s="56" t="s">
        <v>119</v>
      </c>
      <c r="B10" s="29" t="s">
        <v>74</v>
      </c>
      <c r="C10" s="30" t="s">
        <v>0</v>
      </c>
      <c r="D10" s="31">
        <v>1873</v>
      </c>
      <c r="E10" s="31">
        <v>1319</v>
      </c>
      <c r="F10" s="31">
        <v>508</v>
      </c>
      <c r="G10" s="31">
        <v>46</v>
      </c>
      <c r="H10" s="31">
        <v>505</v>
      </c>
      <c r="I10" s="31">
        <v>328</v>
      </c>
      <c r="J10" s="31">
        <v>57</v>
      </c>
      <c r="K10" s="31">
        <v>7</v>
      </c>
      <c r="L10" s="31">
        <v>0</v>
      </c>
      <c r="M10" s="31">
        <v>21</v>
      </c>
      <c r="N10" s="31">
        <v>24</v>
      </c>
      <c r="O10" s="31">
        <v>0</v>
      </c>
      <c r="P10" s="31">
        <v>54</v>
      </c>
      <c r="Q10" s="31">
        <v>14</v>
      </c>
      <c r="R10" s="31">
        <v>3</v>
      </c>
      <c r="S10" s="31">
        <v>40</v>
      </c>
      <c r="T10" s="31">
        <v>16</v>
      </c>
      <c r="U10" s="31">
        <v>2</v>
      </c>
      <c r="V10" s="31">
        <v>9</v>
      </c>
      <c r="W10" s="31">
        <v>1</v>
      </c>
      <c r="X10" s="31">
        <v>1</v>
      </c>
      <c r="Y10" s="31">
        <v>44</v>
      </c>
      <c r="Z10" s="31">
        <v>4</v>
      </c>
      <c r="AA10" s="31">
        <v>4</v>
      </c>
      <c r="AB10" s="31">
        <v>0</v>
      </c>
      <c r="AC10" s="31">
        <v>1</v>
      </c>
      <c r="AD10" s="31">
        <v>0</v>
      </c>
      <c r="AE10" s="31">
        <v>283</v>
      </c>
      <c r="AF10" s="31">
        <v>13</v>
      </c>
      <c r="AG10" s="31">
        <v>13</v>
      </c>
      <c r="AH10" s="31">
        <v>306</v>
      </c>
      <c r="AI10" s="31">
        <v>100</v>
      </c>
      <c r="AJ10" s="31">
        <v>23</v>
      </c>
    </row>
    <row r="11" spans="1:36" s="23" customFormat="1" ht="15" customHeight="1" x14ac:dyDescent="0.2">
      <c r="A11" s="110" t="s">
        <v>3</v>
      </c>
      <c r="B11" s="32" t="s">
        <v>75</v>
      </c>
      <c r="C11" s="33" t="s">
        <v>2</v>
      </c>
      <c r="D11" s="22">
        <v>1801</v>
      </c>
      <c r="E11" s="22">
        <v>1269</v>
      </c>
      <c r="F11" s="22">
        <v>486</v>
      </c>
      <c r="G11" s="22">
        <v>46</v>
      </c>
      <c r="H11" s="22">
        <v>487</v>
      </c>
      <c r="I11" s="22">
        <v>314</v>
      </c>
      <c r="J11" s="22">
        <v>52</v>
      </c>
      <c r="K11" s="22">
        <v>6</v>
      </c>
      <c r="L11" s="22">
        <v>0</v>
      </c>
      <c r="M11" s="22">
        <v>21</v>
      </c>
      <c r="N11" s="22">
        <v>22</v>
      </c>
      <c r="O11" s="22">
        <v>0</v>
      </c>
      <c r="P11" s="22">
        <v>50</v>
      </c>
      <c r="Q11" s="22">
        <v>12</v>
      </c>
      <c r="R11" s="22">
        <v>3</v>
      </c>
      <c r="S11" s="22">
        <v>39</v>
      </c>
      <c r="T11" s="22">
        <v>16</v>
      </c>
      <c r="U11" s="22">
        <v>2</v>
      </c>
      <c r="V11" s="22">
        <v>9</v>
      </c>
      <c r="W11" s="22">
        <v>1</v>
      </c>
      <c r="X11" s="22">
        <v>1</v>
      </c>
      <c r="Y11" s="22">
        <v>43</v>
      </c>
      <c r="Z11" s="22">
        <v>4</v>
      </c>
      <c r="AA11" s="22">
        <v>4</v>
      </c>
      <c r="AB11" s="22">
        <v>0</v>
      </c>
      <c r="AC11" s="22">
        <v>1</v>
      </c>
      <c r="AD11" s="22">
        <v>0</v>
      </c>
      <c r="AE11" s="22">
        <v>275</v>
      </c>
      <c r="AF11" s="22">
        <v>13</v>
      </c>
      <c r="AG11" s="22">
        <v>13</v>
      </c>
      <c r="AH11" s="22">
        <v>293</v>
      </c>
      <c r="AI11" s="22">
        <v>97</v>
      </c>
      <c r="AJ11" s="22">
        <v>23</v>
      </c>
    </row>
    <row r="12" spans="1:36" s="23" customFormat="1" ht="15" customHeight="1" x14ac:dyDescent="0.2">
      <c r="A12" s="111"/>
      <c r="B12" s="32" t="s">
        <v>76</v>
      </c>
      <c r="C12" s="33" t="s">
        <v>194</v>
      </c>
      <c r="D12" s="22">
        <v>72</v>
      </c>
      <c r="E12" s="22">
        <v>50</v>
      </c>
      <c r="F12" s="22">
        <v>22</v>
      </c>
      <c r="G12" s="22">
        <v>0</v>
      </c>
      <c r="H12" s="22">
        <v>18</v>
      </c>
      <c r="I12" s="22">
        <v>14</v>
      </c>
      <c r="J12" s="22">
        <v>5</v>
      </c>
      <c r="K12" s="22">
        <v>1</v>
      </c>
      <c r="L12" s="22">
        <v>0</v>
      </c>
      <c r="M12" s="22">
        <v>0</v>
      </c>
      <c r="N12" s="22">
        <v>2</v>
      </c>
      <c r="O12" s="22">
        <v>0</v>
      </c>
      <c r="P12" s="22">
        <v>4</v>
      </c>
      <c r="Q12" s="22">
        <v>2</v>
      </c>
      <c r="R12" s="22">
        <v>0</v>
      </c>
      <c r="S12" s="22">
        <v>1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1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8</v>
      </c>
      <c r="AF12" s="22">
        <v>0</v>
      </c>
      <c r="AG12" s="22">
        <v>0</v>
      </c>
      <c r="AH12" s="22">
        <v>13</v>
      </c>
      <c r="AI12" s="22">
        <v>3</v>
      </c>
      <c r="AJ12" s="22">
        <v>0</v>
      </c>
    </row>
    <row r="13" spans="1:36" s="23" customFormat="1" ht="15" customHeight="1" x14ac:dyDescent="0.2">
      <c r="A13" s="56" t="s">
        <v>121</v>
      </c>
      <c r="B13" s="29" t="s">
        <v>74</v>
      </c>
      <c r="C13" s="30" t="s">
        <v>0</v>
      </c>
      <c r="D13" s="31">
        <v>798</v>
      </c>
      <c r="E13" s="31">
        <v>533</v>
      </c>
      <c r="F13" s="31">
        <v>261</v>
      </c>
      <c r="G13" s="31">
        <v>4</v>
      </c>
      <c r="H13" s="31">
        <v>304</v>
      </c>
      <c r="I13" s="31">
        <v>193</v>
      </c>
      <c r="J13" s="31">
        <v>13</v>
      </c>
      <c r="K13" s="31">
        <v>4</v>
      </c>
      <c r="L13" s="31">
        <v>0</v>
      </c>
      <c r="M13" s="31">
        <v>5</v>
      </c>
      <c r="N13" s="31">
        <v>8</v>
      </c>
      <c r="O13" s="31">
        <v>0</v>
      </c>
      <c r="P13" s="31">
        <v>19</v>
      </c>
      <c r="Q13" s="31">
        <v>3</v>
      </c>
      <c r="R13" s="31">
        <v>1</v>
      </c>
      <c r="S13" s="31">
        <v>10</v>
      </c>
      <c r="T13" s="31">
        <v>3</v>
      </c>
      <c r="U13" s="31">
        <v>0</v>
      </c>
      <c r="V13" s="31">
        <v>8</v>
      </c>
      <c r="W13" s="31">
        <v>0</v>
      </c>
      <c r="X13" s="31">
        <v>0</v>
      </c>
      <c r="Y13" s="31">
        <v>27</v>
      </c>
      <c r="Z13" s="31">
        <v>13</v>
      </c>
      <c r="AA13" s="31">
        <v>0</v>
      </c>
      <c r="AB13" s="31">
        <v>0</v>
      </c>
      <c r="AC13" s="31">
        <v>0</v>
      </c>
      <c r="AD13" s="31">
        <v>0</v>
      </c>
      <c r="AE13" s="31">
        <v>113</v>
      </c>
      <c r="AF13" s="31">
        <v>19</v>
      </c>
      <c r="AG13" s="31">
        <v>1</v>
      </c>
      <c r="AH13" s="31">
        <v>34</v>
      </c>
      <c r="AI13" s="31">
        <v>18</v>
      </c>
      <c r="AJ13" s="31">
        <v>2</v>
      </c>
    </row>
    <row r="14" spans="1:36" s="23" customFormat="1" ht="15" customHeight="1" x14ac:dyDescent="0.2">
      <c r="A14" s="110" t="s">
        <v>4</v>
      </c>
      <c r="B14" s="32" t="s">
        <v>75</v>
      </c>
      <c r="C14" s="33" t="s">
        <v>2</v>
      </c>
      <c r="D14" s="22">
        <v>784</v>
      </c>
      <c r="E14" s="22">
        <v>525</v>
      </c>
      <c r="F14" s="22">
        <v>255</v>
      </c>
      <c r="G14" s="22">
        <v>4</v>
      </c>
      <c r="H14" s="22">
        <v>303</v>
      </c>
      <c r="I14" s="22">
        <v>188</v>
      </c>
      <c r="J14" s="22">
        <v>12</v>
      </c>
      <c r="K14" s="22">
        <v>4</v>
      </c>
      <c r="L14" s="22">
        <v>0</v>
      </c>
      <c r="M14" s="22">
        <v>5</v>
      </c>
      <c r="N14" s="22">
        <v>8</v>
      </c>
      <c r="O14" s="22">
        <v>0</v>
      </c>
      <c r="P14" s="22">
        <v>17</v>
      </c>
      <c r="Q14" s="22">
        <v>3</v>
      </c>
      <c r="R14" s="22">
        <v>1</v>
      </c>
      <c r="S14" s="22">
        <v>10</v>
      </c>
      <c r="T14" s="22">
        <v>3</v>
      </c>
      <c r="U14" s="22">
        <v>0</v>
      </c>
      <c r="V14" s="22">
        <v>8</v>
      </c>
      <c r="W14" s="22">
        <v>0</v>
      </c>
      <c r="X14" s="22">
        <v>0</v>
      </c>
      <c r="Y14" s="22">
        <v>26</v>
      </c>
      <c r="Z14" s="22">
        <v>13</v>
      </c>
      <c r="AA14" s="22">
        <v>0</v>
      </c>
      <c r="AB14" s="22">
        <v>0</v>
      </c>
      <c r="AC14" s="22">
        <v>0</v>
      </c>
      <c r="AD14" s="22">
        <v>0</v>
      </c>
      <c r="AE14" s="22">
        <v>111</v>
      </c>
      <c r="AF14" s="22">
        <v>18</v>
      </c>
      <c r="AG14" s="22">
        <v>1</v>
      </c>
      <c r="AH14" s="22">
        <v>33</v>
      </c>
      <c r="AI14" s="22">
        <v>18</v>
      </c>
      <c r="AJ14" s="22">
        <v>2</v>
      </c>
    </row>
    <row r="15" spans="1:36" s="23" customFormat="1" ht="15" customHeight="1" x14ac:dyDescent="0.2">
      <c r="A15" s="111"/>
      <c r="B15" s="34" t="s">
        <v>76</v>
      </c>
      <c r="C15" s="35" t="s">
        <v>194</v>
      </c>
      <c r="D15" s="22">
        <v>14</v>
      </c>
      <c r="E15" s="22">
        <v>8</v>
      </c>
      <c r="F15" s="22">
        <v>6</v>
      </c>
      <c r="G15" s="22">
        <v>0</v>
      </c>
      <c r="H15" s="22">
        <v>1</v>
      </c>
      <c r="I15" s="22">
        <v>5</v>
      </c>
      <c r="J15" s="22">
        <v>1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2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1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2</v>
      </c>
      <c r="AF15" s="22">
        <v>1</v>
      </c>
      <c r="AG15" s="22">
        <v>0</v>
      </c>
      <c r="AH15" s="22">
        <v>1</v>
      </c>
      <c r="AI15" s="22">
        <v>0</v>
      </c>
      <c r="AJ15" s="22">
        <v>0</v>
      </c>
    </row>
    <row r="16" spans="1:36" s="23" customFormat="1" ht="15" customHeight="1" x14ac:dyDescent="0.2">
      <c r="A16" s="56" t="s">
        <v>124</v>
      </c>
      <c r="B16" s="29" t="s">
        <v>74</v>
      </c>
      <c r="C16" s="30" t="s">
        <v>0</v>
      </c>
      <c r="D16" s="31">
        <v>1451</v>
      </c>
      <c r="E16" s="31">
        <v>904</v>
      </c>
      <c r="F16" s="31">
        <v>489</v>
      </c>
      <c r="G16" s="31">
        <v>58</v>
      </c>
      <c r="H16" s="31">
        <v>433</v>
      </c>
      <c r="I16" s="31">
        <v>345</v>
      </c>
      <c r="J16" s="31">
        <v>27</v>
      </c>
      <c r="K16" s="31">
        <v>5</v>
      </c>
      <c r="L16" s="31">
        <v>0</v>
      </c>
      <c r="M16" s="31">
        <v>16</v>
      </c>
      <c r="N16" s="31">
        <v>21</v>
      </c>
      <c r="O16" s="31">
        <v>0</v>
      </c>
      <c r="P16" s="31">
        <v>28</v>
      </c>
      <c r="Q16" s="31">
        <v>19</v>
      </c>
      <c r="R16" s="31">
        <v>0</v>
      </c>
      <c r="S16" s="31">
        <v>34</v>
      </c>
      <c r="T16" s="31">
        <v>10</v>
      </c>
      <c r="U16" s="31">
        <v>1</v>
      </c>
      <c r="V16" s="31">
        <v>0</v>
      </c>
      <c r="W16" s="31">
        <v>1</v>
      </c>
      <c r="X16" s="31">
        <v>0</v>
      </c>
      <c r="Y16" s="31">
        <v>2</v>
      </c>
      <c r="Z16" s="31">
        <v>1</v>
      </c>
      <c r="AA16" s="31">
        <v>1</v>
      </c>
      <c r="AB16" s="31">
        <v>0</v>
      </c>
      <c r="AC16" s="31">
        <v>2</v>
      </c>
      <c r="AD16" s="31">
        <v>0</v>
      </c>
      <c r="AE16" s="31">
        <v>103</v>
      </c>
      <c r="AF16" s="31">
        <v>30</v>
      </c>
      <c r="AG16" s="31">
        <v>10</v>
      </c>
      <c r="AH16" s="31">
        <v>261</v>
      </c>
      <c r="AI16" s="31">
        <v>55</v>
      </c>
      <c r="AJ16" s="31">
        <v>46</v>
      </c>
    </row>
    <row r="17" spans="1:36" s="23" customFormat="1" ht="15" customHeight="1" x14ac:dyDescent="0.2">
      <c r="A17" s="110" t="s">
        <v>25</v>
      </c>
      <c r="B17" s="32" t="s">
        <v>75</v>
      </c>
      <c r="C17" s="33" t="s">
        <v>2</v>
      </c>
      <c r="D17" s="22">
        <v>1321</v>
      </c>
      <c r="E17" s="22">
        <v>829</v>
      </c>
      <c r="F17" s="22">
        <v>434</v>
      </c>
      <c r="G17" s="22">
        <v>58</v>
      </c>
      <c r="H17" s="22">
        <v>386</v>
      </c>
      <c r="I17" s="22">
        <v>302</v>
      </c>
      <c r="J17" s="22">
        <v>21</v>
      </c>
      <c r="K17" s="22">
        <v>5</v>
      </c>
      <c r="L17" s="22">
        <v>0</v>
      </c>
      <c r="M17" s="22">
        <v>16</v>
      </c>
      <c r="N17" s="22">
        <v>19</v>
      </c>
      <c r="O17" s="22">
        <v>0</v>
      </c>
      <c r="P17" s="22">
        <v>21</v>
      </c>
      <c r="Q17" s="22">
        <v>17</v>
      </c>
      <c r="R17" s="22">
        <v>0</v>
      </c>
      <c r="S17" s="22">
        <v>33</v>
      </c>
      <c r="T17" s="22">
        <v>9</v>
      </c>
      <c r="U17" s="22">
        <v>1</v>
      </c>
      <c r="V17" s="22">
        <v>0</v>
      </c>
      <c r="W17" s="22">
        <v>1</v>
      </c>
      <c r="X17" s="22">
        <v>0</v>
      </c>
      <c r="Y17" s="22">
        <v>1</v>
      </c>
      <c r="Z17" s="22">
        <v>1</v>
      </c>
      <c r="AA17" s="22">
        <v>1</v>
      </c>
      <c r="AB17" s="22">
        <v>0</v>
      </c>
      <c r="AC17" s="22">
        <v>2</v>
      </c>
      <c r="AD17" s="22">
        <v>0</v>
      </c>
      <c r="AE17" s="22">
        <v>99</v>
      </c>
      <c r="AF17" s="22">
        <v>29</v>
      </c>
      <c r="AG17" s="22">
        <v>10</v>
      </c>
      <c r="AH17" s="22">
        <v>252</v>
      </c>
      <c r="AI17" s="22">
        <v>49</v>
      </c>
      <c r="AJ17" s="22">
        <v>46</v>
      </c>
    </row>
    <row r="18" spans="1:36" s="23" customFormat="1" ht="15" customHeight="1" x14ac:dyDescent="0.2">
      <c r="A18" s="111"/>
      <c r="B18" s="34" t="s">
        <v>76</v>
      </c>
      <c r="C18" s="35" t="s">
        <v>194</v>
      </c>
      <c r="D18" s="22">
        <v>130</v>
      </c>
      <c r="E18" s="22">
        <v>75</v>
      </c>
      <c r="F18" s="22">
        <v>55</v>
      </c>
      <c r="G18" s="22">
        <v>0</v>
      </c>
      <c r="H18" s="22">
        <v>47</v>
      </c>
      <c r="I18" s="22">
        <v>43</v>
      </c>
      <c r="J18" s="22">
        <v>6</v>
      </c>
      <c r="K18" s="22">
        <v>0</v>
      </c>
      <c r="L18" s="22">
        <v>0</v>
      </c>
      <c r="M18" s="22">
        <v>0</v>
      </c>
      <c r="N18" s="22">
        <v>2</v>
      </c>
      <c r="O18" s="22">
        <v>0</v>
      </c>
      <c r="P18" s="22">
        <v>7</v>
      </c>
      <c r="Q18" s="22">
        <v>2</v>
      </c>
      <c r="R18" s="22">
        <v>0</v>
      </c>
      <c r="S18" s="22">
        <v>1</v>
      </c>
      <c r="T18" s="22">
        <v>1</v>
      </c>
      <c r="U18" s="22">
        <v>0</v>
      </c>
      <c r="V18" s="22">
        <v>0</v>
      </c>
      <c r="W18" s="22">
        <v>0</v>
      </c>
      <c r="X18" s="22">
        <v>0</v>
      </c>
      <c r="Y18" s="22">
        <v>1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4</v>
      </c>
      <c r="AF18" s="22">
        <v>1</v>
      </c>
      <c r="AG18" s="22">
        <v>0</v>
      </c>
      <c r="AH18" s="22">
        <v>9</v>
      </c>
      <c r="AI18" s="22">
        <v>6</v>
      </c>
      <c r="AJ18" s="22">
        <v>0</v>
      </c>
    </row>
    <row r="19" spans="1:36" s="23" customFormat="1" ht="15" customHeight="1" x14ac:dyDescent="0.2">
      <c r="A19" s="56" t="s">
        <v>126</v>
      </c>
      <c r="B19" s="29" t="s">
        <v>74</v>
      </c>
      <c r="C19" s="30" t="s">
        <v>0</v>
      </c>
      <c r="D19" s="31">
        <v>1076</v>
      </c>
      <c r="E19" s="31">
        <v>713</v>
      </c>
      <c r="F19" s="31">
        <v>350</v>
      </c>
      <c r="G19" s="31">
        <v>13</v>
      </c>
      <c r="H19" s="31">
        <v>337</v>
      </c>
      <c r="I19" s="31">
        <v>270</v>
      </c>
      <c r="J19" s="31">
        <v>8</v>
      </c>
      <c r="K19" s="31">
        <v>0</v>
      </c>
      <c r="L19" s="31">
        <v>0</v>
      </c>
      <c r="M19" s="31">
        <v>14</v>
      </c>
      <c r="N19" s="31">
        <v>24</v>
      </c>
      <c r="O19" s="31">
        <v>0</v>
      </c>
      <c r="P19" s="31">
        <v>42</v>
      </c>
      <c r="Q19" s="31">
        <v>6</v>
      </c>
      <c r="R19" s="31">
        <v>0</v>
      </c>
      <c r="S19" s="31">
        <v>28</v>
      </c>
      <c r="T19" s="31">
        <v>13</v>
      </c>
      <c r="U19" s="31">
        <v>0</v>
      </c>
      <c r="V19" s="31">
        <v>4</v>
      </c>
      <c r="W19" s="31">
        <v>0</v>
      </c>
      <c r="X19" s="31">
        <v>0</v>
      </c>
      <c r="Y19" s="31">
        <v>8</v>
      </c>
      <c r="Z19" s="31">
        <v>1</v>
      </c>
      <c r="AA19" s="31">
        <v>0</v>
      </c>
      <c r="AB19" s="31">
        <v>1</v>
      </c>
      <c r="AC19" s="31">
        <v>2</v>
      </c>
      <c r="AD19" s="31">
        <v>0</v>
      </c>
      <c r="AE19" s="31">
        <v>100</v>
      </c>
      <c r="AF19" s="31">
        <v>19</v>
      </c>
      <c r="AG19" s="31">
        <v>1</v>
      </c>
      <c r="AH19" s="31">
        <v>171</v>
      </c>
      <c r="AI19" s="31">
        <v>15</v>
      </c>
      <c r="AJ19" s="31">
        <v>12</v>
      </c>
    </row>
    <row r="20" spans="1:36" s="23" customFormat="1" ht="15" customHeight="1" x14ac:dyDescent="0.2">
      <c r="A20" s="110" t="s">
        <v>5</v>
      </c>
      <c r="B20" s="32" t="s">
        <v>75</v>
      </c>
      <c r="C20" s="33" t="s">
        <v>2</v>
      </c>
      <c r="D20" s="22">
        <v>1019</v>
      </c>
      <c r="E20" s="22">
        <v>676</v>
      </c>
      <c r="F20" s="22">
        <v>330</v>
      </c>
      <c r="G20" s="22">
        <v>13</v>
      </c>
      <c r="H20" s="22">
        <v>311</v>
      </c>
      <c r="I20" s="22">
        <v>255</v>
      </c>
      <c r="J20" s="22">
        <v>5</v>
      </c>
      <c r="K20" s="22">
        <v>0</v>
      </c>
      <c r="L20" s="22">
        <v>0</v>
      </c>
      <c r="M20" s="22">
        <v>13</v>
      </c>
      <c r="N20" s="22">
        <v>23</v>
      </c>
      <c r="O20" s="22">
        <v>0</v>
      </c>
      <c r="P20" s="22">
        <v>40</v>
      </c>
      <c r="Q20" s="22">
        <v>4</v>
      </c>
      <c r="R20" s="22">
        <v>0</v>
      </c>
      <c r="S20" s="22">
        <v>27</v>
      </c>
      <c r="T20" s="22">
        <v>12</v>
      </c>
      <c r="U20" s="22">
        <v>0</v>
      </c>
      <c r="V20" s="22">
        <v>4</v>
      </c>
      <c r="W20" s="22">
        <v>0</v>
      </c>
      <c r="X20" s="22">
        <v>0</v>
      </c>
      <c r="Y20" s="22">
        <v>8</v>
      </c>
      <c r="Z20" s="22">
        <v>1</v>
      </c>
      <c r="AA20" s="22">
        <v>0</v>
      </c>
      <c r="AB20" s="22">
        <v>1</v>
      </c>
      <c r="AC20" s="22">
        <v>2</v>
      </c>
      <c r="AD20" s="22">
        <v>0</v>
      </c>
      <c r="AE20" s="22">
        <v>99</v>
      </c>
      <c r="AF20" s="22">
        <v>18</v>
      </c>
      <c r="AG20" s="22">
        <v>1</v>
      </c>
      <c r="AH20" s="22">
        <v>168</v>
      </c>
      <c r="AI20" s="22">
        <v>15</v>
      </c>
      <c r="AJ20" s="22">
        <v>12</v>
      </c>
    </row>
    <row r="21" spans="1:36" s="23" customFormat="1" ht="15" customHeight="1" x14ac:dyDescent="0.2">
      <c r="A21" s="111"/>
      <c r="B21" s="34" t="s">
        <v>76</v>
      </c>
      <c r="C21" s="35" t="s">
        <v>194</v>
      </c>
      <c r="D21" s="22">
        <v>57</v>
      </c>
      <c r="E21" s="22">
        <v>37</v>
      </c>
      <c r="F21" s="22">
        <v>20</v>
      </c>
      <c r="G21" s="22">
        <v>0</v>
      </c>
      <c r="H21" s="22">
        <v>26</v>
      </c>
      <c r="I21" s="22">
        <v>15</v>
      </c>
      <c r="J21" s="22">
        <v>3</v>
      </c>
      <c r="K21" s="22">
        <v>0</v>
      </c>
      <c r="L21" s="22">
        <v>0</v>
      </c>
      <c r="M21" s="22">
        <v>1</v>
      </c>
      <c r="N21" s="22">
        <v>1</v>
      </c>
      <c r="O21" s="22">
        <v>0</v>
      </c>
      <c r="P21" s="22">
        <v>2</v>
      </c>
      <c r="Q21" s="22">
        <v>2</v>
      </c>
      <c r="R21" s="22">
        <v>0</v>
      </c>
      <c r="S21" s="22">
        <v>1</v>
      </c>
      <c r="T21" s="22">
        <v>1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1</v>
      </c>
      <c r="AF21" s="22">
        <v>1</v>
      </c>
      <c r="AG21" s="22">
        <v>0</v>
      </c>
      <c r="AH21" s="22">
        <v>3</v>
      </c>
      <c r="AI21" s="22">
        <v>0</v>
      </c>
      <c r="AJ21" s="22">
        <v>0</v>
      </c>
    </row>
    <row r="22" spans="1:36" s="23" customFormat="1" ht="15" customHeight="1" x14ac:dyDescent="0.2">
      <c r="A22" s="56" t="s">
        <v>128</v>
      </c>
      <c r="B22" s="29" t="s">
        <v>74</v>
      </c>
      <c r="C22" s="30" t="s">
        <v>0</v>
      </c>
      <c r="D22" s="31">
        <v>649</v>
      </c>
      <c r="E22" s="31">
        <v>437</v>
      </c>
      <c r="F22" s="31">
        <v>199</v>
      </c>
      <c r="G22" s="31">
        <v>13</v>
      </c>
      <c r="H22" s="31">
        <v>163</v>
      </c>
      <c r="I22" s="31">
        <v>147</v>
      </c>
      <c r="J22" s="31">
        <v>12</v>
      </c>
      <c r="K22" s="31">
        <v>2</v>
      </c>
      <c r="L22" s="31">
        <v>0</v>
      </c>
      <c r="M22" s="31">
        <v>7</v>
      </c>
      <c r="N22" s="31">
        <v>11</v>
      </c>
      <c r="O22" s="31">
        <v>0</v>
      </c>
      <c r="P22" s="31">
        <v>19</v>
      </c>
      <c r="Q22" s="31">
        <v>6</v>
      </c>
      <c r="R22" s="31">
        <v>0</v>
      </c>
      <c r="S22" s="31">
        <v>13</v>
      </c>
      <c r="T22" s="31">
        <v>1</v>
      </c>
      <c r="U22" s="31">
        <v>0</v>
      </c>
      <c r="V22" s="31">
        <v>8</v>
      </c>
      <c r="W22" s="31">
        <v>8</v>
      </c>
      <c r="X22" s="31">
        <v>1</v>
      </c>
      <c r="Y22" s="31">
        <v>5</v>
      </c>
      <c r="Z22" s="31">
        <v>0</v>
      </c>
      <c r="AA22" s="31">
        <v>0</v>
      </c>
      <c r="AB22" s="31">
        <v>0</v>
      </c>
      <c r="AC22" s="31">
        <v>3</v>
      </c>
      <c r="AD22" s="31">
        <v>0</v>
      </c>
      <c r="AE22" s="31">
        <v>96</v>
      </c>
      <c r="AF22" s="31">
        <v>10</v>
      </c>
      <c r="AG22" s="31">
        <v>7</v>
      </c>
      <c r="AH22" s="31">
        <v>114</v>
      </c>
      <c r="AI22" s="31">
        <v>11</v>
      </c>
      <c r="AJ22" s="31">
        <v>5</v>
      </c>
    </row>
    <row r="23" spans="1:36" s="23" customFormat="1" ht="15" customHeight="1" x14ac:dyDescent="0.2">
      <c r="A23" s="110" t="s">
        <v>6</v>
      </c>
      <c r="B23" s="32" t="s">
        <v>75</v>
      </c>
      <c r="C23" s="33" t="s">
        <v>2</v>
      </c>
      <c r="D23" s="22">
        <v>642</v>
      </c>
      <c r="E23" s="22">
        <v>432</v>
      </c>
      <c r="F23" s="22">
        <v>197</v>
      </c>
      <c r="G23" s="22">
        <v>13</v>
      </c>
      <c r="H23" s="22">
        <v>160</v>
      </c>
      <c r="I23" s="22">
        <v>146</v>
      </c>
      <c r="J23" s="22">
        <v>12</v>
      </c>
      <c r="K23" s="22">
        <v>2</v>
      </c>
      <c r="L23" s="22">
        <v>0</v>
      </c>
      <c r="M23" s="22">
        <v>7</v>
      </c>
      <c r="N23" s="22">
        <v>11</v>
      </c>
      <c r="O23" s="22">
        <v>0</v>
      </c>
      <c r="P23" s="22">
        <v>18</v>
      </c>
      <c r="Q23" s="22">
        <v>6</v>
      </c>
      <c r="R23" s="22">
        <v>0</v>
      </c>
      <c r="S23" s="22">
        <v>13</v>
      </c>
      <c r="T23" s="22">
        <v>1</v>
      </c>
      <c r="U23" s="22">
        <v>0</v>
      </c>
      <c r="V23" s="22">
        <v>8</v>
      </c>
      <c r="W23" s="22">
        <v>8</v>
      </c>
      <c r="X23" s="22">
        <v>1</v>
      </c>
      <c r="Y23" s="22">
        <v>5</v>
      </c>
      <c r="Z23" s="22">
        <v>0</v>
      </c>
      <c r="AA23" s="22">
        <v>0</v>
      </c>
      <c r="AB23" s="22">
        <v>0</v>
      </c>
      <c r="AC23" s="22">
        <v>3</v>
      </c>
      <c r="AD23" s="22">
        <v>0</v>
      </c>
      <c r="AE23" s="22">
        <v>96</v>
      </c>
      <c r="AF23" s="22">
        <v>9</v>
      </c>
      <c r="AG23" s="22">
        <v>7</v>
      </c>
      <c r="AH23" s="22">
        <v>113</v>
      </c>
      <c r="AI23" s="22">
        <v>11</v>
      </c>
      <c r="AJ23" s="22">
        <v>5</v>
      </c>
    </row>
    <row r="24" spans="1:36" s="23" customFormat="1" ht="15" customHeight="1" x14ac:dyDescent="0.2">
      <c r="A24" s="111"/>
      <c r="B24" s="34" t="s">
        <v>76</v>
      </c>
      <c r="C24" s="35" t="s">
        <v>194</v>
      </c>
      <c r="D24" s="22">
        <v>7</v>
      </c>
      <c r="E24" s="22">
        <v>5</v>
      </c>
      <c r="F24" s="22">
        <v>2</v>
      </c>
      <c r="G24" s="22">
        <v>0</v>
      </c>
      <c r="H24" s="22">
        <v>3</v>
      </c>
      <c r="I24" s="22">
        <v>1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1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1</v>
      </c>
      <c r="AG24" s="22">
        <v>0</v>
      </c>
      <c r="AH24" s="22">
        <v>1</v>
      </c>
      <c r="AI24" s="22">
        <v>0</v>
      </c>
      <c r="AJ24" s="22">
        <v>0</v>
      </c>
    </row>
    <row r="25" spans="1:36" s="23" customFormat="1" ht="15" customHeight="1" x14ac:dyDescent="0.2">
      <c r="A25" s="56" t="s">
        <v>130</v>
      </c>
      <c r="B25" s="29" t="s">
        <v>74</v>
      </c>
      <c r="C25" s="30" t="s">
        <v>0</v>
      </c>
      <c r="D25" s="31">
        <v>1507</v>
      </c>
      <c r="E25" s="31">
        <v>964</v>
      </c>
      <c r="F25" s="31">
        <v>529</v>
      </c>
      <c r="G25" s="31">
        <v>14</v>
      </c>
      <c r="H25" s="31">
        <v>398</v>
      </c>
      <c r="I25" s="31">
        <v>343</v>
      </c>
      <c r="J25" s="31">
        <v>18</v>
      </c>
      <c r="K25" s="31">
        <v>1</v>
      </c>
      <c r="L25" s="31">
        <v>0</v>
      </c>
      <c r="M25" s="31">
        <v>13</v>
      </c>
      <c r="N25" s="31">
        <v>27</v>
      </c>
      <c r="O25" s="31">
        <v>0</v>
      </c>
      <c r="P25" s="31">
        <v>35</v>
      </c>
      <c r="Q25" s="31">
        <v>17</v>
      </c>
      <c r="R25" s="31">
        <v>0</v>
      </c>
      <c r="S25" s="31">
        <v>25</v>
      </c>
      <c r="T25" s="31">
        <v>8</v>
      </c>
      <c r="U25" s="31">
        <v>0</v>
      </c>
      <c r="V25" s="31">
        <v>6</v>
      </c>
      <c r="W25" s="31">
        <v>4</v>
      </c>
      <c r="X25" s="31">
        <v>0</v>
      </c>
      <c r="Y25" s="31">
        <v>22</v>
      </c>
      <c r="Z25" s="31">
        <v>11</v>
      </c>
      <c r="AA25" s="31">
        <v>0</v>
      </c>
      <c r="AB25" s="31">
        <v>0</v>
      </c>
      <c r="AC25" s="31">
        <v>5</v>
      </c>
      <c r="AD25" s="31">
        <v>0</v>
      </c>
      <c r="AE25" s="31">
        <v>189</v>
      </c>
      <c r="AF25" s="31">
        <v>36</v>
      </c>
      <c r="AG25" s="31">
        <v>2</v>
      </c>
      <c r="AH25" s="31">
        <v>258</v>
      </c>
      <c r="AI25" s="31">
        <v>77</v>
      </c>
      <c r="AJ25" s="31">
        <v>12</v>
      </c>
    </row>
    <row r="26" spans="1:36" s="23" customFormat="1" ht="15" customHeight="1" x14ac:dyDescent="0.2">
      <c r="A26" s="110" t="s">
        <v>7</v>
      </c>
      <c r="B26" s="32" t="s">
        <v>75</v>
      </c>
      <c r="C26" s="33" t="s">
        <v>2</v>
      </c>
      <c r="D26" s="22">
        <v>1444</v>
      </c>
      <c r="E26" s="22">
        <v>927</v>
      </c>
      <c r="F26" s="22">
        <v>504</v>
      </c>
      <c r="G26" s="22">
        <v>13</v>
      </c>
      <c r="H26" s="22">
        <v>382</v>
      </c>
      <c r="I26" s="22">
        <v>324</v>
      </c>
      <c r="J26" s="22">
        <v>16</v>
      </c>
      <c r="K26" s="22">
        <v>1</v>
      </c>
      <c r="L26" s="22">
        <v>0</v>
      </c>
      <c r="M26" s="22">
        <v>11</v>
      </c>
      <c r="N26" s="22">
        <v>25</v>
      </c>
      <c r="O26" s="22">
        <v>0</v>
      </c>
      <c r="P26" s="22">
        <v>32</v>
      </c>
      <c r="Q26" s="22">
        <v>17</v>
      </c>
      <c r="R26" s="22">
        <v>0</v>
      </c>
      <c r="S26" s="22">
        <v>25</v>
      </c>
      <c r="T26" s="22">
        <v>8</v>
      </c>
      <c r="U26" s="22">
        <v>0</v>
      </c>
      <c r="V26" s="22">
        <v>6</v>
      </c>
      <c r="W26" s="22">
        <v>4</v>
      </c>
      <c r="X26" s="22">
        <v>0</v>
      </c>
      <c r="Y26" s="22">
        <v>21</v>
      </c>
      <c r="Z26" s="22">
        <v>11</v>
      </c>
      <c r="AA26" s="22">
        <v>0</v>
      </c>
      <c r="AB26" s="22">
        <v>0</v>
      </c>
      <c r="AC26" s="22">
        <v>5</v>
      </c>
      <c r="AD26" s="22">
        <v>0</v>
      </c>
      <c r="AE26" s="22">
        <v>186</v>
      </c>
      <c r="AF26" s="22">
        <v>35</v>
      </c>
      <c r="AG26" s="22">
        <v>2</v>
      </c>
      <c r="AH26" s="22">
        <v>248</v>
      </c>
      <c r="AI26" s="22">
        <v>74</v>
      </c>
      <c r="AJ26" s="22">
        <v>11</v>
      </c>
    </row>
    <row r="27" spans="1:36" s="23" customFormat="1" ht="15" customHeight="1" x14ac:dyDescent="0.2">
      <c r="A27" s="111"/>
      <c r="B27" s="34" t="s">
        <v>76</v>
      </c>
      <c r="C27" s="35" t="s">
        <v>194</v>
      </c>
      <c r="D27" s="22">
        <v>63</v>
      </c>
      <c r="E27" s="22">
        <v>37</v>
      </c>
      <c r="F27" s="22">
        <v>25</v>
      </c>
      <c r="G27" s="22">
        <v>1</v>
      </c>
      <c r="H27" s="22">
        <v>16</v>
      </c>
      <c r="I27" s="22">
        <v>19</v>
      </c>
      <c r="J27" s="22">
        <v>2</v>
      </c>
      <c r="K27" s="22">
        <v>0</v>
      </c>
      <c r="L27" s="22">
        <v>0</v>
      </c>
      <c r="M27" s="22">
        <v>2</v>
      </c>
      <c r="N27" s="22">
        <v>2</v>
      </c>
      <c r="O27" s="22">
        <v>0</v>
      </c>
      <c r="P27" s="22">
        <v>3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1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3</v>
      </c>
      <c r="AF27" s="22">
        <v>1</v>
      </c>
      <c r="AG27" s="22">
        <v>0</v>
      </c>
      <c r="AH27" s="22">
        <v>10</v>
      </c>
      <c r="AI27" s="22">
        <v>3</v>
      </c>
      <c r="AJ27" s="22">
        <v>1</v>
      </c>
    </row>
    <row r="28" spans="1:36" s="23" customFormat="1" ht="15" customHeight="1" x14ac:dyDescent="0.2">
      <c r="A28" s="26" t="s">
        <v>57</v>
      </c>
      <c r="B28" s="29" t="s">
        <v>74</v>
      </c>
      <c r="C28" s="30" t="s">
        <v>0</v>
      </c>
      <c r="D28" s="31">
        <v>163</v>
      </c>
      <c r="E28" s="31">
        <v>127</v>
      </c>
      <c r="F28" s="31">
        <v>30</v>
      </c>
      <c r="G28" s="31">
        <v>6</v>
      </c>
      <c r="H28" s="31">
        <v>31</v>
      </c>
      <c r="I28" s="31">
        <v>20</v>
      </c>
      <c r="J28" s="31">
        <v>0</v>
      </c>
      <c r="K28" s="31">
        <v>1</v>
      </c>
      <c r="L28" s="31">
        <v>1</v>
      </c>
      <c r="M28" s="31">
        <v>1</v>
      </c>
      <c r="N28" s="31">
        <v>2</v>
      </c>
      <c r="O28" s="31">
        <v>0</v>
      </c>
      <c r="P28" s="31">
        <v>5</v>
      </c>
      <c r="Q28" s="31">
        <v>1</v>
      </c>
      <c r="R28" s="31">
        <v>0</v>
      </c>
      <c r="S28" s="31">
        <v>4</v>
      </c>
      <c r="T28" s="31">
        <v>0</v>
      </c>
      <c r="U28" s="31">
        <v>0</v>
      </c>
      <c r="V28" s="31">
        <v>2</v>
      </c>
      <c r="W28" s="31">
        <v>0</v>
      </c>
      <c r="X28" s="31">
        <v>0</v>
      </c>
      <c r="Y28" s="31">
        <v>8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45</v>
      </c>
      <c r="AF28" s="31">
        <v>3</v>
      </c>
      <c r="AG28" s="31">
        <v>0</v>
      </c>
      <c r="AH28" s="31">
        <v>31</v>
      </c>
      <c r="AI28" s="31">
        <v>3</v>
      </c>
      <c r="AJ28" s="31">
        <v>5</v>
      </c>
    </row>
    <row r="29" spans="1:36" s="23" customFormat="1" ht="15" customHeight="1" x14ac:dyDescent="0.2">
      <c r="A29" s="25" t="s">
        <v>8</v>
      </c>
      <c r="B29" s="32" t="s">
        <v>75</v>
      </c>
      <c r="C29" s="33" t="s">
        <v>2</v>
      </c>
      <c r="D29" s="22">
        <v>147</v>
      </c>
      <c r="E29" s="22">
        <v>117</v>
      </c>
      <c r="F29" s="22">
        <v>25</v>
      </c>
      <c r="G29" s="22">
        <v>5</v>
      </c>
      <c r="H29" s="22">
        <v>29</v>
      </c>
      <c r="I29" s="22">
        <v>16</v>
      </c>
      <c r="J29" s="22">
        <v>0</v>
      </c>
      <c r="K29" s="22">
        <v>1</v>
      </c>
      <c r="L29" s="22">
        <v>0</v>
      </c>
      <c r="M29" s="22">
        <v>1</v>
      </c>
      <c r="N29" s="22">
        <v>1</v>
      </c>
      <c r="O29" s="22">
        <v>0</v>
      </c>
      <c r="P29" s="22">
        <v>5</v>
      </c>
      <c r="Q29" s="22">
        <v>1</v>
      </c>
      <c r="R29" s="22">
        <v>0</v>
      </c>
      <c r="S29" s="22">
        <v>3</v>
      </c>
      <c r="T29" s="22">
        <v>0</v>
      </c>
      <c r="U29" s="22">
        <v>0</v>
      </c>
      <c r="V29" s="22">
        <v>2</v>
      </c>
      <c r="W29" s="22">
        <v>0</v>
      </c>
      <c r="X29" s="22">
        <v>0</v>
      </c>
      <c r="Y29" s="22">
        <v>8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42</v>
      </c>
      <c r="AF29" s="22">
        <v>3</v>
      </c>
      <c r="AG29" s="22">
        <v>0</v>
      </c>
      <c r="AH29" s="22">
        <v>27</v>
      </c>
      <c r="AI29" s="22">
        <v>3</v>
      </c>
      <c r="AJ29" s="22">
        <v>5</v>
      </c>
    </row>
    <row r="30" spans="1:36" s="23" customFormat="1" ht="15" customHeight="1" x14ac:dyDescent="0.2">
      <c r="A30" s="24"/>
      <c r="B30" s="34" t="s">
        <v>76</v>
      </c>
      <c r="C30" s="35" t="s">
        <v>194</v>
      </c>
      <c r="D30" s="22">
        <v>16</v>
      </c>
      <c r="E30" s="22">
        <v>10</v>
      </c>
      <c r="F30" s="22">
        <v>5</v>
      </c>
      <c r="G30" s="22">
        <v>1</v>
      </c>
      <c r="H30" s="22">
        <v>2</v>
      </c>
      <c r="I30" s="22">
        <v>4</v>
      </c>
      <c r="J30" s="22">
        <v>0</v>
      </c>
      <c r="K30" s="22">
        <v>0</v>
      </c>
      <c r="L30" s="22">
        <v>1</v>
      </c>
      <c r="M30" s="22">
        <v>0</v>
      </c>
      <c r="N30" s="22">
        <v>1</v>
      </c>
      <c r="O30" s="22">
        <v>0</v>
      </c>
      <c r="P30" s="22">
        <v>0</v>
      </c>
      <c r="Q30" s="22">
        <v>0</v>
      </c>
      <c r="R30" s="22">
        <v>0</v>
      </c>
      <c r="S30" s="22">
        <v>1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3</v>
      </c>
      <c r="AF30" s="22">
        <v>0</v>
      </c>
      <c r="AG30" s="22">
        <v>0</v>
      </c>
      <c r="AH30" s="22">
        <v>4</v>
      </c>
      <c r="AI30" s="22">
        <v>0</v>
      </c>
      <c r="AJ30" s="22">
        <v>0</v>
      </c>
    </row>
    <row r="31" spans="1:36" s="23" customFormat="1" ht="15" customHeight="1" x14ac:dyDescent="0.2">
      <c r="A31" s="26" t="s">
        <v>58</v>
      </c>
      <c r="B31" s="29" t="s">
        <v>74</v>
      </c>
      <c r="C31" s="30" t="s">
        <v>0</v>
      </c>
      <c r="D31" s="31">
        <v>239</v>
      </c>
      <c r="E31" s="31">
        <v>183</v>
      </c>
      <c r="F31" s="31">
        <v>47</v>
      </c>
      <c r="G31" s="31">
        <v>9</v>
      </c>
      <c r="H31" s="31">
        <v>93</v>
      </c>
      <c r="I31" s="31">
        <v>33</v>
      </c>
      <c r="J31" s="31">
        <v>7</v>
      </c>
      <c r="K31" s="31">
        <v>2</v>
      </c>
      <c r="L31" s="31">
        <v>0</v>
      </c>
      <c r="M31" s="31">
        <v>1</v>
      </c>
      <c r="N31" s="31">
        <v>0</v>
      </c>
      <c r="O31" s="31">
        <v>0</v>
      </c>
      <c r="P31" s="31">
        <v>3</v>
      </c>
      <c r="Q31" s="31">
        <v>3</v>
      </c>
      <c r="R31" s="31">
        <v>0</v>
      </c>
      <c r="S31" s="31">
        <v>1</v>
      </c>
      <c r="T31" s="31">
        <v>1</v>
      </c>
      <c r="U31" s="31">
        <v>0</v>
      </c>
      <c r="V31" s="31">
        <v>1</v>
      </c>
      <c r="W31" s="31">
        <v>1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16</v>
      </c>
      <c r="AF31" s="31">
        <v>5</v>
      </c>
      <c r="AG31" s="31">
        <v>1</v>
      </c>
      <c r="AH31" s="31">
        <v>61</v>
      </c>
      <c r="AI31" s="31">
        <v>2</v>
      </c>
      <c r="AJ31" s="31">
        <v>8</v>
      </c>
    </row>
    <row r="32" spans="1:36" s="23" customFormat="1" ht="15" customHeight="1" x14ac:dyDescent="0.2">
      <c r="A32" s="110" t="s">
        <v>9</v>
      </c>
      <c r="B32" s="32" t="s">
        <v>75</v>
      </c>
      <c r="C32" s="33" t="s">
        <v>2</v>
      </c>
      <c r="D32" s="22">
        <v>198</v>
      </c>
      <c r="E32" s="22">
        <v>148</v>
      </c>
      <c r="F32" s="22">
        <v>42</v>
      </c>
      <c r="G32" s="22">
        <v>8</v>
      </c>
      <c r="H32" s="22">
        <v>77</v>
      </c>
      <c r="I32" s="22">
        <v>30</v>
      </c>
      <c r="J32" s="22">
        <v>5</v>
      </c>
      <c r="K32" s="22">
        <v>2</v>
      </c>
      <c r="L32" s="22">
        <v>0</v>
      </c>
      <c r="M32" s="22">
        <v>1</v>
      </c>
      <c r="N32" s="22">
        <v>0</v>
      </c>
      <c r="O32" s="22">
        <v>0</v>
      </c>
      <c r="P32" s="22">
        <v>2</v>
      </c>
      <c r="Q32" s="22">
        <v>2</v>
      </c>
      <c r="R32" s="22">
        <v>0</v>
      </c>
      <c r="S32" s="22">
        <v>1</v>
      </c>
      <c r="T32" s="22">
        <v>1</v>
      </c>
      <c r="U32" s="22">
        <v>0</v>
      </c>
      <c r="V32" s="22">
        <v>0</v>
      </c>
      <c r="W32" s="22">
        <v>1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11</v>
      </c>
      <c r="AF32" s="22">
        <v>5</v>
      </c>
      <c r="AG32" s="22">
        <v>0</v>
      </c>
      <c r="AH32" s="22">
        <v>51</v>
      </c>
      <c r="AI32" s="22">
        <v>1</v>
      </c>
      <c r="AJ32" s="22">
        <v>8</v>
      </c>
    </row>
    <row r="33" spans="1:36" s="23" customFormat="1" ht="15" customHeight="1" x14ac:dyDescent="0.2">
      <c r="A33" s="111"/>
      <c r="B33" s="34" t="s">
        <v>76</v>
      </c>
      <c r="C33" s="35" t="s">
        <v>194</v>
      </c>
      <c r="D33" s="22">
        <v>41</v>
      </c>
      <c r="E33" s="22">
        <v>35</v>
      </c>
      <c r="F33" s="22">
        <v>5</v>
      </c>
      <c r="G33" s="22">
        <v>1</v>
      </c>
      <c r="H33" s="22">
        <v>16</v>
      </c>
      <c r="I33" s="22">
        <v>3</v>
      </c>
      <c r="J33" s="22">
        <v>2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1</v>
      </c>
      <c r="Q33" s="22">
        <v>1</v>
      </c>
      <c r="R33" s="22">
        <v>0</v>
      </c>
      <c r="S33" s="22">
        <v>0</v>
      </c>
      <c r="T33" s="22">
        <v>0</v>
      </c>
      <c r="U33" s="22">
        <v>0</v>
      </c>
      <c r="V33" s="22">
        <v>1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5</v>
      </c>
      <c r="AF33" s="22">
        <v>0</v>
      </c>
      <c r="AG33" s="22">
        <v>1</v>
      </c>
      <c r="AH33" s="22">
        <v>10</v>
      </c>
      <c r="AI33" s="22">
        <v>1</v>
      </c>
      <c r="AJ33" s="22">
        <v>0</v>
      </c>
    </row>
    <row r="34" spans="1:36" s="23" customFormat="1" ht="15" customHeight="1" x14ac:dyDescent="0.2">
      <c r="A34" s="26" t="s">
        <v>59</v>
      </c>
      <c r="B34" s="29" t="s">
        <v>74</v>
      </c>
      <c r="C34" s="30" t="s">
        <v>0</v>
      </c>
      <c r="D34" s="31">
        <v>184</v>
      </c>
      <c r="E34" s="31">
        <v>145</v>
      </c>
      <c r="F34" s="31">
        <v>36</v>
      </c>
      <c r="G34" s="31">
        <v>3</v>
      </c>
      <c r="H34" s="31">
        <v>28</v>
      </c>
      <c r="I34" s="31">
        <v>23</v>
      </c>
      <c r="J34" s="31">
        <v>4</v>
      </c>
      <c r="K34" s="31">
        <v>0</v>
      </c>
      <c r="L34" s="31">
        <v>0</v>
      </c>
      <c r="M34" s="31">
        <v>1</v>
      </c>
      <c r="N34" s="31">
        <v>1</v>
      </c>
      <c r="O34" s="31">
        <v>0</v>
      </c>
      <c r="P34" s="31">
        <v>8</v>
      </c>
      <c r="Q34" s="31">
        <v>1</v>
      </c>
      <c r="R34" s="31">
        <v>0</v>
      </c>
      <c r="S34" s="31">
        <v>9</v>
      </c>
      <c r="T34" s="31">
        <v>1</v>
      </c>
      <c r="U34" s="31">
        <v>0</v>
      </c>
      <c r="V34" s="31">
        <v>1</v>
      </c>
      <c r="W34" s="31">
        <v>0</v>
      </c>
      <c r="X34" s="31">
        <v>0</v>
      </c>
      <c r="Y34" s="31">
        <v>6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36</v>
      </c>
      <c r="AF34" s="31">
        <v>3</v>
      </c>
      <c r="AG34" s="31">
        <v>1</v>
      </c>
      <c r="AH34" s="31">
        <v>52</v>
      </c>
      <c r="AI34" s="31">
        <v>7</v>
      </c>
      <c r="AJ34" s="31">
        <v>2</v>
      </c>
    </row>
    <row r="35" spans="1:36" s="23" customFormat="1" ht="15" customHeight="1" x14ac:dyDescent="0.2">
      <c r="A35" s="110" t="s">
        <v>10</v>
      </c>
      <c r="B35" s="32" t="s">
        <v>75</v>
      </c>
      <c r="C35" s="33" t="s">
        <v>2</v>
      </c>
      <c r="D35" s="22">
        <v>166</v>
      </c>
      <c r="E35" s="22">
        <v>133</v>
      </c>
      <c r="F35" s="22">
        <v>30</v>
      </c>
      <c r="G35" s="22">
        <v>3</v>
      </c>
      <c r="H35" s="22">
        <v>27</v>
      </c>
      <c r="I35" s="22">
        <v>18</v>
      </c>
      <c r="J35" s="22">
        <v>3</v>
      </c>
      <c r="K35" s="22">
        <v>0</v>
      </c>
      <c r="L35" s="22">
        <v>0</v>
      </c>
      <c r="M35" s="22">
        <v>1</v>
      </c>
      <c r="N35" s="22">
        <v>1</v>
      </c>
      <c r="O35" s="22">
        <v>0</v>
      </c>
      <c r="P35" s="22">
        <v>8</v>
      </c>
      <c r="Q35" s="22">
        <v>0</v>
      </c>
      <c r="R35" s="22">
        <v>0</v>
      </c>
      <c r="S35" s="22">
        <v>8</v>
      </c>
      <c r="T35" s="22">
        <v>1</v>
      </c>
      <c r="U35" s="22">
        <v>0</v>
      </c>
      <c r="V35" s="22">
        <v>1</v>
      </c>
      <c r="W35" s="22">
        <v>0</v>
      </c>
      <c r="X35" s="22">
        <v>0</v>
      </c>
      <c r="Y35" s="22">
        <v>6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29</v>
      </c>
      <c r="AF35" s="22">
        <v>3</v>
      </c>
      <c r="AG35" s="22">
        <v>1</v>
      </c>
      <c r="AH35" s="22">
        <v>50</v>
      </c>
      <c r="AI35" s="22">
        <v>7</v>
      </c>
      <c r="AJ35" s="22">
        <v>2</v>
      </c>
    </row>
    <row r="36" spans="1:36" s="23" customFormat="1" ht="15" customHeight="1" x14ac:dyDescent="0.2">
      <c r="A36" s="111"/>
      <c r="B36" s="34" t="s">
        <v>76</v>
      </c>
      <c r="C36" s="35" t="s">
        <v>194</v>
      </c>
      <c r="D36" s="22">
        <v>18</v>
      </c>
      <c r="E36" s="22">
        <v>12</v>
      </c>
      <c r="F36" s="22">
        <v>6</v>
      </c>
      <c r="G36" s="22">
        <v>0</v>
      </c>
      <c r="H36" s="22">
        <v>1</v>
      </c>
      <c r="I36" s="22">
        <v>5</v>
      </c>
      <c r="J36" s="22">
        <v>1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1</v>
      </c>
      <c r="R36" s="22">
        <v>0</v>
      </c>
      <c r="S36" s="22">
        <v>1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7</v>
      </c>
      <c r="AF36" s="22">
        <v>0</v>
      </c>
      <c r="AG36" s="22">
        <v>0</v>
      </c>
      <c r="AH36" s="22">
        <v>2</v>
      </c>
      <c r="AI36" s="22">
        <v>0</v>
      </c>
      <c r="AJ36" s="22">
        <v>0</v>
      </c>
    </row>
    <row r="37" spans="1:36" s="23" customFormat="1" ht="15" customHeight="1" x14ac:dyDescent="0.2">
      <c r="A37" s="26" t="s">
        <v>60</v>
      </c>
      <c r="B37" s="29" t="s">
        <v>74</v>
      </c>
      <c r="C37" s="30" t="s">
        <v>0</v>
      </c>
      <c r="D37" s="31">
        <v>353</v>
      </c>
      <c r="E37" s="31">
        <v>251</v>
      </c>
      <c r="F37" s="31">
        <v>96</v>
      </c>
      <c r="G37" s="31">
        <v>6</v>
      </c>
      <c r="H37" s="31">
        <v>93</v>
      </c>
      <c r="I37" s="31">
        <v>64</v>
      </c>
      <c r="J37" s="31">
        <v>9</v>
      </c>
      <c r="K37" s="31">
        <v>0</v>
      </c>
      <c r="L37" s="31">
        <v>0</v>
      </c>
      <c r="M37" s="31">
        <v>5</v>
      </c>
      <c r="N37" s="31">
        <v>6</v>
      </c>
      <c r="O37" s="31">
        <v>0</v>
      </c>
      <c r="P37" s="31">
        <v>11</v>
      </c>
      <c r="Q37" s="31">
        <v>4</v>
      </c>
      <c r="R37" s="31">
        <v>2</v>
      </c>
      <c r="S37" s="31">
        <v>9</v>
      </c>
      <c r="T37" s="31">
        <v>4</v>
      </c>
      <c r="U37" s="31">
        <v>0</v>
      </c>
      <c r="V37" s="31">
        <v>1</v>
      </c>
      <c r="W37" s="31">
        <v>0</v>
      </c>
      <c r="X37" s="31">
        <v>0</v>
      </c>
      <c r="Y37" s="31">
        <v>7</v>
      </c>
      <c r="Z37" s="31">
        <v>0</v>
      </c>
      <c r="AA37" s="31">
        <v>1</v>
      </c>
      <c r="AB37" s="31">
        <v>0</v>
      </c>
      <c r="AC37" s="31">
        <v>0</v>
      </c>
      <c r="AD37" s="31">
        <v>0</v>
      </c>
      <c r="AE37" s="31">
        <v>54</v>
      </c>
      <c r="AF37" s="31">
        <v>5</v>
      </c>
      <c r="AG37" s="31">
        <v>0</v>
      </c>
      <c r="AH37" s="31">
        <v>62</v>
      </c>
      <c r="AI37" s="31">
        <v>13</v>
      </c>
      <c r="AJ37" s="31">
        <v>3</v>
      </c>
    </row>
    <row r="38" spans="1:36" s="23" customFormat="1" ht="15" customHeight="1" x14ac:dyDescent="0.2">
      <c r="A38" s="110" t="s">
        <v>11</v>
      </c>
      <c r="B38" s="32" t="s">
        <v>75</v>
      </c>
      <c r="C38" s="33" t="s">
        <v>2</v>
      </c>
      <c r="D38" s="22">
        <v>348</v>
      </c>
      <c r="E38" s="22">
        <v>246</v>
      </c>
      <c r="F38" s="22">
        <v>96</v>
      </c>
      <c r="G38" s="22">
        <v>6</v>
      </c>
      <c r="H38" s="22">
        <v>92</v>
      </c>
      <c r="I38" s="22">
        <v>64</v>
      </c>
      <c r="J38" s="22">
        <v>9</v>
      </c>
      <c r="K38" s="22">
        <v>0</v>
      </c>
      <c r="L38" s="22">
        <v>0</v>
      </c>
      <c r="M38" s="22">
        <v>5</v>
      </c>
      <c r="N38" s="22">
        <v>6</v>
      </c>
      <c r="O38" s="22">
        <v>0</v>
      </c>
      <c r="P38" s="22">
        <v>10</v>
      </c>
      <c r="Q38" s="22">
        <v>4</v>
      </c>
      <c r="R38" s="22">
        <v>2</v>
      </c>
      <c r="S38" s="22">
        <v>9</v>
      </c>
      <c r="T38" s="22">
        <v>4</v>
      </c>
      <c r="U38" s="22">
        <v>0</v>
      </c>
      <c r="V38" s="22">
        <v>1</v>
      </c>
      <c r="W38" s="22">
        <v>0</v>
      </c>
      <c r="X38" s="22">
        <v>0</v>
      </c>
      <c r="Y38" s="22">
        <v>7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53</v>
      </c>
      <c r="AF38" s="22">
        <v>5</v>
      </c>
      <c r="AG38" s="22">
        <v>0</v>
      </c>
      <c r="AH38" s="22">
        <v>60</v>
      </c>
      <c r="AI38" s="22">
        <v>13</v>
      </c>
      <c r="AJ38" s="22">
        <v>3</v>
      </c>
    </row>
    <row r="39" spans="1:36" s="23" customFormat="1" ht="15" customHeight="1" x14ac:dyDescent="0.2">
      <c r="A39" s="111"/>
      <c r="B39" s="34" t="s">
        <v>76</v>
      </c>
      <c r="C39" s="35" t="s">
        <v>194</v>
      </c>
      <c r="D39" s="22">
        <v>5</v>
      </c>
      <c r="E39" s="22">
        <v>5</v>
      </c>
      <c r="F39" s="22">
        <v>0</v>
      </c>
      <c r="G39" s="22">
        <v>0</v>
      </c>
      <c r="H39" s="22">
        <v>1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1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1</v>
      </c>
      <c r="AF39" s="22">
        <v>0</v>
      </c>
      <c r="AG39" s="22">
        <v>0</v>
      </c>
      <c r="AH39" s="22">
        <v>2</v>
      </c>
      <c r="AI39" s="22">
        <v>0</v>
      </c>
      <c r="AJ39" s="22">
        <v>0</v>
      </c>
    </row>
    <row r="40" spans="1:36" s="23" customFormat="1" ht="15" customHeight="1" x14ac:dyDescent="0.2">
      <c r="A40" s="26" t="s">
        <v>61</v>
      </c>
      <c r="B40" s="29" t="s">
        <v>74</v>
      </c>
      <c r="C40" s="30" t="s">
        <v>0</v>
      </c>
      <c r="D40" s="31">
        <v>179</v>
      </c>
      <c r="E40" s="31">
        <v>141</v>
      </c>
      <c r="F40" s="31">
        <v>34</v>
      </c>
      <c r="G40" s="31">
        <v>4</v>
      </c>
      <c r="H40" s="31">
        <v>45</v>
      </c>
      <c r="I40" s="31">
        <v>21</v>
      </c>
      <c r="J40" s="31">
        <v>2</v>
      </c>
      <c r="K40" s="31">
        <v>0</v>
      </c>
      <c r="L40" s="31">
        <v>1</v>
      </c>
      <c r="M40" s="31">
        <v>1</v>
      </c>
      <c r="N40" s="31">
        <v>0</v>
      </c>
      <c r="O40" s="31">
        <v>0</v>
      </c>
      <c r="P40" s="31">
        <v>4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1</v>
      </c>
      <c r="Z40" s="31">
        <v>0</v>
      </c>
      <c r="AA40" s="31">
        <v>0</v>
      </c>
      <c r="AB40" s="31">
        <v>0</v>
      </c>
      <c r="AC40" s="31">
        <v>1</v>
      </c>
      <c r="AD40" s="31">
        <v>0</v>
      </c>
      <c r="AE40" s="31">
        <v>18</v>
      </c>
      <c r="AF40" s="31">
        <v>0</v>
      </c>
      <c r="AG40" s="31">
        <v>1</v>
      </c>
      <c r="AH40" s="31">
        <v>70</v>
      </c>
      <c r="AI40" s="31">
        <v>12</v>
      </c>
      <c r="AJ40" s="31">
        <v>2</v>
      </c>
    </row>
    <row r="41" spans="1:36" s="23" customFormat="1" ht="15" customHeight="1" x14ac:dyDescent="0.2">
      <c r="A41" s="110" t="s">
        <v>12</v>
      </c>
      <c r="B41" s="32" t="s">
        <v>75</v>
      </c>
      <c r="C41" s="33" t="s">
        <v>2</v>
      </c>
      <c r="D41" s="22">
        <v>144</v>
      </c>
      <c r="E41" s="22">
        <v>112</v>
      </c>
      <c r="F41" s="22">
        <v>29</v>
      </c>
      <c r="G41" s="22">
        <v>3</v>
      </c>
      <c r="H41" s="22">
        <v>34</v>
      </c>
      <c r="I41" s="22">
        <v>18</v>
      </c>
      <c r="J41" s="22">
        <v>2</v>
      </c>
      <c r="K41" s="22">
        <v>0</v>
      </c>
      <c r="L41" s="22">
        <v>1</v>
      </c>
      <c r="M41" s="22">
        <v>1</v>
      </c>
      <c r="N41" s="22">
        <v>0</v>
      </c>
      <c r="O41" s="22">
        <v>0</v>
      </c>
      <c r="P41" s="22">
        <v>3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1</v>
      </c>
      <c r="AD41" s="22">
        <v>0</v>
      </c>
      <c r="AE41" s="22">
        <v>18</v>
      </c>
      <c r="AF41" s="22">
        <v>0</v>
      </c>
      <c r="AG41" s="22">
        <v>0</v>
      </c>
      <c r="AH41" s="22">
        <v>54</v>
      </c>
      <c r="AI41" s="22">
        <v>10</v>
      </c>
      <c r="AJ41" s="22">
        <v>2</v>
      </c>
    </row>
    <row r="42" spans="1:36" s="23" customFormat="1" ht="15" customHeight="1" x14ac:dyDescent="0.2">
      <c r="A42" s="111"/>
      <c r="B42" s="34" t="s">
        <v>76</v>
      </c>
      <c r="C42" s="35" t="s">
        <v>194</v>
      </c>
      <c r="D42" s="22">
        <v>35</v>
      </c>
      <c r="E42" s="22">
        <v>29</v>
      </c>
      <c r="F42" s="22">
        <v>5</v>
      </c>
      <c r="G42" s="22">
        <v>1</v>
      </c>
      <c r="H42" s="22">
        <v>11</v>
      </c>
      <c r="I42" s="22">
        <v>3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1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1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1</v>
      </c>
      <c r="AH42" s="22">
        <v>16</v>
      </c>
      <c r="AI42" s="22">
        <v>2</v>
      </c>
      <c r="AJ42" s="22">
        <v>0</v>
      </c>
    </row>
    <row r="43" spans="1:36" s="23" customFormat="1" ht="15" customHeight="1" x14ac:dyDescent="0.2">
      <c r="A43" s="26" t="s">
        <v>62</v>
      </c>
      <c r="B43" s="29" t="s">
        <v>74</v>
      </c>
      <c r="C43" s="30" t="s">
        <v>0</v>
      </c>
      <c r="D43" s="31">
        <v>206</v>
      </c>
      <c r="E43" s="31">
        <v>148</v>
      </c>
      <c r="F43" s="31">
        <v>57</v>
      </c>
      <c r="G43" s="31">
        <v>1</v>
      </c>
      <c r="H43" s="31">
        <v>60</v>
      </c>
      <c r="I43" s="31">
        <v>36</v>
      </c>
      <c r="J43" s="31">
        <v>3</v>
      </c>
      <c r="K43" s="31">
        <v>0</v>
      </c>
      <c r="L43" s="31">
        <v>0</v>
      </c>
      <c r="M43" s="31">
        <v>2</v>
      </c>
      <c r="N43" s="31">
        <v>3</v>
      </c>
      <c r="O43" s="31">
        <v>0</v>
      </c>
      <c r="P43" s="31">
        <v>5</v>
      </c>
      <c r="Q43" s="31">
        <v>1</v>
      </c>
      <c r="R43" s="31">
        <v>0</v>
      </c>
      <c r="S43" s="31">
        <v>6</v>
      </c>
      <c r="T43" s="31">
        <v>1</v>
      </c>
      <c r="U43" s="31">
        <v>0</v>
      </c>
      <c r="V43" s="31">
        <v>2</v>
      </c>
      <c r="W43" s="31">
        <v>0</v>
      </c>
      <c r="X43" s="31">
        <v>0</v>
      </c>
      <c r="Y43" s="31">
        <v>5</v>
      </c>
      <c r="Z43" s="31">
        <v>2</v>
      </c>
      <c r="AA43" s="31">
        <v>0</v>
      </c>
      <c r="AB43" s="31">
        <v>0</v>
      </c>
      <c r="AC43" s="31">
        <v>1</v>
      </c>
      <c r="AD43" s="31">
        <v>0</v>
      </c>
      <c r="AE43" s="31">
        <v>40</v>
      </c>
      <c r="AF43" s="31">
        <v>7</v>
      </c>
      <c r="AG43" s="31">
        <v>0</v>
      </c>
      <c r="AH43" s="31">
        <v>25</v>
      </c>
      <c r="AI43" s="31">
        <v>6</v>
      </c>
      <c r="AJ43" s="31">
        <v>1</v>
      </c>
    </row>
    <row r="44" spans="1:36" s="23" customFormat="1" ht="15" customHeight="1" x14ac:dyDescent="0.2">
      <c r="A44" s="110" t="s">
        <v>13</v>
      </c>
      <c r="B44" s="32" t="s">
        <v>75</v>
      </c>
      <c r="C44" s="33" t="s">
        <v>2</v>
      </c>
      <c r="D44" s="22">
        <v>204</v>
      </c>
      <c r="E44" s="22">
        <v>146</v>
      </c>
      <c r="F44" s="22">
        <v>57</v>
      </c>
      <c r="G44" s="22">
        <v>1</v>
      </c>
      <c r="H44" s="22">
        <v>60</v>
      </c>
      <c r="I44" s="22">
        <v>36</v>
      </c>
      <c r="J44" s="22">
        <v>3</v>
      </c>
      <c r="K44" s="22">
        <v>0</v>
      </c>
      <c r="L44" s="22">
        <v>0</v>
      </c>
      <c r="M44" s="22">
        <v>2</v>
      </c>
      <c r="N44" s="22">
        <v>3</v>
      </c>
      <c r="O44" s="22">
        <v>0</v>
      </c>
      <c r="P44" s="22">
        <v>5</v>
      </c>
      <c r="Q44" s="22">
        <v>1</v>
      </c>
      <c r="R44" s="22">
        <v>0</v>
      </c>
      <c r="S44" s="22">
        <v>6</v>
      </c>
      <c r="T44" s="22">
        <v>1</v>
      </c>
      <c r="U44" s="22">
        <v>0</v>
      </c>
      <c r="V44" s="22">
        <v>2</v>
      </c>
      <c r="W44" s="22">
        <v>0</v>
      </c>
      <c r="X44" s="22">
        <v>0</v>
      </c>
      <c r="Y44" s="22">
        <v>5</v>
      </c>
      <c r="Z44" s="22">
        <v>2</v>
      </c>
      <c r="AA44" s="22">
        <v>0</v>
      </c>
      <c r="AB44" s="22">
        <v>0</v>
      </c>
      <c r="AC44" s="22">
        <v>1</v>
      </c>
      <c r="AD44" s="22">
        <v>0</v>
      </c>
      <c r="AE44" s="22">
        <v>39</v>
      </c>
      <c r="AF44" s="22">
        <v>7</v>
      </c>
      <c r="AG44" s="22">
        <v>0</v>
      </c>
      <c r="AH44" s="22">
        <v>24</v>
      </c>
      <c r="AI44" s="22">
        <v>6</v>
      </c>
      <c r="AJ44" s="22">
        <v>1</v>
      </c>
    </row>
    <row r="45" spans="1:36" s="23" customFormat="1" ht="15" customHeight="1" x14ac:dyDescent="0.2">
      <c r="A45" s="111"/>
      <c r="B45" s="34" t="s">
        <v>76</v>
      </c>
      <c r="C45" s="35" t="s">
        <v>194</v>
      </c>
      <c r="D45" s="22">
        <v>2</v>
      </c>
      <c r="E45" s="22">
        <v>2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1</v>
      </c>
      <c r="AF45" s="22">
        <v>0</v>
      </c>
      <c r="AG45" s="22">
        <v>0</v>
      </c>
      <c r="AH45" s="22">
        <v>1</v>
      </c>
      <c r="AI45" s="22">
        <v>0</v>
      </c>
      <c r="AJ45" s="22">
        <v>0</v>
      </c>
    </row>
    <row r="46" spans="1:36" s="23" customFormat="1" ht="15" customHeight="1" x14ac:dyDescent="0.2">
      <c r="A46" s="26" t="s">
        <v>63</v>
      </c>
      <c r="B46" s="29" t="s">
        <v>74</v>
      </c>
      <c r="C46" s="30" t="s">
        <v>0</v>
      </c>
      <c r="D46" s="31">
        <v>118</v>
      </c>
      <c r="E46" s="31">
        <v>92</v>
      </c>
      <c r="F46" s="31">
        <v>23</v>
      </c>
      <c r="G46" s="31">
        <v>3</v>
      </c>
      <c r="H46" s="31">
        <v>28</v>
      </c>
      <c r="I46" s="31">
        <v>17</v>
      </c>
      <c r="J46" s="31">
        <v>4</v>
      </c>
      <c r="K46" s="31">
        <v>1</v>
      </c>
      <c r="L46" s="31">
        <v>0</v>
      </c>
      <c r="M46" s="31">
        <v>1</v>
      </c>
      <c r="N46" s="31">
        <v>0</v>
      </c>
      <c r="O46" s="31">
        <v>0</v>
      </c>
      <c r="P46" s="31">
        <v>4</v>
      </c>
      <c r="Q46" s="31">
        <v>0</v>
      </c>
      <c r="R46" s="31">
        <v>0</v>
      </c>
      <c r="S46" s="31">
        <v>2</v>
      </c>
      <c r="T46" s="31">
        <v>2</v>
      </c>
      <c r="U46" s="31">
        <v>0</v>
      </c>
      <c r="V46" s="31">
        <v>4</v>
      </c>
      <c r="W46" s="31">
        <v>0</v>
      </c>
      <c r="X46" s="31">
        <v>0</v>
      </c>
      <c r="Y46" s="31">
        <v>6</v>
      </c>
      <c r="Z46" s="31">
        <v>1</v>
      </c>
      <c r="AA46" s="31">
        <v>0</v>
      </c>
      <c r="AB46" s="31">
        <v>0</v>
      </c>
      <c r="AC46" s="31">
        <v>0</v>
      </c>
      <c r="AD46" s="31">
        <v>0</v>
      </c>
      <c r="AE46" s="31">
        <v>35</v>
      </c>
      <c r="AF46" s="31">
        <v>0</v>
      </c>
      <c r="AG46" s="31">
        <v>0</v>
      </c>
      <c r="AH46" s="31">
        <v>8</v>
      </c>
      <c r="AI46" s="31">
        <v>2</v>
      </c>
      <c r="AJ46" s="31">
        <v>3</v>
      </c>
    </row>
    <row r="47" spans="1:36" s="23" customFormat="1" ht="15" customHeight="1" x14ac:dyDescent="0.2">
      <c r="A47" s="110" t="s">
        <v>14</v>
      </c>
      <c r="B47" s="32" t="s">
        <v>75</v>
      </c>
      <c r="C47" s="33" t="s">
        <v>2</v>
      </c>
      <c r="D47" s="22">
        <v>118</v>
      </c>
      <c r="E47" s="22">
        <v>92</v>
      </c>
      <c r="F47" s="22">
        <v>23</v>
      </c>
      <c r="G47" s="22">
        <v>3</v>
      </c>
      <c r="H47" s="22">
        <v>28</v>
      </c>
      <c r="I47" s="22">
        <v>17</v>
      </c>
      <c r="J47" s="22">
        <v>4</v>
      </c>
      <c r="K47" s="22">
        <v>1</v>
      </c>
      <c r="L47" s="22">
        <v>0</v>
      </c>
      <c r="M47" s="22">
        <v>1</v>
      </c>
      <c r="N47" s="22">
        <v>0</v>
      </c>
      <c r="O47" s="22">
        <v>0</v>
      </c>
      <c r="P47" s="22">
        <v>4</v>
      </c>
      <c r="Q47" s="22">
        <v>0</v>
      </c>
      <c r="R47" s="22">
        <v>0</v>
      </c>
      <c r="S47" s="22">
        <v>2</v>
      </c>
      <c r="T47" s="22">
        <v>2</v>
      </c>
      <c r="U47" s="22">
        <v>0</v>
      </c>
      <c r="V47" s="22">
        <v>4</v>
      </c>
      <c r="W47" s="22">
        <v>0</v>
      </c>
      <c r="X47" s="22">
        <v>0</v>
      </c>
      <c r="Y47" s="22">
        <v>6</v>
      </c>
      <c r="Z47" s="22">
        <v>1</v>
      </c>
      <c r="AA47" s="22">
        <v>0</v>
      </c>
      <c r="AB47" s="22">
        <v>0</v>
      </c>
      <c r="AC47" s="22">
        <v>0</v>
      </c>
      <c r="AD47" s="22">
        <v>0</v>
      </c>
      <c r="AE47" s="22">
        <v>35</v>
      </c>
      <c r="AF47" s="22">
        <v>0</v>
      </c>
      <c r="AG47" s="22">
        <v>0</v>
      </c>
      <c r="AH47" s="22">
        <v>8</v>
      </c>
      <c r="AI47" s="22">
        <v>2</v>
      </c>
      <c r="AJ47" s="22">
        <v>3</v>
      </c>
    </row>
    <row r="48" spans="1:36" s="23" customFormat="1" ht="15" customHeight="1" x14ac:dyDescent="0.2">
      <c r="A48" s="111"/>
      <c r="B48" s="34" t="s">
        <v>76</v>
      </c>
      <c r="C48" s="35" t="s">
        <v>194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</row>
    <row r="49" spans="1:36" s="23" customFormat="1" ht="15" customHeight="1" x14ac:dyDescent="0.2">
      <c r="A49" s="26" t="s">
        <v>64</v>
      </c>
      <c r="B49" s="29" t="s">
        <v>74</v>
      </c>
      <c r="C49" s="30" t="s">
        <v>0</v>
      </c>
      <c r="D49" s="31">
        <v>515</v>
      </c>
      <c r="E49" s="31">
        <v>342</v>
      </c>
      <c r="F49" s="31">
        <v>168</v>
      </c>
      <c r="G49" s="31">
        <v>5</v>
      </c>
      <c r="H49" s="31">
        <v>143</v>
      </c>
      <c r="I49" s="31">
        <v>92</v>
      </c>
      <c r="J49" s="31">
        <v>5</v>
      </c>
      <c r="K49" s="31">
        <v>0</v>
      </c>
      <c r="L49" s="31">
        <v>0</v>
      </c>
      <c r="M49" s="31">
        <v>5</v>
      </c>
      <c r="N49" s="31">
        <v>8</v>
      </c>
      <c r="O49" s="31">
        <v>0</v>
      </c>
      <c r="P49" s="31">
        <v>13</v>
      </c>
      <c r="Q49" s="31">
        <v>3</v>
      </c>
      <c r="R49" s="31">
        <v>0</v>
      </c>
      <c r="S49" s="31">
        <v>14</v>
      </c>
      <c r="T49" s="31">
        <v>6</v>
      </c>
      <c r="U49" s="31">
        <v>0</v>
      </c>
      <c r="V49" s="31">
        <v>0</v>
      </c>
      <c r="W49" s="31">
        <v>1</v>
      </c>
      <c r="X49" s="31">
        <v>0</v>
      </c>
      <c r="Y49" s="31">
        <v>7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47</v>
      </c>
      <c r="AF49" s="31">
        <v>5</v>
      </c>
      <c r="AG49" s="31">
        <v>1</v>
      </c>
      <c r="AH49" s="31">
        <v>108</v>
      </c>
      <c r="AI49" s="31">
        <v>53</v>
      </c>
      <c r="AJ49" s="31">
        <v>4</v>
      </c>
    </row>
    <row r="50" spans="1:36" s="23" customFormat="1" ht="15" customHeight="1" x14ac:dyDescent="0.2">
      <c r="A50" s="110" t="s">
        <v>15</v>
      </c>
      <c r="B50" s="32" t="s">
        <v>75</v>
      </c>
      <c r="C50" s="33" t="s">
        <v>2</v>
      </c>
      <c r="D50" s="22">
        <v>434</v>
      </c>
      <c r="E50" s="22">
        <v>296</v>
      </c>
      <c r="F50" s="22">
        <v>133</v>
      </c>
      <c r="G50" s="22">
        <v>5</v>
      </c>
      <c r="H50" s="22">
        <v>130</v>
      </c>
      <c r="I50" s="22">
        <v>74</v>
      </c>
      <c r="J50" s="22">
        <v>2</v>
      </c>
      <c r="K50" s="22">
        <v>0</v>
      </c>
      <c r="L50" s="22">
        <v>0</v>
      </c>
      <c r="M50" s="22">
        <v>3</v>
      </c>
      <c r="N50" s="22">
        <v>6</v>
      </c>
      <c r="O50" s="22">
        <v>0</v>
      </c>
      <c r="P50" s="22">
        <v>12</v>
      </c>
      <c r="Q50" s="22">
        <v>1</v>
      </c>
      <c r="R50" s="22">
        <v>0</v>
      </c>
      <c r="S50" s="22">
        <v>11</v>
      </c>
      <c r="T50" s="22">
        <v>6</v>
      </c>
      <c r="U50" s="22">
        <v>0</v>
      </c>
      <c r="V50" s="22">
        <v>0</v>
      </c>
      <c r="W50" s="22">
        <v>1</v>
      </c>
      <c r="X50" s="22">
        <v>0</v>
      </c>
      <c r="Y50" s="22">
        <v>6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40</v>
      </c>
      <c r="AF50" s="22">
        <v>4</v>
      </c>
      <c r="AG50" s="22">
        <v>1</v>
      </c>
      <c r="AH50" s="22">
        <v>92</v>
      </c>
      <c r="AI50" s="22">
        <v>41</v>
      </c>
      <c r="AJ50" s="22">
        <v>4</v>
      </c>
    </row>
    <row r="51" spans="1:36" s="23" customFormat="1" ht="15" customHeight="1" x14ac:dyDescent="0.2">
      <c r="A51" s="111"/>
      <c r="B51" s="34" t="s">
        <v>76</v>
      </c>
      <c r="C51" s="35" t="s">
        <v>194</v>
      </c>
      <c r="D51" s="22">
        <v>81</v>
      </c>
      <c r="E51" s="22">
        <v>46</v>
      </c>
      <c r="F51" s="22">
        <v>35</v>
      </c>
      <c r="G51" s="22">
        <v>0</v>
      </c>
      <c r="H51" s="22">
        <v>13</v>
      </c>
      <c r="I51" s="22">
        <v>18</v>
      </c>
      <c r="J51" s="22">
        <v>3</v>
      </c>
      <c r="K51" s="22">
        <v>0</v>
      </c>
      <c r="L51" s="22">
        <v>0</v>
      </c>
      <c r="M51" s="22">
        <v>2</v>
      </c>
      <c r="N51" s="22">
        <v>2</v>
      </c>
      <c r="O51" s="22">
        <v>0</v>
      </c>
      <c r="P51" s="22">
        <v>1</v>
      </c>
      <c r="Q51" s="22">
        <v>2</v>
      </c>
      <c r="R51" s="22">
        <v>0</v>
      </c>
      <c r="S51" s="22">
        <v>3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1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7</v>
      </c>
      <c r="AF51" s="22">
        <v>1</v>
      </c>
      <c r="AG51" s="22">
        <v>0</v>
      </c>
      <c r="AH51" s="22">
        <v>16</v>
      </c>
      <c r="AI51" s="22">
        <v>12</v>
      </c>
      <c r="AJ51" s="22">
        <v>0</v>
      </c>
    </row>
    <row r="52" spans="1:36" s="23" customFormat="1" ht="15" customHeight="1" x14ac:dyDescent="0.2">
      <c r="A52" s="26" t="s">
        <v>65</v>
      </c>
      <c r="B52" s="29" t="s">
        <v>74</v>
      </c>
      <c r="C52" s="30" t="s">
        <v>0</v>
      </c>
      <c r="D52" s="31">
        <v>173</v>
      </c>
      <c r="E52" s="31">
        <v>122</v>
      </c>
      <c r="F52" s="31">
        <v>50</v>
      </c>
      <c r="G52" s="31">
        <v>1</v>
      </c>
      <c r="H52" s="31">
        <v>32</v>
      </c>
      <c r="I52" s="31">
        <v>18</v>
      </c>
      <c r="J52" s="31">
        <v>6</v>
      </c>
      <c r="K52" s="31">
        <v>0</v>
      </c>
      <c r="L52" s="31">
        <v>0</v>
      </c>
      <c r="M52" s="31">
        <v>1</v>
      </c>
      <c r="N52" s="31">
        <v>2</v>
      </c>
      <c r="O52" s="31">
        <v>0</v>
      </c>
      <c r="P52" s="31">
        <v>9</v>
      </c>
      <c r="Q52" s="31">
        <v>0</v>
      </c>
      <c r="R52" s="31">
        <v>0</v>
      </c>
      <c r="S52" s="31">
        <v>5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9</v>
      </c>
      <c r="Z52" s="31">
        <v>4</v>
      </c>
      <c r="AA52" s="31">
        <v>0</v>
      </c>
      <c r="AB52" s="31">
        <v>0</v>
      </c>
      <c r="AC52" s="31">
        <v>0</v>
      </c>
      <c r="AD52" s="31">
        <v>0</v>
      </c>
      <c r="AE52" s="31">
        <v>37</v>
      </c>
      <c r="AF52" s="31">
        <v>17</v>
      </c>
      <c r="AG52" s="31">
        <v>0</v>
      </c>
      <c r="AH52" s="31">
        <v>23</v>
      </c>
      <c r="AI52" s="31">
        <v>9</v>
      </c>
      <c r="AJ52" s="31">
        <v>1</v>
      </c>
    </row>
    <row r="53" spans="1:36" s="23" customFormat="1" ht="15" customHeight="1" x14ac:dyDescent="0.2">
      <c r="A53" s="110" t="s">
        <v>16</v>
      </c>
      <c r="B53" s="32" t="s">
        <v>75</v>
      </c>
      <c r="C53" s="33" t="s">
        <v>2</v>
      </c>
      <c r="D53" s="22">
        <v>70</v>
      </c>
      <c r="E53" s="22">
        <v>47</v>
      </c>
      <c r="F53" s="22">
        <v>22</v>
      </c>
      <c r="G53" s="22">
        <v>1</v>
      </c>
      <c r="H53" s="22">
        <v>11</v>
      </c>
      <c r="I53" s="22">
        <v>8</v>
      </c>
      <c r="J53" s="22">
        <v>3</v>
      </c>
      <c r="K53" s="22">
        <v>0</v>
      </c>
      <c r="L53" s="22">
        <v>0</v>
      </c>
      <c r="M53" s="22">
        <v>1</v>
      </c>
      <c r="N53" s="22">
        <v>2</v>
      </c>
      <c r="O53" s="22">
        <v>0</v>
      </c>
      <c r="P53" s="22">
        <v>2</v>
      </c>
      <c r="Q53" s="22">
        <v>0</v>
      </c>
      <c r="R53" s="22">
        <v>0</v>
      </c>
      <c r="S53" s="22">
        <v>2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5</v>
      </c>
      <c r="Z53" s="22">
        <v>1</v>
      </c>
      <c r="AA53" s="22">
        <v>0</v>
      </c>
      <c r="AB53" s="22">
        <v>0</v>
      </c>
      <c r="AC53" s="22">
        <v>0</v>
      </c>
      <c r="AD53" s="22">
        <v>0</v>
      </c>
      <c r="AE53" s="22">
        <v>16</v>
      </c>
      <c r="AF53" s="22">
        <v>8</v>
      </c>
      <c r="AG53" s="22">
        <v>0</v>
      </c>
      <c r="AH53" s="22">
        <v>7</v>
      </c>
      <c r="AI53" s="22">
        <v>3</v>
      </c>
      <c r="AJ53" s="22">
        <v>1</v>
      </c>
    </row>
    <row r="54" spans="1:36" s="23" customFormat="1" ht="15" customHeight="1" x14ac:dyDescent="0.2">
      <c r="A54" s="111"/>
      <c r="B54" s="34" t="s">
        <v>76</v>
      </c>
      <c r="C54" s="35" t="s">
        <v>194</v>
      </c>
      <c r="D54" s="22">
        <v>103</v>
      </c>
      <c r="E54" s="22">
        <v>75</v>
      </c>
      <c r="F54" s="22">
        <v>28</v>
      </c>
      <c r="G54" s="22">
        <v>0</v>
      </c>
      <c r="H54" s="22">
        <v>21</v>
      </c>
      <c r="I54" s="22">
        <v>10</v>
      </c>
      <c r="J54" s="22">
        <v>3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7</v>
      </c>
      <c r="Q54" s="22">
        <v>0</v>
      </c>
      <c r="R54" s="22">
        <v>0</v>
      </c>
      <c r="S54" s="22">
        <v>3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4</v>
      </c>
      <c r="Z54" s="22">
        <v>3</v>
      </c>
      <c r="AA54" s="22">
        <v>0</v>
      </c>
      <c r="AB54" s="22">
        <v>0</v>
      </c>
      <c r="AC54" s="22">
        <v>0</v>
      </c>
      <c r="AD54" s="22">
        <v>0</v>
      </c>
      <c r="AE54" s="22">
        <v>21</v>
      </c>
      <c r="AF54" s="22">
        <v>9</v>
      </c>
      <c r="AG54" s="22">
        <v>0</v>
      </c>
      <c r="AH54" s="22">
        <v>16</v>
      </c>
      <c r="AI54" s="22">
        <v>6</v>
      </c>
      <c r="AJ54" s="22">
        <v>0</v>
      </c>
    </row>
    <row r="55" spans="1:36" s="23" customFormat="1" ht="15" customHeight="1" x14ac:dyDescent="0.2">
      <c r="A55" s="26" t="s">
        <v>66</v>
      </c>
      <c r="B55" s="29" t="s">
        <v>74</v>
      </c>
      <c r="C55" s="30" t="s">
        <v>0</v>
      </c>
      <c r="D55" s="31">
        <v>181</v>
      </c>
      <c r="E55" s="31">
        <v>135</v>
      </c>
      <c r="F55" s="31">
        <v>42</v>
      </c>
      <c r="G55" s="31">
        <v>4</v>
      </c>
      <c r="H55" s="31">
        <v>39</v>
      </c>
      <c r="I55" s="31">
        <v>22</v>
      </c>
      <c r="J55" s="31">
        <v>4</v>
      </c>
      <c r="K55" s="31">
        <v>0</v>
      </c>
      <c r="L55" s="31">
        <v>0</v>
      </c>
      <c r="M55" s="31">
        <v>1</v>
      </c>
      <c r="N55" s="31">
        <v>1</v>
      </c>
      <c r="O55" s="31">
        <v>0</v>
      </c>
      <c r="P55" s="31">
        <v>8</v>
      </c>
      <c r="Q55" s="31">
        <v>3</v>
      </c>
      <c r="R55" s="31">
        <v>0</v>
      </c>
      <c r="S55" s="31">
        <v>2</v>
      </c>
      <c r="T55" s="31">
        <v>3</v>
      </c>
      <c r="U55" s="31">
        <v>0</v>
      </c>
      <c r="V55" s="31">
        <v>4</v>
      </c>
      <c r="W55" s="31">
        <v>1</v>
      </c>
      <c r="X55" s="31">
        <v>0</v>
      </c>
      <c r="Y55" s="31">
        <v>6</v>
      </c>
      <c r="Z55" s="31">
        <v>3</v>
      </c>
      <c r="AA55" s="31">
        <v>0</v>
      </c>
      <c r="AB55" s="31">
        <v>0</v>
      </c>
      <c r="AC55" s="31">
        <v>1</v>
      </c>
      <c r="AD55" s="31">
        <v>0</v>
      </c>
      <c r="AE55" s="31">
        <v>54</v>
      </c>
      <c r="AF55" s="31">
        <v>6</v>
      </c>
      <c r="AG55" s="31">
        <v>1</v>
      </c>
      <c r="AH55" s="31">
        <v>17</v>
      </c>
      <c r="AI55" s="31">
        <v>2</v>
      </c>
      <c r="AJ55" s="31">
        <v>3</v>
      </c>
    </row>
    <row r="56" spans="1:36" s="23" customFormat="1" ht="15" customHeight="1" x14ac:dyDescent="0.2">
      <c r="A56" s="110" t="s">
        <v>17</v>
      </c>
      <c r="B56" s="32" t="s">
        <v>75</v>
      </c>
      <c r="C56" s="33" t="s">
        <v>2</v>
      </c>
      <c r="D56" s="22">
        <v>103</v>
      </c>
      <c r="E56" s="22">
        <v>79</v>
      </c>
      <c r="F56" s="22">
        <v>20</v>
      </c>
      <c r="G56" s="22">
        <v>4</v>
      </c>
      <c r="H56" s="22">
        <v>19</v>
      </c>
      <c r="I56" s="22">
        <v>7</v>
      </c>
      <c r="J56" s="22">
        <v>3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1</v>
      </c>
      <c r="Q56" s="22">
        <v>1</v>
      </c>
      <c r="R56" s="22">
        <v>0</v>
      </c>
      <c r="S56" s="22">
        <v>2</v>
      </c>
      <c r="T56" s="22">
        <v>2</v>
      </c>
      <c r="U56" s="22">
        <v>0</v>
      </c>
      <c r="V56" s="22">
        <v>3</v>
      </c>
      <c r="W56" s="22">
        <v>1</v>
      </c>
      <c r="X56" s="22">
        <v>0</v>
      </c>
      <c r="Y56" s="22">
        <v>3</v>
      </c>
      <c r="Z56" s="22">
        <v>2</v>
      </c>
      <c r="AA56" s="22">
        <v>0</v>
      </c>
      <c r="AB56" s="22">
        <v>0</v>
      </c>
      <c r="AC56" s="22">
        <v>1</v>
      </c>
      <c r="AD56" s="22">
        <v>0</v>
      </c>
      <c r="AE56" s="22">
        <v>35</v>
      </c>
      <c r="AF56" s="22">
        <v>5</v>
      </c>
      <c r="AG56" s="22">
        <v>1</v>
      </c>
      <c r="AH56" s="22">
        <v>13</v>
      </c>
      <c r="AI56" s="22">
        <v>1</v>
      </c>
      <c r="AJ56" s="22">
        <v>3</v>
      </c>
    </row>
    <row r="57" spans="1:36" s="23" customFormat="1" ht="15" customHeight="1" x14ac:dyDescent="0.2">
      <c r="A57" s="111"/>
      <c r="B57" s="34" t="s">
        <v>76</v>
      </c>
      <c r="C57" s="35" t="s">
        <v>194</v>
      </c>
      <c r="D57" s="22">
        <v>78</v>
      </c>
      <c r="E57" s="22">
        <v>56</v>
      </c>
      <c r="F57" s="22">
        <v>22</v>
      </c>
      <c r="G57" s="22">
        <v>0</v>
      </c>
      <c r="H57" s="22">
        <v>20</v>
      </c>
      <c r="I57" s="22">
        <v>15</v>
      </c>
      <c r="J57" s="22">
        <v>1</v>
      </c>
      <c r="K57" s="22">
        <v>0</v>
      </c>
      <c r="L57" s="22">
        <v>0</v>
      </c>
      <c r="M57" s="22">
        <v>1</v>
      </c>
      <c r="N57" s="22">
        <v>1</v>
      </c>
      <c r="O57" s="22">
        <v>0</v>
      </c>
      <c r="P57" s="22">
        <v>7</v>
      </c>
      <c r="Q57" s="22">
        <v>2</v>
      </c>
      <c r="R57" s="22">
        <v>0</v>
      </c>
      <c r="S57" s="22">
        <v>0</v>
      </c>
      <c r="T57" s="22">
        <v>1</v>
      </c>
      <c r="U57" s="22">
        <v>0</v>
      </c>
      <c r="V57" s="22">
        <v>1</v>
      </c>
      <c r="W57" s="22">
        <v>0</v>
      </c>
      <c r="X57" s="22">
        <v>0</v>
      </c>
      <c r="Y57" s="22">
        <v>3</v>
      </c>
      <c r="Z57" s="22">
        <v>1</v>
      </c>
      <c r="AA57" s="22">
        <v>0</v>
      </c>
      <c r="AB57" s="22">
        <v>0</v>
      </c>
      <c r="AC57" s="22">
        <v>0</v>
      </c>
      <c r="AD57" s="22">
        <v>0</v>
      </c>
      <c r="AE57" s="22">
        <v>19</v>
      </c>
      <c r="AF57" s="22">
        <v>1</v>
      </c>
      <c r="AG57" s="22">
        <v>0</v>
      </c>
      <c r="AH57" s="22">
        <v>4</v>
      </c>
      <c r="AI57" s="22">
        <v>1</v>
      </c>
      <c r="AJ57" s="22">
        <v>0</v>
      </c>
    </row>
    <row r="58" spans="1:36" s="23" customFormat="1" ht="15" customHeight="1" x14ac:dyDescent="0.2">
      <c r="A58" s="26" t="s">
        <v>67</v>
      </c>
      <c r="B58" s="29" t="s">
        <v>74</v>
      </c>
      <c r="C58" s="30" t="s">
        <v>0</v>
      </c>
      <c r="D58" s="31">
        <v>27</v>
      </c>
      <c r="E58" s="31">
        <v>18</v>
      </c>
      <c r="F58" s="31">
        <v>9</v>
      </c>
      <c r="G58" s="31">
        <v>0</v>
      </c>
      <c r="H58" s="31">
        <v>9</v>
      </c>
      <c r="I58" s="31">
        <v>6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1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2</v>
      </c>
      <c r="AF58" s="31">
        <v>0</v>
      </c>
      <c r="AG58" s="31">
        <v>0</v>
      </c>
      <c r="AH58" s="31">
        <v>6</v>
      </c>
      <c r="AI58" s="31">
        <v>3</v>
      </c>
      <c r="AJ58" s="31">
        <v>0</v>
      </c>
    </row>
    <row r="59" spans="1:36" s="23" customFormat="1" ht="15" customHeight="1" x14ac:dyDescent="0.2">
      <c r="A59" s="110" t="s">
        <v>18</v>
      </c>
      <c r="B59" s="32" t="s">
        <v>75</v>
      </c>
      <c r="C59" s="33" t="s">
        <v>2</v>
      </c>
      <c r="D59" s="22">
        <v>27</v>
      </c>
      <c r="E59" s="22">
        <v>18</v>
      </c>
      <c r="F59" s="22">
        <v>9</v>
      </c>
      <c r="G59" s="22">
        <v>0</v>
      </c>
      <c r="H59" s="22">
        <v>9</v>
      </c>
      <c r="I59" s="22">
        <v>6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1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2</v>
      </c>
      <c r="AF59" s="22">
        <v>0</v>
      </c>
      <c r="AG59" s="22">
        <v>0</v>
      </c>
      <c r="AH59" s="22">
        <v>6</v>
      </c>
      <c r="AI59" s="22">
        <v>3</v>
      </c>
      <c r="AJ59" s="22">
        <v>0</v>
      </c>
    </row>
    <row r="60" spans="1:36" s="23" customFormat="1" ht="15" customHeight="1" x14ac:dyDescent="0.2">
      <c r="A60" s="111"/>
      <c r="B60" s="34" t="s">
        <v>76</v>
      </c>
      <c r="C60" s="35" t="s">
        <v>194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</row>
    <row r="61" spans="1:36" s="23" customFormat="1" ht="15" customHeight="1" x14ac:dyDescent="0.2">
      <c r="A61" s="26" t="s">
        <v>68</v>
      </c>
      <c r="B61" s="29" t="s">
        <v>74</v>
      </c>
      <c r="C61" s="30" t="s">
        <v>0</v>
      </c>
      <c r="D61" s="31">
        <v>205</v>
      </c>
      <c r="E61" s="31">
        <v>138</v>
      </c>
      <c r="F61" s="31">
        <v>65</v>
      </c>
      <c r="G61" s="31">
        <v>2</v>
      </c>
      <c r="H61" s="31">
        <v>62</v>
      </c>
      <c r="I61" s="31">
        <v>42</v>
      </c>
      <c r="J61" s="31">
        <v>3</v>
      </c>
      <c r="K61" s="31">
        <v>0</v>
      </c>
      <c r="L61" s="31">
        <v>0</v>
      </c>
      <c r="M61" s="31">
        <v>1</v>
      </c>
      <c r="N61" s="31">
        <v>6</v>
      </c>
      <c r="O61" s="31">
        <v>0</v>
      </c>
      <c r="P61" s="31">
        <v>2</v>
      </c>
      <c r="Q61" s="31">
        <v>0</v>
      </c>
      <c r="R61" s="31">
        <v>1</v>
      </c>
      <c r="S61" s="31">
        <v>5</v>
      </c>
      <c r="T61" s="31">
        <v>4</v>
      </c>
      <c r="U61" s="31">
        <v>0</v>
      </c>
      <c r="V61" s="31">
        <v>1</v>
      </c>
      <c r="W61" s="31">
        <v>0</v>
      </c>
      <c r="X61" s="31">
        <v>0</v>
      </c>
      <c r="Y61" s="31">
        <v>5</v>
      </c>
      <c r="Z61" s="31">
        <v>3</v>
      </c>
      <c r="AA61" s="31">
        <v>0</v>
      </c>
      <c r="AB61" s="31">
        <v>0</v>
      </c>
      <c r="AC61" s="31">
        <v>0</v>
      </c>
      <c r="AD61" s="31">
        <v>0</v>
      </c>
      <c r="AE61" s="31">
        <v>21</v>
      </c>
      <c r="AF61" s="31">
        <v>4</v>
      </c>
      <c r="AG61" s="31">
        <v>1</v>
      </c>
      <c r="AH61" s="31">
        <v>38</v>
      </c>
      <c r="AI61" s="31">
        <v>6</v>
      </c>
      <c r="AJ61" s="31">
        <v>0</v>
      </c>
    </row>
    <row r="62" spans="1:36" s="23" customFormat="1" ht="15" customHeight="1" x14ac:dyDescent="0.2">
      <c r="A62" s="110" t="s">
        <v>19</v>
      </c>
      <c r="B62" s="32" t="s">
        <v>75</v>
      </c>
      <c r="C62" s="33" t="s">
        <v>2</v>
      </c>
      <c r="D62" s="22">
        <v>194</v>
      </c>
      <c r="E62" s="22">
        <v>132</v>
      </c>
      <c r="F62" s="22">
        <v>60</v>
      </c>
      <c r="G62" s="22">
        <v>2</v>
      </c>
      <c r="H62" s="22">
        <v>58</v>
      </c>
      <c r="I62" s="22">
        <v>39</v>
      </c>
      <c r="J62" s="22">
        <v>3</v>
      </c>
      <c r="K62" s="22">
        <v>0</v>
      </c>
      <c r="L62" s="22">
        <v>0</v>
      </c>
      <c r="M62" s="22">
        <v>1</v>
      </c>
      <c r="N62" s="22">
        <v>4</v>
      </c>
      <c r="O62" s="22">
        <v>0</v>
      </c>
      <c r="P62" s="22">
        <v>1</v>
      </c>
      <c r="Q62" s="22">
        <v>0</v>
      </c>
      <c r="R62" s="22">
        <v>1</v>
      </c>
      <c r="S62" s="22">
        <v>5</v>
      </c>
      <c r="T62" s="22">
        <v>4</v>
      </c>
      <c r="U62" s="22">
        <v>0</v>
      </c>
      <c r="V62" s="22">
        <v>1</v>
      </c>
      <c r="W62" s="22">
        <v>0</v>
      </c>
      <c r="X62" s="22">
        <v>0</v>
      </c>
      <c r="Y62" s="22">
        <v>5</v>
      </c>
      <c r="Z62" s="22">
        <v>3</v>
      </c>
      <c r="AA62" s="22">
        <v>0</v>
      </c>
      <c r="AB62" s="22">
        <v>0</v>
      </c>
      <c r="AC62" s="22">
        <v>0</v>
      </c>
      <c r="AD62" s="22">
        <v>0</v>
      </c>
      <c r="AE62" s="22">
        <v>20</v>
      </c>
      <c r="AF62" s="22">
        <v>4</v>
      </c>
      <c r="AG62" s="22">
        <v>1</v>
      </c>
      <c r="AH62" s="22">
        <v>38</v>
      </c>
      <c r="AI62" s="22">
        <v>6</v>
      </c>
      <c r="AJ62" s="22">
        <v>0</v>
      </c>
    </row>
    <row r="63" spans="1:36" s="23" customFormat="1" ht="15" customHeight="1" x14ac:dyDescent="0.2">
      <c r="A63" s="111"/>
      <c r="B63" s="34" t="s">
        <v>76</v>
      </c>
      <c r="C63" s="35" t="s">
        <v>194</v>
      </c>
      <c r="D63" s="22">
        <v>11</v>
      </c>
      <c r="E63" s="22">
        <v>6</v>
      </c>
      <c r="F63" s="22">
        <v>5</v>
      </c>
      <c r="G63" s="22">
        <v>0</v>
      </c>
      <c r="H63" s="22">
        <v>4</v>
      </c>
      <c r="I63" s="22">
        <v>3</v>
      </c>
      <c r="J63" s="22">
        <v>0</v>
      </c>
      <c r="K63" s="22">
        <v>0</v>
      </c>
      <c r="L63" s="22">
        <v>0</v>
      </c>
      <c r="M63" s="22">
        <v>0</v>
      </c>
      <c r="N63" s="22">
        <v>2</v>
      </c>
      <c r="O63" s="22">
        <v>0</v>
      </c>
      <c r="P63" s="22">
        <v>1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1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</row>
    <row r="64" spans="1:36" s="23" customFormat="1" ht="15" customHeight="1" x14ac:dyDescent="0.2">
      <c r="A64" s="26" t="s">
        <v>69</v>
      </c>
      <c r="B64" s="29" t="s">
        <v>74</v>
      </c>
      <c r="C64" s="30" t="s">
        <v>0</v>
      </c>
      <c r="D64" s="31">
        <v>179</v>
      </c>
      <c r="E64" s="31">
        <v>112</v>
      </c>
      <c r="F64" s="31">
        <v>62</v>
      </c>
      <c r="G64" s="31">
        <v>5</v>
      </c>
      <c r="H64" s="31">
        <v>32</v>
      </c>
      <c r="I64" s="31">
        <v>31</v>
      </c>
      <c r="J64" s="31">
        <v>0</v>
      </c>
      <c r="K64" s="31">
        <v>1</v>
      </c>
      <c r="L64" s="31">
        <v>0</v>
      </c>
      <c r="M64" s="31">
        <v>1</v>
      </c>
      <c r="N64" s="31">
        <v>1</v>
      </c>
      <c r="O64" s="31">
        <v>0</v>
      </c>
      <c r="P64" s="31">
        <v>3</v>
      </c>
      <c r="Q64" s="31">
        <v>5</v>
      </c>
      <c r="R64" s="31">
        <v>1</v>
      </c>
      <c r="S64" s="31">
        <v>5</v>
      </c>
      <c r="T64" s="31">
        <v>0</v>
      </c>
      <c r="U64" s="31">
        <v>1</v>
      </c>
      <c r="V64" s="31">
        <v>1</v>
      </c>
      <c r="W64" s="31">
        <v>0</v>
      </c>
      <c r="X64" s="31">
        <v>0</v>
      </c>
      <c r="Y64" s="31">
        <v>1</v>
      </c>
      <c r="Z64" s="31">
        <v>1</v>
      </c>
      <c r="AA64" s="31">
        <v>0</v>
      </c>
      <c r="AB64" s="31">
        <v>0</v>
      </c>
      <c r="AC64" s="31">
        <v>1</v>
      </c>
      <c r="AD64" s="31">
        <v>0</v>
      </c>
      <c r="AE64" s="31">
        <v>32</v>
      </c>
      <c r="AF64" s="31">
        <v>4</v>
      </c>
      <c r="AG64" s="31">
        <v>2</v>
      </c>
      <c r="AH64" s="31">
        <v>37</v>
      </c>
      <c r="AI64" s="31">
        <v>18</v>
      </c>
      <c r="AJ64" s="31">
        <v>1</v>
      </c>
    </row>
    <row r="65" spans="1:36" s="23" customFormat="1" ht="15" customHeight="1" x14ac:dyDescent="0.2">
      <c r="A65" s="110" t="s">
        <v>20</v>
      </c>
      <c r="B65" s="32" t="s">
        <v>75</v>
      </c>
      <c r="C65" s="33" t="s">
        <v>2</v>
      </c>
      <c r="D65" s="22">
        <v>169</v>
      </c>
      <c r="E65" s="22">
        <v>106</v>
      </c>
      <c r="F65" s="22">
        <v>58</v>
      </c>
      <c r="G65" s="22">
        <v>5</v>
      </c>
      <c r="H65" s="22">
        <v>30</v>
      </c>
      <c r="I65" s="22">
        <v>28</v>
      </c>
      <c r="J65" s="22">
        <v>0</v>
      </c>
      <c r="K65" s="22">
        <v>1</v>
      </c>
      <c r="L65" s="22">
        <v>0</v>
      </c>
      <c r="M65" s="22">
        <v>1</v>
      </c>
      <c r="N65" s="22">
        <v>1</v>
      </c>
      <c r="O65" s="22">
        <v>0</v>
      </c>
      <c r="P65" s="22">
        <v>3</v>
      </c>
      <c r="Q65" s="22">
        <v>5</v>
      </c>
      <c r="R65" s="22">
        <v>1</v>
      </c>
      <c r="S65" s="22">
        <v>5</v>
      </c>
      <c r="T65" s="22">
        <v>0</v>
      </c>
      <c r="U65" s="22">
        <v>1</v>
      </c>
      <c r="V65" s="22">
        <v>1</v>
      </c>
      <c r="W65" s="22">
        <v>0</v>
      </c>
      <c r="X65" s="22">
        <v>0</v>
      </c>
      <c r="Y65" s="22">
        <v>1</v>
      </c>
      <c r="Z65" s="22">
        <v>1</v>
      </c>
      <c r="AA65" s="22">
        <v>0</v>
      </c>
      <c r="AB65" s="22">
        <v>0</v>
      </c>
      <c r="AC65" s="22">
        <v>1</v>
      </c>
      <c r="AD65" s="22">
        <v>0</v>
      </c>
      <c r="AE65" s="22">
        <v>31</v>
      </c>
      <c r="AF65" s="22">
        <v>4</v>
      </c>
      <c r="AG65" s="22">
        <v>2</v>
      </c>
      <c r="AH65" s="22">
        <v>34</v>
      </c>
      <c r="AI65" s="22">
        <v>17</v>
      </c>
      <c r="AJ65" s="22">
        <v>1</v>
      </c>
    </row>
    <row r="66" spans="1:36" s="23" customFormat="1" ht="15" customHeight="1" x14ac:dyDescent="0.2">
      <c r="A66" s="111"/>
      <c r="B66" s="34" t="s">
        <v>76</v>
      </c>
      <c r="C66" s="35" t="s">
        <v>194</v>
      </c>
      <c r="D66" s="22">
        <v>10</v>
      </c>
      <c r="E66" s="22">
        <v>6</v>
      </c>
      <c r="F66" s="22">
        <v>4</v>
      </c>
      <c r="G66" s="22">
        <v>0</v>
      </c>
      <c r="H66" s="22">
        <v>2</v>
      </c>
      <c r="I66" s="22">
        <v>3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1</v>
      </c>
      <c r="AF66" s="22">
        <v>0</v>
      </c>
      <c r="AG66" s="22">
        <v>0</v>
      </c>
      <c r="AH66" s="22">
        <v>3</v>
      </c>
      <c r="AI66" s="22">
        <v>1</v>
      </c>
      <c r="AJ66" s="22">
        <v>0</v>
      </c>
    </row>
    <row r="67" spans="1:36" s="23" customFormat="1" ht="15" customHeight="1" x14ac:dyDescent="0.2">
      <c r="A67" s="26" t="s">
        <v>70</v>
      </c>
      <c r="B67" s="29" t="s">
        <v>74</v>
      </c>
      <c r="C67" s="30" t="s">
        <v>0</v>
      </c>
      <c r="D67" s="31">
        <v>84</v>
      </c>
      <c r="E67" s="31">
        <v>51</v>
      </c>
      <c r="F67" s="31">
        <v>33</v>
      </c>
      <c r="G67" s="31">
        <v>0</v>
      </c>
      <c r="H67" s="31">
        <v>20</v>
      </c>
      <c r="I67" s="31">
        <v>26</v>
      </c>
      <c r="J67" s="31">
        <v>1</v>
      </c>
      <c r="K67" s="31">
        <v>0</v>
      </c>
      <c r="L67" s="31">
        <v>0</v>
      </c>
      <c r="M67" s="31">
        <v>1</v>
      </c>
      <c r="N67" s="31">
        <v>1</v>
      </c>
      <c r="O67" s="31">
        <v>0</v>
      </c>
      <c r="P67" s="31">
        <v>6</v>
      </c>
      <c r="Q67" s="31">
        <v>1</v>
      </c>
      <c r="R67" s="31">
        <v>0</v>
      </c>
      <c r="S67" s="31">
        <v>5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10</v>
      </c>
      <c r="AF67" s="31">
        <v>3</v>
      </c>
      <c r="AG67" s="31">
        <v>0</v>
      </c>
      <c r="AH67" s="31">
        <v>7</v>
      </c>
      <c r="AI67" s="31">
        <v>2</v>
      </c>
      <c r="AJ67" s="31">
        <v>0</v>
      </c>
    </row>
    <row r="68" spans="1:36" s="23" customFormat="1" ht="15" customHeight="1" x14ac:dyDescent="0.2">
      <c r="A68" s="110" t="s">
        <v>21</v>
      </c>
      <c r="B68" s="32" t="s">
        <v>75</v>
      </c>
      <c r="C68" s="33" t="s">
        <v>2</v>
      </c>
      <c r="D68" s="22">
        <v>84</v>
      </c>
      <c r="E68" s="22">
        <v>51</v>
      </c>
      <c r="F68" s="22">
        <v>33</v>
      </c>
      <c r="G68" s="22">
        <v>0</v>
      </c>
      <c r="H68" s="22">
        <v>20</v>
      </c>
      <c r="I68" s="22">
        <v>26</v>
      </c>
      <c r="J68" s="22">
        <v>1</v>
      </c>
      <c r="K68" s="22">
        <v>0</v>
      </c>
      <c r="L68" s="22">
        <v>0</v>
      </c>
      <c r="M68" s="22">
        <v>1</v>
      </c>
      <c r="N68" s="22">
        <v>1</v>
      </c>
      <c r="O68" s="22">
        <v>0</v>
      </c>
      <c r="P68" s="22">
        <v>6</v>
      </c>
      <c r="Q68" s="22">
        <v>1</v>
      </c>
      <c r="R68" s="22">
        <v>0</v>
      </c>
      <c r="S68" s="22">
        <v>5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1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10</v>
      </c>
      <c r="AF68" s="22">
        <v>3</v>
      </c>
      <c r="AG68" s="22">
        <v>0</v>
      </c>
      <c r="AH68" s="22">
        <v>7</v>
      </c>
      <c r="AI68" s="22">
        <v>2</v>
      </c>
      <c r="AJ68" s="22">
        <v>0</v>
      </c>
    </row>
    <row r="69" spans="1:36" s="23" customFormat="1" ht="15" customHeight="1" x14ac:dyDescent="0.2">
      <c r="A69" s="111"/>
      <c r="B69" s="34" t="s">
        <v>76</v>
      </c>
      <c r="C69" s="35" t="s">
        <v>194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</row>
    <row r="70" spans="1:36" s="23" customFormat="1" ht="15" customHeight="1" x14ac:dyDescent="0.2">
      <c r="A70" s="26" t="s">
        <v>71</v>
      </c>
      <c r="B70" s="29" t="s">
        <v>74</v>
      </c>
      <c r="C70" s="30" t="s">
        <v>0</v>
      </c>
      <c r="D70" s="31">
        <v>31</v>
      </c>
      <c r="E70" s="31">
        <v>24</v>
      </c>
      <c r="F70" s="31">
        <v>7</v>
      </c>
      <c r="G70" s="31">
        <v>0</v>
      </c>
      <c r="H70" s="31">
        <v>6</v>
      </c>
      <c r="I70" s="31">
        <v>4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1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1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2</v>
      </c>
      <c r="AF70" s="31">
        <v>0</v>
      </c>
      <c r="AG70" s="31">
        <v>0</v>
      </c>
      <c r="AH70" s="31">
        <v>14</v>
      </c>
      <c r="AI70" s="31">
        <v>3</v>
      </c>
      <c r="AJ70" s="31">
        <v>0</v>
      </c>
    </row>
    <row r="71" spans="1:36" s="23" customFormat="1" ht="15" customHeight="1" x14ac:dyDescent="0.2">
      <c r="A71" s="110" t="s">
        <v>22</v>
      </c>
      <c r="B71" s="32" t="s">
        <v>75</v>
      </c>
      <c r="C71" s="33" t="s">
        <v>2</v>
      </c>
      <c r="D71" s="22">
        <v>31</v>
      </c>
      <c r="E71" s="22">
        <v>24</v>
      </c>
      <c r="F71" s="22">
        <v>7</v>
      </c>
      <c r="G71" s="22">
        <v>0</v>
      </c>
      <c r="H71" s="22">
        <v>6</v>
      </c>
      <c r="I71" s="22">
        <v>4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1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1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2</v>
      </c>
      <c r="AF71" s="22">
        <v>0</v>
      </c>
      <c r="AG71" s="22">
        <v>0</v>
      </c>
      <c r="AH71" s="22">
        <v>14</v>
      </c>
      <c r="AI71" s="22">
        <v>3</v>
      </c>
      <c r="AJ71" s="22">
        <v>0</v>
      </c>
    </row>
    <row r="72" spans="1:36" s="23" customFormat="1" ht="15" customHeight="1" x14ac:dyDescent="0.2">
      <c r="A72" s="111"/>
      <c r="B72" s="34" t="s">
        <v>76</v>
      </c>
      <c r="C72" s="35" t="s">
        <v>194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</row>
    <row r="73" spans="1:36" s="23" customFormat="1" ht="15" customHeight="1" x14ac:dyDescent="0.2">
      <c r="A73" s="26" t="s">
        <v>72</v>
      </c>
      <c r="B73" s="29" t="s">
        <v>74</v>
      </c>
      <c r="C73" s="30" t="s">
        <v>0</v>
      </c>
      <c r="D73" s="31">
        <v>1</v>
      </c>
      <c r="E73" s="31">
        <v>1</v>
      </c>
      <c r="F73" s="31">
        <v>0</v>
      </c>
      <c r="G73" s="31">
        <v>0</v>
      </c>
      <c r="H73" s="31">
        <v>1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</row>
    <row r="74" spans="1:36" s="23" customFormat="1" ht="15" customHeight="1" x14ac:dyDescent="0.2">
      <c r="A74" s="110" t="s">
        <v>23</v>
      </c>
      <c r="B74" s="32" t="s">
        <v>75</v>
      </c>
      <c r="C74" s="33" t="s">
        <v>2</v>
      </c>
      <c r="D74" s="22">
        <v>1</v>
      </c>
      <c r="E74" s="22">
        <v>1</v>
      </c>
      <c r="F74" s="22">
        <v>0</v>
      </c>
      <c r="G74" s="22">
        <v>0</v>
      </c>
      <c r="H74" s="22">
        <v>1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</row>
    <row r="75" spans="1:36" s="23" customFormat="1" ht="15" customHeight="1" x14ac:dyDescent="0.2">
      <c r="A75" s="111"/>
      <c r="B75" s="34" t="s">
        <v>76</v>
      </c>
      <c r="C75" s="35" t="s">
        <v>194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</row>
    <row r="76" spans="1:36" ht="15.75" customHeight="1" x14ac:dyDescent="0.2">
      <c r="A76" s="50" t="s">
        <v>114</v>
      </c>
    </row>
    <row r="77" spans="1:36" ht="15.75" customHeight="1" x14ac:dyDescent="0.2">
      <c r="A77" s="51" t="s">
        <v>24</v>
      </c>
      <c r="B77" s="1"/>
      <c r="C77" s="1"/>
    </row>
    <row r="78" spans="1:36" ht="15.75" customHeight="1" x14ac:dyDescent="0.2">
      <c r="A78" s="50" t="s">
        <v>165</v>
      </c>
    </row>
    <row r="79" spans="1:36" ht="15.75" customHeight="1" x14ac:dyDescent="0.2">
      <c r="A79" s="54"/>
    </row>
  </sheetData>
  <mergeCells count="67">
    <mergeCell ref="K5:K6"/>
    <mergeCell ref="E5:E6"/>
    <mergeCell ref="F5:F6"/>
    <mergeCell ref="G5:G6"/>
    <mergeCell ref="H5:H6"/>
    <mergeCell ref="J5:J6"/>
    <mergeCell ref="A8:A9"/>
    <mergeCell ref="A11:A12"/>
    <mergeCell ref="A14:A15"/>
    <mergeCell ref="A17:A18"/>
    <mergeCell ref="D5:D6"/>
    <mergeCell ref="A4:C6"/>
    <mergeCell ref="A71:A72"/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20:A21"/>
    <mergeCell ref="A23:A24"/>
    <mergeCell ref="A26:A27"/>
    <mergeCell ref="A32:A33"/>
    <mergeCell ref="A35:A36"/>
    <mergeCell ref="A38:A39"/>
    <mergeCell ref="AI5:AI6"/>
    <mergeCell ref="D4:G4"/>
    <mergeCell ref="J4:L4"/>
    <mergeCell ref="M4:O4"/>
    <mergeCell ref="P4:R4"/>
    <mergeCell ref="S4:U4"/>
    <mergeCell ref="AH4:AJ4"/>
    <mergeCell ref="P5:P6"/>
    <mergeCell ref="AJ5:AJ6"/>
    <mergeCell ref="Q5:Q6"/>
    <mergeCell ref="N5:N6"/>
    <mergeCell ref="I5:I6"/>
    <mergeCell ref="L5:L6"/>
    <mergeCell ref="M5:M6"/>
    <mergeCell ref="H4:I4"/>
    <mergeCell ref="AD5:AD6"/>
    <mergeCell ref="O5:O6"/>
    <mergeCell ref="R5:R6"/>
    <mergeCell ref="S5:S6"/>
    <mergeCell ref="T5:T6"/>
    <mergeCell ref="U5:U6"/>
    <mergeCell ref="AH5:AH6"/>
    <mergeCell ref="V4:X4"/>
    <mergeCell ref="Y4:AA4"/>
    <mergeCell ref="AB4:AD4"/>
    <mergeCell ref="V5:V6"/>
    <mergeCell ref="W5:W6"/>
    <mergeCell ref="X5:X6"/>
    <mergeCell ref="AB5:AB6"/>
    <mergeCell ref="AA5:AA6"/>
    <mergeCell ref="Y5:Y6"/>
    <mergeCell ref="Z5:Z6"/>
    <mergeCell ref="AE4:AG4"/>
    <mergeCell ref="AE5:AE6"/>
    <mergeCell ref="AF5:AF6"/>
    <mergeCell ref="AG5:AG6"/>
    <mergeCell ref="AC5:AC6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80"/>
  <sheetViews>
    <sheetView zoomScaleNormal="100" zoomScaleSheetLayoutView="100" workbookViewId="0">
      <pane xSplit="3" ySplit="7" topLeftCell="D8" activePane="bottomRight" state="frozen"/>
      <selection activeCell="L49" sqref="L49"/>
      <selection pane="topRight" activeCell="L49" sqref="L49"/>
      <selection pane="bottomLeft" activeCell="L49" sqref="L49"/>
      <selection pane="bottomRight" activeCell="L49" sqref="L49"/>
    </sheetView>
  </sheetViews>
  <sheetFormatPr defaultColWidth="5.5" defaultRowHeight="11.1" customHeight="1" x14ac:dyDescent="0.2"/>
  <cols>
    <col min="1" max="1" width="18.33203125" style="5" customWidth="1"/>
    <col min="2" max="2" width="9.1640625" style="5" customWidth="1"/>
    <col min="3" max="3" width="12.33203125" style="5" customWidth="1"/>
    <col min="4" max="18" width="10" style="5" customWidth="1"/>
    <col min="19" max="16384" width="5.5" style="5"/>
  </cols>
  <sheetData>
    <row r="1" spans="1:18" ht="20.25" customHeight="1" x14ac:dyDescent="0.2">
      <c r="A1" s="2" t="s">
        <v>116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2.75" customHeight="1" x14ac:dyDescent="0.2">
      <c r="A3" s="17" t="s">
        <v>153</v>
      </c>
      <c r="B3" s="13"/>
      <c r="C3" s="13"/>
    </row>
    <row r="4" spans="1:18" s="36" customFormat="1" ht="24.75" customHeight="1" x14ac:dyDescent="0.2">
      <c r="A4" s="117" t="s">
        <v>89</v>
      </c>
      <c r="B4" s="117"/>
      <c r="C4" s="92"/>
      <c r="D4" s="83" t="s">
        <v>78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s="36" customFormat="1" ht="36" customHeight="1" x14ac:dyDescent="0.2">
      <c r="A5" s="106"/>
      <c r="B5" s="106"/>
      <c r="C5" s="93"/>
      <c r="D5" s="83" t="s">
        <v>79</v>
      </c>
      <c r="E5" s="95"/>
      <c r="F5" s="96"/>
      <c r="G5" s="86" t="s">
        <v>80</v>
      </c>
      <c r="H5" s="86"/>
      <c r="I5" s="87" t="s">
        <v>81</v>
      </c>
      <c r="J5" s="118"/>
      <c r="K5" s="87" t="s">
        <v>82</v>
      </c>
      <c r="L5" s="118"/>
      <c r="M5" s="87" t="s">
        <v>83</v>
      </c>
      <c r="N5" s="118"/>
      <c r="O5" s="87" t="s">
        <v>84</v>
      </c>
      <c r="P5" s="118"/>
      <c r="Q5" s="87" t="s">
        <v>85</v>
      </c>
      <c r="R5" s="119"/>
    </row>
    <row r="6" spans="1:18" s="36" customFormat="1" ht="30.75" customHeight="1" x14ac:dyDescent="0.2">
      <c r="A6" s="106"/>
      <c r="B6" s="106"/>
      <c r="C6" s="93"/>
      <c r="D6" s="85" t="s">
        <v>86</v>
      </c>
      <c r="E6" s="85" t="s">
        <v>87</v>
      </c>
      <c r="F6" s="85" t="s">
        <v>88</v>
      </c>
      <c r="G6" s="85" t="s">
        <v>87</v>
      </c>
      <c r="H6" s="85" t="s">
        <v>88</v>
      </c>
      <c r="I6" s="85" t="s">
        <v>87</v>
      </c>
      <c r="J6" s="85" t="s">
        <v>88</v>
      </c>
      <c r="K6" s="85" t="s">
        <v>87</v>
      </c>
      <c r="L6" s="85" t="s">
        <v>88</v>
      </c>
      <c r="M6" s="85" t="s">
        <v>87</v>
      </c>
      <c r="N6" s="85" t="s">
        <v>88</v>
      </c>
      <c r="O6" s="85" t="s">
        <v>87</v>
      </c>
      <c r="P6" s="85" t="s">
        <v>88</v>
      </c>
      <c r="Q6" s="85" t="s">
        <v>87</v>
      </c>
      <c r="R6" s="113" t="s">
        <v>88</v>
      </c>
    </row>
    <row r="7" spans="1:18" s="37" customFormat="1" ht="30.75" customHeight="1" x14ac:dyDescent="0.2">
      <c r="A7" s="107"/>
      <c r="B7" s="107"/>
      <c r="C7" s="94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114"/>
    </row>
    <row r="8" spans="1:18" s="21" customFormat="1" ht="16.5" customHeight="1" x14ac:dyDescent="0.2">
      <c r="A8" s="58" t="s">
        <v>73</v>
      </c>
      <c r="B8" s="29" t="s">
        <v>74</v>
      </c>
      <c r="C8" s="30" t="s">
        <v>0</v>
      </c>
      <c r="D8" s="31">
        <v>4063</v>
      </c>
      <c r="E8" s="31">
        <v>2551</v>
      </c>
      <c r="F8" s="31">
        <v>1512</v>
      </c>
      <c r="G8" s="31">
        <v>1929</v>
      </c>
      <c r="H8" s="31">
        <v>1289</v>
      </c>
      <c r="I8" s="31">
        <v>110</v>
      </c>
      <c r="J8" s="31">
        <v>13</v>
      </c>
      <c r="K8" s="31">
        <v>64</v>
      </c>
      <c r="L8" s="31">
        <v>86</v>
      </c>
      <c r="M8" s="31">
        <v>185</v>
      </c>
      <c r="N8" s="31">
        <v>40</v>
      </c>
      <c r="O8" s="31">
        <v>135</v>
      </c>
      <c r="P8" s="31">
        <v>37</v>
      </c>
      <c r="Q8" s="31">
        <v>128</v>
      </c>
      <c r="R8" s="31">
        <v>47</v>
      </c>
    </row>
    <row r="9" spans="1:18" s="21" customFormat="1" ht="15" customHeight="1" x14ac:dyDescent="0.2">
      <c r="A9" s="115" t="s">
        <v>1</v>
      </c>
      <c r="B9" s="32" t="s">
        <v>75</v>
      </c>
      <c r="C9" s="33" t="s">
        <v>2</v>
      </c>
      <c r="D9" s="22">
        <v>3740</v>
      </c>
      <c r="E9" s="22">
        <v>2347</v>
      </c>
      <c r="F9" s="22">
        <v>1393</v>
      </c>
      <c r="G9" s="22">
        <v>1788</v>
      </c>
      <c r="H9" s="22">
        <v>1185</v>
      </c>
      <c r="I9" s="22">
        <v>92</v>
      </c>
      <c r="J9" s="22">
        <v>13</v>
      </c>
      <c r="K9" s="22">
        <v>60</v>
      </c>
      <c r="L9" s="22">
        <v>80</v>
      </c>
      <c r="M9" s="22">
        <v>168</v>
      </c>
      <c r="N9" s="22">
        <v>37</v>
      </c>
      <c r="O9" s="22">
        <v>119</v>
      </c>
      <c r="P9" s="22">
        <v>32</v>
      </c>
      <c r="Q9" s="22">
        <v>120</v>
      </c>
      <c r="R9" s="22">
        <v>46</v>
      </c>
    </row>
    <row r="10" spans="1:18" s="21" customFormat="1" ht="15" customHeight="1" x14ac:dyDescent="0.2">
      <c r="A10" s="116"/>
      <c r="B10" s="32" t="s">
        <v>76</v>
      </c>
      <c r="C10" s="33" t="s">
        <v>194</v>
      </c>
      <c r="D10" s="22">
        <v>323</v>
      </c>
      <c r="E10" s="22">
        <v>204</v>
      </c>
      <c r="F10" s="22">
        <v>119</v>
      </c>
      <c r="G10" s="22">
        <v>141</v>
      </c>
      <c r="H10" s="22">
        <v>104</v>
      </c>
      <c r="I10" s="22">
        <v>18</v>
      </c>
      <c r="J10" s="22">
        <v>0</v>
      </c>
      <c r="K10" s="22">
        <v>4</v>
      </c>
      <c r="L10" s="22">
        <v>6</v>
      </c>
      <c r="M10" s="22">
        <v>17</v>
      </c>
      <c r="N10" s="22">
        <v>3</v>
      </c>
      <c r="O10" s="22">
        <v>16</v>
      </c>
      <c r="P10" s="22">
        <v>5</v>
      </c>
      <c r="Q10" s="22">
        <v>8</v>
      </c>
      <c r="R10" s="22">
        <v>1</v>
      </c>
    </row>
    <row r="11" spans="1:18" s="23" customFormat="1" ht="15" customHeight="1" x14ac:dyDescent="0.2">
      <c r="A11" s="56" t="s">
        <v>119</v>
      </c>
      <c r="B11" s="29" t="s">
        <v>74</v>
      </c>
      <c r="C11" s="30" t="s">
        <v>0</v>
      </c>
      <c r="D11" s="31">
        <v>704</v>
      </c>
      <c r="E11" s="31">
        <v>458</v>
      </c>
      <c r="F11" s="31">
        <v>246</v>
      </c>
      <c r="G11" s="31">
        <v>326</v>
      </c>
      <c r="H11" s="31">
        <v>194</v>
      </c>
      <c r="I11" s="31">
        <v>24</v>
      </c>
      <c r="J11" s="31">
        <v>1</v>
      </c>
      <c r="K11" s="31">
        <v>12</v>
      </c>
      <c r="L11" s="31">
        <v>14</v>
      </c>
      <c r="M11" s="31">
        <v>35</v>
      </c>
      <c r="N11" s="31">
        <v>8</v>
      </c>
      <c r="O11" s="31">
        <v>27</v>
      </c>
      <c r="P11" s="31">
        <v>9</v>
      </c>
      <c r="Q11" s="31">
        <v>34</v>
      </c>
      <c r="R11" s="31">
        <v>20</v>
      </c>
    </row>
    <row r="12" spans="1:18" s="23" customFormat="1" ht="15" customHeight="1" x14ac:dyDescent="0.2">
      <c r="A12" s="110" t="s">
        <v>3</v>
      </c>
      <c r="B12" s="32" t="s">
        <v>75</v>
      </c>
      <c r="C12" s="33" t="s">
        <v>2</v>
      </c>
      <c r="D12" s="22">
        <v>662</v>
      </c>
      <c r="E12" s="22">
        <v>428</v>
      </c>
      <c r="F12" s="22">
        <v>234</v>
      </c>
      <c r="G12" s="22">
        <v>313</v>
      </c>
      <c r="H12" s="22">
        <v>183</v>
      </c>
      <c r="I12" s="22">
        <v>19</v>
      </c>
      <c r="J12" s="22">
        <v>1</v>
      </c>
      <c r="K12" s="22">
        <v>11</v>
      </c>
      <c r="L12" s="22">
        <v>14</v>
      </c>
      <c r="M12" s="22">
        <v>30</v>
      </c>
      <c r="N12" s="22">
        <v>8</v>
      </c>
      <c r="O12" s="22">
        <v>24</v>
      </c>
      <c r="P12" s="22">
        <v>9</v>
      </c>
      <c r="Q12" s="22">
        <v>31</v>
      </c>
      <c r="R12" s="22">
        <v>19</v>
      </c>
    </row>
    <row r="13" spans="1:18" s="23" customFormat="1" ht="15" customHeight="1" x14ac:dyDescent="0.2">
      <c r="A13" s="111"/>
      <c r="B13" s="32" t="s">
        <v>76</v>
      </c>
      <c r="C13" s="33" t="s">
        <v>194</v>
      </c>
      <c r="D13" s="22">
        <v>42</v>
      </c>
      <c r="E13" s="22">
        <v>30</v>
      </c>
      <c r="F13" s="22">
        <v>12</v>
      </c>
      <c r="G13" s="22">
        <v>13</v>
      </c>
      <c r="H13" s="22">
        <v>11</v>
      </c>
      <c r="I13" s="22">
        <v>5</v>
      </c>
      <c r="J13" s="22">
        <v>0</v>
      </c>
      <c r="K13" s="22">
        <v>1</v>
      </c>
      <c r="L13" s="22">
        <v>0</v>
      </c>
      <c r="M13" s="22">
        <v>5</v>
      </c>
      <c r="N13" s="22">
        <v>0</v>
      </c>
      <c r="O13" s="22">
        <v>3</v>
      </c>
      <c r="P13" s="22">
        <v>0</v>
      </c>
      <c r="Q13" s="22">
        <v>3</v>
      </c>
      <c r="R13" s="22">
        <v>1</v>
      </c>
    </row>
    <row r="14" spans="1:18" s="23" customFormat="1" ht="15" customHeight="1" x14ac:dyDescent="0.2">
      <c r="A14" s="56" t="s">
        <v>121</v>
      </c>
      <c r="B14" s="29" t="s">
        <v>74</v>
      </c>
      <c r="C14" s="30" t="s">
        <v>0</v>
      </c>
      <c r="D14" s="31">
        <v>425</v>
      </c>
      <c r="E14" s="31">
        <v>265</v>
      </c>
      <c r="F14" s="31">
        <v>160</v>
      </c>
      <c r="G14" s="31">
        <v>210</v>
      </c>
      <c r="H14" s="31">
        <v>144</v>
      </c>
      <c r="I14" s="31">
        <v>12</v>
      </c>
      <c r="J14" s="31">
        <v>2</v>
      </c>
      <c r="K14" s="31">
        <v>5</v>
      </c>
      <c r="L14" s="31">
        <v>8</v>
      </c>
      <c r="M14" s="31">
        <v>20</v>
      </c>
      <c r="N14" s="31">
        <v>2</v>
      </c>
      <c r="O14" s="31">
        <v>10</v>
      </c>
      <c r="P14" s="31">
        <v>2</v>
      </c>
      <c r="Q14" s="31">
        <v>8</v>
      </c>
      <c r="R14" s="31">
        <v>2</v>
      </c>
    </row>
    <row r="15" spans="1:18" s="23" customFormat="1" ht="15" customHeight="1" x14ac:dyDescent="0.2">
      <c r="A15" s="110" t="s">
        <v>4</v>
      </c>
      <c r="B15" s="32" t="s">
        <v>75</v>
      </c>
      <c r="C15" s="33" t="s">
        <v>194</v>
      </c>
      <c r="D15" s="22">
        <v>415</v>
      </c>
      <c r="E15" s="22">
        <v>259</v>
      </c>
      <c r="F15" s="22">
        <v>156</v>
      </c>
      <c r="G15" s="22">
        <v>206</v>
      </c>
      <c r="H15" s="22">
        <v>140</v>
      </c>
      <c r="I15" s="22">
        <v>11</v>
      </c>
      <c r="J15" s="22">
        <v>2</v>
      </c>
      <c r="K15" s="22">
        <v>5</v>
      </c>
      <c r="L15" s="22">
        <v>8</v>
      </c>
      <c r="M15" s="22">
        <v>19</v>
      </c>
      <c r="N15" s="22">
        <v>2</v>
      </c>
      <c r="O15" s="22">
        <v>10</v>
      </c>
      <c r="P15" s="22">
        <v>2</v>
      </c>
      <c r="Q15" s="22">
        <v>8</v>
      </c>
      <c r="R15" s="22">
        <v>2</v>
      </c>
    </row>
    <row r="16" spans="1:18" s="23" customFormat="1" ht="15" customHeight="1" x14ac:dyDescent="0.2">
      <c r="A16" s="111"/>
      <c r="B16" s="34" t="s">
        <v>76</v>
      </c>
      <c r="C16" s="35" t="s">
        <v>194</v>
      </c>
      <c r="D16" s="22">
        <v>10</v>
      </c>
      <c r="E16" s="22">
        <v>6</v>
      </c>
      <c r="F16" s="22">
        <v>4</v>
      </c>
      <c r="G16" s="22">
        <v>4</v>
      </c>
      <c r="H16" s="22">
        <v>4</v>
      </c>
      <c r="I16" s="22">
        <v>1</v>
      </c>
      <c r="J16" s="22">
        <v>0</v>
      </c>
      <c r="K16" s="22">
        <v>0</v>
      </c>
      <c r="L16" s="22">
        <v>0</v>
      </c>
      <c r="M16" s="22">
        <v>1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</row>
    <row r="17" spans="1:18" s="23" customFormat="1" ht="15" customHeight="1" x14ac:dyDescent="0.2">
      <c r="A17" s="56" t="s">
        <v>124</v>
      </c>
      <c r="B17" s="29" t="s">
        <v>74</v>
      </c>
      <c r="C17" s="30" t="s">
        <v>0</v>
      </c>
      <c r="D17" s="31">
        <v>458</v>
      </c>
      <c r="E17" s="31">
        <v>276</v>
      </c>
      <c r="F17" s="31">
        <v>182</v>
      </c>
      <c r="G17" s="31">
        <v>226</v>
      </c>
      <c r="H17" s="31">
        <v>150</v>
      </c>
      <c r="I17" s="31">
        <v>12</v>
      </c>
      <c r="J17" s="31">
        <v>4</v>
      </c>
      <c r="K17" s="31">
        <v>10</v>
      </c>
      <c r="L17" s="31">
        <v>12</v>
      </c>
      <c r="M17" s="31">
        <v>15</v>
      </c>
      <c r="N17" s="31">
        <v>4</v>
      </c>
      <c r="O17" s="31">
        <v>9</v>
      </c>
      <c r="P17" s="31">
        <v>8</v>
      </c>
      <c r="Q17" s="31">
        <v>4</v>
      </c>
      <c r="R17" s="31">
        <v>4</v>
      </c>
    </row>
    <row r="18" spans="1:18" s="23" customFormat="1" ht="15" customHeight="1" x14ac:dyDescent="0.2">
      <c r="A18" s="110" t="s">
        <v>25</v>
      </c>
      <c r="B18" s="32" t="s">
        <v>75</v>
      </c>
      <c r="C18" s="33" t="s">
        <v>2</v>
      </c>
      <c r="D18" s="22">
        <v>405</v>
      </c>
      <c r="E18" s="22">
        <v>245</v>
      </c>
      <c r="F18" s="22">
        <v>160</v>
      </c>
      <c r="G18" s="22">
        <v>199</v>
      </c>
      <c r="H18" s="22">
        <v>134</v>
      </c>
      <c r="I18" s="22">
        <v>10</v>
      </c>
      <c r="J18" s="22">
        <v>4</v>
      </c>
      <c r="K18" s="22">
        <v>10</v>
      </c>
      <c r="L18" s="22">
        <v>9</v>
      </c>
      <c r="M18" s="22">
        <v>14</v>
      </c>
      <c r="N18" s="22">
        <v>2</v>
      </c>
      <c r="O18" s="22">
        <v>8</v>
      </c>
      <c r="P18" s="22">
        <v>7</v>
      </c>
      <c r="Q18" s="22">
        <v>4</v>
      </c>
      <c r="R18" s="22">
        <v>4</v>
      </c>
    </row>
    <row r="19" spans="1:18" s="23" customFormat="1" ht="15" customHeight="1" x14ac:dyDescent="0.2">
      <c r="A19" s="111"/>
      <c r="B19" s="34" t="s">
        <v>76</v>
      </c>
      <c r="C19" s="35" t="s">
        <v>194</v>
      </c>
      <c r="D19" s="22">
        <v>53</v>
      </c>
      <c r="E19" s="22">
        <v>31</v>
      </c>
      <c r="F19" s="22">
        <v>22</v>
      </c>
      <c r="G19" s="22">
        <v>27</v>
      </c>
      <c r="H19" s="22">
        <v>16</v>
      </c>
      <c r="I19" s="22">
        <v>2</v>
      </c>
      <c r="J19" s="22">
        <v>0</v>
      </c>
      <c r="K19" s="22">
        <v>0</v>
      </c>
      <c r="L19" s="22">
        <v>3</v>
      </c>
      <c r="M19" s="22">
        <v>1</v>
      </c>
      <c r="N19" s="22">
        <v>2</v>
      </c>
      <c r="O19" s="22">
        <v>1</v>
      </c>
      <c r="P19" s="22">
        <v>1</v>
      </c>
      <c r="Q19" s="22">
        <v>0</v>
      </c>
      <c r="R19" s="22">
        <v>0</v>
      </c>
    </row>
    <row r="20" spans="1:18" s="23" customFormat="1" ht="15" customHeight="1" x14ac:dyDescent="0.2">
      <c r="A20" s="56" t="s">
        <v>126</v>
      </c>
      <c r="B20" s="29" t="s">
        <v>74</v>
      </c>
      <c r="C20" s="30" t="s">
        <v>0</v>
      </c>
      <c r="D20" s="31">
        <v>488</v>
      </c>
      <c r="E20" s="31">
        <v>304</v>
      </c>
      <c r="F20" s="31">
        <v>184</v>
      </c>
      <c r="G20" s="31">
        <v>230</v>
      </c>
      <c r="H20" s="31">
        <v>160</v>
      </c>
      <c r="I20" s="31">
        <v>17</v>
      </c>
      <c r="J20" s="31">
        <v>0</v>
      </c>
      <c r="K20" s="31">
        <v>7</v>
      </c>
      <c r="L20" s="31">
        <v>11</v>
      </c>
      <c r="M20" s="31">
        <v>20</v>
      </c>
      <c r="N20" s="31">
        <v>5</v>
      </c>
      <c r="O20" s="31">
        <v>18</v>
      </c>
      <c r="P20" s="31">
        <v>2</v>
      </c>
      <c r="Q20" s="31">
        <v>12</v>
      </c>
      <c r="R20" s="31">
        <v>6</v>
      </c>
    </row>
    <row r="21" spans="1:18" s="23" customFormat="1" ht="15" customHeight="1" x14ac:dyDescent="0.2">
      <c r="A21" s="110" t="s">
        <v>5</v>
      </c>
      <c r="B21" s="32" t="s">
        <v>75</v>
      </c>
      <c r="C21" s="33" t="s">
        <v>2</v>
      </c>
      <c r="D21" s="22">
        <v>462</v>
      </c>
      <c r="E21" s="22">
        <v>287</v>
      </c>
      <c r="F21" s="22">
        <v>175</v>
      </c>
      <c r="G21" s="22">
        <v>219</v>
      </c>
      <c r="H21" s="22">
        <v>152</v>
      </c>
      <c r="I21" s="22">
        <v>15</v>
      </c>
      <c r="J21" s="22">
        <v>0</v>
      </c>
      <c r="K21" s="22">
        <v>6</v>
      </c>
      <c r="L21" s="22">
        <v>10</v>
      </c>
      <c r="M21" s="22">
        <v>18</v>
      </c>
      <c r="N21" s="22">
        <v>5</v>
      </c>
      <c r="O21" s="22">
        <v>17</v>
      </c>
      <c r="P21" s="22">
        <v>2</v>
      </c>
      <c r="Q21" s="22">
        <v>12</v>
      </c>
      <c r="R21" s="22">
        <v>6</v>
      </c>
    </row>
    <row r="22" spans="1:18" s="23" customFormat="1" ht="15" customHeight="1" x14ac:dyDescent="0.2">
      <c r="A22" s="111"/>
      <c r="B22" s="34" t="s">
        <v>76</v>
      </c>
      <c r="C22" s="35" t="s">
        <v>194</v>
      </c>
      <c r="D22" s="22">
        <v>26</v>
      </c>
      <c r="E22" s="22">
        <v>17</v>
      </c>
      <c r="F22" s="22">
        <v>9</v>
      </c>
      <c r="G22" s="22">
        <v>11</v>
      </c>
      <c r="H22" s="22">
        <v>8</v>
      </c>
      <c r="I22" s="22">
        <v>2</v>
      </c>
      <c r="J22" s="22">
        <v>0</v>
      </c>
      <c r="K22" s="22">
        <v>1</v>
      </c>
      <c r="L22" s="22">
        <v>1</v>
      </c>
      <c r="M22" s="22">
        <v>2</v>
      </c>
      <c r="N22" s="22">
        <v>0</v>
      </c>
      <c r="O22" s="22">
        <v>1</v>
      </c>
      <c r="P22" s="22">
        <v>0</v>
      </c>
      <c r="Q22" s="22">
        <v>0</v>
      </c>
      <c r="R22" s="22">
        <v>0</v>
      </c>
    </row>
    <row r="23" spans="1:18" s="23" customFormat="1" ht="15" customHeight="1" x14ac:dyDescent="0.2">
      <c r="A23" s="56" t="s">
        <v>128</v>
      </c>
      <c r="B23" s="29" t="s">
        <v>74</v>
      </c>
      <c r="C23" s="30" t="s">
        <v>0</v>
      </c>
      <c r="D23" s="31">
        <v>317</v>
      </c>
      <c r="E23" s="31">
        <v>200</v>
      </c>
      <c r="F23" s="31">
        <v>117</v>
      </c>
      <c r="G23" s="31">
        <v>152</v>
      </c>
      <c r="H23" s="31">
        <v>104</v>
      </c>
      <c r="I23" s="31">
        <v>10</v>
      </c>
      <c r="J23" s="31">
        <v>2</v>
      </c>
      <c r="K23" s="31">
        <v>6</v>
      </c>
      <c r="L23" s="31">
        <v>6</v>
      </c>
      <c r="M23" s="31">
        <v>15</v>
      </c>
      <c r="N23" s="31">
        <v>3</v>
      </c>
      <c r="O23" s="31">
        <v>4</v>
      </c>
      <c r="P23" s="31">
        <v>0</v>
      </c>
      <c r="Q23" s="31">
        <v>13</v>
      </c>
      <c r="R23" s="31">
        <v>2</v>
      </c>
    </row>
    <row r="24" spans="1:18" s="23" customFormat="1" ht="15" customHeight="1" x14ac:dyDescent="0.2">
      <c r="A24" s="110" t="s">
        <v>6</v>
      </c>
      <c r="B24" s="32" t="s">
        <v>75</v>
      </c>
      <c r="C24" s="33" t="s">
        <v>2</v>
      </c>
      <c r="D24" s="22">
        <v>309</v>
      </c>
      <c r="E24" s="22">
        <v>198</v>
      </c>
      <c r="F24" s="22">
        <v>111</v>
      </c>
      <c r="G24" s="22">
        <v>151</v>
      </c>
      <c r="H24" s="22">
        <v>98</v>
      </c>
      <c r="I24" s="22">
        <v>10</v>
      </c>
      <c r="J24" s="22">
        <v>2</v>
      </c>
      <c r="K24" s="22">
        <v>6</v>
      </c>
      <c r="L24" s="22">
        <v>6</v>
      </c>
      <c r="M24" s="22">
        <v>15</v>
      </c>
      <c r="N24" s="22">
        <v>3</v>
      </c>
      <c r="O24" s="22">
        <v>4</v>
      </c>
      <c r="P24" s="22">
        <v>0</v>
      </c>
      <c r="Q24" s="22">
        <v>12</v>
      </c>
      <c r="R24" s="22">
        <v>2</v>
      </c>
    </row>
    <row r="25" spans="1:18" s="23" customFormat="1" ht="15" customHeight="1" x14ac:dyDescent="0.2">
      <c r="A25" s="111"/>
      <c r="B25" s="34" t="s">
        <v>76</v>
      </c>
      <c r="C25" s="35" t="s">
        <v>194</v>
      </c>
      <c r="D25" s="22">
        <v>8</v>
      </c>
      <c r="E25" s="22">
        <v>2</v>
      </c>
      <c r="F25" s="22">
        <v>6</v>
      </c>
      <c r="G25" s="22">
        <v>1</v>
      </c>
      <c r="H25" s="22">
        <v>6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1</v>
      </c>
      <c r="R25" s="22">
        <v>0</v>
      </c>
    </row>
    <row r="26" spans="1:18" s="23" customFormat="1" ht="15" customHeight="1" x14ac:dyDescent="0.2">
      <c r="A26" s="56" t="s">
        <v>130</v>
      </c>
      <c r="B26" s="29" t="s">
        <v>74</v>
      </c>
      <c r="C26" s="30" t="s">
        <v>0</v>
      </c>
      <c r="D26" s="31">
        <v>609</v>
      </c>
      <c r="E26" s="31">
        <v>373</v>
      </c>
      <c r="F26" s="31">
        <v>236</v>
      </c>
      <c r="G26" s="31">
        <v>290</v>
      </c>
      <c r="H26" s="31">
        <v>212</v>
      </c>
      <c r="I26" s="31">
        <v>12</v>
      </c>
      <c r="J26" s="31">
        <v>1</v>
      </c>
      <c r="K26" s="31">
        <v>5</v>
      </c>
      <c r="L26" s="31">
        <v>11</v>
      </c>
      <c r="M26" s="31">
        <v>23</v>
      </c>
      <c r="N26" s="31">
        <v>3</v>
      </c>
      <c r="O26" s="31">
        <v>22</v>
      </c>
      <c r="P26" s="31">
        <v>3</v>
      </c>
      <c r="Q26" s="31">
        <v>21</v>
      </c>
      <c r="R26" s="31">
        <v>6</v>
      </c>
    </row>
    <row r="27" spans="1:18" s="23" customFormat="1" ht="15" customHeight="1" x14ac:dyDescent="0.2">
      <c r="A27" s="110" t="s">
        <v>7</v>
      </c>
      <c r="B27" s="32" t="s">
        <v>75</v>
      </c>
      <c r="C27" s="33" t="s">
        <v>2</v>
      </c>
      <c r="D27" s="22">
        <v>590</v>
      </c>
      <c r="E27" s="22">
        <v>361</v>
      </c>
      <c r="F27" s="22">
        <v>229</v>
      </c>
      <c r="G27" s="22">
        <v>281</v>
      </c>
      <c r="H27" s="22">
        <v>205</v>
      </c>
      <c r="I27" s="22">
        <v>11</v>
      </c>
      <c r="J27" s="22">
        <v>1</v>
      </c>
      <c r="K27" s="22">
        <v>5</v>
      </c>
      <c r="L27" s="22">
        <v>11</v>
      </c>
      <c r="M27" s="22">
        <v>22</v>
      </c>
      <c r="N27" s="22">
        <v>3</v>
      </c>
      <c r="O27" s="22">
        <v>21</v>
      </c>
      <c r="P27" s="22">
        <v>3</v>
      </c>
      <c r="Q27" s="22">
        <v>21</v>
      </c>
      <c r="R27" s="22">
        <v>6</v>
      </c>
    </row>
    <row r="28" spans="1:18" s="23" customFormat="1" ht="15" customHeight="1" x14ac:dyDescent="0.2">
      <c r="A28" s="111"/>
      <c r="B28" s="34" t="s">
        <v>76</v>
      </c>
      <c r="C28" s="35" t="s">
        <v>194</v>
      </c>
      <c r="D28" s="22">
        <v>19</v>
      </c>
      <c r="E28" s="22">
        <v>12</v>
      </c>
      <c r="F28" s="22">
        <v>7</v>
      </c>
      <c r="G28" s="22">
        <v>9</v>
      </c>
      <c r="H28" s="22">
        <v>7</v>
      </c>
      <c r="I28" s="22">
        <v>1</v>
      </c>
      <c r="J28" s="22">
        <v>0</v>
      </c>
      <c r="K28" s="22">
        <v>0</v>
      </c>
      <c r="L28" s="22">
        <v>0</v>
      </c>
      <c r="M28" s="22">
        <v>1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</row>
    <row r="29" spans="1:18" s="23" customFormat="1" ht="15" customHeight="1" x14ac:dyDescent="0.2">
      <c r="A29" s="26" t="s">
        <v>57</v>
      </c>
      <c r="B29" s="29" t="s">
        <v>74</v>
      </c>
      <c r="C29" s="30" t="s">
        <v>0</v>
      </c>
      <c r="D29" s="31">
        <v>48</v>
      </c>
      <c r="E29" s="31">
        <v>29</v>
      </c>
      <c r="F29" s="31">
        <v>19</v>
      </c>
      <c r="G29" s="31">
        <v>15</v>
      </c>
      <c r="H29" s="31">
        <v>15</v>
      </c>
      <c r="I29" s="31">
        <v>3</v>
      </c>
      <c r="J29" s="31">
        <v>0</v>
      </c>
      <c r="K29" s="31">
        <v>1</v>
      </c>
      <c r="L29" s="31">
        <v>2</v>
      </c>
      <c r="M29" s="31">
        <v>4</v>
      </c>
      <c r="N29" s="31">
        <v>1</v>
      </c>
      <c r="O29" s="31">
        <v>4</v>
      </c>
      <c r="P29" s="31">
        <v>1</v>
      </c>
      <c r="Q29" s="31">
        <v>2</v>
      </c>
      <c r="R29" s="31">
        <v>0</v>
      </c>
    </row>
    <row r="30" spans="1:18" s="23" customFormat="1" ht="15" customHeight="1" x14ac:dyDescent="0.2">
      <c r="A30" s="25" t="s">
        <v>8</v>
      </c>
      <c r="B30" s="32" t="s">
        <v>75</v>
      </c>
      <c r="C30" s="33" t="s">
        <v>2</v>
      </c>
      <c r="D30" s="22">
        <v>46</v>
      </c>
      <c r="E30" s="22">
        <v>29</v>
      </c>
      <c r="F30" s="22">
        <v>17</v>
      </c>
      <c r="G30" s="22">
        <v>15</v>
      </c>
      <c r="H30" s="22">
        <v>14</v>
      </c>
      <c r="I30" s="22">
        <v>3</v>
      </c>
      <c r="J30" s="22">
        <v>0</v>
      </c>
      <c r="K30" s="22">
        <v>1</v>
      </c>
      <c r="L30" s="22">
        <v>2</v>
      </c>
      <c r="M30" s="22">
        <v>4</v>
      </c>
      <c r="N30" s="22">
        <v>1</v>
      </c>
      <c r="O30" s="22">
        <v>4</v>
      </c>
      <c r="P30" s="22">
        <v>0</v>
      </c>
      <c r="Q30" s="22">
        <v>2</v>
      </c>
      <c r="R30" s="22">
        <v>0</v>
      </c>
    </row>
    <row r="31" spans="1:18" s="23" customFormat="1" ht="15" customHeight="1" x14ac:dyDescent="0.2">
      <c r="A31" s="24"/>
      <c r="B31" s="34" t="s">
        <v>76</v>
      </c>
      <c r="C31" s="35" t="s">
        <v>194</v>
      </c>
      <c r="D31" s="22">
        <v>2</v>
      </c>
      <c r="E31" s="22">
        <v>0</v>
      </c>
      <c r="F31" s="22">
        <v>2</v>
      </c>
      <c r="G31" s="22">
        <v>0</v>
      </c>
      <c r="H31" s="22">
        <v>1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1</v>
      </c>
      <c r="Q31" s="22">
        <v>0</v>
      </c>
      <c r="R31" s="22">
        <v>0</v>
      </c>
    </row>
    <row r="32" spans="1:18" s="23" customFormat="1" ht="15" customHeight="1" x14ac:dyDescent="0.2">
      <c r="A32" s="26" t="s">
        <v>58</v>
      </c>
      <c r="B32" s="29" t="s">
        <v>74</v>
      </c>
      <c r="C32" s="30" t="s">
        <v>0</v>
      </c>
      <c r="D32" s="31">
        <v>84</v>
      </c>
      <c r="E32" s="31">
        <v>57</v>
      </c>
      <c r="F32" s="31">
        <v>27</v>
      </c>
      <c r="G32" s="31">
        <v>39</v>
      </c>
      <c r="H32" s="31">
        <v>22</v>
      </c>
      <c r="I32" s="31">
        <v>1</v>
      </c>
      <c r="J32" s="31">
        <v>0</v>
      </c>
      <c r="K32" s="31">
        <v>0</v>
      </c>
      <c r="L32" s="31">
        <v>2</v>
      </c>
      <c r="M32" s="31">
        <v>7</v>
      </c>
      <c r="N32" s="31">
        <v>2</v>
      </c>
      <c r="O32" s="31">
        <v>4</v>
      </c>
      <c r="P32" s="31">
        <v>1</v>
      </c>
      <c r="Q32" s="31">
        <v>6</v>
      </c>
      <c r="R32" s="31">
        <v>0</v>
      </c>
    </row>
    <row r="33" spans="1:18" s="23" customFormat="1" ht="15" customHeight="1" x14ac:dyDescent="0.2">
      <c r="A33" s="110" t="s">
        <v>9</v>
      </c>
      <c r="B33" s="32" t="s">
        <v>75</v>
      </c>
      <c r="C33" s="33" t="s">
        <v>2</v>
      </c>
      <c r="D33" s="22">
        <v>71</v>
      </c>
      <c r="E33" s="22">
        <v>47</v>
      </c>
      <c r="F33" s="22">
        <v>24</v>
      </c>
      <c r="G33" s="22">
        <v>32</v>
      </c>
      <c r="H33" s="22">
        <v>19</v>
      </c>
      <c r="I33" s="22">
        <v>0</v>
      </c>
      <c r="J33" s="22">
        <v>0</v>
      </c>
      <c r="K33" s="22">
        <v>0</v>
      </c>
      <c r="L33" s="22">
        <v>2</v>
      </c>
      <c r="M33" s="22">
        <v>5</v>
      </c>
      <c r="N33" s="22">
        <v>2</v>
      </c>
      <c r="O33" s="22">
        <v>4</v>
      </c>
      <c r="P33" s="22">
        <v>1</v>
      </c>
      <c r="Q33" s="22">
        <v>6</v>
      </c>
      <c r="R33" s="22">
        <v>0</v>
      </c>
    </row>
    <row r="34" spans="1:18" s="23" customFormat="1" ht="15" customHeight="1" x14ac:dyDescent="0.2">
      <c r="A34" s="111"/>
      <c r="B34" s="34" t="s">
        <v>76</v>
      </c>
      <c r="C34" s="35" t="s">
        <v>194</v>
      </c>
      <c r="D34" s="22">
        <v>13</v>
      </c>
      <c r="E34" s="22">
        <v>10</v>
      </c>
      <c r="F34" s="22">
        <v>3</v>
      </c>
      <c r="G34" s="22">
        <v>7</v>
      </c>
      <c r="H34" s="22">
        <v>3</v>
      </c>
      <c r="I34" s="22">
        <v>1</v>
      </c>
      <c r="J34" s="22">
        <v>0</v>
      </c>
      <c r="K34" s="22">
        <v>0</v>
      </c>
      <c r="L34" s="22">
        <v>0</v>
      </c>
      <c r="M34" s="22">
        <v>2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</row>
    <row r="35" spans="1:18" s="23" customFormat="1" ht="15" customHeight="1" x14ac:dyDescent="0.2">
      <c r="A35" s="26" t="s">
        <v>59</v>
      </c>
      <c r="B35" s="29" t="s">
        <v>74</v>
      </c>
      <c r="C35" s="30" t="s">
        <v>0</v>
      </c>
      <c r="D35" s="31">
        <v>71</v>
      </c>
      <c r="E35" s="31">
        <v>43</v>
      </c>
      <c r="F35" s="31">
        <v>28</v>
      </c>
      <c r="G35" s="31">
        <v>32</v>
      </c>
      <c r="H35" s="31">
        <v>27</v>
      </c>
      <c r="I35" s="31">
        <v>1</v>
      </c>
      <c r="J35" s="31">
        <v>0</v>
      </c>
      <c r="K35" s="31">
        <v>0</v>
      </c>
      <c r="L35" s="31">
        <v>1</v>
      </c>
      <c r="M35" s="31">
        <v>5</v>
      </c>
      <c r="N35" s="31">
        <v>0</v>
      </c>
      <c r="O35" s="31">
        <v>3</v>
      </c>
      <c r="P35" s="31">
        <v>0</v>
      </c>
      <c r="Q35" s="31">
        <v>2</v>
      </c>
      <c r="R35" s="31">
        <v>0</v>
      </c>
    </row>
    <row r="36" spans="1:18" s="23" customFormat="1" ht="15" customHeight="1" x14ac:dyDescent="0.2">
      <c r="A36" s="110" t="s">
        <v>10</v>
      </c>
      <c r="B36" s="32" t="s">
        <v>75</v>
      </c>
      <c r="C36" s="33" t="s">
        <v>2</v>
      </c>
      <c r="D36" s="22">
        <v>65</v>
      </c>
      <c r="E36" s="22">
        <v>39</v>
      </c>
      <c r="F36" s="22">
        <v>26</v>
      </c>
      <c r="G36" s="22">
        <v>28</v>
      </c>
      <c r="H36" s="22">
        <v>25</v>
      </c>
      <c r="I36" s="22">
        <v>1</v>
      </c>
      <c r="J36" s="22">
        <v>0</v>
      </c>
      <c r="K36" s="22">
        <v>0</v>
      </c>
      <c r="L36" s="22">
        <v>1</v>
      </c>
      <c r="M36" s="22">
        <v>5</v>
      </c>
      <c r="N36" s="22">
        <v>0</v>
      </c>
      <c r="O36" s="22">
        <v>3</v>
      </c>
      <c r="P36" s="22">
        <v>0</v>
      </c>
      <c r="Q36" s="22">
        <v>2</v>
      </c>
      <c r="R36" s="22">
        <v>0</v>
      </c>
    </row>
    <row r="37" spans="1:18" s="23" customFormat="1" ht="15" customHeight="1" x14ac:dyDescent="0.2">
      <c r="A37" s="111"/>
      <c r="B37" s="34" t="s">
        <v>76</v>
      </c>
      <c r="C37" s="35" t="s">
        <v>194</v>
      </c>
      <c r="D37" s="22">
        <v>6</v>
      </c>
      <c r="E37" s="22">
        <v>4</v>
      </c>
      <c r="F37" s="22">
        <v>2</v>
      </c>
      <c r="G37" s="22">
        <v>4</v>
      </c>
      <c r="H37" s="22">
        <v>2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</row>
    <row r="38" spans="1:18" s="23" customFormat="1" ht="15" customHeight="1" x14ac:dyDescent="0.2">
      <c r="A38" s="26" t="s">
        <v>60</v>
      </c>
      <c r="B38" s="29" t="s">
        <v>74</v>
      </c>
      <c r="C38" s="30" t="s">
        <v>0</v>
      </c>
      <c r="D38" s="31">
        <v>124</v>
      </c>
      <c r="E38" s="31">
        <v>60</v>
      </c>
      <c r="F38" s="31">
        <v>64</v>
      </c>
      <c r="G38" s="31">
        <v>40</v>
      </c>
      <c r="H38" s="31">
        <v>51</v>
      </c>
      <c r="I38" s="31">
        <v>2</v>
      </c>
      <c r="J38" s="31">
        <v>0</v>
      </c>
      <c r="K38" s="31">
        <v>4</v>
      </c>
      <c r="L38" s="31">
        <v>7</v>
      </c>
      <c r="M38" s="31">
        <v>6</v>
      </c>
      <c r="N38" s="31">
        <v>2</v>
      </c>
      <c r="O38" s="31">
        <v>4</v>
      </c>
      <c r="P38" s="31">
        <v>2</v>
      </c>
      <c r="Q38" s="31">
        <v>4</v>
      </c>
      <c r="R38" s="31">
        <v>2</v>
      </c>
    </row>
    <row r="39" spans="1:18" s="23" customFormat="1" ht="15" customHeight="1" x14ac:dyDescent="0.2">
      <c r="A39" s="110" t="s">
        <v>11</v>
      </c>
      <c r="B39" s="32" t="s">
        <v>75</v>
      </c>
      <c r="C39" s="33" t="s">
        <v>2</v>
      </c>
      <c r="D39" s="22">
        <v>114</v>
      </c>
      <c r="E39" s="22">
        <v>55</v>
      </c>
      <c r="F39" s="22">
        <v>59</v>
      </c>
      <c r="G39" s="22">
        <v>37</v>
      </c>
      <c r="H39" s="22">
        <v>47</v>
      </c>
      <c r="I39" s="22">
        <v>2</v>
      </c>
      <c r="J39" s="22">
        <v>0</v>
      </c>
      <c r="K39" s="22">
        <v>3</v>
      </c>
      <c r="L39" s="22">
        <v>6</v>
      </c>
      <c r="M39" s="22">
        <v>6</v>
      </c>
      <c r="N39" s="22">
        <v>2</v>
      </c>
      <c r="O39" s="22">
        <v>3</v>
      </c>
      <c r="P39" s="22">
        <v>2</v>
      </c>
      <c r="Q39" s="22">
        <v>4</v>
      </c>
      <c r="R39" s="22">
        <v>2</v>
      </c>
    </row>
    <row r="40" spans="1:18" s="23" customFormat="1" ht="15" customHeight="1" x14ac:dyDescent="0.2">
      <c r="A40" s="111"/>
      <c r="B40" s="34" t="s">
        <v>76</v>
      </c>
      <c r="C40" s="35" t="s">
        <v>194</v>
      </c>
      <c r="D40" s="22">
        <v>10</v>
      </c>
      <c r="E40" s="22">
        <v>5</v>
      </c>
      <c r="F40" s="22">
        <v>5</v>
      </c>
      <c r="G40" s="22">
        <v>3</v>
      </c>
      <c r="H40" s="22">
        <v>4</v>
      </c>
      <c r="I40" s="22">
        <v>0</v>
      </c>
      <c r="J40" s="22">
        <v>0</v>
      </c>
      <c r="K40" s="22">
        <v>1</v>
      </c>
      <c r="L40" s="22">
        <v>1</v>
      </c>
      <c r="M40" s="22">
        <v>0</v>
      </c>
      <c r="N40" s="22">
        <v>0</v>
      </c>
      <c r="O40" s="22">
        <v>1</v>
      </c>
      <c r="P40" s="22">
        <v>0</v>
      </c>
      <c r="Q40" s="22">
        <v>0</v>
      </c>
      <c r="R40" s="22">
        <v>0</v>
      </c>
    </row>
    <row r="41" spans="1:18" s="23" customFormat="1" ht="15" customHeight="1" x14ac:dyDescent="0.2">
      <c r="A41" s="26" t="s">
        <v>61</v>
      </c>
      <c r="B41" s="29" t="s">
        <v>74</v>
      </c>
      <c r="C41" s="30" t="s">
        <v>0</v>
      </c>
      <c r="D41" s="31">
        <v>48</v>
      </c>
      <c r="E41" s="31">
        <v>31</v>
      </c>
      <c r="F41" s="31">
        <v>17</v>
      </c>
      <c r="G41" s="31">
        <v>26</v>
      </c>
      <c r="H41" s="31">
        <v>14</v>
      </c>
      <c r="I41" s="31">
        <v>2</v>
      </c>
      <c r="J41" s="31">
        <v>0</v>
      </c>
      <c r="K41" s="31">
        <v>0</v>
      </c>
      <c r="L41" s="31">
        <v>2</v>
      </c>
      <c r="M41" s="31">
        <v>0</v>
      </c>
      <c r="N41" s="31">
        <v>1</v>
      </c>
      <c r="O41" s="31">
        <v>2</v>
      </c>
      <c r="P41" s="31">
        <v>0</v>
      </c>
      <c r="Q41" s="31">
        <v>1</v>
      </c>
      <c r="R41" s="31">
        <v>0</v>
      </c>
    </row>
    <row r="42" spans="1:18" s="23" customFormat="1" ht="15" customHeight="1" x14ac:dyDescent="0.2">
      <c r="A42" s="110" t="s">
        <v>12</v>
      </c>
      <c r="B42" s="32" t="s">
        <v>75</v>
      </c>
      <c r="C42" s="33" t="s">
        <v>2</v>
      </c>
      <c r="D42" s="22">
        <v>38</v>
      </c>
      <c r="E42" s="22">
        <v>26</v>
      </c>
      <c r="F42" s="22">
        <v>12</v>
      </c>
      <c r="G42" s="22">
        <v>22</v>
      </c>
      <c r="H42" s="22">
        <v>9</v>
      </c>
      <c r="I42" s="22">
        <v>1</v>
      </c>
      <c r="J42" s="22">
        <v>0</v>
      </c>
      <c r="K42" s="22">
        <v>0</v>
      </c>
      <c r="L42" s="22">
        <v>2</v>
      </c>
      <c r="M42" s="22">
        <v>0</v>
      </c>
      <c r="N42" s="22">
        <v>1</v>
      </c>
      <c r="O42" s="22">
        <v>2</v>
      </c>
      <c r="P42" s="22">
        <v>0</v>
      </c>
      <c r="Q42" s="22">
        <v>1</v>
      </c>
      <c r="R42" s="22">
        <v>0</v>
      </c>
    </row>
    <row r="43" spans="1:18" s="23" customFormat="1" ht="15" customHeight="1" x14ac:dyDescent="0.2">
      <c r="A43" s="111"/>
      <c r="B43" s="34" t="s">
        <v>76</v>
      </c>
      <c r="C43" s="35" t="s">
        <v>194</v>
      </c>
      <c r="D43" s="22">
        <v>10</v>
      </c>
      <c r="E43" s="22">
        <v>5</v>
      </c>
      <c r="F43" s="22">
        <v>5</v>
      </c>
      <c r="G43" s="22">
        <v>4</v>
      </c>
      <c r="H43" s="22">
        <v>5</v>
      </c>
      <c r="I43" s="22">
        <v>1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s="23" customFormat="1" ht="15" customHeight="1" x14ac:dyDescent="0.2">
      <c r="A44" s="26" t="s">
        <v>62</v>
      </c>
      <c r="B44" s="29" t="s">
        <v>74</v>
      </c>
      <c r="C44" s="30" t="s">
        <v>0</v>
      </c>
      <c r="D44" s="31">
        <v>89</v>
      </c>
      <c r="E44" s="31">
        <v>60</v>
      </c>
      <c r="F44" s="31">
        <v>29</v>
      </c>
      <c r="G44" s="31">
        <v>46</v>
      </c>
      <c r="H44" s="31">
        <v>26</v>
      </c>
      <c r="I44" s="31">
        <v>0</v>
      </c>
      <c r="J44" s="31">
        <v>1</v>
      </c>
      <c r="K44" s="31">
        <v>3</v>
      </c>
      <c r="L44" s="31">
        <v>1</v>
      </c>
      <c r="M44" s="31">
        <v>9</v>
      </c>
      <c r="N44" s="31">
        <v>0</v>
      </c>
      <c r="O44" s="31">
        <v>2</v>
      </c>
      <c r="P44" s="31">
        <v>1</v>
      </c>
      <c r="Q44" s="31">
        <v>0</v>
      </c>
      <c r="R44" s="31">
        <v>0</v>
      </c>
    </row>
    <row r="45" spans="1:18" s="23" customFormat="1" ht="15" customHeight="1" x14ac:dyDescent="0.2">
      <c r="A45" s="110" t="s">
        <v>13</v>
      </c>
      <c r="B45" s="32" t="s">
        <v>75</v>
      </c>
      <c r="C45" s="33" t="s">
        <v>2</v>
      </c>
      <c r="D45" s="22">
        <v>84</v>
      </c>
      <c r="E45" s="22">
        <v>56</v>
      </c>
      <c r="F45" s="22">
        <v>28</v>
      </c>
      <c r="G45" s="22">
        <v>42</v>
      </c>
      <c r="H45" s="22">
        <v>25</v>
      </c>
      <c r="I45" s="22">
        <v>0</v>
      </c>
      <c r="J45" s="22">
        <v>1</v>
      </c>
      <c r="K45" s="22">
        <v>3</v>
      </c>
      <c r="L45" s="22">
        <v>1</v>
      </c>
      <c r="M45" s="22">
        <v>9</v>
      </c>
      <c r="N45" s="22">
        <v>0</v>
      </c>
      <c r="O45" s="22">
        <v>2</v>
      </c>
      <c r="P45" s="22">
        <v>1</v>
      </c>
      <c r="Q45" s="22">
        <v>0</v>
      </c>
      <c r="R45" s="22">
        <v>0</v>
      </c>
    </row>
    <row r="46" spans="1:18" s="23" customFormat="1" ht="15" customHeight="1" x14ac:dyDescent="0.2">
      <c r="A46" s="111"/>
      <c r="B46" s="34" t="s">
        <v>76</v>
      </c>
      <c r="C46" s="35" t="s">
        <v>194</v>
      </c>
      <c r="D46" s="22">
        <v>5</v>
      </c>
      <c r="E46" s="22">
        <v>4</v>
      </c>
      <c r="F46" s="22">
        <v>1</v>
      </c>
      <c r="G46" s="22">
        <v>4</v>
      </c>
      <c r="H46" s="22">
        <v>1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</row>
    <row r="47" spans="1:18" s="23" customFormat="1" ht="15" customHeight="1" x14ac:dyDescent="0.2">
      <c r="A47" s="26" t="s">
        <v>63</v>
      </c>
      <c r="B47" s="29" t="s">
        <v>74</v>
      </c>
      <c r="C47" s="30" t="s">
        <v>0</v>
      </c>
      <c r="D47" s="31">
        <v>41</v>
      </c>
      <c r="E47" s="31">
        <v>26</v>
      </c>
      <c r="F47" s="31">
        <v>15</v>
      </c>
      <c r="G47" s="31">
        <v>19</v>
      </c>
      <c r="H47" s="31">
        <v>9</v>
      </c>
      <c r="I47" s="31">
        <v>1</v>
      </c>
      <c r="J47" s="31">
        <v>0</v>
      </c>
      <c r="K47" s="31">
        <v>1</v>
      </c>
      <c r="L47" s="31">
        <v>0</v>
      </c>
      <c r="M47" s="31">
        <v>1</v>
      </c>
      <c r="N47" s="31">
        <v>1</v>
      </c>
      <c r="O47" s="31">
        <v>2</v>
      </c>
      <c r="P47" s="31">
        <v>3</v>
      </c>
      <c r="Q47" s="31">
        <v>2</v>
      </c>
      <c r="R47" s="31">
        <v>2</v>
      </c>
    </row>
    <row r="48" spans="1:18" s="23" customFormat="1" ht="15" customHeight="1" x14ac:dyDescent="0.2">
      <c r="A48" s="110" t="s">
        <v>14</v>
      </c>
      <c r="B48" s="32" t="s">
        <v>75</v>
      </c>
      <c r="C48" s="33" t="s">
        <v>2</v>
      </c>
      <c r="D48" s="22">
        <v>40</v>
      </c>
      <c r="E48" s="22">
        <v>25</v>
      </c>
      <c r="F48" s="22">
        <v>15</v>
      </c>
      <c r="G48" s="22">
        <v>18</v>
      </c>
      <c r="H48" s="22">
        <v>9</v>
      </c>
      <c r="I48" s="22">
        <v>1</v>
      </c>
      <c r="J48" s="22">
        <v>0</v>
      </c>
      <c r="K48" s="22">
        <v>1</v>
      </c>
      <c r="L48" s="22">
        <v>0</v>
      </c>
      <c r="M48" s="22">
        <v>1</v>
      </c>
      <c r="N48" s="22">
        <v>1</v>
      </c>
      <c r="O48" s="22">
        <v>2</v>
      </c>
      <c r="P48" s="22">
        <v>3</v>
      </c>
      <c r="Q48" s="22">
        <v>2</v>
      </c>
      <c r="R48" s="22">
        <v>2</v>
      </c>
    </row>
    <row r="49" spans="1:18" s="23" customFormat="1" ht="15" customHeight="1" x14ac:dyDescent="0.2">
      <c r="A49" s="111"/>
      <c r="B49" s="34" t="s">
        <v>76</v>
      </c>
      <c r="C49" s="35" t="s">
        <v>194</v>
      </c>
      <c r="D49" s="22">
        <v>1</v>
      </c>
      <c r="E49" s="22">
        <v>1</v>
      </c>
      <c r="F49" s="22">
        <v>0</v>
      </c>
      <c r="G49" s="22">
        <v>1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s="23" customFormat="1" ht="15" customHeight="1" x14ac:dyDescent="0.2">
      <c r="A50" s="26" t="s">
        <v>64</v>
      </c>
      <c r="B50" s="29" t="s">
        <v>74</v>
      </c>
      <c r="C50" s="30" t="s">
        <v>0</v>
      </c>
      <c r="D50" s="31">
        <v>234</v>
      </c>
      <c r="E50" s="31">
        <v>168</v>
      </c>
      <c r="F50" s="31">
        <v>66</v>
      </c>
      <c r="G50" s="31">
        <v>127</v>
      </c>
      <c r="H50" s="31">
        <v>52</v>
      </c>
      <c r="I50" s="31">
        <v>4</v>
      </c>
      <c r="J50" s="31">
        <v>1</v>
      </c>
      <c r="K50" s="31">
        <v>5</v>
      </c>
      <c r="L50" s="31">
        <v>5</v>
      </c>
      <c r="M50" s="31">
        <v>13</v>
      </c>
      <c r="N50" s="31">
        <v>6</v>
      </c>
      <c r="O50" s="31">
        <v>11</v>
      </c>
      <c r="P50" s="31">
        <v>1</v>
      </c>
      <c r="Q50" s="31">
        <v>8</v>
      </c>
      <c r="R50" s="31">
        <v>1</v>
      </c>
    </row>
    <row r="51" spans="1:18" s="23" customFormat="1" ht="15" customHeight="1" x14ac:dyDescent="0.2">
      <c r="A51" s="110" t="s">
        <v>15</v>
      </c>
      <c r="B51" s="32" t="s">
        <v>75</v>
      </c>
      <c r="C51" s="33" t="s">
        <v>2</v>
      </c>
      <c r="D51" s="22">
        <v>185</v>
      </c>
      <c r="E51" s="22">
        <v>136</v>
      </c>
      <c r="F51" s="22">
        <v>49</v>
      </c>
      <c r="G51" s="22">
        <v>106</v>
      </c>
      <c r="H51" s="22">
        <v>37</v>
      </c>
      <c r="I51" s="22">
        <v>3</v>
      </c>
      <c r="J51" s="22">
        <v>1</v>
      </c>
      <c r="K51" s="22">
        <v>4</v>
      </c>
      <c r="L51" s="22">
        <v>4</v>
      </c>
      <c r="M51" s="22">
        <v>11</v>
      </c>
      <c r="N51" s="22">
        <v>5</v>
      </c>
      <c r="O51" s="22">
        <v>6</v>
      </c>
      <c r="P51" s="22">
        <v>1</v>
      </c>
      <c r="Q51" s="22">
        <v>6</v>
      </c>
      <c r="R51" s="22">
        <v>1</v>
      </c>
    </row>
    <row r="52" spans="1:18" s="23" customFormat="1" ht="15" customHeight="1" x14ac:dyDescent="0.2">
      <c r="A52" s="111"/>
      <c r="B52" s="34" t="s">
        <v>76</v>
      </c>
      <c r="C52" s="35" t="s">
        <v>194</v>
      </c>
      <c r="D52" s="22">
        <v>49</v>
      </c>
      <c r="E52" s="22">
        <v>32</v>
      </c>
      <c r="F52" s="22">
        <v>17</v>
      </c>
      <c r="G52" s="22">
        <v>21</v>
      </c>
      <c r="H52" s="22">
        <v>15</v>
      </c>
      <c r="I52" s="22">
        <v>1</v>
      </c>
      <c r="J52" s="22">
        <v>0</v>
      </c>
      <c r="K52" s="22">
        <v>1</v>
      </c>
      <c r="L52" s="22">
        <v>1</v>
      </c>
      <c r="M52" s="22">
        <v>2</v>
      </c>
      <c r="N52" s="22">
        <v>1</v>
      </c>
      <c r="O52" s="22">
        <v>5</v>
      </c>
      <c r="P52" s="22">
        <v>0</v>
      </c>
      <c r="Q52" s="22">
        <v>2</v>
      </c>
      <c r="R52" s="22">
        <v>0</v>
      </c>
    </row>
    <row r="53" spans="1:18" s="23" customFormat="1" ht="15" customHeight="1" x14ac:dyDescent="0.2">
      <c r="A53" s="26" t="s">
        <v>65</v>
      </c>
      <c r="B53" s="29" t="s">
        <v>74</v>
      </c>
      <c r="C53" s="30" t="s">
        <v>0</v>
      </c>
      <c r="D53" s="31">
        <v>34</v>
      </c>
      <c r="E53" s="31">
        <v>23</v>
      </c>
      <c r="F53" s="31">
        <v>11</v>
      </c>
      <c r="G53" s="31">
        <v>16</v>
      </c>
      <c r="H53" s="31">
        <v>10</v>
      </c>
      <c r="I53" s="31">
        <v>1</v>
      </c>
      <c r="J53" s="31">
        <v>0</v>
      </c>
      <c r="K53" s="31">
        <v>0</v>
      </c>
      <c r="L53" s="31">
        <v>0</v>
      </c>
      <c r="M53" s="31">
        <v>3</v>
      </c>
      <c r="N53" s="31">
        <v>0</v>
      </c>
      <c r="O53" s="31">
        <v>1</v>
      </c>
      <c r="P53" s="31">
        <v>0</v>
      </c>
      <c r="Q53" s="31">
        <v>2</v>
      </c>
      <c r="R53" s="31">
        <v>1</v>
      </c>
    </row>
    <row r="54" spans="1:18" s="23" customFormat="1" ht="15" customHeight="1" x14ac:dyDescent="0.2">
      <c r="A54" s="110" t="s">
        <v>16</v>
      </c>
      <c r="B54" s="32" t="s">
        <v>75</v>
      </c>
      <c r="C54" s="33" t="s">
        <v>2</v>
      </c>
      <c r="D54" s="22">
        <v>18</v>
      </c>
      <c r="E54" s="22">
        <v>13</v>
      </c>
      <c r="F54" s="22">
        <v>5</v>
      </c>
      <c r="G54" s="22">
        <v>9</v>
      </c>
      <c r="H54" s="22">
        <v>4</v>
      </c>
      <c r="I54" s="22">
        <v>1</v>
      </c>
      <c r="J54" s="22">
        <v>0</v>
      </c>
      <c r="K54" s="22">
        <v>0</v>
      </c>
      <c r="L54" s="22">
        <v>0</v>
      </c>
      <c r="M54" s="22">
        <v>2</v>
      </c>
      <c r="N54" s="22">
        <v>0</v>
      </c>
      <c r="O54" s="22">
        <v>0</v>
      </c>
      <c r="P54" s="22">
        <v>0</v>
      </c>
      <c r="Q54" s="22">
        <v>1</v>
      </c>
      <c r="R54" s="22">
        <v>1</v>
      </c>
    </row>
    <row r="55" spans="1:18" s="23" customFormat="1" ht="15" customHeight="1" x14ac:dyDescent="0.2">
      <c r="A55" s="111"/>
      <c r="B55" s="34" t="s">
        <v>76</v>
      </c>
      <c r="C55" s="35" t="s">
        <v>194</v>
      </c>
      <c r="D55" s="22">
        <v>16</v>
      </c>
      <c r="E55" s="22">
        <v>10</v>
      </c>
      <c r="F55" s="22">
        <v>6</v>
      </c>
      <c r="G55" s="22">
        <v>7</v>
      </c>
      <c r="H55" s="22">
        <v>6</v>
      </c>
      <c r="I55" s="22">
        <v>0</v>
      </c>
      <c r="J55" s="22">
        <v>0</v>
      </c>
      <c r="K55" s="22">
        <v>0</v>
      </c>
      <c r="L55" s="22">
        <v>0</v>
      </c>
      <c r="M55" s="22">
        <v>1</v>
      </c>
      <c r="N55" s="22">
        <v>0</v>
      </c>
      <c r="O55" s="22">
        <v>1</v>
      </c>
      <c r="P55" s="22">
        <v>0</v>
      </c>
      <c r="Q55" s="22">
        <v>1</v>
      </c>
      <c r="R55" s="22">
        <v>0</v>
      </c>
    </row>
    <row r="56" spans="1:18" s="23" customFormat="1" ht="15" customHeight="1" x14ac:dyDescent="0.2">
      <c r="A56" s="26" t="s">
        <v>66</v>
      </c>
      <c r="B56" s="29" t="s">
        <v>74</v>
      </c>
      <c r="C56" s="30" t="s">
        <v>0</v>
      </c>
      <c r="D56" s="31">
        <v>66</v>
      </c>
      <c r="E56" s="31">
        <v>53</v>
      </c>
      <c r="F56" s="31">
        <v>13</v>
      </c>
      <c r="G56" s="31">
        <v>37</v>
      </c>
      <c r="H56" s="31">
        <v>13</v>
      </c>
      <c r="I56" s="31">
        <v>6</v>
      </c>
      <c r="J56" s="31">
        <v>0</v>
      </c>
      <c r="K56" s="31">
        <v>0</v>
      </c>
      <c r="L56" s="31">
        <v>0</v>
      </c>
      <c r="M56" s="31">
        <v>5</v>
      </c>
      <c r="N56" s="31">
        <v>0</v>
      </c>
      <c r="O56" s="31">
        <v>3</v>
      </c>
      <c r="P56" s="31">
        <v>0</v>
      </c>
      <c r="Q56" s="31">
        <v>2</v>
      </c>
      <c r="R56" s="31">
        <v>0</v>
      </c>
    </row>
    <row r="57" spans="1:18" s="23" customFormat="1" ht="15" customHeight="1" x14ac:dyDescent="0.2">
      <c r="A57" s="110" t="s">
        <v>17</v>
      </c>
      <c r="B57" s="32" t="s">
        <v>75</v>
      </c>
      <c r="C57" s="33" t="s">
        <v>2</v>
      </c>
      <c r="D57" s="22">
        <v>29</v>
      </c>
      <c r="E57" s="22">
        <v>25</v>
      </c>
      <c r="F57" s="22">
        <v>4</v>
      </c>
      <c r="G57" s="22">
        <v>19</v>
      </c>
      <c r="H57" s="22">
        <v>4</v>
      </c>
      <c r="I57" s="22">
        <v>2</v>
      </c>
      <c r="J57" s="22">
        <v>0</v>
      </c>
      <c r="K57" s="22">
        <v>0</v>
      </c>
      <c r="L57" s="22">
        <v>0</v>
      </c>
      <c r="M57" s="22">
        <v>3</v>
      </c>
      <c r="N57" s="22">
        <v>0</v>
      </c>
      <c r="O57" s="22">
        <v>0</v>
      </c>
      <c r="P57" s="22">
        <v>0</v>
      </c>
      <c r="Q57" s="22">
        <v>1</v>
      </c>
      <c r="R57" s="22">
        <v>0</v>
      </c>
    </row>
    <row r="58" spans="1:18" s="23" customFormat="1" ht="15" customHeight="1" x14ac:dyDescent="0.2">
      <c r="A58" s="111"/>
      <c r="B58" s="34" t="s">
        <v>76</v>
      </c>
      <c r="C58" s="35" t="s">
        <v>194</v>
      </c>
      <c r="D58" s="22">
        <v>37</v>
      </c>
      <c r="E58" s="22">
        <v>28</v>
      </c>
      <c r="F58" s="22">
        <v>9</v>
      </c>
      <c r="G58" s="22">
        <v>18</v>
      </c>
      <c r="H58" s="22">
        <v>9</v>
      </c>
      <c r="I58" s="22">
        <v>4</v>
      </c>
      <c r="J58" s="22">
        <v>0</v>
      </c>
      <c r="K58" s="22">
        <v>0</v>
      </c>
      <c r="L58" s="22">
        <v>0</v>
      </c>
      <c r="M58" s="22">
        <v>2</v>
      </c>
      <c r="N58" s="22">
        <v>0</v>
      </c>
      <c r="O58" s="22">
        <v>3</v>
      </c>
      <c r="P58" s="22">
        <v>0</v>
      </c>
      <c r="Q58" s="22">
        <v>1</v>
      </c>
      <c r="R58" s="22">
        <v>0</v>
      </c>
    </row>
    <row r="59" spans="1:18" s="23" customFormat="1" ht="15" customHeight="1" x14ac:dyDescent="0.2">
      <c r="A59" s="26" t="s">
        <v>67</v>
      </c>
      <c r="B59" s="29" t="s">
        <v>74</v>
      </c>
      <c r="C59" s="30" t="s">
        <v>0</v>
      </c>
      <c r="D59" s="31">
        <v>8</v>
      </c>
      <c r="E59" s="31">
        <v>5</v>
      </c>
      <c r="F59" s="31">
        <v>3</v>
      </c>
      <c r="G59" s="31">
        <v>5</v>
      </c>
      <c r="H59" s="31">
        <v>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</row>
    <row r="60" spans="1:18" s="23" customFormat="1" ht="15" customHeight="1" x14ac:dyDescent="0.2">
      <c r="A60" s="110" t="s">
        <v>18</v>
      </c>
      <c r="B60" s="32" t="s">
        <v>75</v>
      </c>
      <c r="C60" s="33" t="s">
        <v>2</v>
      </c>
      <c r="D60" s="22">
        <v>8</v>
      </c>
      <c r="E60" s="22">
        <v>5</v>
      </c>
      <c r="F60" s="22">
        <v>3</v>
      </c>
      <c r="G60" s="22">
        <v>5</v>
      </c>
      <c r="H60" s="22">
        <v>3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</row>
    <row r="61" spans="1:18" s="23" customFormat="1" ht="15" customHeight="1" x14ac:dyDescent="0.2">
      <c r="A61" s="111"/>
      <c r="B61" s="34" t="s">
        <v>76</v>
      </c>
      <c r="C61" s="35" t="s">
        <v>194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s="23" customFormat="1" ht="15" customHeight="1" x14ac:dyDescent="0.2">
      <c r="A62" s="26" t="s">
        <v>68</v>
      </c>
      <c r="B62" s="29" t="s">
        <v>74</v>
      </c>
      <c r="C62" s="30" t="s">
        <v>0</v>
      </c>
      <c r="D62" s="31">
        <v>83</v>
      </c>
      <c r="E62" s="31">
        <v>48</v>
      </c>
      <c r="F62" s="31">
        <v>35</v>
      </c>
      <c r="G62" s="31">
        <v>36</v>
      </c>
      <c r="H62" s="31">
        <v>28</v>
      </c>
      <c r="I62" s="31">
        <v>1</v>
      </c>
      <c r="J62" s="31">
        <v>1</v>
      </c>
      <c r="K62" s="31">
        <v>2</v>
      </c>
      <c r="L62" s="31">
        <v>3</v>
      </c>
      <c r="M62" s="31">
        <v>2</v>
      </c>
      <c r="N62" s="31">
        <v>0</v>
      </c>
      <c r="O62" s="31">
        <v>5</v>
      </c>
      <c r="P62" s="31">
        <v>2</v>
      </c>
      <c r="Q62" s="31">
        <v>2</v>
      </c>
      <c r="R62" s="31">
        <v>1</v>
      </c>
    </row>
    <row r="63" spans="1:18" s="23" customFormat="1" ht="15" customHeight="1" x14ac:dyDescent="0.2">
      <c r="A63" s="110" t="s">
        <v>19</v>
      </c>
      <c r="B63" s="32" t="s">
        <v>75</v>
      </c>
      <c r="C63" s="33" t="s">
        <v>2</v>
      </c>
      <c r="D63" s="22">
        <v>74</v>
      </c>
      <c r="E63" s="22">
        <v>42</v>
      </c>
      <c r="F63" s="22">
        <v>32</v>
      </c>
      <c r="G63" s="22">
        <v>30</v>
      </c>
      <c r="H63" s="22">
        <v>27</v>
      </c>
      <c r="I63" s="22">
        <v>1</v>
      </c>
      <c r="J63" s="22">
        <v>1</v>
      </c>
      <c r="K63" s="22">
        <v>2</v>
      </c>
      <c r="L63" s="22">
        <v>3</v>
      </c>
      <c r="M63" s="22">
        <v>2</v>
      </c>
      <c r="N63" s="22">
        <v>0</v>
      </c>
      <c r="O63" s="22">
        <v>5</v>
      </c>
      <c r="P63" s="22">
        <v>0</v>
      </c>
      <c r="Q63" s="22">
        <v>2</v>
      </c>
      <c r="R63" s="22">
        <v>1</v>
      </c>
    </row>
    <row r="64" spans="1:18" s="23" customFormat="1" ht="15" customHeight="1" x14ac:dyDescent="0.2">
      <c r="A64" s="111"/>
      <c r="B64" s="34" t="s">
        <v>76</v>
      </c>
      <c r="C64" s="35" t="s">
        <v>194</v>
      </c>
      <c r="D64" s="22">
        <v>9</v>
      </c>
      <c r="E64" s="22">
        <v>6</v>
      </c>
      <c r="F64" s="22">
        <v>3</v>
      </c>
      <c r="G64" s="22">
        <v>6</v>
      </c>
      <c r="H64" s="22">
        <v>1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2</v>
      </c>
      <c r="Q64" s="22">
        <v>0</v>
      </c>
      <c r="R64" s="22">
        <v>0</v>
      </c>
    </row>
    <row r="65" spans="1:18" s="23" customFormat="1" ht="15" customHeight="1" x14ac:dyDescent="0.2">
      <c r="A65" s="26" t="s">
        <v>69</v>
      </c>
      <c r="B65" s="29" t="s">
        <v>74</v>
      </c>
      <c r="C65" s="30" t="s">
        <v>0</v>
      </c>
      <c r="D65" s="31">
        <v>85</v>
      </c>
      <c r="E65" s="31">
        <v>45</v>
      </c>
      <c r="F65" s="31">
        <v>40</v>
      </c>
      <c r="G65" s="31">
        <v>35</v>
      </c>
      <c r="H65" s="31">
        <v>39</v>
      </c>
      <c r="I65" s="31">
        <v>0</v>
      </c>
      <c r="J65" s="31">
        <v>0</v>
      </c>
      <c r="K65" s="31">
        <v>3</v>
      </c>
      <c r="L65" s="31">
        <v>0</v>
      </c>
      <c r="M65" s="31">
        <v>2</v>
      </c>
      <c r="N65" s="31">
        <v>0</v>
      </c>
      <c r="O65" s="31">
        <v>3</v>
      </c>
      <c r="P65" s="31">
        <v>1</v>
      </c>
      <c r="Q65" s="31">
        <v>2</v>
      </c>
      <c r="R65" s="31">
        <v>0</v>
      </c>
    </row>
    <row r="66" spans="1:18" s="23" customFormat="1" ht="15" customHeight="1" x14ac:dyDescent="0.2">
      <c r="A66" s="110" t="s">
        <v>20</v>
      </c>
      <c r="B66" s="32" t="s">
        <v>75</v>
      </c>
      <c r="C66" s="33" t="s">
        <v>2</v>
      </c>
      <c r="D66" s="22">
        <v>79</v>
      </c>
      <c r="E66" s="22">
        <v>44</v>
      </c>
      <c r="F66" s="22">
        <v>35</v>
      </c>
      <c r="G66" s="22">
        <v>34</v>
      </c>
      <c r="H66" s="22">
        <v>35</v>
      </c>
      <c r="I66" s="22">
        <v>0</v>
      </c>
      <c r="J66" s="22">
        <v>0</v>
      </c>
      <c r="K66" s="22">
        <v>3</v>
      </c>
      <c r="L66" s="22">
        <v>0</v>
      </c>
      <c r="M66" s="22">
        <v>2</v>
      </c>
      <c r="N66" s="22">
        <v>0</v>
      </c>
      <c r="O66" s="22">
        <v>3</v>
      </c>
      <c r="P66" s="22">
        <v>0</v>
      </c>
      <c r="Q66" s="22">
        <v>2</v>
      </c>
      <c r="R66" s="22">
        <v>0</v>
      </c>
    </row>
    <row r="67" spans="1:18" s="23" customFormat="1" ht="15" customHeight="1" x14ac:dyDescent="0.2">
      <c r="A67" s="111"/>
      <c r="B67" s="34" t="s">
        <v>76</v>
      </c>
      <c r="C67" s="35" t="s">
        <v>194</v>
      </c>
      <c r="D67" s="22">
        <v>6</v>
      </c>
      <c r="E67" s="22">
        <v>1</v>
      </c>
      <c r="F67" s="22">
        <v>5</v>
      </c>
      <c r="G67" s="22">
        <v>1</v>
      </c>
      <c r="H67" s="22">
        <v>4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1</v>
      </c>
      <c r="Q67" s="22">
        <v>0</v>
      </c>
      <c r="R67" s="22">
        <v>0</v>
      </c>
    </row>
    <row r="68" spans="1:18" s="23" customFormat="1" ht="15" customHeight="1" x14ac:dyDescent="0.2">
      <c r="A68" s="26" t="s">
        <v>70</v>
      </c>
      <c r="B68" s="29" t="s">
        <v>74</v>
      </c>
      <c r="C68" s="30" t="s">
        <v>0</v>
      </c>
      <c r="D68" s="31">
        <v>30</v>
      </c>
      <c r="E68" s="31">
        <v>13</v>
      </c>
      <c r="F68" s="31">
        <v>17</v>
      </c>
      <c r="G68" s="31">
        <v>11</v>
      </c>
      <c r="H68" s="31">
        <v>14</v>
      </c>
      <c r="I68" s="31">
        <v>1</v>
      </c>
      <c r="J68" s="31">
        <v>0</v>
      </c>
      <c r="K68" s="31">
        <v>0</v>
      </c>
      <c r="L68" s="31">
        <v>1</v>
      </c>
      <c r="M68" s="31">
        <v>0</v>
      </c>
      <c r="N68" s="31">
        <v>1</v>
      </c>
      <c r="O68" s="31">
        <v>1</v>
      </c>
      <c r="P68" s="31">
        <v>1</v>
      </c>
      <c r="Q68" s="31">
        <v>0</v>
      </c>
      <c r="R68" s="31">
        <v>0</v>
      </c>
    </row>
    <row r="69" spans="1:18" s="23" customFormat="1" ht="15" customHeight="1" x14ac:dyDescent="0.2">
      <c r="A69" s="110" t="s">
        <v>21</v>
      </c>
      <c r="B69" s="32" t="s">
        <v>75</v>
      </c>
      <c r="C69" s="33" t="s">
        <v>2</v>
      </c>
      <c r="D69" s="22">
        <v>29</v>
      </c>
      <c r="E69" s="22">
        <v>13</v>
      </c>
      <c r="F69" s="22">
        <v>16</v>
      </c>
      <c r="G69" s="22">
        <v>11</v>
      </c>
      <c r="H69" s="22">
        <v>13</v>
      </c>
      <c r="I69" s="22">
        <v>1</v>
      </c>
      <c r="J69" s="22">
        <v>0</v>
      </c>
      <c r="K69" s="22">
        <v>0</v>
      </c>
      <c r="L69" s="22">
        <v>1</v>
      </c>
      <c r="M69" s="22">
        <v>0</v>
      </c>
      <c r="N69" s="22">
        <v>1</v>
      </c>
      <c r="O69" s="22">
        <v>1</v>
      </c>
      <c r="P69" s="22">
        <v>1</v>
      </c>
      <c r="Q69" s="22">
        <v>0</v>
      </c>
      <c r="R69" s="22">
        <v>0</v>
      </c>
    </row>
    <row r="70" spans="1:18" s="23" customFormat="1" ht="15" customHeight="1" x14ac:dyDescent="0.2">
      <c r="A70" s="111"/>
      <c r="B70" s="34" t="s">
        <v>76</v>
      </c>
      <c r="C70" s="35" t="s">
        <v>194</v>
      </c>
      <c r="D70" s="22">
        <v>1</v>
      </c>
      <c r="E70" s="22">
        <v>0</v>
      </c>
      <c r="F70" s="22">
        <v>1</v>
      </c>
      <c r="G70" s="22">
        <v>0</v>
      </c>
      <c r="H70" s="22">
        <v>1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</row>
    <row r="71" spans="1:18" s="23" customFormat="1" ht="15" customHeight="1" x14ac:dyDescent="0.2">
      <c r="A71" s="26" t="s">
        <v>71</v>
      </c>
      <c r="B71" s="29" t="s">
        <v>74</v>
      </c>
      <c r="C71" s="30" t="s">
        <v>0</v>
      </c>
      <c r="D71" s="31">
        <v>13</v>
      </c>
      <c r="E71" s="31">
        <v>10</v>
      </c>
      <c r="F71" s="31">
        <v>3</v>
      </c>
      <c r="G71" s="31">
        <v>9</v>
      </c>
      <c r="H71" s="31">
        <v>2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1</v>
      </c>
      <c r="O71" s="31">
        <v>0</v>
      </c>
      <c r="P71" s="31">
        <v>0</v>
      </c>
      <c r="Q71" s="31">
        <v>1</v>
      </c>
      <c r="R71" s="31">
        <v>0</v>
      </c>
    </row>
    <row r="72" spans="1:18" s="23" customFormat="1" ht="15" customHeight="1" x14ac:dyDescent="0.2">
      <c r="A72" s="110" t="s">
        <v>22</v>
      </c>
      <c r="B72" s="32" t="s">
        <v>75</v>
      </c>
      <c r="C72" s="33" t="s">
        <v>2</v>
      </c>
      <c r="D72" s="22">
        <v>13</v>
      </c>
      <c r="E72" s="22">
        <v>10</v>
      </c>
      <c r="F72" s="22">
        <v>3</v>
      </c>
      <c r="G72" s="22">
        <v>9</v>
      </c>
      <c r="H72" s="22">
        <v>2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1</v>
      </c>
      <c r="O72" s="22">
        <v>0</v>
      </c>
      <c r="P72" s="22">
        <v>0</v>
      </c>
      <c r="Q72" s="22">
        <v>1</v>
      </c>
      <c r="R72" s="22">
        <v>0</v>
      </c>
    </row>
    <row r="73" spans="1:18" s="23" customFormat="1" ht="15" customHeight="1" x14ac:dyDescent="0.2">
      <c r="A73" s="111"/>
      <c r="B73" s="34" t="s">
        <v>76</v>
      </c>
      <c r="C73" s="35" t="s">
        <v>194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s="23" customFormat="1" ht="15" customHeight="1" x14ac:dyDescent="0.2">
      <c r="A74" s="26" t="s">
        <v>72</v>
      </c>
      <c r="B74" s="29" t="s">
        <v>74</v>
      </c>
      <c r="C74" s="30" t="s">
        <v>0</v>
      </c>
      <c r="D74" s="31">
        <v>4</v>
      </c>
      <c r="E74" s="31">
        <v>4</v>
      </c>
      <c r="F74" s="31">
        <v>0</v>
      </c>
      <c r="G74" s="31">
        <v>2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2</v>
      </c>
      <c r="R74" s="31">
        <v>0</v>
      </c>
    </row>
    <row r="75" spans="1:18" s="23" customFormat="1" ht="15" customHeight="1" x14ac:dyDescent="0.2">
      <c r="A75" s="110" t="s">
        <v>23</v>
      </c>
      <c r="B75" s="32" t="s">
        <v>75</v>
      </c>
      <c r="C75" s="33" t="s">
        <v>2</v>
      </c>
      <c r="D75" s="22">
        <v>4</v>
      </c>
      <c r="E75" s="22">
        <v>4</v>
      </c>
      <c r="F75" s="22">
        <v>0</v>
      </c>
      <c r="G75" s="22">
        <v>2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2</v>
      </c>
      <c r="R75" s="22">
        <v>0</v>
      </c>
    </row>
    <row r="76" spans="1:18" s="23" customFormat="1" ht="15" customHeight="1" x14ac:dyDescent="0.2">
      <c r="A76" s="111"/>
      <c r="B76" s="34" t="s">
        <v>76</v>
      </c>
      <c r="C76" s="35" t="s">
        <v>194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</row>
    <row r="77" spans="1:18" ht="15.75" customHeight="1" x14ac:dyDescent="0.2">
      <c r="A77" s="50" t="s">
        <v>114</v>
      </c>
    </row>
    <row r="78" spans="1:18" ht="15.75" customHeight="1" x14ac:dyDescent="0.2">
      <c r="A78" s="51" t="s">
        <v>24</v>
      </c>
      <c r="B78" s="1"/>
      <c r="C78" s="1"/>
    </row>
    <row r="79" spans="1:18" ht="15.75" customHeight="1" x14ac:dyDescent="0.2">
      <c r="A79" s="54" t="s">
        <v>154</v>
      </c>
    </row>
    <row r="80" spans="1:18" ht="15.75" customHeight="1" x14ac:dyDescent="0.2"/>
  </sheetData>
  <mergeCells count="46">
    <mergeCell ref="A69:A70"/>
    <mergeCell ref="A72:A73"/>
    <mergeCell ref="A75:A76"/>
    <mergeCell ref="A54:A55"/>
    <mergeCell ref="A57:A58"/>
    <mergeCell ref="A60:A61"/>
    <mergeCell ref="A63:A64"/>
    <mergeCell ref="A66:A67"/>
    <mergeCell ref="A39:A40"/>
    <mergeCell ref="A42:A43"/>
    <mergeCell ref="A45:A46"/>
    <mergeCell ref="A48:A49"/>
    <mergeCell ref="A51:A52"/>
    <mergeCell ref="A21:A22"/>
    <mergeCell ref="A24:A25"/>
    <mergeCell ref="A27:A28"/>
    <mergeCell ref="A33:A34"/>
    <mergeCell ref="A36:A37"/>
    <mergeCell ref="A12:A13"/>
    <mergeCell ref="A15:A16"/>
    <mergeCell ref="A18:A19"/>
    <mergeCell ref="K6:K7"/>
    <mergeCell ref="L6:L7"/>
    <mergeCell ref="I6:I7"/>
    <mergeCell ref="J6:J7"/>
    <mergeCell ref="Q6:Q7"/>
    <mergeCell ref="R6:R7"/>
    <mergeCell ref="A9:A10"/>
    <mergeCell ref="M6:M7"/>
    <mergeCell ref="N6:N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O6:O7"/>
    <mergeCell ref="P6:P7"/>
    <mergeCell ref="E6:E7"/>
    <mergeCell ref="F6:F7"/>
    <mergeCell ref="G6:G7"/>
    <mergeCell ref="H6:H7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80"/>
  <sheetViews>
    <sheetView zoomScaleNormal="100" zoomScaleSheetLayoutView="100" workbookViewId="0">
      <pane xSplit="3" ySplit="7" topLeftCell="D8" activePane="bottomRight" state="frozen"/>
      <selection activeCell="L49" sqref="L49"/>
      <selection pane="topRight" activeCell="L49" sqref="L49"/>
      <selection pane="bottomLeft" activeCell="L49" sqref="L49"/>
      <selection pane="bottomRight" activeCell="L49" sqref="L49"/>
    </sheetView>
  </sheetViews>
  <sheetFormatPr defaultColWidth="5.5" defaultRowHeight="11.1" customHeight="1" x14ac:dyDescent="0.2"/>
  <cols>
    <col min="1" max="1" width="18.33203125" style="5" customWidth="1"/>
    <col min="2" max="2" width="9.1640625" style="5" customWidth="1"/>
    <col min="3" max="3" width="12.33203125" style="5" customWidth="1"/>
    <col min="4" max="18" width="10" style="5" customWidth="1"/>
    <col min="19" max="16384" width="5.5" style="5"/>
  </cols>
  <sheetData>
    <row r="1" spans="1:18" ht="20.25" customHeight="1" x14ac:dyDescent="0.2">
      <c r="A1" s="2" t="s">
        <v>116</v>
      </c>
      <c r="B1" s="2"/>
      <c r="C1" s="2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4.25" customHeight="1" x14ac:dyDescent="0.2">
      <c r="A2" s="50" t="s">
        <v>117</v>
      </c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2.75" customHeight="1" x14ac:dyDescent="0.2">
      <c r="A3" s="17" t="s">
        <v>152</v>
      </c>
      <c r="B3" s="13"/>
      <c r="C3" s="13"/>
    </row>
    <row r="4" spans="1:18" s="36" customFormat="1" ht="24.75" customHeight="1" x14ac:dyDescent="0.2">
      <c r="A4" s="117" t="s">
        <v>89</v>
      </c>
      <c r="B4" s="117"/>
      <c r="C4" s="92"/>
      <c r="D4" s="83" t="s">
        <v>78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s="36" customFormat="1" ht="36" customHeight="1" x14ac:dyDescent="0.2">
      <c r="A5" s="106"/>
      <c r="B5" s="106"/>
      <c r="C5" s="93"/>
      <c r="D5" s="83" t="s">
        <v>79</v>
      </c>
      <c r="E5" s="95"/>
      <c r="F5" s="96"/>
      <c r="G5" s="86" t="s">
        <v>80</v>
      </c>
      <c r="H5" s="86"/>
      <c r="I5" s="87" t="s">
        <v>81</v>
      </c>
      <c r="J5" s="118"/>
      <c r="K5" s="87" t="s">
        <v>82</v>
      </c>
      <c r="L5" s="118"/>
      <c r="M5" s="87" t="s">
        <v>83</v>
      </c>
      <c r="N5" s="118"/>
      <c r="O5" s="87" t="s">
        <v>84</v>
      </c>
      <c r="P5" s="118"/>
      <c r="Q5" s="87" t="s">
        <v>85</v>
      </c>
      <c r="R5" s="119"/>
    </row>
    <row r="6" spans="1:18" s="36" customFormat="1" ht="30.75" customHeight="1" x14ac:dyDescent="0.2">
      <c r="A6" s="106"/>
      <c r="B6" s="106"/>
      <c r="C6" s="93"/>
      <c r="D6" s="85" t="s">
        <v>86</v>
      </c>
      <c r="E6" s="85" t="s">
        <v>87</v>
      </c>
      <c r="F6" s="85" t="s">
        <v>88</v>
      </c>
      <c r="G6" s="85" t="s">
        <v>87</v>
      </c>
      <c r="H6" s="85" t="s">
        <v>88</v>
      </c>
      <c r="I6" s="85" t="s">
        <v>87</v>
      </c>
      <c r="J6" s="85" t="s">
        <v>88</v>
      </c>
      <c r="K6" s="85" t="s">
        <v>87</v>
      </c>
      <c r="L6" s="85" t="s">
        <v>88</v>
      </c>
      <c r="M6" s="85" t="s">
        <v>87</v>
      </c>
      <c r="N6" s="85" t="s">
        <v>88</v>
      </c>
      <c r="O6" s="85" t="s">
        <v>87</v>
      </c>
      <c r="P6" s="85" t="s">
        <v>88</v>
      </c>
      <c r="Q6" s="85" t="s">
        <v>87</v>
      </c>
      <c r="R6" s="113" t="s">
        <v>88</v>
      </c>
    </row>
    <row r="7" spans="1:18" s="37" customFormat="1" ht="30.75" customHeight="1" x14ac:dyDescent="0.2">
      <c r="A7" s="107"/>
      <c r="B7" s="107"/>
      <c r="C7" s="94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114"/>
    </row>
    <row r="8" spans="1:18" s="21" customFormat="1" ht="16.5" customHeight="1" x14ac:dyDescent="0.2">
      <c r="A8" s="28" t="s">
        <v>73</v>
      </c>
      <c r="B8" s="29" t="s">
        <v>74</v>
      </c>
      <c r="C8" s="30" t="s">
        <v>0</v>
      </c>
      <c r="D8" s="31">
        <v>3977</v>
      </c>
      <c r="E8" s="31">
        <v>2573</v>
      </c>
      <c r="F8" s="31">
        <v>1404</v>
      </c>
      <c r="G8" s="31">
        <v>1864</v>
      </c>
      <c r="H8" s="31">
        <v>1167</v>
      </c>
      <c r="I8" s="31">
        <v>105</v>
      </c>
      <c r="J8" s="31">
        <v>11</v>
      </c>
      <c r="K8" s="31">
        <v>67</v>
      </c>
      <c r="L8" s="31">
        <v>65</v>
      </c>
      <c r="M8" s="31">
        <v>201</v>
      </c>
      <c r="N8" s="31">
        <v>67</v>
      </c>
      <c r="O8" s="31">
        <v>132</v>
      </c>
      <c r="P8" s="31">
        <v>15</v>
      </c>
      <c r="Q8" s="31">
        <v>204</v>
      </c>
      <c r="R8" s="31">
        <v>79</v>
      </c>
    </row>
    <row r="9" spans="1:18" s="21" customFormat="1" ht="15" customHeight="1" x14ac:dyDescent="0.2">
      <c r="A9" s="115" t="s">
        <v>1</v>
      </c>
      <c r="B9" s="32" t="s">
        <v>75</v>
      </c>
      <c r="C9" s="33" t="s">
        <v>2</v>
      </c>
      <c r="D9" s="22">
        <v>3611</v>
      </c>
      <c r="E9" s="22">
        <v>2353</v>
      </c>
      <c r="F9" s="22">
        <v>1258</v>
      </c>
      <c r="G9" s="22">
        <v>1716</v>
      </c>
      <c r="H9" s="22">
        <v>1049</v>
      </c>
      <c r="I9" s="22">
        <v>92</v>
      </c>
      <c r="J9" s="22">
        <v>10</v>
      </c>
      <c r="K9" s="22">
        <v>63</v>
      </c>
      <c r="L9" s="22">
        <v>55</v>
      </c>
      <c r="M9" s="22">
        <v>172</v>
      </c>
      <c r="N9" s="22">
        <v>56</v>
      </c>
      <c r="O9" s="22">
        <v>116</v>
      </c>
      <c r="P9" s="22">
        <v>14</v>
      </c>
      <c r="Q9" s="22">
        <v>194</v>
      </c>
      <c r="R9" s="22">
        <v>74</v>
      </c>
    </row>
    <row r="10" spans="1:18" s="21" customFormat="1" ht="15" customHeight="1" x14ac:dyDescent="0.2">
      <c r="A10" s="116"/>
      <c r="B10" s="32" t="s">
        <v>76</v>
      </c>
      <c r="C10" s="33" t="s">
        <v>194</v>
      </c>
      <c r="D10" s="22">
        <v>366</v>
      </c>
      <c r="E10" s="22">
        <v>220</v>
      </c>
      <c r="F10" s="22">
        <v>146</v>
      </c>
      <c r="G10" s="22">
        <v>148</v>
      </c>
      <c r="H10" s="22">
        <v>118</v>
      </c>
      <c r="I10" s="22">
        <v>13</v>
      </c>
      <c r="J10" s="22">
        <v>1</v>
      </c>
      <c r="K10" s="22">
        <v>4</v>
      </c>
      <c r="L10" s="22">
        <v>10</v>
      </c>
      <c r="M10" s="22">
        <v>29</v>
      </c>
      <c r="N10" s="22">
        <v>11</v>
      </c>
      <c r="O10" s="22">
        <v>16</v>
      </c>
      <c r="P10" s="22">
        <v>1</v>
      </c>
      <c r="Q10" s="22">
        <v>10</v>
      </c>
      <c r="R10" s="22">
        <v>5</v>
      </c>
    </row>
    <row r="11" spans="1:18" s="23" customFormat="1" ht="15" customHeight="1" x14ac:dyDescent="0.2">
      <c r="A11" s="56" t="s">
        <v>119</v>
      </c>
      <c r="B11" s="29" t="s">
        <v>74</v>
      </c>
      <c r="C11" s="30" t="s">
        <v>0</v>
      </c>
      <c r="D11" s="31">
        <v>705</v>
      </c>
      <c r="E11" s="31">
        <v>491</v>
      </c>
      <c r="F11" s="31">
        <v>214</v>
      </c>
      <c r="G11" s="31">
        <v>357</v>
      </c>
      <c r="H11" s="31">
        <v>157</v>
      </c>
      <c r="I11" s="31">
        <v>15</v>
      </c>
      <c r="J11" s="31">
        <v>2</v>
      </c>
      <c r="K11" s="31">
        <v>9</v>
      </c>
      <c r="L11" s="31">
        <v>10</v>
      </c>
      <c r="M11" s="31">
        <v>29</v>
      </c>
      <c r="N11" s="31">
        <v>13</v>
      </c>
      <c r="O11" s="31">
        <v>14</v>
      </c>
      <c r="P11" s="31">
        <v>1</v>
      </c>
      <c r="Q11" s="31">
        <v>67</v>
      </c>
      <c r="R11" s="31">
        <v>31</v>
      </c>
    </row>
    <row r="12" spans="1:18" s="23" customFormat="1" ht="15" customHeight="1" x14ac:dyDescent="0.2">
      <c r="A12" s="110" t="s">
        <v>120</v>
      </c>
      <c r="B12" s="32" t="s">
        <v>75</v>
      </c>
      <c r="C12" s="33" t="s">
        <v>2</v>
      </c>
      <c r="D12" s="22">
        <v>673</v>
      </c>
      <c r="E12" s="22">
        <v>468</v>
      </c>
      <c r="F12" s="22">
        <v>205</v>
      </c>
      <c r="G12" s="22">
        <v>344</v>
      </c>
      <c r="H12" s="22">
        <v>150</v>
      </c>
      <c r="I12" s="22">
        <v>13</v>
      </c>
      <c r="J12" s="22">
        <v>2</v>
      </c>
      <c r="K12" s="22">
        <v>9</v>
      </c>
      <c r="L12" s="22">
        <v>10</v>
      </c>
      <c r="M12" s="22">
        <v>26</v>
      </c>
      <c r="N12" s="22">
        <v>12</v>
      </c>
      <c r="O12" s="22">
        <v>11</v>
      </c>
      <c r="P12" s="22">
        <v>1</v>
      </c>
      <c r="Q12" s="22">
        <v>65</v>
      </c>
      <c r="R12" s="22">
        <v>30</v>
      </c>
    </row>
    <row r="13" spans="1:18" s="23" customFormat="1" ht="15" customHeight="1" x14ac:dyDescent="0.2">
      <c r="A13" s="111"/>
      <c r="B13" s="32" t="s">
        <v>76</v>
      </c>
      <c r="C13" s="33" t="s">
        <v>194</v>
      </c>
      <c r="D13" s="22">
        <v>32</v>
      </c>
      <c r="E13" s="22">
        <v>23</v>
      </c>
      <c r="F13" s="22">
        <v>9</v>
      </c>
      <c r="G13" s="22">
        <v>13</v>
      </c>
      <c r="H13" s="22">
        <v>7</v>
      </c>
      <c r="I13" s="22">
        <v>2</v>
      </c>
      <c r="J13" s="22">
        <v>0</v>
      </c>
      <c r="K13" s="22">
        <v>0</v>
      </c>
      <c r="L13" s="22">
        <v>0</v>
      </c>
      <c r="M13" s="22">
        <v>3</v>
      </c>
      <c r="N13" s="22">
        <v>1</v>
      </c>
      <c r="O13" s="22">
        <v>3</v>
      </c>
      <c r="P13" s="22">
        <v>0</v>
      </c>
      <c r="Q13" s="22">
        <v>2</v>
      </c>
      <c r="R13" s="22">
        <v>1</v>
      </c>
    </row>
    <row r="14" spans="1:18" s="23" customFormat="1" ht="15" customHeight="1" x14ac:dyDescent="0.2">
      <c r="A14" s="56" t="s">
        <v>122</v>
      </c>
      <c r="B14" s="29" t="s">
        <v>74</v>
      </c>
      <c r="C14" s="30" t="s">
        <v>0</v>
      </c>
      <c r="D14" s="31">
        <v>259</v>
      </c>
      <c r="E14" s="31">
        <v>168</v>
      </c>
      <c r="F14" s="31">
        <v>91</v>
      </c>
      <c r="G14" s="31">
        <v>133</v>
      </c>
      <c r="H14" s="31">
        <v>84</v>
      </c>
      <c r="I14" s="31">
        <v>5</v>
      </c>
      <c r="J14" s="31">
        <v>0</v>
      </c>
      <c r="K14" s="31">
        <v>2</v>
      </c>
      <c r="L14" s="31">
        <v>2</v>
      </c>
      <c r="M14" s="31">
        <v>12</v>
      </c>
      <c r="N14" s="31">
        <v>2</v>
      </c>
      <c r="O14" s="31">
        <v>10</v>
      </c>
      <c r="P14" s="31">
        <v>2</v>
      </c>
      <c r="Q14" s="31">
        <v>6</v>
      </c>
      <c r="R14" s="31">
        <v>1</v>
      </c>
    </row>
    <row r="15" spans="1:18" s="23" customFormat="1" ht="15" customHeight="1" x14ac:dyDescent="0.2">
      <c r="A15" s="110" t="s">
        <v>123</v>
      </c>
      <c r="B15" s="32" t="s">
        <v>75</v>
      </c>
      <c r="C15" s="33" t="s">
        <v>194</v>
      </c>
      <c r="D15" s="22">
        <v>252</v>
      </c>
      <c r="E15" s="22">
        <v>164</v>
      </c>
      <c r="F15" s="22">
        <v>88</v>
      </c>
      <c r="G15" s="22">
        <v>131</v>
      </c>
      <c r="H15" s="22">
        <v>81</v>
      </c>
      <c r="I15" s="22">
        <v>5</v>
      </c>
      <c r="J15" s="22">
        <v>0</v>
      </c>
      <c r="K15" s="22">
        <v>2</v>
      </c>
      <c r="L15" s="22">
        <v>2</v>
      </c>
      <c r="M15" s="22">
        <v>12</v>
      </c>
      <c r="N15" s="22">
        <v>2</v>
      </c>
      <c r="O15" s="22">
        <v>10</v>
      </c>
      <c r="P15" s="22">
        <v>2</v>
      </c>
      <c r="Q15" s="22">
        <v>4</v>
      </c>
      <c r="R15" s="22">
        <v>1</v>
      </c>
    </row>
    <row r="16" spans="1:18" s="23" customFormat="1" ht="15" customHeight="1" x14ac:dyDescent="0.2">
      <c r="A16" s="111"/>
      <c r="B16" s="34" t="s">
        <v>76</v>
      </c>
      <c r="C16" s="35" t="s">
        <v>194</v>
      </c>
      <c r="D16" s="22">
        <v>7</v>
      </c>
      <c r="E16" s="22">
        <v>4</v>
      </c>
      <c r="F16" s="22">
        <v>3</v>
      </c>
      <c r="G16" s="22">
        <v>2</v>
      </c>
      <c r="H16" s="22">
        <v>3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2</v>
      </c>
      <c r="R16" s="22">
        <v>0</v>
      </c>
    </row>
    <row r="17" spans="1:18" s="23" customFormat="1" ht="15" customHeight="1" x14ac:dyDescent="0.2">
      <c r="A17" s="56" t="s">
        <v>124</v>
      </c>
      <c r="B17" s="29" t="s">
        <v>74</v>
      </c>
      <c r="C17" s="30" t="s">
        <v>0</v>
      </c>
      <c r="D17" s="31">
        <v>523</v>
      </c>
      <c r="E17" s="31">
        <v>337</v>
      </c>
      <c r="F17" s="31">
        <v>186</v>
      </c>
      <c r="G17" s="31">
        <v>266</v>
      </c>
      <c r="H17" s="31">
        <v>153</v>
      </c>
      <c r="I17" s="31">
        <v>14</v>
      </c>
      <c r="J17" s="31">
        <v>1</v>
      </c>
      <c r="K17" s="31">
        <v>9</v>
      </c>
      <c r="L17" s="31">
        <v>7</v>
      </c>
      <c r="M17" s="31">
        <v>27</v>
      </c>
      <c r="N17" s="31">
        <v>13</v>
      </c>
      <c r="O17" s="31">
        <v>12</v>
      </c>
      <c r="P17" s="31">
        <v>2</v>
      </c>
      <c r="Q17" s="31">
        <v>9</v>
      </c>
      <c r="R17" s="31">
        <v>10</v>
      </c>
    </row>
    <row r="18" spans="1:18" s="23" customFormat="1" ht="15" customHeight="1" x14ac:dyDescent="0.2">
      <c r="A18" s="110" t="s">
        <v>125</v>
      </c>
      <c r="B18" s="32" t="s">
        <v>75</v>
      </c>
      <c r="C18" s="33" t="s">
        <v>2</v>
      </c>
      <c r="D18" s="22">
        <v>442</v>
      </c>
      <c r="E18" s="22">
        <v>282</v>
      </c>
      <c r="F18" s="22">
        <v>160</v>
      </c>
      <c r="G18" s="22">
        <v>224</v>
      </c>
      <c r="H18" s="22">
        <v>134</v>
      </c>
      <c r="I18" s="22">
        <v>8</v>
      </c>
      <c r="J18" s="22">
        <v>0</v>
      </c>
      <c r="K18" s="22">
        <v>9</v>
      </c>
      <c r="L18" s="22">
        <v>7</v>
      </c>
      <c r="M18" s="22">
        <v>22</v>
      </c>
      <c r="N18" s="22">
        <v>9</v>
      </c>
      <c r="O18" s="22">
        <v>10</v>
      </c>
      <c r="P18" s="22">
        <v>2</v>
      </c>
      <c r="Q18" s="22">
        <v>9</v>
      </c>
      <c r="R18" s="22">
        <v>8</v>
      </c>
    </row>
    <row r="19" spans="1:18" s="23" customFormat="1" ht="15" customHeight="1" x14ac:dyDescent="0.2">
      <c r="A19" s="111"/>
      <c r="B19" s="34" t="s">
        <v>76</v>
      </c>
      <c r="C19" s="35" t="s">
        <v>194</v>
      </c>
      <c r="D19" s="22">
        <v>81</v>
      </c>
      <c r="E19" s="22">
        <v>55</v>
      </c>
      <c r="F19" s="22">
        <v>26</v>
      </c>
      <c r="G19" s="22">
        <v>42</v>
      </c>
      <c r="H19" s="22">
        <v>19</v>
      </c>
      <c r="I19" s="22">
        <v>6</v>
      </c>
      <c r="J19" s="22">
        <v>1</v>
      </c>
      <c r="K19" s="22">
        <v>0</v>
      </c>
      <c r="L19" s="22">
        <v>0</v>
      </c>
      <c r="M19" s="22">
        <v>5</v>
      </c>
      <c r="N19" s="22">
        <v>4</v>
      </c>
      <c r="O19" s="22">
        <v>2</v>
      </c>
      <c r="P19" s="22">
        <v>0</v>
      </c>
      <c r="Q19" s="22">
        <v>0</v>
      </c>
      <c r="R19" s="22">
        <v>2</v>
      </c>
    </row>
    <row r="20" spans="1:18" s="23" customFormat="1" ht="15" customHeight="1" x14ac:dyDescent="0.2">
      <c r="A20" s="56" t="s">
        <v>126</v>
      </c>
      <c r="B20" s="29" t="s">
        <v>74</v>
      </c>
      <c r="C20" s="30" t="s">
        <v>0</v>
      </c>
      <c r="D20" s="31">
        <v>571</v>
      </c>
      <c r="E20" s="31">
        <v>346</v>
      </c>
      <c r="F20" s="31">
        <v>225</v>
      </c>
      <c r="G20" s="31">
        <v>262</v>
      </c>
      <c r="H20" s="31">
        <v>196</v>
      </c>
      <c r="I20" s="31">
        <v>15</v>
      </c>
      <c r="J20" s="31">
        <v>0</v>
      </c>
      <c r="K20" s="31">
        <v>8</v>
      </c>
      <c r="L20" s="31">
        <v>14</v>
      </c>
      <c r="M20" s="31">
        <v>22</v>
      </c>
      <c r="N20" s="31">
        <v>5</v>
      </c>
      <c r="O20" s="31">
        <v>23</v>
      </c>
      <c r="P20" s="31">
        <v>3</v>
      </c>
      <c r="Q20" s="31">
        <v>16</v>
      </c>
      <c r="R20" s="31">
        <v>7</v>
      </c>
    </row>
    <row r="21" spans="1:18" s="23" customFormat="1" ht="15" customHeight="1" x14ac:dyDescent="0.2">
      <c r="A21" s="110" t="s">
        <v>127</v>
      </c>
      <c r="B21" s="32" t="s">
        <v>75</v>
      </c>
      <c r="C21" s="33" t="s">
        <v>2</v>
      </c>
      <c r="D21" s="22">
        <v>530</v>
      </c>
      <c r="E21" s="22">
        <v>325</v>
      </c>
      <c r="F21" s="22">
        <v>205</v>
      </c>
      <c r="G21" s="22">
        <v>245</v>
      </c>
      <c r="H21" s="22">
        <v>176</v>
      </c>
      <c r="I21" s="22">
        <v>14</v>
      </c>
      <c r="J21" s="22">
        <v>0</v>
      </c>
      <c r="K21" s="22">
        <v>8</v>
      </c>
      <c r="L21" s="22">
        <v>14</v>
      </c>
      <c r="M21" s="22">
        <v>22</v>
      </c>
      <c r="N21" s="22">
        <v>5</v>
      </c>
      <c r="O21" s="22">
        <v>23</v>
      </c>
      <c r="P21" s="22">
        <v>3</v>
      </c>
      <c r="Q21" s="22">
        <v>13</v>
      </c>
      <c r="R21" s="22">
        <v>7</v>
      </c>
    </row>
    <row r="22" spans="1:18" s="23" customFormat="1" ht="15" customHeight="1" x14ac:dyDescent="0.2">
      <c r="A22" s="111"/>
      <c r="B22" s="34" t="s">
        <v>76</v>
      </c>
      <c r="C22" s="35" t="s">
        <v>194</v>
      </c>
      <c r="D22" s="22">
        <v>41</v>
      </c>
      <c r="E22" s="22">
        <v>21</v>
      </c>
      <c r="F22" s="22">
        <v>20</v>
      </c>
      <c r="G22" s="22">
        <v>17</v>
      </c>
      <c r="H22" s="22">
        <v>20</v>
      </c>
      <c r="I22" s="22">
        <v>1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3</v>
      </c>
      <c r="R22" s="22">
        <v>0</v>
      </c>
    </row>
    <row r="23" spans="1:18" s="23" customFormat="1" ht="15" customHeight="1" x14ac:dyDescent="0.2">
      <c r="A23" s="56" t="s">
        <v>128</v>
      </c>
      <c r="B23" s="29" t="s">
        <v>74</v>
      </c>
      <c r="C23" s="30" t="s">
        <v>0</v>
      </c>
      <c r="D23" s="31">
        <v>274</v>
      </c>
      <c r="E23" s="31">
        <v>184</v>
      </c>
      <c r="F23" s="31">
        <v>90</v>
      </c>
      <c r="G23" s="31">
        <v>94</v>
      </c>
      <c r="H23" s="31">
        <v>75</v>
      </c>
      <c r="I23" s="31">
        <v>9</v>
      </c>
      <c r="J23" s="31">
        <v>1</v>
      </c>
      <c r="K23" s="31">
        <v>5</v>
      </c>
      <c r="L23" s="31">
        <v>2</v>
      </c>
      <c r="M23" s="31">
        <v>20</v>
      </c>
      <c r="N23" s="31">
        <v>3</v>
      </c>
      <c r="O23" s="31">
        <v>9</v>
      </c>
      <c r="P23" s="31">
        <v>0</v>
      </c>
      <c r="Q23" s="31">
        <v>47</v>
      </c>
      <c r="R23" s="31">
        <v>9</v>
      </c>
    </row>
    <row r="24" spans="1:18" s="23" customFormat="1" ht="15" customHeight="1" x14ac:dyDescent="0.2">
      <c r="A24" s="110" t="s">
        <v>129</v>
      </c>
      <c r="B24" s="32" t="s">
        <v>75</v>
      </c>
      <c r="C24" s="33" t="s">
        <v>2</v>
      </c>
      <c r="D24" s="22">
        <v>269</v>
      </c>
      <c r="E24" s="22">
        <v>182</v>
      </c>
      <c r="F24" s="22">
        <v>87</v>
      </c>
      <c r="G24" s="22">
        <v>93</v>
      </c>
      <c r="H24" s="22">
        <v>72</v>
      </c>
      <c r="I24" s="22">
        <v>9</v>
      </c>
      <c r="J24" s="22">
        <v>1</v>
      </c>
      <c r="K24" s="22">
        <v>5</v>
      </c>
      <c r="L24" s="22">
        <v>2</v>
      </c>
      <c r="M24" s="22">
        <v>20</v>
      </c>
      <c r="N24" s="22">
        <v>3</v>
      </c>
      <c r="O24" s="22">
        <v>9</v>
      </c>
      <c r="P24" s="22">
        <v>0</v>
      </c>
      <c r="Q24" s="22">
        <v>46</v>
      </c>
      <c r="R24" s="22">
        <v>9</v>
      </c>
    </row>
    <row r="25" spans="1:18" s="23" customFormat="1" ht="15" customHeight="1" x14ac:dyDescent="0.2">
      <c r="A25" s="111"/>
      <c r="B25" s="34" t="s">
        <v>76</v>
      </c>
      <c r="C25" s="35" t="s">
        <v>194</v>
      </c>
      <c r="D25" s="22">
        <v>5</v>
      </c>
      <c r="E25" s="22">
        <v>2</v>
      </c>
      <c r="F25" s="22">
        <v>3</v>
      </c>
      <c r="G25" s="22">
        <v>1</v>
      </c>
      <c r="H25" s="22">
        <v>3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1</v>
      </c>
      <c r="R25" s="22">
        <v>0</v>
      </c>
    </row>
    <row r="26" spans="1:18" s="23" customFormat="1" ht="15" customHeight="1" x14ac:dyDescent="0.2">
      <c r="A26" s="56" t="s">
        <v>131</v>
      </c>
      <c r="B26" s="29" t="s">
        <v>74</v>
      </c>
      <c r="C26" s="30" t="s">
        <v>0</v>
      </c>
      <c r="D26" s="31">
        <v>577</v>
      </c>
      <c r="E26" s="31">
        <v>359</v>
      </c>
      <c r="F26" s="31">
        <v>218</v>
      </c>
      <c r="G26" s="31">
        <v>289</v>
      </c>
      <c r="H26" s="31">
        <v>194</v>
      </c>
      <c r="I26" s="31">
        <v>12</v>
      </c>
      <c r="J26" s="31">
        <v>2</v>
      </c>
      <c r="K26" s="31">
        <v>10</v>
      </c>
      <c r="L26" s="31">
        <v>9</v>
      </c>
      <c r="M26" s="31">
        <v>15</v>
      </c>
      <c r="N26" s="31">
        <v>6</v>
      </c>
      <c r="O26" s="31">
        <v>18</v>
      </c>
      <c r="P26" s="31">
        <v>0</v>
      </c>
      <c r="Q26" s="31">
        <v>15</v>
      </c>
      <c r="R26" s="31">
        <v>7</v>
      </c>
    </row>
    <row r="27" spans="1:18" s="23" customFormat="1" ht="15" customHeight="1" x14ac:dyDescent="0.2">
      <c r="A27" s="110" t="s">
        <v>132</v>
      </c>
      <c r="B27" s="32" t="s">
        <v>75</v>
      </c>
      <c r="C27" s="33" t="s">
        <v>2</v>
      </c>
      <c r="D27" s="22">
        <v>544</v>
      </c>
      <c r="E27" s="22">
        <v>338</v>
      </c>
      <c r="F27" s="22">
        <v>206</v>
      </c>
      <c r="G27" s="22">
        <v>272</v>
      </c>
      <c r="H27" s="22">
        <v>182</v>
      </c>
      <c r="I27" s="22">
        <v>11</v>
      </c>
      <c r="J27" s="22">
        <v>2</v>
      </c>
      <c r="K27" s="22">
        <v>10</v>
      </c>
      <c r="L27" s="22">
        <v>9</v>
      </c>
      <c r="M27" s="22">
        <v>15</v>
      </c>
      <c r="N27" s="22">
        <v>6</v>
      </c>
      <c r="O27" s="22">
        <v>15</v>
      </c>
      <c r="P27" s="22">
        <v>0</v>
      </c>
      <c r="Q27" s="22">
        <v>15</v>
      </c>
      <c r="R27" s="22">
        <v>7</v>
      </c>
    </row>
    <row r="28" spans="1:18" s="23" customFormat="1" ht="15" customHeight="1" x14ac:dyDescent="0.2">
      <c r="A28" s="111"/>
      <c r="B28" s="34" t="s">
        <v>76</v>
      </c>
      <c r="C28" s="35" t="s">
        <v>194</v>
      </c>
      <c r="D28" s="22">
        <v>33</v>
      </c>
      <c r="E28" s="22">
        <v>21</v>
      </c>
      <c r="F28" s="22">
        <v>12</v>
      </c>
      <c r="G28" s="22">
        <v>17</v>
      </c>
      <c r="H28" s="22">
        <v>12</v>
      </c>
      <c r="I28" s="22">
        <v>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3</v>
      </c>
      <c r="P28" s="22">
        <v>0</v>
      </c>
      <c r="Q28" s="22">
        <v>0</v>
      </c>
      <c r="R28" s="22">
        <v>0</v>
      </c>
    </row>
    <row r="29" spans="1:18" s="23" customFormat="1" ht="15" customHeight="1" x14ac:dyDescent="0.2">
      <c r="A29" s="26" t="s">
        <v>57</v>
      </c>
      <c r="B29" s="29" t="s">
        <v>74</v>
      </c>
      <c r="C29" s="30" t="s">
        <v>0</v>
      </c>
      <c r="D29" s="31">
        <v>61</v>
      </c>
      <c r="E29" s="31">
        <v>41</v>
      </c>
      <c r="F29" s="31">
        <v>20</v>
      </c>
      <c r="G29" s="31">
        <v>30</v>
      </c>
      <c r="H29" s="31">
        <v>15</v>
      </c>
      <c r="I29" s="31">
        <v>1</v>
      </c>
      <c r="J29" s="31">
        <v>1</v>
      </c>
      <c r="K29" s="31">
        <v>0</v>
      </c>
      <c r="L29" s="31">
        <v>2</v>
      </c>
      <c r="M29" s="31">
        <v>6</v>
      </c>
      <c r="N29" s="31">
        <v>1</v>
      </c>
      <c r="O29" s="31">
        <v>3</v>
      </c>
      <c r="P29" s="31">
        <v>1</v>
      </c>
      <c r="Q29" s="31">
        <v>1</v>
      </c>
      <c r="R29" s="31">
        <v>0</v>
      </c>
    </row>
    <row r="30" spans="1:18" s="23" customFormat="1" ht="15" customHeight="1" x14ac:dyDescent="0.2">
      <c r="A30" s="25" t="s">
        <v>8</v>
      </c>
      <c r="B30" s="32" t="s">
        <v>75</v>
      </c>
      <c r="C30" s="33" t="s">
        <v>2</v>
      </c>
      <c r="D30" s="22">
        <v>55</v>
      </c>
      <c r="E30" s="22">
        <v>39</v>
      </c>
      <c r="F30" s="22">
        <v>16</v>
      </c>
      <c r="G30" s="22">
        <v>29</v>
      </c>
      <c r="H30" s="22">
        <v>14</v>
      </c>
      <c r="I30" s="22">
        <v>1</v>
      </c>
      <c r="J30" s="22">
        <v>1</v>
      </c>
      <c r="K30" s="22">
        <v>0</v>
      </c>
      <c r="L30" s="22">
        <v>0</v>
      </c>
      <c r="M30" s="22">
        <v>6</v>
      </c>
      <c r="N30" s="22">
        <v>0</v>
      </c>
      <c r="O30" s="22">
        <v>2</v>
      </c>
      <c r="P30" s="22">
        <v>1</v>
      </c>
      <c r="Q30" s="22">
        <v>1</v>
      </c>
      <c r="R30" s="22">
        <v>0</v>
      </c>
    </row>
    <row r="31" spans="1:18" s="23" customFormat="1" ht="15" customHeight="1" x14ac:dyDescent="0.2">
      <c r="A31" s="24"/>
      <c r="B31" s="34" t="s">
        <v>76</v>
      </c>
      <c r="C31" s="35" t="s">
        <v>194</v>
      </c>
      <c r="D31" s="22">
        <v>6</v>
      </c>
      <c r="E31" s="22">
        <v>2</v>
      </c>
      <c r="F31" s="22">
        <v>4</v>
      </c>
      <c r="G31" s="22">
        <v>1</v>
      </c>
      <c r="H31" s="22">
        <v>1</v>
      </c>
      <c r="I31" s="22">
        <v>0</v>
      </c>
      <c r="J31" s="22">
        <v>0</v>
      </c>
      <c r="K31" s="22">
        <v>0</v>
      </c>
      <c r="L31" s="22">
        <v>2</v>
      </c>
      <c r="M31" s="22">
        <v>0</v>
      </c>
      <c r="N31" s="22">
        <v>1</v>
      </c>
      <c r="O31" s="22">
        <v>1</v>
      </c>
      <c r="P31" s="22">
        <v>0</v>
      </c>
      <c r="Q31" s="22">
        <v>0</v>
      </c>
      <c r="R31" s="22">
        <v>0</v>
      </c>
    </row>
    <row r="32" spans="1:18" s="23" customFormat="1" ht="15" customHeight="1" x14ac:dyDescent="0.2">
      <c r="A32" s="26" t="s">
        <v>58</v>
      </c>
      <c r="B32" s="29" t="s">
        <v>74</v>
      </c>
      <c r="C32" s="30" t="s">
        <v>0</v>
      </c>
      <c r="D32" s="31">
        <v>93</v>
      </c>
      <c r="E32" s="31">
        <v>65</v>
      </c>
      <c r="F32" s="31">
        <v>28</v>
      </c>
      <c r="G32" s="31">
        <v>40</v>
      </c>
      <c r="H32" s="31">
        <v>23</v>
      </c>
      <c r="I32" s="31">
        <v>4</v>
      </c>
      <c r="J32" s="31">
        <v>2</v>
      </c>
      <c r="K32" s="31">
        <v>3</v>
      </c>
      <c r="L32" s="31">
        <v>1</v>
      </c>
      <c r="M32" s="31">
        <v>12</v>
      </c>
      <c r="N32" s="31">
        <v>1</v>
      </c>
      <c r="O32" s="31">
        <v>3</v>
      </c>
      <c r="P32" s="31">
        <v>0</v>
      </c>
      <c r="Q32" s="31">
        <v>3</v>
      </c>
      <c r="R32" s="31">
        <v>1</v>
      </c>
    </row>
    <row r="33" spans="1:18" s="23" customFormat="1" ht="15" customHeight="1" x14ac:dyDescent="0.2">
      <c r="A33" s="110" t="s">
        <v>9</v>
      </c>
      <c r="B33" s="32" t="s">
        <v>75</v>
      </c>
      <c r="C33" s="33" t="s">
        <v>2</v>
      </c>
      <c r="D33" s="22">
        <v>85</v>
      </c>
      <c r="E33" s="22">
        <v>60</v>
      </c>
      <c r="F33" s="22">
        <v>25</v>
      </c>
      <c r="G33" s="22">
        <v>39</v>
      </c>
      <c r="H33" s="22">
        <v>22</v>
      </c>
      <c r="I33" s="22">
        <v>4</v>
      </c>
      <c r="J33" s="22">
        <v>2</v>
      </c>
      <c r="K33" s="22">
        <v>2</v>
      </c>
      <c r="L33" s="22">
        <v>1</v>
      </c>
      <c r="M33" s="22">
        <v>10</v>
      </c>
      <c r="N33" s="22">
        <v>0</v>
      </c>
      <c r="O33" s="22">
        <v>3</v>
      </c>
      <c r="P33" s="22">
        <v>0</v>
      </c>
      <c r="Q33" s="22">
        <v>2</v>
      </c>
      <c r="R33" s="22">
        <v>0</v>
      </c>
    </row>
    <row r="34" spans="1:18" s="23" customFormat="1" ht="15" customHeight="1" x14ac:dyDescent="0.2">
      <c r="A34" s="111"/>
      <c r="B34" s="34" t="s">
        <v>76</v>
      </c>
      <c r="C34" s="35" t="s">
        <v>194</v>
      </c>
      <c r="D34" s="22">
        <v>8</v>
      </c>
      <c r="E34" s="22">
        <v>5</v>
      </c>
      <c r="F34" s="22">
        <v>3</v>
      </c>
      <c r="G34" s="22">
        <v>1</v>
      </c>
      <c r="H34" s="22">
        <v>1</v>
      </c>
      <c r="I34" s="22">
        <v>0</v>
      </c>
      <c r="J34" s="22">
        <v>0</v>
      </c>
      <c r="K34" s="22">
        <v>1</v>
      </c>
      <c r="L34" s="22">
        <v>0</v>
      </c>
      <c r="M34" s="22">
        <v>2</v>
      </c>
      <c r="N34" s="22">
        <v>1</v>
      </c>
      <c r="O34" s="22">
        <v>0</v>
      </c>
      <c r="P34" s="22">
        <v>0</v>
      </c>
      <c r="Q34" s="22">
        <v>1</v>
      </c>
      <c r="R34" s="22">
        <v>1</v>
      </c>
    </row>
    <row r="35" spans="1:18" s="23" customFormat="1" ht="15" customHeight="1" x14ac:dyDescent="0.2">
      <c r="A35" s="26" t="s">
        <v>59</v>
      </c>
      <c r="B35" s="29" t="s">
        <v>74</v>
      </c>
      <c r="C35" s="30" t="s">
        <v>0</v>
      </c>
      <c r="D35" s="31">
        <v>46</v>
      </c>
      <c r="E35" s="31">
        <v>29</v>
      </c>
      <c r="F35" s="31">
        <v>17</v>
      </c>
      <c r="G35" s="31">
        <v>22</v>
      </c>
      <c r="H35" s="31">
        <v>14</v>
      </c>
      <c r="I35" s="31">
        <v>1</v>
      </c>
      <c r="J35" s="31">
        <v>0</v>
      </c>
      <c r="K35" s="31">
        <v>0</v>
      </c>
      <c r="L35" s="31">
        <v>1</v>
      </c>
      <c r="M35" s="31">
        <v>5</v>
      </c>
      <c r="N35" s="31">
        <v>1</v>
      </c>
      <c r="O35" s="31">
        <v>1</v>
      </c>
      <c r="P35" s="31">
        <v>0</v>
      </c>
      <c r="Q35" s="31">
        <v>0</v>
      </c>
      <c r="R35" s="31">
        <v>1</v>
      </c>
    </row>
    <row r="36" spans="1:18" s="23" customFormat="1" ht="15" customHeight="1" x14ac:dyDescent="0.2">
      <c r="A36" s="110" t="s">
        <v>10</v>
      </c>
      <c r="B36" s="32" t="s">
        <v>75</v>
      </c>
      <c r="C36" s="33" t="s">
        <v>2</v>
      </c>
      <c r="D36" s="22">
        <v>41</v>
      </c>
      <c r="E36" s="22">
        <v>27</v>
      </c>
      <c r="F36" s="22">
        <v>14</v>
      </c>
      <c r="G36" s="22">
        <v>20</v>
      </c>
      <c r="H36" s="22">
        <v>11</v>
      </c>
      <c r="I36" s="22">
        <v>1</v>
      </c>
      <c r="J36" s="22">
        <v>0</v>
      </c>
      <c r="K36" s="22">
        <v>0</v>
      </c>
      <c r="L36" s="22">
        <v>1</v>
      </c>
      <c r="M36" s="22">
        <v>5</v>
      </c>
      <c r="N36" s="22">
        <v>1</v>
      </c>
      <c r="O36" s="22">
        <v>1</v>
      </c>
      <c r="P36" s="22">
        <v>0</v>
      </c>
      <c r="Q36" s="22">
        <v>0</v>
      </c>
      <c r="R36" s="22">
        <v>1</v>
      </c>
    </row>
    <row r="37" spans="1:18" s="23" customFormat="1" ht="15" customHeight="1" x14ac:dyDescent="0.2">
      <c r="A37" s="111"/>
      <c r="B37" s="34" t="s">
        <v>76</v>
      </c>
      <c r="C37" s="35" t="s">
        <v>194</v>
      </c>
      <c r="D37" s="22">
        <v>5</v>
      </c>
      <c r="E37" s="22">
        <v>2</v>
      </c>
      <c r="F37" s="22">
        <v>3</v>
      </c>
      <c r="G37" s="22">
        <v>2</v>
      </c>
      <c r="H37" s="22">
        <v>3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</row>
    <row r="38" spans="1:18" s="23" customFormat="1" ht="15" customHeight="1" x14ac:dyDescent="0.2">
      <c r="A38" s="26" t="s">
        <v>60</v>
      </c>
      <c r="B38" s="29" t="s">
        <v>74</v>
      </c>
      <c r="C38" s="30" t="s">
        <v>0</v>
      </c>
      <c r="D38" s="31">
        <v>162</v>
      </c>
      <c r="E38" s="31">
        <v>109</v>
      </c>
      <c r="F38" s="31">
        <v>53</v>
      </c>
      <c r="G38" s="31">
        <v>66</v>
      </c>
      <c r="H38" s="31">
        <v>40</v>
      </c>
      <c r="I38" s="31">
        <v>9</v>
      </c>
      <c r="J38" s="31">
        <v>1</v>
      </c>
      <c r="K38" s="31">
        <v>3</v>
      </c>
      <c r="L38" s="31">
        <v>4</v>
      </c>
      <c r="M38" s="31">
        <v>7</v>
      </c>
      <c r="N38" s="31">
        <v>4</v>
      </c>
      <c r="O38" s="31">
        <v>11</v>
      </c>
      <c r="P38" s="31">
        <v>2</v>
      </c>
      <c r="Q38" s="31">
        <v>13</v>
      </c>
      <c r="R38" s="31">
        <v>2</v>
      </c>
    </row>
    <row r="39" spans="1:18" s="23" customFormat="1" ht="15" customHeight="1" x14ac:dyDescent="0.2">
      <c r="A39" s="110" t="s">
        <v>11</v>
      </c>
      <c r="B39" s="32" t="s">
        <v>75</v>
      </c>
      <c r="C39" s="33" t="s">
        <v>2</v>
      </c>
      <c r="D39" s="22">
        <v>156</v>
      </c>
      <c r="E39" s="22">
        <v>104</v>
      </c>
      <c r="F39" s="22">
        <v>52</v>
      </c>
      <c r="G39" s="22">
        <v>61</v>
      </c>
      <c r="H39" s="22">
        <v>39</v>
      </c>
      <c r="I39" s="22">
        <v>9</v>
      </c>
      <c r="J39" s="22">
        <v>1</v>
      </c>
      <c r="K39" s="22">
        <v>3</v>
      </c>
      <c r="L39" s="22">
        <v>4</v>
      </c>
      <c r="M39" s="22">
        <v>7</v>
      </c>
      <c r="N39" s="22">
        <v>4</v>
      </c>
      <c r="O39" s="22">
        <v>11</v>
      </c>
      <c r="P39" s="22">
        <v>2</v>
      </c>
      <c r="Q39" s="22">
        <v>13</v>
      </c>
      <c r="R39" s="22">
        <v>2</v>
      </c>
    </row>
    <row r="40" spans="1:18" s="23" customFormat="1" ht="15" customHeight="1" x14ac:dyDescent="0.2">
      <c r="A40" s="111"/>
      <c r="B40" s="34" t="s">
        <v>76</v>
      </c>
      <c r="C40" s="35" t="s">
        <v>194</v>
      </c>
      <c r="D40" s="22">
        <v>6</v>
      </c>
      <c r="E40" s="22">
        <v>5</v>
      </c>
      <c r="F40" s="22">
        <v>1</v>
      </c>
      <c r="G40" s="22">
        <v>5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s="23" customFormat="1" ht="15" customHeight="1" x14ac:dyDescent="0.2">
      <c r="A41" s="26" t="s">
        <v>61</v>
      </c>
      <c r="B41" s="29" t="s">
        <v>74</v>
      </c>
      <c r="C41" s="30" t="s">
        <v>0</v>
      </c>
      <c r="D41" s="31">
        <v>47</v>
      </c>
      <c r="E41" s="31">
        <v>32</v>
      </c>
      <c r="F41" s="31">
        <v>15</v>
      </c>
      <c r="G41" s="31">
        <v>26</v>
      </c>
      <c r="H41" s="31">
        <v>13</v>
      </c>
      <c r="I41" s="31">
        <v>0</v>
      </c>
      <c r="J41" s="31">
        <v>0</v>
      </c>
      <c r="K41" s="31">
        <v>2</v>
      </c>
      <c r="L41" s="31">
        <v>1</v>
      </c>
      <c r="M41" s="31">
        <v>1</v>
      </c>
      <c r="N41" s="31">
        <v>0</v>
      </c>
      <c r="O41" s="31">
        <v>1</v>
      </c>
      <c r="P41" s="31">
        <v>1</v>
      </c>
      <c r="Q41" s="31">
        <v>2</v>
      </c>
      <c r="R41" s="31">
        <v>0</v>
      </c>
    </row>
    <row r="42" spans="1:18" s="23" customFormat="1" ht="15" customHeight="1" x14ac:dyDescent="0.2">
      <c r="A42" s="110" t="s">
        <v>12</v>
      </c>
      <c r="B42" s="32" t="s">
        <v>75</v>
      </c>
      <c r="C42" s="33" t="s">
        <v>2</v>
      </c>
      <c r="D42" s="22">
        <v>39</v>
      </c>
      <c r="E42" s="22">
        <v>27</v>
      </c>
      <c r="F42" s="22">
        <v>12</v>
      </c>
      <c r="G42" s="22">
        <v>21</v>
      </c>
      <c r="H42" s="22">
        <v>10</v>
      </c>
      <c r="I42" s="22">
        <v>0</v>
      </c>
      <c r="J42" s="22">
        <v>0</v>
      </c>
      <c r="K42" s="22">
        <v>2</v>
      </c>
      <c r="L42" s="22">
        <v>1</v>
      </c>
      <c r="M42" s="22">
        <v>1</v>
      </c>
      <c r="N42" s="22">
        <v>0</v>
      </c>
      <c r="O42" s="22">
        <v>1</v>
      </c>
      <c r="P42" s="22">
        <v>1</v>
      </c>
      <c r="Q42" s="22">
        <v>2</v>
      </c>
      <c r="R42" s="22">
        <v>0</v>
      </c>
    </row>
    <row r="43" spans="1:18" s="23" customFormat="1" ht="15" customHeight="1" x14ac:dyDescent="0.2">
      <c r="A43" s="111"/>
      <c r="B43" s="34" t="s">
        <v>76</v>
      </c>
      <c r="C43" s="35" t="s">
        <v>194</v>
      </c>
      <c r="D43" s="22">
        <v>8</v>
      </c>
      <c r="E43" s="22">
        <v>5</v>
      </c>
      <c r="F43" s="22">
        <v>3</v>
      </c>
      <c r="G43" s="22">
        <v>5</v>
      </c>
      <c r="H43" s="22">
        <v>3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s="23" customFormat="1" ht="15" customHeight="1" x14ac:dyDescent="0.2">
      <c r="A44" s="26" t="s">
        <v>62</v>
      </c>
      <c r="B44" s="29" t="s">
        <v>74</v>
      </c>
      <c r="C44" s="30" t="s">
        <v>0</v>
      </c>
      <c r="D44" s="31">
        <v>69</v>
      </c>
      <c r="E44" s="31">
        <v>46</v>
      </c>
      <c r="F44" s="31">
        <v>23</v>
      </c>
      <c r="G44" s="31">
        <v>32</v>
      </c>
      <c r="H44" s="31">
        <v>19</v>
      </c>
      <c r="I44" s="31">
        <v>5</v>
      </c>
      <c r="J44" s="31">
        <v>0</v>
      </c>
      <c r="K44" s="31">
        <v>1</v>
      </c>
      <c r="L44" s="31">
        <v>0</v>
      </c>
      <c r="M44" s="31">
        <v>5</v>
      </c>
      <c r="N44" s="31">
        <v>3</v>
      </c>
      <c r="O44" s="31">
        <v>3</v>
      </c>
      <c r="P44" s="31">
        <v>0</v>
      </c>
      <c r="Q44" s="31">
        <v>0</v>
      </c>
      <c r="R44" s="31">
        <v>1</v>
      </c>
    </row>
    <row r="45" spans="1:18" s="23" customFormat="1" ht="15" customHeight="1" x14ac:dyDescent="0.2">
      <c r="A45" s="110" t="s">
        <v>13</v>
      </c>
      <c r="B45" s="32" t="s">
        <v>75</v>
      </c>
      <c r="C45" s="33" t="s">
        <v>2</v>
      </c>
      <c r="D45" s="22">
        <v>66</v>
      </c>
      <c r="E45" s="22">
        <v>45</v>
      </c>
      <c r="F45" s="22">
        <v>21</v>
      </c>
      <c r="G45" s="22">
        <v>32</v>
      </c>
      <c r="H45" s="22">
        <v>17</v>
      </c>
      <c r="I45" s="22">
        <v>5</v>
      </c>
      <c r="J45" s="22">
        <v>0</v>
      </c>
      <c r="K45" s="22">
        <v>1</v>
      </c>
      <c r="L45" s="22">
        <v>0</v>
      </c>
      <c r="M45" s="22">
        <v>4</v>
      </c>
      <c r="N45" s="22">
        <v>3</v>
      </c>
      <c r="O45" s="22">
        <v>3</v>
      </c>
      <c r="P45" s="22">
        <v>0</v>
      </c>
      <c r="Q45" s="22">
        <v>0</v>
      </c>
      <c r="R45" s="22">
        <v>1</v>
      </c>
    </row>
    <row r="46" spans="1:18" s="23" customFormat="1" ht="15" customHeight="1" x14ac:dyDescent="0.2">
      <c r="A46" s="111"/>
      <c r="B46" s="34" t="s">
        <v>76</v>
      </c>
      <c r="C46" s="35" t="s">
        <v>194</v>
      </c>
      <c r="D46" s="22">
        <v>3</v>
      </c>
      <c r="E46" s="22">
        <v>1</v>
      </c>
      <c r="F46" s="22">
        <v>2</v>
      </c>
      <c r="G46" s="22">
        <v>0</v>
      </c>
      <c r="H46" s="22">
        <v>2</v>
      </c>
      <c r="I46" s="22">
        <v>0</v>
      </c>
      <c r="J46" s="22">
        <v>0</v>
      </c>
      <c r="K46" s="22">
        <v>0</v>
      </c>
      <c r="L46" s="22">
        <v>0</v>
      </c>
      <c r="M46" s="22">
        <v>1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</row>
    <row r="47" spans="1:18" s="23" customFormat="1" ht="15" customHeight="1" x14ac:dyDescent="0.2">
      <c r="A47" s="26" t="s">
        <v>63</v>
      </c>
      <c r="B47" s="29" t="s">
        <v>74</v>
      </c>
      <c r="C47" s="30" t="s">
        <v>0</v>
      </c>
      <c r="D47" s="31">
        <v>34</v>
      </c>
      <c r="E47" s="31">
        <v>24</v>
      </c>
      <c r="F47" s="31">
        <v>10</v>
      </c>
      <c r="G47" s="31">
        <v>16</v>
      </c>
      <c r="H47" s="31">
        <v>9</v>
      </c>
      <c r="I47" s="31">
        <v>1</v>
      </c>
      <c r="J47" s="31">
        <v>0</v>
      </c>
      <c r="K47" s="31">
        <v>3</v>
      </c>
      <c r="L47" s="31">
        <v>0</v>
      </c>
      <c r="M47" s="31">
        <v>2</v>
      </c>
      <c r="N47" s="31">
        <v>0</v>
      </c>
      <c r="O47" s="31">
        <v>2</v>
      </c>
      <c r="P47" s="31">
        <v>0</v>
      </c>
      <c r="Q47" s="31">
        <v>0</v>
      </c>
      <c r="R47" s="31">
        <v>1</v>
      </c>
    </row>
    <row r="48" spans="1:18" s="23" customFormat="1" ht="15" customHeight="1" x14ac:dyDescent="0.2">
      <c r="A48" s="110" t="s">
        <v>14</v>
      </c>
      <c r="B48" s="32" t="s">
        <v>75</v>
      </c>
      <c r="C48" s="33" t="s">
        <v>2</v>
      </c>
      <c r="D48" s="22">
        <v>33</v>
      </c>
      <c r="E48" s="22">
        <v>24</v>
      </c>
      <c r="F48" s="22">
        <v>9</v>
      </c>
      <c r="G48" s="22">
        <v>16</v>
      </c>
      <c r="H48" s="22">
        <v>8</v>
      </c>
      <c r="I48" s="22">
        <v>1</v>
      </c>
      <c r="J48" s="22">
        <v>0</v>
      </c>
      <c r="K48" s="22">
        <v>3</v>
      </c>
      <c r="L48" s="22">
        <v>0</v>
      </c>
      <c r="M48" s="22">
        <v>2</v>
      </c>
      <c r="N48" s="22">
        <v>0</v>
      </c>
      <c r="O48" s="22">
        <v>2</v>
      </c>
      <c r="P48" s="22">
        <v>0</v>
      </c>
      <c r="Q48" s="22">
        <v>0</v>
      </c>
      <c r="R48" s="22">
        <v>1</v>
      </c>
    </row>
    <row r="49" spans="1:18" s="23" customFormat="1" ht="15" customHeight="1" x14ac:dyDescent="0.2">
      <c r="A49" s="111"/>
      <c r="B49" s="34" t="s">
        <v>76</v>
      </c>
      <c r="C49" s="35" t="s">
        <v>194</v>
      </c>
      <c r="D49" s="22">
        <v>1</v>
      </c>
      <c r="E49" s="22">
        <v>0</v>
      </c>
      <c r="F49" s="22">
        <v>1</v>
      </c>
      <c r="G49" s="22">
        <v>0</v>
      </c>
      <c r="H49" s="22">
        <v>1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s="23" customFormat="1" ht="15" customHeight="1" x14ac:dyDescent="0.2">
      <c r="A50" s="26" t="s">
        <v>64</v>
      </c>
      <c r="B50" s="29" t="s">
        <v>74</v>
      </c>
      <c r="C50" s="30" t="s">
        <v>0</v>
      </c>
      <c r="D50" s="31">
        <v>235</v>
      </c>
      <c r="E50" s="31">
        <v>145</v>
      </c>
      <c r="F50" s="31">
        <v>90</v>
      </c>
      <c r="G50" s="31">
        <v>100</v>
      </c>
      <c r="H50" s="31">
        <v>70</v>
      </c>
      <c r="I50" s="31">
        <v>5</v>
      </c>
      <c r="J50" s="31">
        <v>0</v>
      </c>
      <c r="K50" s="31">
        <v>7</v>
      </c>
      <c r="L50" s="31">
        <v>5</v>
      </c>
      <c r="M50" s="31">
        <v>15</v>
      </c>
      <c r="N50" s="31">
        <v>9</v>
      </c>
      <c r="O50" s="31">
        <v>3</v>
      </c>
      <c r="P50" s="31">
        <v>1</v>
      </c>
      <c r="Q50" s="31">
        <v>15</v>
      </c>
      <c r="R50" s="31">
        <v>5</v>
      </c>
    </row>
    <row r="51" spans="1:18" s="23" customFormat="1" ht="15" customHeight="1" x14ac:dyDescent="0.2">
      <c r="A51" s="110" t="s">
        <v>15</v>
      </c>
      <c r="B51" s="32" t="s">
        <v>75</v>
      </c>
      <c r="C51" s="33" t="s">
        <v>2</v>
      </c>
      <c r="D51" s="22">
        <v>202</v>
      </c>
      <c r="E51" s="22">
        <v>132</v>
      </c>
      <c r="F51" s="22">
        <v>70</v>
      </c>
      <c r="G51" s="22">
        <v>91</v>
      </c>
      <c r="H51" s="22">
        <v>56</v>
      </c>
      <c r="I51" s="22">
        <v>5</v>
      </c>
      <c r="J51" s="22">
        <v>0</v>
      </c>
      <c r="K51" s="22">
        <v>7</v>
      </c>
      <c r="L51" s="22">
        <v>3</v>
      </c>
      <c r="M51" s="22">
        <v>11</v>
      </c>
      <c r="N51" s="22">
        <v>6</v>
      </c>
      <c r="O51" s="22">
        <v>3</v>
      </c>
      <c r="P51" s="22">
        <v>1</v>
      </c>
      <c r="Q51" s="22">
        <v>15</v>
      </c>
      <c r="R51" s="22">
        <v>4</v>
      </c>
    </row>
    <row r="52" spans="1:18" s="23" customFormat="1" ht="15" customHeight="1" x14ac:dyDescent="0.2">
      <c r="A52" s="111"/>
      <c r="B52" s="34" t="s">
        <v>76</v>
      </c>
      <c r="C52" s="35" t="s">
        <v>194</v>
      </c>
      <c r="D52" s="22">
        <v>33</v>
      </c>
      <c r="E52" s="22">
        <v>13</v>
      </c>
      <c r="F52" s="22">
        <v>20</v>
      </c>
      <c r="G52" s="22">
        <v>9</v>
      </c>
      <c r="H52" s="22">
        <v>14</v>
      </c>
      <c r="I52" s="22">
        <v>0</v>
      </c>
      <c r="J52" s="22">
        <v>0</v>
      </c>
      <c r="K52" s="22">
        <v>0</v>
      </c>
      <c r="L52" s="22">
        <v>2</v>
      </c>
      <c r="M52" s="22">
        <v>4</v>
      </c>
      <c r="N52" s="22">
        <v>3</v>
      </c>
      <c r="O52" s="22">
        <v>0</v>
      </c>
      <c r="P52" s="22">
        <v>0</v>
      </c>
      <c r="Q52" s="22">
        <v>0</v>
      </c>
      <c r="R52" s="22">
        <v>1</v>
      </c>
    </row>
    <row r="53" spans="1:18" s="23" customFormat="1" ht="15" customHeight="1" x14ac:dyDescent="0.2">
      <c r="A53" s="26" t="s">
        <v>65</v>
      </c>
      <c r="B53" s="29" t="s">
        <v>74</v>
      </c>
      <c r="C53" s="30" t="s">
        <v>0</v>
      </c>
      <c r="D53" s="31">
        <v>61</v>
      </c>
      <c r="E53" s="31">
        <v>40</v>
      </c>
      <c r="F53" s="31">
        <v>21</v>
      </c>
      <c r="G53" s="31">
        <v>22</v>
      </c>
      <c r="H53" s="31">
        <v>17</v>
      </c>
      <c r="I53" s="31">
        <v>3</v>
      </c>
      <c r="J53" s="31">
        <v>0</v>
      </c>
      <c r="K53" s="31">
        <v>2</v>
      </c>
      <c r="L53" s="31">
        <v>3</v>
      </c>
      <c r="M53" s="31">
        <v>2</v>
      </c>
      <c r="N53" s="31">
        <v>1</v>
      </c>
      <c r="O53" s="31">
        <v>9</v>
      </c>
      <c r="P53" s="31">
        <v>0</v>
      </c>
      <c r="Q53" s="31">
        <v>2</v>
      </c>
      <c r="R53" s="31">
        <v>0</v>
      </c>
    </row>
    <row r="54" spans="1:18" s="23" customFormat="1" ht="15" customHeight="1" x14ac:dyDescent="0.2">
      <c r="A54" s="110" t="s">
        <v>16</v>
      </c>
      <c r="B54" s="32" t="s">
        <v>75</v>
      </c>
      <c r="C54" s="33" t="s">
        <v>2</v>
      </c>
      <c r="D54" s="22">
        <v>18</v>
      </c>
      <c r="E54" s="22">
        <v>13</v>
      </c>
      <c r="F54" s="22">
        <v>5</v>
      </c>
      <c r="G54" s="22">
        <v>8</v>
      </c>
      <c r="H54" s="22">
        <v>5</v>
      </c>
      <c r="I54" s="22">
        <v>1</v>
      </c>
      <c r="J54" s="22">
        <v>0</v>
      </c>
      <c r="K54" s="22">
        <v>0</v>
      </c>
      <c r="L54" s="22">
        <v>0</v>
      </c>
      <c r="M54" s="22">
        <v>1</v>
      </c>
      <c r="N54" s="22">
        <v>0</v>
      </c>
      <c r="O54" s="22">
        <v>2</v>
      </c>
      <c r="P54" s="22">
        <v>0</v>
      </c>
      <c r="Q54" s="22">
        <v>1</v>
      </c>
      <c r="R54" s="22">
        <v>0</v>
      </c>
    </row>
    <row r="55" spans="1:18" s="23" customFormat="1" ht="15" customHeight="1" x14ac:dyDescent="0.2">
      <c r="A55" s="111"/>
      <c r="B55" s="34" t="s">
        <v>76</v>
      </c>
      <c r="C55" s="35" t="s">
        <v>194</v>
      </c>
      <c r="D55" s="22">
        <v>43</v>
      </c>
      <c r="E55" s="22">
        <v>27</v>
      </c>
      <c r="F55" s="22">
        <v>16</v>
      </c>
      <c r="G55" s="22">
        <v>14</v>
      </c>
      <c r="H55" s="22">
        <v>12</v>
      </c>
      <c r="I55" s="22">
        <v>2</v>
      </c>
      <c r="J55" s="22">
        <v>0</v>
      </c>
      <c r="K55" s="22">
        <v>2</v>
      </c>
      <c r="L55" s="22">
        <v>3</v>
      </c>
      <c r="M55" s="22">
        <v>1</v>
      </c>
      <c r="N55" s="22">
        <v>1</v>
      </c>
      <c r="O55" s="22">
        <v>7</v>
      </c>
      <c r="P55" s="22">
        <v>0</v>
      </c>
      <c r="Q55" s="22">
        <v>1</v>
      </c>
      <c r="R55" s="22">
        <v>0</v>
      </c>
    </row>
    <row r="56" spans="1:18" s="23" customFormat="1" ht="15" customHeight="1" x14ac:dyDescent="0.2">
      <c r="A56" s="26" t="s">
        <v>66</v>
      </c>
      <c r="B56" s="29" t="s">
        <v>74</v>
      </c>
      <c r="C56" s="30" t="s">
        <v>0</v>
      </c>
      <c r="D56" s="31">
        <v>79</v>
      </c>
      <c r="E56" s="31">
        <v>53</v>
      </c>
      <c r="F56" s="31">
        <v>26</v>
      </c>
      <c r="G56" s="31">
        <v>34</v>
      </c>
      <c r="H56" s="31">
        <v>21</v>
      </c>
      <c r="I56" s="31">
        <v>1</v>
      </c>
      <c r="J56" s="31">
        <v>0</v>
      </c>
      <c r="K56" s="31">
        <v>1</v>
      </c>
      <c r="L56" s="31">
        <v>2</v>
      </c>
      <c r="M56" s="31">
        <v>15</v>
      </c>
      <c r="N56" s="31">
        <v>1</v>
      </c>
      <c r="O56" s="31">
        <v>2</v>
      </c>
      <c r="P56" s="31">
        <v>1</v>
      </c>
      <c r="Q56" s="31">
        <v>0</v>
      </c>
      <c r="R56" s="31">
        <v>1</v>
      </c>
    </row>
    <row r="57" spans="1:18" s="23" customFormat="1" ht="15" customHeight="1" x14ac:dyDescent="0.2">
      <c r="A57" s="110" t="s">
        <v>17</v>
      </c>
      <c r="B57" s="32" t="s">
        <v>75</v>
      </c>
      <c r="C57" s="33" t="s">
        <v>2</v>
      </c>
      <c r="D57" s="22">
        <v>33</v>
      </c>
      <c r="E57" s="22">
        <v>22</v>
      </c>
      <c r="F57" s="22">
        <v>11</v>
      </c>
      <c r="G57" s="22">
        <v>18</v>
      </c>
      <c r="H57" s="22">
        <v>9</v>
      </c>
      <c r="I57" s="22">
        <v>0</v>
      </c>
      <c r="J57" s="22">
        <v>0</v>
      </c>
      <c r="K57" s="22">
        <v>0</v>
      </c>
      <c r="L57" s="22">
        <v>0</v>
      </c>
      <c r="M57" s="22">
        <v>2</v>
      </c>
      <c r="N57" s="22">
        <v>1</v>
      </c>
      <c r="O57" s="22">
        <v>2</v>
      </c>
      <c r="P57" s="22">
        <v>0</v>
      </c>
      <c r="Q57" s="22">
        <v>0</v>
      </c>
      <c r="R57" s="22">
        <v>1</v>
      </c>
    </row>
    <row r="58" spans="1:18" s="23" customFormat="1" ht="15" customHeight="1" x14ac:dyDescent="0.2">
      <c r="A58" s="111"/>
      <c r="B58" s="34" t="s">
        <v>76</v>
      </c>
      <c r="C58" s="35" t="s">
        <v>194</v>
      </c>
      <c r="D58" s="22">
        <v>46</v>
      </c>
      <c r="E58" s="22">
        <v>31</v>
      </c>
      <c r="F58" s="22">
        <v>15</v>
      </c>
      <c r="G58" s="22">
        <v>16</v>
      </c>
      <c r="H58" s="22">
        <v>12</v>
      </c>
      <c r="I58" s="22">
        <v>1</v>
      </c>
      <c r="J58" s="22">
        <v>0</v>
      </c>
      <c r="K58" s="22">
        <v>1</v>
      </c>
      <c r="L58" s="22">
        <v>2</v>
      </c>
      <c r="M58" s="22">
        <v>13</v>
      </c>
      <c r="N58" s="22">
        <v>0</v>
      </c>
      <c r="O58" s="22">
        <v>0</v>
      </c>
      <c r="P58" s="22">
        <v>1</v>
      </c>
      <c r="Q58" s="22">
        <v>0</v>
      </c>
      <c r="R58" s="22">
        <v>0</v>
      </c>
    </row>
    <row r="59" spans="1:18" s="23" customFormat="1" ht="15" customHeight="1" x14ac:dyDescent="0.2">
      <c r="A59" s="26" t="s">
        <v>67</v>
      </c>
      <c r="B59" s="29" t="s">
        <v>74</v>
      </c>
      <c r="C59" s="30" t="s">
        <v>0</v>
      </c>
      <c r="D59" s="31">
        <v>6</v>
      </c>
      <c r="E59" s="31">
        <v>4</v>
      </c>
      <c r="F59" s="31">
        <v>2</v>
      </c>
      <c r="G59" s="31">
        <v>4</v>
      </c>
      <c r="H59" s="31">
        <v>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</row>
    <row r="60" spans="1:18" s="23" customFormat="1" ht="15" customHeight="1" x14ac:dyDescent="0.2">
      <c r="A60" s="110" t="s">
        <v>18</v>
      </c>
      <c r="B60" s="32" t="s">
        <v>75</v>
      </c>
      <c r="C60" s="33" t="s">
        <v>2</v>
      </c>
      <c r="D60" s="22">
        <v>6</v>
      </c>
      <c r="E60" s="22">
        <v>4</v>
      </c>
      <c r="F60" s="22">
        <v>2</v>
      </c>
      <c r="G60" s="22">
        <v>4</v>
      </c>
      <c r="H60" s="22">
        <v>2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</row>
    <row r="61" spans="1:18" s="23" customFormat="1" ht="15" customHeight="1" x14ac:dyDescent="0.2">
      <c r="A61" s="111"/>
      <c r="B61" s="34" t="s">
        <v>76</v>
      </c>
      <c r="C61" s="35" t="s">
        <v>194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s="23" customFormat="1" ht="15" customHeight="1" x14ac:dyDescent="0.2">
      <c r="A62" s="26" t="s">
        <v>68</v>
      </c>
      <c r="B62" s="29" t="s">
        <v>74</v>
      </c>
      <c r="C62" s="30" t="s">
        <v>0</v>
      </c>
      <c r="D62" s="31">
        <v>73</v>
      </c>
      <c r="E62" s="31">
        <v>45</v>
      </c>
      <c r="F62" s="31">
        <v>28</v>
      </c>
      <c r="G62" s="31">
        <v>32</v>
      </c>
      <c r="H62" s="31">
        <v>24</v>
      </c>
      <c r="I62" s="31">
        <v>0</v>
      </c>
      <c r="J62" s="31">
        <v>0</v>
      </c>
      <c r="K62" s="31">
        <v>1</v>
      </c>
      <c r="L62" s="31">
        <v>2</v>
      </c>
      <c r="M62" s="31">
        <v>3</v>
      </c>
      <c r="N62" s="31">
        <v>1</v>
      </c>
      <c r="O62" s="31">
        <v>3</v>
      </c>
      <c r="P62" s="31">
        <v>0</v>
      </c>
      <c r="Q62" s="31">
        <v>6</v>
      </c>
      <c r="R62" s="31">
        <v>1</v>
      </c>
    </row>
    <row r="63" spans="1:18" s="23" customFormat="1" ht="15" customHeight="1" x14ac:dyDescent="0.2">
      <c r="A63" s="110" t="s">
        <v>19</v>
      </c>
      <c r="B63" s="32" t="s">
        <v>75</v>
      </c>
      <c r="C63" s="33" t="s">
        <v>2</v>
      </c>
      <c r="D63" s="22">
        <v>72</v>
      </c>
      <c r="E63" s="22">
        <v>45</v>
      </c>
      <c r="F63" s="22">
        <v>27</v>
      </c>
      <c r="G63" s="22">
        <v>32</v>
      </c>
      <c r="H63" s="22">
        <v>24</v>
      </c>
      <c r="I63" s="22">
        <v>0</v>
      </c>
      <c r="J63" s="22">
        <v>0</v>
      </c>
      <c r="K63" s="22">
        <v>1</v>
      </c>
      <c r="L63" s="22">
        <v>1</v>
      </c>
      <c r="M63" s="22">
        <v>3</v>
      </c>
      <c r="N63" s="22">
        <v>1</v>
      </c>
      <c r="O63" s="22">
        <v>3</v>
      </c>
      <c r="P63" s="22">
        <v>0</v>
      </c>
      <c r="Q63" s="22">
        <v>6</v>
      </c>
      <c r="R63" s="22">
        <v>1</v>
      </c>
    </row>
    <row r="64" spans="1:18" s="23" customFormat="1" ht="15" customHeight="1" x14ac:dyDescent="0.2">
      <c r="A64" s="111"/>
      <c r="B64" s="34" t="s">
        <v>76</v>
      </c>
      <c r="C64" s="35" t="s">
        <v>194</v>
      </c>
      <c r="D64" s="22">
        <v>1</v>
      </c>
      <c r="E64" s="22">
        <v>0</v>
      </c>
      <c r="F64" s="22">
        <v>1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1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s="23" customFormat="1" ht="15" customHeight="1" x14ac:dyDescent="0.2">
      <c r="A65" s="26" t="s">
        <v>69</v>
      </c>
      <c r="B65" s="29" t="s">
        <v>74</v>
      </c>
      <c r="C65" s="30" t="s">
        <v>0</v>
      </c>
      <c r="D65" s="31">
        <v>57</v>
      </c>
      <c r="E65" s="31">
        <v>31</v>
      </c>
      <c r="F65" s="31">
        <v>26</v>
      </c>
      <c r="G65" s="31">
        <v>18</v>
      </c>
      <c r="H65" s="31">
        <v>22</v>
      </c>
      <c r="I65" s="31">
        <v>3</v>
      </c>
      <c r="J65" s="31">
        <v>0</v>
      </c>
      <c r="K65" s="31">
        <v>1</v>
      </c>
      <c r="L65" s="31">
        <v>0</v>
      </c>
      <c r="M65" s="31">
        <v>3</v>
      </c>
      <c r="N65" s="31">
        <v>2</v>
      </c>
      <c r="O65" s="31">
        <v>4</v>
      </c>
      <c r="P65" s="31">
        <v>1</v>
      </c>
      <c r="Q65" s="31">
        <v>2</v>
      </c>
      <c r="R65" s="31">
        <v>1</v>
      </c>
    </row>
    <row r="66" spans="1:18" s="23" customFormat="1" ht="15" customHeight="1" x14ac:dyDescent="0.2">
      <c r="A66" s="110" t="s">
        <v>20</v>
      </c>
      <c r="B66" s="32" t="s">
        <v>75</v>
      </c>
      <c r="C66" s="33" t="s">
        <v>2</v>
      </c>
      <c r="D66" s="22">
        <v>51</v>
      </c>
      <c r="E66" s="22">
        <v>29</v>
      </c>
      <c r="F66" s="22">
        <v>22</v>
      </c>
      <c r="G66" s="22">
        <v>16</v>
      </c>
      <c r="H66" s="22">
        <v>18</v>
      </c>
      <c r="I66" s="22">
        <v>3</v>
      </c>
      <c r="J66" s="22">
        <v>0</v>
      </c>
      <c r="K66" s="22">
        <v>1</v>
      </c>
      <c r="L66" s="22">
        <v>0</v>
      </c>
      <c r="M66" s="22">
        <v>3</v>
      </c>
      <c r="N66" s="22">
        <v>2</v>
      </c>
      <c r="O66" s="22">
        <v>4</v>
      </c>
      <c r="P66" s="22">
        <v>1</v>
      </c>
      <c r="Q66" s="22">
        <v>2</v>
      </c>
      <c r="R66" s="22">
        <v>1</v>
      </c>
    </row>
    <row r="67" spans="1:18" s="23" customFormat="1" ht="15" customHeight="1" x14ac:dyDescent="0.2">
      <c r="A67" s="111"/>
      <c r="B67" s="34" t="s">
        <v>76</v>
      </c>
      <c r="C67" s="35" t="s">
        <v>194</v>
      </c>
      <c r="D67" s="22">
        <v>6</v>
      </c>
      <c r="E67" s="22">
        <v>2</v>
      </c>
      <c r="F67" s="22">
        <v>4</v>
      </c>
      <c r="G67" s="22">
        <v>2</v>
      </c>
      <c r="H67" s="22">
        <v>4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s="23" customFormat="1" ht="15" customHeight="1" x14ac:dyDescent="0.2">
      <c r="A68" s="26" t="s">
        <v>70</v>
      </c>
      <c r="B68" s="29" t="s">
        <v>74</v>
      </c>
      <c r="C68" s="30" t="s">
        <v>0</v>
      </c>
      <c r="D68" s="31">
        <v>30</v>
      </c>
      <c r="E68" s="31">
        <v>16</v>
      </c>
      <c r="F68" s="31">
        <v>14</v>
      </c>
      <c r="G68" s="31">
        <v>13</v>
      </c>
      <c r="H68" s="31">
        <v>13</v>
      </c>
      <c r="I68" s="31">
        <v>2</v>
      </c>
      <c r="J68" s="31">
        <v>1</v>
      </c>
      <c r="K68" s="31">
        <v>0</v>
      </c>
      <c r="L68" s="31">
        <v>0</v>
      </c>
      <c r="M68" s="31">
        <v>0</v>
      </c>
      <c r="N68" s="31">
        <v>0</v>
      </c>
      <c r="O68" s="31">
        <v>1</v>
      </c>
      <c r="P68" s="31">
        <v>0</v>
      </c>
      <c r="Q68" s="31">
        <v>0</v>
      </c>
      <c r="R68" s="31">
        <v>0</v>
      </c>
    </row>
    <row r="69" spans="1:18" s="23" customFormat="1" ht="15" customHeight="1" x14ac:dyDescent="0.2">
      <c r="A69" s="110" t="s">
        <v>21</v>
      </c>
      <c r="B69" s="32" t="s">
        <v>75</v>
      </c>
      <c r="C69" s="33" t="s">
        <v>2</v>
      </c>
      <c r="D69" s="22">
        <v>30</v>
      </c>
      <c r="E69" s="22">
        <v>16</v>
      </c>
      <c r="F69" s="22">
        <v>14</v>
      </c>
      <c r="G69" s="22">
        <v>13</v>
      </c>
      <c r="H69" s="22">
        <v>13</v>
      </c>
      <c r="I69" s="22">
        <v>2</v>
      </c>
      <c r="J69" s="22">
        <v>1</v>
      </c>
      <c r="K69" s="22">
        <v>0</v>
      </c>
      <c r="L69" s="22">
        <v>0</v>
      </c>
      <c r="M69" s="22">
        <v>0</v>
      </c>
      <c r="N69" s="22">
        <v>0</v>
      </c>
      <c r="O69" s="22">
        <v>1</v>
      </c>
      <c r="P69" s="22">
        <v>0</v>
      </c>
      <c r="Q69" s="22">
        <v>0</v>
      </c>
      <c r="R69" s="22">
        <v>0</v>
      </c>
    </row>
    <row r="70" spans="1:18" s="23" customFormat="1" ht="15" customHeight="1" x14ac:dyDescent="0.2">
      <c r="A70" s="111"/>
      <c r="B70" s="34" t="s">
        <v>76</v>
      </c>
      <c r="C70" s="35" t="s">
        <v>194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</row>
    <row r="71" spans="1:18" s="23" customFormat="1" ht="15" customHeight="1" x14ac:dyDescent="0.2">
      <c r="A71" s="26" t="s">
        <v>71</v>
      </c>
      <c r="B71" s="29" t="s">
        <v>74</v>
      </c>
      <c r="C71" s="30" t="s">
        <v>0</v>
      </c>
      <c r="D71" s="31">
        <v>11</v>
      </c>
      <c r="E71" s="31">
        <v>5</v>
      </c>
      <c r="F71" s="31">
        <v>6</v>
      </c>
      <c r="G71" s="31">
        <v>5</v>
      </c>
      <c r="H71" s="31">
        <v>5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1</v>
      </c>
      <c r="O71" s="31">
        <v>0</v>
      </c>
      <c r="P71" s="31">
        <v>0</v>
      </c>
      <c r="Q71" s="31">
        <v>0</v>
      </c>
      <c r="R71" s="31">
        <v>0</v>
      </c>
    </row>
    <row r="72" spans="1:18" s="23" customFormat="1" ht="15" customHeight="1" x14ac:dyDescent="0.2">
      <c r="A72" s="110" t="s">
        <v>22</v>
      </c>
      <c r="B72" s="32" t="s">
        <v>75</v>
      </c>
      <c r="C72" s="33" t="s">
        <v>2</v>
      </c>
      <c r="D72" s="22">
        <v>11</v>
      </c>
      <c r="E72" s="22">
        <v>5</v>
      </c>
      <c r="F72" s="22">
        <v>6</v>
      </c>
      <c r="G72" s="22">
        <v>5</v>
      </c>
      <c r="H72" s="22">
        <v>5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1</v>
      </c>
      <c r="O72" s="22">
        <v>0</v>
      </c>
      <c r="P72" s="22">
        <v>0</v>
      </c>
      <c r="Q72" s="22">
        <v>0</v>
      </c>
      <c r="R72" s="22">
        <v>0</v>
      </c>
    </row>
    <row r="73" spans="1:18" s="23" customFormat="1" ht="15" customHeight="1" x14ac:dyDescent="0.2">
      <c r="A73" s="111"/>
      <c r="B73" s="34" t="s">
        <v>76</v>
      </c>
      <c r="C73" s="35" t="s">
        <v>194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s="23" customFormat="1" ht="15" customHeight="1" x14ac:dyDescent="0.2">
      <c r="A74" s="26" t="s">
        <v>72</v>
      </c>
      <c r="B74" s="29" t="s">
        <v>74</v>
      </c>
      <c r="C74" s="30" t="s">
        <v>0</v>
      </c>
      <c r="D74" s="31">
        <v>4</v>
      </c>
      <c r="E74" s="31">
        <v>3</v>
      </c>
      <c r="F74" s="31">
        <v>1</v>
      </c>
      <c r="G74" s="31">
        <v>3</v>
      </c>
      <c r="H74" s="31">
        <v>1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</row>
    <row r="75" spans="1:18" s="23" customFormat="1" ht="15" customHeight="1" x14ac:dyDescent="0.2">
      <c r="A75" s="110" t="s">
        <v>23</v>
      </c>
      <c r="B75" s="32" t="s">
        <v>75</v>
      </c>
      <c r="C75" s="33" t="s">
        <v>2</v>
      </c>
      <c r="D75" s="22">
        <v>3</v>
      </c>
      <c r="E75" s="22">
        <v>2</v>
      </c>
      <c r="F75" s="22">
        <v>1</v>
      </c>
      <c r="G75" s="22">
        <v>2</v>
      </c>
      <c r="H75" s="22">
        <v>1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</row>
    <row r="76" spans="1:18" s="23" customFormat="1" ht="15" customHeight="1" x14ac:dyDescent="0.2">
      <c r="A76" s="111"/>
      <c r="B76" s="34" t="s">
        <v>76</v>
      </c>
      <c r="C76" s="35" t="s">
        <v>194</v>
      </c>
      <c r="D76" s="27">
        <v>1</v>
      </c>
      <c r="E76" s="27">
        <v>1</v>
      </c>
      <c r="F76" s="27">
        <v>0</v>
      </c>
      <c r="G76" s="27">
        <v>1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</row>
    <row r="77" spans="1:18" ht="15.75" customHeight="1" x14ac:dyDescent="0.2">
      <c r="A77" s="50" t="s">
        <v>114</v>
      </c>
    </row>
    <row r="78" spans="1:18" ht="15.75" customHeight="1" x14ac:dyDescent="0.2">
      <c r="A78" s="51" t="s">
        <v>24</v>
      </c>
      <c r="B78" s="1"/>
      <c r="C78" s="1"/>
    </row>
    <row r="79" spans="1:18" ht="15.75" customHeight="1" x14ac:dyDescent="0.2"/>
    <row r="80" spans="1:18" ht="15.75" customHeight="1" x14ac:dyDescent="0.2">
      <c r="A80" s="50" t="s">
        <v>118</v>
      </c>
    </row>
  </sheetData>
  <mergeCells count="46"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F6:F7"/>
    <mergeCell ref="G6:G7"/>
    <mergeCell ref="H6:H7"/>
    <mergeCell ref="I6:I7"/>
    <mergeCell ref="J6:J7"/>
    <mergeCell ref="A45:A46"/>
    <mergeCell ref="A24:A25"/>
    <mergeCell ref="A27:A28"/>
    <mergeCell ref="Q6:Q7"/>
    <mergeCell ref="R6:R7"/>
    <mergeCell ref="A9:A10"/>
    <mergeCell ref="A12:A13"/>
    <mergeCell ref="A15:A16"/>
    <mergeCell ref="A18:A19"/>
    <mergeCell ref="K6:K7"/>
    <mergeCell ref="L6:L7"/>
    <mergeCell ref="M6:M7"/>
    <mergeCell ref="N6:N7"/>
    <mergeCell ref="O6:O7"/>
    <mergeCell ref="P6:P7"/>
    <mergeCell ref="E6:E7"/>
    <mergeCell ref="A21:A22"/>
    <mergeCell ref="A33:A34"/>
    <mergeCell ref="A36:A37"/>
    <mergeCell ref="A39:A40"/>
    <mergeCell ref="A42:A43"/>
    <mergeCell ref="A66:A67"/>
    <mergeCell ref="A69:A70"/>
    <mergeCell ref="A72:A73"/>
    <mergeCell ref="A75:A76"/>
    <mergeCell ref="A48:A49"/>
    <mergeCell ref="A51:A52"/>
    <mergeCell ref="A54:A55"/>
    <mergeCell ref="A57:A58"/>
    <mergeCell ref="A60:A61"/>
    <mergeCell ref="A63:A64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80"/>
  <sheetViews>
    <sheetView zoomScale="110" zoomScaleNormal="110" zoomScaleSheetLayoutView="100" workbookViewId="0">
      <pane xSplit="3" ySplit="7" topLeftCell="K8" activePane="bottomRight" state="frozen"/>
      <selection activeCell="L49" sqref="L49"/>
      <selection pane="topRight" activeCell="L49" sqref="L49"/>
      <selection pane="bottomLeft" activeCell="L49" sqref="L49"/>
      <selection pane="bottomRight" activeCell="L49" sqref="L49"/>
    </sheetView>
  </sheetViews>
  <sheetFormatPr defaultColWidth="5.5" defaultRowHeight="11.1" customHeight="1" x14ac:dyDescent="0.2"/>
  <cols>
    <col min="1" max="1" width="18.33203125" style="5" customWidth="1"/>
    <col min="2" max="2" width="8.33203125" style="5" customWidth="1"/>
    <col min="3" max="3" width="12.33203125" style="5" customWidth="1"/>
    <col min="4" max="24" width="10" style="5" customWidth="1"/>
    <col min="25" max="25" width="7" style="5" bestFit="1" customWidth="1"/>
    <col min="26" max="16384" width="5.5" style="5"/>
  </cols>
  <sheetData>
    <row r="1" spans="1:24" ht="20.25" customHeight="1" x14ac:dyDescent="0.2">
      <c r="A1" s="2" t="s">
        <v>113</v>
      </c>
      <c r="B1" s="38"/>
      <c r="C1" s="38"/>
      <c r="D1" s="39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.25" customHeight="1" x14ac:dyDescent="0.2"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8"/>
    </row>
    <row r="3" spans="1:24" ht="12.75" customHeight="1" x14ac:dyDescent="0.2">
      <c r="A3" s="17" t="s">
        <v>151</v>
      </c>
      <c r="B3" s="13"/>
      <c r="C3" s="13"/>
    </row>
    <row r="4" spans="1:24" s="6" customFormat="1" ht="24.75" customHeight="1" x14ac:dyDescent="0.2">
      <c r="A4" s="128" t="s">
        <v>90</v>
      </c>
      <c r="B4" s="128"/>
      <c r="C4" s="129"/>
      <c r="D4" s="134" t="s">
        <v>91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</row>
    <row r="5" spans="1:24" s="6" customFormat="1" ht="36" customHeight="1" x14ac:dyDescent="0.2">
      <c r="A5" s="130"/>
      <c r="B5" s="130"/>
      <c r="C5" s="131"/>
      <c r="D5" s="134" t="s">
        <v>92</v>
      </c>
      <c r="E5" s="135"/>
      <c r="F5" s="136"/>
      <c r="G5" s="122" t="s">
        <v>93</v>
      </c>
      <c r="H5" s="122"/>
      <c r="I5" s="122" t="s">
        <v>94</v>
      </c>
      <c r="J5" s="122"/>
      <c r="K5" s="122" t="s">
        <v>95</v>
      </c>
      <c r="L5" s="122"/>
      <c r="M5" s="122" t="s">
        <v>96</v>
      </c>
      <c r="N5" s="122"/>
      <c r="O5" s="122" t="s">
        <v>97</v>
      </c>
      <c r="P5" s="122"/>
      <c r="Q5" s="122" t="s">
        <v>98</v>
      </c>
      <c r="R5" s="122"/>
      <c r="S5" s="122" t="s">
        <v>99</v>
      </c>
      <c r="T5" s="122"/>
      <c r="U5" s="122" t="s">
        <v>100</v>
      </c>
      <c r="V5" s="122"/>
      <c r="W5" s="122" t="s">
        <v>101</v>
      </c>
      <c r="X5" s="123"/>
    </row>
    <row r="6" spans="1:24" s="6" customFormat="1" ht="30.75" customHeight="1" x14ac:dyDescent="0.2">
      <c r="A6" s="130"/>
      <c r="B6" s="130"/>
      <c r="C6" s="131"/>
      <c r="D6" s="127" t="s">
        <v>102</v>
      </c>
      <c r="E6" s="127" t="s">
        <v>27</v>
      </c>
      <c r="F6" s="127" t="s">
        <v>28</v>
      </c>
      <c r="G6" s="127" t="s">
        <v>27</v>
      </c>
      <c r="H6" s="127" t="s">
        <v>28</v>
      </c>
      <c r="I6" s="127" t="s">
        <v>27</v>
      </c>
      <c r="J6" s="127" t="s">
        <v>28</v>
      </c>
      <c r="K6" s="127" t="s">
        <v>27</v>
      </c>
      <c r="L6" s="127" t="s">
        <v>28</v>
      </c>
      <c r="M6" s="127" t="s">
        <v>27</v>
      </c>
      <c r="N6" s="127" t="s">
        <v>28</v>
      </c>
      <c r="O6" s="127" t="s">
        <v>27</v>
      </c>
      <c r="P6" s="127" t="s">
        <v>28</v>
      </c>
      <c r="Q6" s="127" t="s">
        <v>27</v>
      </c>
      <c r="R6" s="127" t="s">
        <v>28</v>
      </c>
      <c r="S6" s="127" t="s">
        <v>27</v>
      </c>
      <c r="T6" s="127" t="s">
        <v>28</v>
      </c>
      <c r="U6" s="127" t="s">
        <v>27</v>
      </c>
      <c r="V6" s="127" t="s">
        <v>28</v>
      </c>
      <c r="W6" s="127" t="s">
        <v>27</v>
      </c>
      <c r="X6" s="124" t="s">
        <v>28</v>
      </c>
    </row>
    <row r="7" spans="1:24" s="7" customFormat="1" ht="30.75" customHeight="1" x14ac:dyDescent="0.2">
      <c r="A7" s="132"/>
      <c r="B7" s="132"/>
      <c r="C7" s="133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3"/>
    </row>
    <row r="8" spans="1:24" s="10" customFormat="1" ht="16.5" customHeight="1" x14ac:dyDescent="0.2">
      <c r="A8" s="40" t="s">
        <v>103</v>
      </c>
      <c r="B8" s="41" t="s">
        <v>104</v>
      </c>
      <c r="C8" s="42" t="s">
        <v>0</v>
      </c>
      <c r="D8" s="43">
        <v>9300</v>
      </c>
      <c r="E8" s="43">
        <v>6194</v>
      </c>
      <c r="F8" s="43">
        <v>3106</v>
      </c>
      <c r="G8" s="43">
        <v>3316</v>
      </c>
      <c r="H8" s="43">
        <v>2186</v>
      </c>
      <c r="I8" s="43">
        <v>216</v>
      </c>
      <c r="J8" s="43">
        <v>235</v>
      </c>
      <c r="K8" s="43">
        <v>412</v>
      </c>
      <c r="L8" s="43">
        <v>172</v>
      </c>
      <c r="M8" s="43">
        <v>15</v>
      </c>
      <c r="N8" s="43">
        <v>5</v>
      </c>
      <c r="O8" s="43">
        <v>145</v>
      </c>
      <c r="P8" s="43">
        <v>21</v>
      </c>
      <c r="Q8" s="43">
        <v>67</v>
      </c>
      <c r="R8" s="43">
        <v>26</v>
      </c>
      <c r="S8" s="43">
        <v>556</v>
      </c>
      <c r="T8" s="43">
        <v>96</v>
      </c>
      <c r="U8" s="43">
        <v>3</v>
      </c>
      <c r="V8" s="43">
        <v>24</v>
      </c>
      <c r="W8" s="43">
        <v>1464</v>
      </c>
      <c r="X8" s="43">
        <v>341</v>
      </c>
    </row>
    <row r="9" spans="1:24" s="10" customFormat="1" ht="15" customHeight="1" x14ac:dyDescent="0.2">
      <c r="A9" s="125" t="s">
        <v>1</v>
      </c>
      <c r="B9" s="44" t="s">
        <v>105</v>
      </c>
      <c r="C9" s="45" t="s">
        <v>2</v>
      </c>
      <c r="D9" s="19">
        <v>8713</v>
      </c>
      <c r="E9" s="19">
        <v>5822</v>
      </c>
      <c r="F9" s="19">
        <v>2891</v>
      </c>
      <c r="G9" s="19">
        <v>3126</v>
      </c>
      <c r="H9" s="19">
        <v>2024</v>
      </c>
      <c r="I9" s="19">
        <v>180</v>
      </c>
      <c r="J9" s="19">
        <v>217</v>
      </c>
      <c r="K9" s="19">
        <v>352</v>
      </c>
      <c r="L9" s="19">
        <v>168</v>
      </c>
      <c r="M9" s="19">
        <v>15</v>
      </c>
      <c r="N9" s="19">
        <v>5</v>
      </c>
      <c r="O9" s="19">
        <v>143</v>
      </c>
      <c r="P9" s="19">
        <v>17</v>
      </c>
      <c r="Q9" s="19">
        <v>67</v>
      </c>
      <c r="R9" s="19">
        <v>26</v>
      </c>
      <c r="S9" s="19">
        <v>535</v>
      </c>
      <c r="T9" s="19">
        <v>91</v>
      </c>
      <c r="U9" s="19">
        <v>2</v>
      </c>
      <c r="V9" s="19">
        <v>24</v>
      </c>
      <c r="W9" s="19">
        <v>1402</v>
      </c>
      <c r="X9" s="19">
        <v>319</v>
      </c>
    </row>
    <row r="10" spans="1:24" s="10" customFormat="1" ht="15" customHeight="1" x14ac:dyDescent="0.2">
      <c r="A10" s="126"/>
      <c r="B10" s="44" t="s">
        <v>106</v>
      </c>
      <c r="C10" s="45" t="s">
        <v>194</v>
      </c>
      <c r="D10" s="19">
        <v>587</v>
      </c>
      <c r="E10" s="19">
        <v>372</v>
      </c>
      <c r="F10" s="19">
        <v>215</v>
      </c>
      <c r="G10" s="19">
        <v>190</v>
      </c>
      <c r="H10" s="19">
        <v>162</v>
      </c>
      <c r="I10" s="19">
        <v>36</v>
      </c>
      <c r="J10" s="19">
        <v>18</v>
      </c>
      <c r="K10" s="19">
        <v>60</v>
      </c>
      <c r="L10" s="19">
        <v>4</v>
      </c>
      <c r="M10" s="19">
        <v>0</v>
      </c>
      <c r="N10" s="19">
        <v>0</v>
      </c>
      <c r="O10" s="19">
        <v>2</v>
      </c>
      <c r="P10" s="19">
        <v>4</v>
      </c>
      <c r="Q10" s="19">
        <v>0</v>
      </c>
      <c r="R10" s="19">
        <v>0</v>
      </c>
      <c r="S10" s="19">
        <v>21</v>
      </c>
      <c r="T10" s="19">
        <v>5</v>
      </c>
      <c r="U10" s="19">
        <v>1</v>
      </c>
      <c r="V10" s="19">
        <v>0</v>
      </c>
      <c r="W10" s="19">
        <v>62</v>
      </c>
      <c r="X10" s="19">
        <v>22</v>
      </c>
    </row>
    <row r="11" spans="1:24" s="12" customFormat="1" ht="15" customHeight="1" x14ac:dyDescent="0.2">
      <c r="A11" s="57" t="s">
        <v>133</v>
      </c>
      <c r="B11" s="41" t="s">
        <v>104</v>
      </c>
      <c r="C11" s="42" t="s">
        <v>0</v>
      </c>
      <c r="D11" s="43">
        <v>1224</v>
      </c>
      <c r="E11" s="43">
        <v>895</v>
      </c>
      <c r="F11" s="43">
        <v>329</v>
      </c>
      <c r="G11" s="43">
        <v>425</v>
      </c>
      <c r="H11" s="43">
        <v>190</v>
      </c>
      <c r="I11" s="43">
        <v>17</v>
      </c>
      <c r="J11" s="43">
        <v>30</v>
      </c>
      <c r="K11" s="43">
        <v>50</v>
      </c>
      <c r="L11" s="43">
        <v>16</v>
      </c>
      <c r="M11" s="43">
        <v>0</v>
      </c>
      <c r="N11" s="43">
        <v>0</v>
      </c>
      <c r="O11" s="43">
        <v>18</v>
      </c>
      <c r="P11" s="43">
        <v>1</v>
      </c>
      <c r="Q11" s="43">
        <v>5</v>
      </c>
      <c r="R11" s="43">
        <v>0</v>
      </c>
      <c r="S11" s="43">
        <v>25</v>
      </c>
      <c r="T11" s="43">
        <v>2</v>
      </c>
      <c r="U11" s="43">
        <v>0</v>
      </c>
      <c r="V11" s="43">
        <v>0</v>
      </c>
      <c r="W11" s="43">
        <v>355</v>
      </c>
      <c r="X11" s="43">
        <v>90</v>
      </c>
    </row>
    <row r="12" spans="1:24" s="12" customFormat="1" ht="15" customHeight="1" x14ac:dyDescent="0.2">
      <c r="A12" s="120" t="s">
        <v>134</v>
      </c>
      <c r="B12" s="44" t="s">
        <v>107</v>
      </c>
      <c r="C12" s="45" t="s">
        <v>2</v>
      </c>
      <c r="D12" s="19">
        <v>1191</v>
      </c>
      <c r="E12" s="19">
        <v>872</v>
      </c>
      <c r="F12" s="19">
        <v>319</v>
      </c>
      <c r="G12" s="19">
        <v>412</v>
      </c>
      <c r="H12" s="19">
        <v>182</v>
      </c>
      <c r="I12" s="19">
        <v>15</v>
      </c>
      <c r="J12" s="19">
        <v>28</v>
      </c>
      <c r="K12" s="19">
        <v>45</v>
      </c>
      <c r="L12" s="19">
        <v>16</v>
      </c>
      <c r="M12" s="19">
        <v>0</v>
      </c>
      <c r="N12" s="19">
        <v>0</v>
      </c>
      <c r="O12" s="19">
        <v>18</v>
      </c>
      <c r="P12" s="19">
        <v>1</v>
      </c>
      <c r="Q12" s="19">
        <v>5</v>
      </c>
      <c r="R12" s="19">
        <v>0</v>
      </c>
      <c r="S12" s="19">
        <v>25</v>
      </c>
      <c r="T12" s="19">
        <v>2</v>
      </c>
      <c r="U12" s="19">
        <v>0</v>
      </c>
      <c r="V12" s="19">
        <v>0</v>
      </c>
      <c r="W12" s="19">
        <v>352</v>
      </c>
      <c r="X12" s="19">
        <v>90</v>
      </c>
    </row>
    <row r="13" spans="1:24" s="12" customFormat="1" ht="15" customHeight="1" x14ac:dyDescent="0.2">
      <c r="A13" s="121"/>
      <c r="B13" s="44" t="s">
        <v>108</v>
      </c>
      <c r="C13" s="45" t="s">
        <v>194</v>
      </c>
      <c r="D13" s="19">
        <v>33</v>
      </c>
      <c r="E13" s="19">
        <v>23</v>
      </c>
      <c r="F13" s="19">
        <v>10</v>
      </c>
      <c r="G13" s="19">
        <v>13</v>
      </c>
      <c r="H13" s="19">
        <v>8</v>
      </c>
      <c r="I13" s="19">
        <v>2</v>
      </c>
      <c r="J13" s="19">
        <v>2</v>
      </c>
      <c r="K13" s="19">
        <v>5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3</v>
      </c>
      <c r="X13" s="19">
        <v>0</v>
      </c>
    </row>
    <row r="14" spans="1:24" s="12" customFormat="1" ht="15" customHeight="1" x14ac:dyDescent="0.2">
      <c r="A14" s="57" t="s">
        <v>135</v>
      </c>
      <c r="B14" s="41" t="s">
        <v>104</v>
      </c>
      <c r="C14" s="42" t="s">
        <v>0</v>
      </c>
      <c r="D14" s="43">
        <v>1925</v>
      </c>
      <c r="E14" s="43">
        <v>1201</v>
      </c>
      <c r="F14" s="43">
        <v>724</v>
      </c>
      <c r="G14" s="43">
        <v>871</v>
      </c>
      <c r="H14" s="43">
        <v>571</v>
      </c>
      <c r="I14" s="43">
        <v>16</v>
      </c>
      <c r="J14" s="43">
        <v>31</v>
      </c>
      <c r="K14" s="43">
        <v>87</v>
      </c>
      <c r="L14" s="43">
        <v>74</v>
      </c>
      <c r="M14" s="43">
        <v>5</v>
      </c>
      <c r="N14" s="43">
        <v>4</v>
      </c>
      <c r="O14" s="43">
        <v>27</v>
      </c>
      <c r="P14" s="43">
        <v>5</v>
      </c>
      <c r="Q14" s="43">
        <v>30</v>
      </c>
      <c r="R14" s="43">
        <v>14</v>
      </c>
      <c r="S14" s="43">
        <v>53</v>
      </c>
      <c r="T14" s="43">
        <v>3</v>
      </c>
      <c r="U14" s="43">
        <v>1</v>
      </c>
      <c r="V14" s="43">
        <v>8</v>
      </c>
      <c r="W14" s="43">
        <v>111</v>
      </c>
      <c r="X14" s="43">
        <v>14</v>
      </c>
    </row>
    <row r="15" spans="1:24" s="12" customFormat="1" ht="15" customHeight="1" x14ac:dyDescent="0.2">
      <c r="A15" s="120" t="s">
        <v>136</v>
      </c>
      <c r="B15" s="44" t="s">
        <v>107</v>
      </c>
      <c r="C15" s="45" t="s">
        <v>194</v>
      </c>
      <c r="D15" s="19">
        <v>1913</v>
      </c>
      <c r="E15" s="19">
        <v>1192</v>
      </c>
      <c r="F15" s="19">
        <v>721</v>
      </c>
      <c r="G15" s="19">
        <v>863</v>
      </c>
      <c r="H15" s="19">
        <v>570</v>
      </c>
      <c r="I15" s="19">
        <v>16</v>
      </c>
      <c r="J15" s="19">
        <v>31</v>
      </c>
      <c r="K15" s="19">
        <v>86</v>
      </c>
      <c r="L15" s="19">
        <v>72</v>
      </c>
      <c r="M15" s="19">
        <v>5</v>
      </c>
      <c r="N15" s="19">
        <v>4</v>
      </c>
      <c r="O15" s="19">
        <v>27</v>
      </c>
      <c r="P15" s="19">
        <v>5</v>
      </c>
      <c r="Q15" s="19">
        <v>30</v>
      </c>
      <c r="R15" s="19">
        <v>14</v>
      </c>
      <c r="S15" s="19">
        <v>53</v>
      </c>
      <c r="T15" s="19">
        <v>3</v>
      </c>
      <c r="U15" s="19">
        <v>1</v>
      </c>
      <c r="V15" s="19">
        <v>8</v>
      </c>
      <c r="W15" s="19">
        <v>111</v>
      </c>
      <c r="X15" s="19">
        <v>14</v>
      </c>
    </row>
    <row r="16" spans="1:24" s="12" customFormat="1" ht="15" customHeight="1" x14ac:dyDescent="0.2">
      <c r="A16" s="121"/>
      <c r="B16" s="46" t="s">
        <v>108</v>
      </c>
      <c r="C16" s="47" t="s">
        <v>194</v>
      </c>
      <c r="D16" s="19">
        <v>12</v>
      </c>
      <c r="E16" s="19">
        <v>9</v>
      </c>
      <c r="F16" s="19">
        <v>3</v>
      </c>
      <c r="G16" s="19">
        <v>8</v>
      </c>
      <c r="H16" s="19">
        <v>1</v>
      </c>
      <c r="I16" s="19">
        <v>0</v>
      </c>
      <c r="J16" s="19">
        <v>0</v>
      </c>
      <c r="K16" s="19">
        <v>1</v>
      </c>
      <c r="L16" s="19">
        <v>2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</row>
    <row r="17" spans="1:24" s="12" customFormat="1" ht="15" customHeight="1" x14ac:dyDescent="0.2">
      <c r="A17" s="57" t="s">
        <v>137</v>
      </c>
      <c r="B17" s="41" t="s">
        <v>104</v>
      </c>
      <c r="C17" s="42" t="s">
        <v>0</v>
      </c>
      <c r="D17" s="43">
        <v>943</v>
      </c>
      <c r="E17" s="43">
        <v>694</v>
      </c>
      <c r="F17" s="43">
        <v>249</v>
      </c>
      <c r="G17" s="43">
        <v>247</v>
      </c>
      <c r="H17" s="43">
        <v>177</v>
      </c>
      <c r="I17" s="43">
        <v>20</v>
      </c>
      <c r="J17" s="43">
        <v>16</v>
      </c>
      <c r="K17" s="43">
        <v>44</v>
      </c>
      <c r="L17" s="43">
        <v>3</v>
      </c>
      <c r="M17" s="43">
        <v>3</v>
      </c>
      <c r="N17" s="43">
        <v>0</v>
      </c>
      <c r="O17" s="43">
        <v>19</v>
      </c>
      <c r="P17" s="43">
        <v>4</v>
      </c>
      <c r="Q17" s="43">
        <v>11</v>
      </c>
      <c r="R17" s="43">
        <v>0</v>
      </c>
      <c r="S17" s="43">
        <v>198</v>
      </c>
      <c r="T17" s="43">
        <v>40</v>
      </c>
      <c r="U17" s="43">
        <v>1</v>
      </c>
      <c r="V17" s="43">
        <v>1</v>
      </c>
      <c r="W17" s="43">
        <v>151</v>
      </c>
      <c r="X17" s="43">
        <v>8</v>
      </c>
    </row>
    <row r="18" spans="1:24" s="12" customFormat="1" ht="15" customHeight="1" x14ac:dyDescent="0.2">
      <c r="A18" s="120" t="s">
        <v>138</v>
      </c>
      <c r="B18" s="44" t="s">
        <v>107</v>
      </c>
      <c r="C18" s="45" t="s">
        <v>2</v>
      </c>
      <c r="D18" s="19">
        <v>841</v>
      </c>
      <c r="E18" s="19">
        <v>621</v>
      </c>
      <c r="F18" s="19">
        <v>220</v>
      </c>
      <c r="G18" s="19">
        <v>202</v>
      </c>
      <c r="H18" s="19">
        <v>153</v>
      </c>
      <c r="I18" s="19">
        <v>18</v>
      </c>
      <c r="J18" s="19">
        <v>15</v>
      </c>
      <c r="K18" s="19">
        <v>35</v>
      </c>
      <c r="L18" s="19">
        <v>3</v>
      </c>
      <c r="M18" s="19">
        <v>3</v>
      </c>
      <c r="N18" s="19">
        <v>0</v>
      </c>
      <c r="O18" s="19">
        <v>19</v>
      </c>
      <c r="P18" s="19">
        <v>2</v>
      </c>
      <c r="Q18" s="19">
        <v>11</v>
      </c>
      <c r="R18" s="19">
        <v>0</v>
      </c>
      <c r="S18" s="19">
        <v>187</v>
      </c>
      <c r="T18" s="19">
        <v>38</v>
      </c>
      <c r="U18" s="19">
        <v>1</v>
      </c>
      <c r="V18" s="19">
        <v>1</v>
      </c>
      <c r="W18" s="19">
        <v>145</v>
      </c>
      <c r="X18" s="19">
        <v>8</v>
      </c>
    </row>
    <row r="19" spans="1:24" s="12" customFormat="1" ht="15" customHeight="1" x14ac:dyDescent="0.2">
      <c r="A19" s="121"/>
      <c r="B19" s="46" t="s">
        <v>108</v>
      </c>
      <c r="C19" s="47" t="s">
        <v>194</v>
      </c>
      <c r="D19" s="19">
        <v>102</v>
      </c>
      <c r="E19" s="19">
        <v>73</v>
      </c>
      <c r="F19" s="19">
        <v>29</v>
      </c>
      <c r="G19" s="19">
        <v>45</v>
      </c>
      <c r="H19" s="19">
        <v>24</v>
      </c>
      <c r="I19" s="19">
        <v>2</v>
      </c>
      <c r="J19" s="19">
        <v>1</v>
      </c>
      <c r="K19" s="19">
        <v>9</v>
      </c>
      <c r="L19" s="19">
        <v>0</v>
      </c>
      <c r="M19" s="19">
        <v>0</v>
      </c>
      <c r="N19" s="19">
        <v>0</v>
      </c>
      <c r="O19" s="19">
        <v>0</v>
      </c>
      <c r="P19" s="19">
        <v>2</v>
      </c>
      <c r="Q19" s="19">
        <v>0</v>
      </c>
      <c r="R19" s="19">
        <v>0</v>
      </c>
      <c r="S19" s="19">
        <v>11</v>
      </c>
      <c r="T19" s="19">
        <v>2</v>
      </c>
      <c r="U19" s="19">
        <v>0</v>
      </c>
      <c r="V19" s="19">
        <v>0</v>
      </c>
      <c r="W19" s="19">
        <v>6</v>
      </c>
      <c r="X19" s="19">
        <v>0</v>
      </c>
    </row>
    <row r="20" spans="1:24" s="12" customFormat="1" ht="15" customHeight="1" x14ac:dyDescent="0.2">
      <c r="A20" s="57" t="s">
        <v>139</v>
      </c>
      <c r="B20" s="41" t="s">
        <v>104</v>
      </c>
      <c r="C20" s="42" t="s">
        <v>0</v>
      </c>
      <c r="D20" s="43">
        <v>790</v>
      </c>
      <c r="E20" s="43">
        <v>498</v>
      </c>
      <c r="F20" s="43">
        <v>292</v>
      </c>
      <c r="G20" s="43">
        <v>281</v>
      </c>
      <c r="H20" s="43">
        <v>225</v>
      </c>
      <c r="I20" s="43">
        <v>4</v>
      </c>
      <c r="J20" s="43">
        <v>14</v>
      </c>
      <c r="K20" s="43">
        <v>20</v>
      </c>
      <c r="L20" s="43">
        <v>15</v>
      </c>
      <c r="M20" s="43">
        <v>0</v>
      </c>
      <c r="N20" s="43">
        <v>0</v>
      </c>
      <c r="O20" s="43">
        <v>10</v>
      </c>
      <c r="P20" s="43">
        <v>1</v>
      </c>
      <c r="Q20" s="43">
        <v>0</v>
      </c>
      <c r="R20" s="43">
        <v>1</v>
      </c>
      <c r="S20" s="43">
        <v>2</v>
      </c>
      <c r="T20" s="43">
        <v>1</v>
      </c>
      <c r="U20" s="43">
        <v>1</v>
      </c>
      <c r="V20" s="43">
        <v>4</v>
      </c>
      <c r="W20" s="43">
        <v>180</v>
      </c>
      <c r="X20" s="43">
        <v>31</v>
      </c>
    </row>
    <row r="21" spans="1:24" s="12" customFormat="1" ht="15" customHeight="1" x14ac:dyDescent="0.2">
      <c r="A21" s="120" t="s">
        <v>140</v>
      </c>
      <c r="B21" s="44" t="s">
        <v>107</v>
      </c>
      <c r="C21" s="45" t="s">
        <v>2</v>
      </c>
      <c r="D21" s="19">
        <v>760</v>
      </c>
      <c r="E21" s="19">
        <v>486</v>
      </c>
      <c r="F21" s="19">
        <v>274</v>
      </c>
      <c r="G21" s="19">
        <v>273</v>
      </c>
      <c r="H21" s="19">
        <v>211</v>
      </c>
      <c r="I21" s="19">
        <v>4</v>
      </c>
      <c r="J21" s="19">
        <v>14</v>
      </c>
      <c r="K21" s="19">
        <v>19</v>
      </c>
      <c r="L21" s="19">
        <v>14</v>
      </c>
      <c r="M21" s="19">
        <v>0</v>
      </c>
      <c r="N21" s="19">
        <v>0</v>
      </c>
      <c r="O21" s="19">
        <v>10</v>
      </c>
      <c r="P21" s="19">
        <v>1</v>
      </c>
      <c r="Q21" s="19">
        <v>0</v>
      </c>
      <c r="R21" s="19">
        <v>1</v>
      </c>
      <c r="S21" s="19">
        <v>2</v>
      </c>
      <c r="T21" s="19">
        <v>1</v>
      </c>
      <c r="U21" s="19">
        <v>0</v>
      </c>
      <c r="V21" s="19">
        <v>4</v>
      </c>
      <c r="W21" s="19">
        <v>178</v>
      </c>
      <c r="X21" s="19">
        <v>28</v>
      </c>
    </row>
    <row r="22" spans="1:24" s="12" customFormat="1" ht="15" customHeight="1" x14ac:dyDescent="0.2">
      <c r="A22" s="121"/>
      <c r="B22" s="46" t="s">
        <v>108</v>
      </c>
      <c r="C22" s="47" t="s">
        <v>194</v>
      </c>
      <c r="D22" s="19">
        <v>30</v>
      </c>
      <c r="E22" s="19">
        <v>12</v>
      </c>
      <c r="F22" s="19">
        <v>18</v>
      </c>
      <c r="G22" s="19">
        <v>8</v>
      </c>
      <c r="H22" s="19">
        <v>14</v>
      </c>
      <c r="I22" s="19">
        <v>0</v>
      </c>
      <c r="J22" s="19">
        <v>0</v>
      </c>
      <c r="K22" s="19">
        <v>1</v>
      </c>
      <c r="L22" s="19">
        <v>1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1</v>
      </c>
      <c r="V22" s="19">
        <v>0</v>
      </c>
      <c r="W22" s="19">
        <v>2</v>
      </c>
      <c r="X22" s="19">
        <v>3</v>
      </c>
    </row>
    <row r="23" spans="1:24" s="12" customFormat="1" ht="15" customHeight="1" x14ac:dyDescent="0.2">
      <c r="A23" s="57" t="s">
        <v>141</v>
      </c>
      <c r="B23" s="41" t="s">
        <v>104</v>
      </c>
      <c r="C23" s="42" t="s">
        <v>0</v>
      </c>
      <c r="D23" s="43">
        <v>515</v>
      </c>
      <c r="E23" s="43">
        <v>365</v>
      </c>
      <c r="F23" s="43">
        <v>150</v>
      </c>
      <c r="G23" s="43">
        <v>157</v>
      </c>
      <c r="H23" s="43">
        <v>95</v>
      </c>
      <c r="I23" s="43">
        <v>5</v>
      </c>
      <c r="J23" s="43">
        <v>7</v>
      </c>
      <c r="K23" s="43">
        <v>22</v>
      </c>
      <c r="L23" s="43">
        <v>7</v>
      </c>
      <c r="M23" s="43">
        <v>1</v>
      </c>
      <c r="N23" s="43">
        <v>1</v>
      </c>
      <c r="O23" s="43">
        <v>7</v>
      </c>
      <c r="P23" s="43">
        <v>1</v>
      </c>
      <c r="Q23" s="43">
        <v>1</v>
      </c>
      <c r="R23" s="43">
        <v>0</v>
      </c>
      <c r="S23" s="43">
        <v>7</v>
      </c>
      <c r="T23" s="43">
        <v>0</v>
      </c>
      <c r="U23" s="43">
        <v>0</v>
      </c>
      <c r="V23" s="43">
        <v>1</v>
      </c>
      <c r="W23" s="43">
        <v>165</v>
      </c>
      <c r="X23" s="43">
        <v>38</v>
      </c>
    </row>
    <row r="24" spans="1:24" s="12" customFormat="1" ht="15" customHeight="1" x14ac:dyDescent="0.2">
      <c r="A24" s="120" t="s">
        <v>142</v>
      </c>
      <c r="B24" s="44" t="s">
        <v>107</v>
      </c>
      <c r="C24" s="45" t="s">
        <v>2</v>
      </c>
      <c r="D24" s="19">
        <v>502</v>
      </c>
      <c r="E24" s="19">
        <v>357</v>
      </c>
      <c r="F24" s="19">
        <v>145</v>
      </c>
      <c r="G24" s="19">
        <v>155</v>
      </c>
      <c r="H24" s="19">
        <v>90</v>
      </c>
      <c r="I24" s="19">
        <v>4</v>
      </c>
      <c r="J24" s="19">
        <v>7</v>
      </c>
      <c r="K24" s="19">
        <v>20</v>
      </c>
      <c r="L24" s="19">
        <v>7</v>
      </c>
      <c r="M24" s="19">
        <v>1</v>
      </c>
      <c r="N24" s="19">
        <v>1</v>
      </c>
      <c r="O24" s="19">
        <v>7</v>
      </c>
      <c r="P24" s="19">
        <v>1</v>
      </c>
      <c r="Q24" s="19">
        <v>1</v>
      </c>
      <c r="R24" s="19">
        <v>0</v>
      </c>
      <c r="S24" s="19">
        <v>7</v>
      </c>
      <c r="T24" s="19">
        <v>0</v>
      </c>
      <c r="U24" s="19">
        <v>0</v>
      </c>
      <c r="V24" s="19">
        <v>1</v>
      </c>
      <c r="W24" s="19">
        <v>162</v>
      </c>
      <c r="X24" s="19">
        <v>38</v>
      </c>
    </row>
    <row r="25" spans="1:24" s="12" customFormat="1" ht="15" customHeight="1" x14ac:dyDescent="0.2">
      <c r="A25" s="121"/>
      <c r="B25" s="46" t="s">
        <v>108</v>
      </c>
      <c r="C25" s="47" t="s">
        <v>194</v>
      </c>
      <c r="D25" s="19">
        <v>13</v>
      </c>
      <c r="E25" s="19">
        <v>8</v>
      </c>
      <c r="F25" s="19">
        <v>5</v>
      </c>
      <c r="G25" s="19">
        <v>2</v>
      </c>
      <c r="H25" s="19">
        <v>5</v>
      </c>
      <c r="I25" s="19">
        <v>1</v>
      </c>
      <c r="J25" s="19">
        <v>0</v>
      </c>
      <c r="K25" s="19">
        <v>2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3</v>
      </c>
      <c r="X25" s="19">
        <v>0</v>
      </c>
    </row>
    <row r="26" spans="1:24" s="12" customFormat="1" ht="15" customHeight="1" x14ac:dyDescent="0.2">
      <c r="A26" s="57" t="s">
        <v>143</v>
      </c>
      <c r="B26" s="41" t="s">
        <v>104</v>
      </c>
      <c r="C26" s="42" t="s">
        <v>0</v>
      </c>
      <c r="D26" s="43">
        <v>1241</v>
      </c>
      <c r="E26" s="43">
        <v>737</v>
      </c>
      <c r="F26" s="43">
        <v>504</v>
      </c>
      <c r="G26" s="43">
        <v>395</v>
      </c>
      <c r="H26" s="43">
        <v>340</v>
      </c>
      <c r="I26" s="43">
        <v>13</v>
      </c>
      <c r="J26" s="43">
        <v>36</v>
      </c>
      <c r="K26" s="43">
        <v>46</v>
      </c>
      <c r="L26" s="43">
        <v>17</v>
      </c>
      <c r="M26" s="43">
        <v>3</v>
      </c>
      <c r="N26" s="43">
        <v>0</v>
      </c>
      <c r="O26" s="43">
        <v>17</v>
      </c>
      <c r="P26" s="43">
        <v>3</v>
      </c>
      <c r="Q26" s="43">
        <v>0</v>
      </c>
      <c r="R26" s="43">
        <v>1</v>
      </c>
      <c r="S26" s="43">
        <v>186</v>
      </c>
      <c r="T26" s="43">
        <v>34</v>
      </c>
      <c r="U26" s="43">
        <v>0</v>
      </c>
      <c r="V26" s="43">
        <v>4</v>
      </c>
      <c r="W26" s="43">
        <v>77</v>
      </c>
      <c r="X26" s="43">
        <v>69</v>
      </c>
    </row>
    <row r="27" spans="1:24" s="12" customFormat="1" ht="15" customHeight="1" x14ac:dyDescent="0.2">
      <c r="A27" s="120" t="s">
        <v>144</v>
      </c>
      <c r="B27" s="44" t="s">
        <v>107</v>
      </c>
      <c r="C27" s="45" t="s">
        <v>2</v>
      </c>
      <c r="D27" s="19">
        <v>1186</v>
      </c>
      <c r="E27" s="19">
        <v>707</v>
      </c>
      <c r="F27" s="19">
        <v>479</v>
      </c>
      <c r="G27" s="19">
        <v>376</v>
      </c>
      <c r="H27" s="19">
        <v>324</v>
      </c>
      <c r="I27" s="19">
        <v>12</v>
      </c>
      <c r="J27" s="19">
        <v>33</v>
      </c>
      <c r="K27" s="19">
        <v>42</v>
      </c>
      <c r="L27" s="19">
        <v>17</v>
      </c>
      <c r="M27" s="19">
        <v>3</v>
      </c>
      <c r="N27" s="19">
        <v>0</v>
      </c>
      <c r="O27" s="19">
        <v>17</v>
      </c>
      <c r="P27" s="19">
        <v>1</v>
      </c>
      <c r="Q27" s="19">
        <v>0</v>
      </c>
      <c r="R27" s="19">
        <v>1</v>
      </c>
      <c r="S27" s="19">
        <v>182</v>
      </c>
      <c r="T27" s="19">
        <v>34</v>
      </c>
      <c r="U27" s="19">
        <v>0</v>
      </c>
      <c r="V27" s="19">
        <v>4</v>
      </c>
      <c r="W27" s="19">
        <v>75</v>
      </c>
      <c r="X27" s="19">
        <v>65</v>
      </c>
    </row>
    <row r="28" spans="1:24" s="12" customFormat="1" ht="15" customHeight="1" x14ac:dyDescent="0.2">
      <c r="A28" s="121"/>
      <c r="B28" s="46" t="s">
        <v>108</v>
      </c>
      <c r="C28" s="47" t="s">
        <v>194</v>
      </c>
      <c r="D28" s="19">
        <v>55</v>
      </c>
      <c r="E28" s="19">
        <v>30</v>
      </c>
      <c r="F28" s="19">
        <v>25</v>
      </c>
      <c r="G28" s="19">
        <v>19</v>
      </c>
      <c r="H28" s="19">
        <v>16</v>
      </c>
      <c r="I28" s="19">
        <v>1</v>
      </c>
      <c r="J28" s="19">
        <v>3</v>
      </c>
      <c r="K28" s="19">
        <v>4</v>
      </c>
      <c r="L28" s="19">
        <v>0</v>
      </c>
      <c r="M28" s="19">
        <v>0</v>
      </c>
      <c r="N28" s="19">
        <v>0</v>
      </c>
      <c r="O28" s="19">
        <v>0</v>
      </c>
      <c r="P28" s="19">
        <v>2</v>
      </c>
      <c r="Q28" s="19">
        <v>0</v>
      </c>
      <c r="R28" s="19">
        <v>0</v>
      </c>
      <c r="S28" s="19">
        <v>4</v>
      </c>
      <c r="T28" s="19">
        <v>0</v>
      </c>
      <c r="U28" s="19">
        <v>0</v>
      </c>
      <c r="V28" s="19">
        <v>0</v>
      </c>
      <c r="W28" s="19">
        <v>2</v>
      </c>
      <c r="X28" s="19">
        <v>4</v>
      </c>
    </row>
    <row r="29" spans="1:24" s="12" customFormat="1" ht="15" customHeight="1" x14ac:dyDescent="0.2">
      <c r="A29" s="14" t="s">
        <v>39</v>
      </c>
      <c r="B29" s="41" t="s">
        <v>104</v>
      </c>
      <c r="C29" s="42" t="s">
        <v>0</v>
      </c>
      <c r="D29" s="43">
        <v>150</v>
      </c>
      <c r="E29" s="43">
        <v>96</v>
      </c>
      <c r="F29" s="43">
        <v>54</v>
      </c>
      <c r="G29" s="43">
        <v>61</v>
      </c>
      <c r="H29" s="43">
        <v>41</v>
      </c>
      <c r="I29" s="43">
        <v>9</v>
      </c>
      <c r="J29" s="43">
        <v>6</v>
      </c>
      <c r="K29" s="43">
        <v>13</v>
      </c>
      <c r="L29" s="43">
        <v>0</v>
      </c>
      <c r="M29" s="43">
        <v>0</v>
      </c>
      <c r="N29" s="43">
        <v>0</v>
      </c>
      <c r="O29" s="43">
        <v>4</v>
      </c>
      <c r="P29" s="43">
        <v>2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1</v>
      </c>
      <c r="W29" s="43">
        <v>9</v>
      </c>
      <c r="X29" s="43">
        <v>4</v>
      </c>
    </row>
    <row r="30" spans="1:24" s="12" customFormat="1" ht="15" customHeight="1" x14ac:dyDescent="0.2">
      <c r="A30" s="15" t="s">
        <v>8</v>
      </c>
      <c r="B30" s="44" t="s">
        <v>107</v>
      </c>
      <c r="C30" s="45" t="s">
        <v>2</v>
      </c>
      <c r="D30" s="19">
        <v>128</v>
      </c>
      <c r="E30" s="19">
        <v>86</v>
      </c>
      <c r="F30" s="19">
        <v>42</v>
      </c>
      <c r="G30" s="19">
        <v>54</v>
      </c>
      <c r="H30" s="19">
        <v>29</v>
      </c>
      <c r="I30" s="19">
        <v>8</v>
      </c>
      <c r="J30" s="19">
        <v>6</v>
      </c>
      <c r="K30" s="19">
        <v>11</v>
      </c>
      <c r="L30" s="19">
        <v>0</v>
      </c>
      <c r="M30" s="19">
        <v>0</v>
      </c>
      <c r="N30" s="19">
        <v>0</v>
      </c>
      <c r="O30" s="19">
        <v>4</v>
      </c>
      <c r="P30" s="19">
        <v>2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1</v>
      </c>
      <c r="W30" s="19">
        <v>9</v>
      </c>
      <c r="X30" s="19">
        <v>4</v>
      </c>
    </row>
    <row r="31" spans="1:24" s="12" customFormat="1" ht="15" customHeight="1" x14ac:dyDescent="0.2">
      <c r="A31" s="16"/>
      <c r="B31" s="46" t="s">
        <v>108</v>
      </c>
      <c r="C31" s="47" t="s">
        <v>194</v>
      </c>
      <c r="D31" s="19">
        <v>22</v>
      </c>
      <c r="E31" s="19">
        <v>10</v>
      </c>
      <c r="F31" s="19">
        <v>12</v>
      </c>
      <c r="G31" s="19">
        <v>7</v>
      </c>
      <c r="H31" s="19">
        <v>12</v>
      </c>
      <c r="I31" s="19">
        <v>1</v>
      </c>
      <c r="J31" s="19">
        <v>0</v>
      </c>
      <c r="K31" s="19">
        <v>2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</row>
    <row r="32" spans="1:24" s="12" customFormat="1" ht="15" customHeight="1" x14ac:dyDescent="0.2">
      <c r="A32" s="14" t="s">
        <v>40</v>
      </c>
      <c r="B32" s="41" t="s">
        <v>104</v>
      </c>
      <c r="C32" s="42" t="s">
        <v>0</v>
      </c>
      <c r="D32" s="43">
        <v>169</v>
      </c>
      <c r="E32" s="43">
        <v>131</v>
      </c>
      <c r="F32" s="43">
        <v>38</v>
      </c>
      <c r="G32" s="43">
        <v>63</v>
      </c>
      <c r="H32" s="43">
        <v>30</v>
      </c>
      <c r="I32" s="43">
        <v>8</v>
      </c>
      <c r="J32" s="43">
        <v>1</v>
      </c>
      <c r="K32" s="43">
        <v>16</v>
      </c>
      <c r="L32" s="43">
        <v>1</v>
      </c>
      <c r="M32" s="43">
        <v>0</v>
      </c>
      <c r="N32" s="43">
        <v>0</v>
      </c>
      <c r="O32" s="43">
        <v>2</v>
      </c>
      <c r="P32" s="43">
        <v>1</v>
      </c>
      <c r="Q32" s="43">
        <v>2</v>
      </c>
      <c r="R32" s="43">
        <v>0</v>
      </c>
      <c r="S32" s="43">
        <v>8</v>
      </c>
      <c r="T32" s="43">
        <v>0</v>
      </c>
      <c r="U32" s="43">
        <v>0</v>
      </c>
      <c r="V32" s="43">
        <v>0</v>
      </c>
      <c r="W32" s="43">
        <v>32</v>
      </c>
      <c r="X32" s="43">
        <v>5</v>
      </c>
    </row>
    <row r="33" spans="1:24" s="12" customFormat="1" ht="15" customHeight="1" x14ac:dyDescent="0.2">
      <c r="A33" s="120" t="s">
        <v>9</v>
      </c>
      <c r="B33" s="44" t="s">
        <v>107</v>
      </c>
      <c r="C33" s="45" t="s">
        <v>2</v>
      </c>
      <c r="D33" s="19">
        <v>134</v>
      </c>
      <c r="E33" s="19">
        <v>104</v>
      </c>
      <c r="F33" s="19">
        <v>30</v>
      </c>
      <c r="G33" s="19">
        <v>48</v>
      </c>
      <c r="H33" s="19">
        <v>24</v>
      </c>
      <c r="I33" s="19">
        <v>6</v>
      </c>
      <c r="J33" s="19">
        <v>1</v>
      </c>
      <c r="K33" s="19">
        <v>12</v>
      </c>
      <c r="L33" s="19">
        <v>1</v>
      </c>
      <c r="M33" s="19">
        <v>0</v>
      </c>
      <c r="N33" s="19">
        <v>0</v>
      </c>
      <c r="O33" s="19">
        <v>2</v>
      </c>
      <c r="P33" s="19">
        <v>1</v>
      </c>
      <c r="Q33" s="19">
        <v>2</v>
      </c>
      <c r="R33" s="19">
        <v>0</v>
      </c>
      <c r="S33" s="19">
        <v>7</v>
      </c>
      <c r="T33" s="19">
        <v>0</v>
      </c>
      <c r="U33" s="19">
        <v>0</v>
      </c>
      <c r="V33" s="19">
        <v>0</v>
      </c>
      <c r="W33" s="19">
        <v>27</v>
      </c>
      <c r="X33" s="19">
        <v>3</v>
      </c>
    </row>
    <row r="34" spans="1:24" s="12" customFormat="1" ht="15" customHeight="1" x14ac:dyDescent="0.2">
      <c r="A34" s="121"/>
      <c r="B34" s="46" t="s">
        <v>108</v>
      </c>
      <c r="C34" s="47" t="s">
        <v>194</v>
      </c>
      <c r="D34" s="19">
        <v>35</v>
      </c>
      <c r="E34" s="19">
        <v>27</v>
      </c>
      <c r="F34" s="19">
        <v>8</v>
      </c>
      <c r="G34" s="19">
        <v>15</v>
      </c>
      <c r="H34" s="19">
        <v>6</v>
      </c>
      <c r="I34" s="19">
        <v>2</v>
      </c>
      <c r="J34" s="19">
        <v>0</v>
      </c>
      <c r="K34" s="19">
        <v>4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1</v>
      </c>
      <c r="T34" s="19">
        <v>0</v>
      </c>
      <c r="U34" s="19">
        <v>0</v>
      </c>
      <c r="V34" s="19">
        <v>0</v>
      </c>
      <c r="W34" s="19">
        <v>5</v>
      </c>
      <c r="X34" s="19">
        <v>2</v>
      </c>
    </row>
    <row r="35" spans="1:24" s="12" customFormat="1" ht="15" customHeight="1" x14ac:dyDescent="0.2">
      <c r="A35" s="14" t="s">
        <v>41</v>
      </c>
      <c r="B35" s="41" t="s">
        <v>104</v>
      </c>
      <c r="C35" s="42" t="s">
        <v>0</v>
      </c>
      <c r="D35" s="43">
        <v>159</v>
      </c>
      <c r="E35" s="43">
        <v>109</v>
      </c>
      <c r="F35" s="43">
        <v>50</v>
      </c>
      <c r="G35" s="43">
        <v>54</v>
      </c>
      <c r="H35" s="43">
        <v>33</v>
      </c>
      <c r="I35" s="43">
        <v>2</v>
      </c>
      <c r="J35" s="43">
        <v>1</v>
      </c>
      <c r="K35" s="43">
        <v>3</v>
      </c>
      <c r="L35" s="43">
        <v>0</v>
      </c>
      <c r="M35" s="43">
        <v>1</v>
      </c>
      <c r="N35" s="43">
        <v>0</v>
      </c>
      <c r="O35" s="43">
        <v>2</v>
      </c>
      <c r="P35" s="43">
        <v>0</v>
      </c>
      <c r="Q35" s="43">
        <v>0</v>
      </c>
      <c r="R35" s="43">
        <v>0</v>
      </c>
      <c r="S35" s="43">
        <v>19</v>
      </c>
      <c r="T35" s="43">
        <v>0</v>
      </c>
      <c r="U35" s="43">
        <v>0</v>
      </c>
      <c r="V35" s="43">
        <v>0</v>
      </c>
      <c r="W35" s="43">
        <v>28</v>
      </c>
      <c r="X35" s="43">
        <v>16</v>
      </c>
    </row>
    <row r="36" spans="1:24" s="12" customFormat="1" ht="15" customHeight="1" x14ac:dyDescent="0.2">
      <c r="A36" s="120" t="s">
        <v>10</v>
      </c>
      <c r="B36" s="44" t="s">
        <v>107</v>
      </c>
      <c r="C36" s="45" t="s">
        <v>2</v>
      </c>
      <c r="D36" s="19">
        <v>146</v>
      </c>
      <c r="E36" s="19">
        <v>101</v>
      </c>
      <c r="F36" s="19">
        <v>45</v>
      </c>
      <c r="G36" s="19">
        <v>49</v>
      </c>
      <c r="H36" s="19">
        <v>32</v>
      </c>
      <c r="I36" s="19">
        <v>2</v>
      </c>
      <c r="J36" s="19">
        <v>1</v>
      </c>
      <c r="K36" s="19">
        <v>3</v>
      </c>
      <c r="L36" s="19">
        <v>0</v>
      </c>
      <c r="M36" s="19">
        <v>1</v>
      </c>
      <c r="N36" s="19">
        <v>0</v>
      </c>
      <c r="O36" s="19">
        <v>2</v>
      </c>
      <c r="P36" s="19">
        <v>0</v>
      </c>
      <c r="Q36" s="19">
        <v>0</v>
      </c>
      <c r="R36" s="19">
        <v>0</v>
      </c>
      <c r="S36" s="19">
        <v>19</v>
      </c>
      <c r="T36" s="19">
        <v>0</v>
      </c>
      <c r="U36" s="19">
        <v>0</v>
      </c>
      <c r="V36" s="19">
        <v>0</v>
      </c>
      <c r="W36" s="19">
        <v>25</v>
      </c>
      <c r="X36" s="19">
        <v>12</v>
      </c>
    </row>
    <row r="37" spans="1:24" s="12" customFormat="1" ht="15" customHeight="1" x14ac:dyDescent="0.2">
      <c r="A37" s="121"/>
      <c r="B37" s="46" t="s">
        <v>108</v>
      </c>
      <c r="C37" s="47" t="s">
        <v>194</v>
      </c>
      <c r="D37" s="19">
        <v>13</v>
      </c>
      <c r="E37" s="19">
        <v>8</v>
      </c>
      <c r="F37" s="19">
        <v>5</v>
      </c>
      <c r="G37" s="19">
        <v>5</v>
      </c>
      <c r="H37" s="19">
        <v>1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3</v>
      </c>
      <c r="X37" s="19">
        <v>4</v>
      </c>
    </row>
    <row r="38" spans="1:24" s="12" customFormat="1" ht="15" customHeight="1" x14ac:dyDescent="0.2">
      <c r="A38" s="14" t="s">
        <v>42</v>
      </c>
      <c r="B38" s="41" t="s">
        <v>104</v>
      </c>
      <c r="C38" s="42" t="s">
        <v>0</v>
      </c>
      <c r="D38" s="43">
        <v>298</v>
      </c>
      <c r="E38" s="43">
        <v>188</v>
      </c>
      <c r="F38" s="43">
        <v>110</v>
      </c>
      <c r="G38" s="43">
        <v>96</v>
      </c>
      <c r="H38" s="43">
        <v>65</v>
      </c>
      <c r="I38" s="43">
        <v>21</v>
      </c>
      <c r="J38" s="43">
        <v>17</v>
      </c>
      <c r="K38" s="43">
        <v>17</v>
      </c>
      <c r="L38" s="43">
        <v>4</v>
      </c>
      <c r="M38" s="43">
        <v>1</v>
      </c>
      <c r="N38" s="43">
        <v>0</v>
      </c>
      <c r="O38" s="43">
        <v>5</v>
      </c>
      <c r="P38" s="43">
        <v>1</v>
      </c>
      <c r="Q38" s="43">
        <v>7</v>
      </c>
      <c r="R38" s="43">
        <v>6</v>
      </c>
      <c r="S38" s="43">
        <v>21</v>
      </c>
      <c r="T38" s="43">
        <v>11</v>
      </c>
      <c r="U38" s="43">
        <v>0</v>
      </c>
      <c r="V38" s="43">
        <v>1</v>
      </c>
      <c r="W38" s="43">
        <v>20</v>
      </c>
      <c r="X38" s="43">
        <v>5</v>
      </c>
    </row>
    <row r="39" spans="1:24" s="12" customFormat="1" ht="15" customHeight="1" x14ac:dyDescent="0.2">
      <c r="A39" s="120" t="s">
        <v>11</v>
      </c>
      <c r="B39" s="44" t="s">
        <v>107</v>
      </c>
      <c r="C39" s="45" t="s">
        <v>2</v>
      </c>
      <c r="D39" s="19">
        <v>295</v>
      </c>
      <c r="E39" s="19">
        <v>186</v>
      </c>
      <c r="F39" s="19">
        <v>109</v>
      </c>
      <c r="G39" s="19">
        <v>96</v>
      </c>
      <c r="H39" s="19">
        <v>64</v>
      </c>
      <c r="I39" s="19">
        <v>20</v>
      </c>
      <c r="J39" s="19">
        <v>17</v>
      </c>
      <c r="K39" s="19">
        <v>17</v>
      </c>
      <c r="L39" s="19">
        <v>4</v>
      </c>
      <c r="M39" s="19">
        <v>1</v>
      </c>
      <c r="N39" s="19">
        <v>0</v>
      </c>
      <c r="O39" s="19">
        <v>5</v>
      </c>
      <c r="P39" s="19">
        <v>1</v>
      </c>
      <c r="Q39" s="19">
        <v>7</v>
      </c>
      <c r="R39" s="19">
        <v>6</v>
      </c>
      <c r="S39" s="19">
        <v>21</v>
      </c>
      <c r="T39" s="19">
        <v>11</v>
      </c>
      <c r="U39" s="19">
        <v>0</v>
      </c>
      <c r="V39" s="19">
        <v>1</v>
      </c>
      <c r="W39" s="19">
        <v>19</v>
      </c>
      <c r="X39" s="19">
        <v>5</v>
      </c>
    </row>
    <row r="40" spans="1:24" s="12" customFormat="1" ht="15" customHeight="1" x14ac:dyDescent="0.2">
      <c r="A40" s="121"/>
      <c r="B40" s="46" t="s">
        <v>108</v>
      </c>
      <c r="C40" s="47" t="s">
        <v>194</v>
      </c>
      <c r="D40" s="19">
        <v>3</v>
      </c>
      <c r="E40" s="19">
        <v>2</v>
      </c>
      <c r="F40" s="19">
        <v>1</v>
      </c>
      <c r="G40" s="19">
        <v>0</v>
      </c>
      <c r="H40" s="19">
        <v>1</v>
      </c>
      <c r="I40" s="19">
        <v>1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1</v>
      </c>
      <c r="X40" s="19">
        <v>0</v>
      </c>
    </row>
    <row r="41" spans="1:24" s="12" customFormat="1" ht="15" customHeight="1" x14ac:dyDescent="0.2">
      <c r="A41" s="14" t="s">
        <v>43</v>
      </c>
      <c r="B41" s="41" t="s">
        <v>104</v>
      </c>
      <c r="C41" s="42" t="s">
        <v>0</v>
      </c>
      <c r="D41" s="43">
        <v>95</v>
      </c>
      <c r="E41" s="43">
        <v>71</v>
      </c>
      <c r="F41" s="43">
        <v>24</v>
      </c>
      <c r="G41" s="43">
        <v>35</v>
      </c>
      <c r="H41" s="43">
        <v>19</v>
      </c>
      <c r="I41" s="43">
        <v>1</v>
      </c>
      <c r="J41" s="43">
        <v>2</v>
      </c>
      <c r="K41" s="43">
        <v>1</v>
      </c>
      <c r="L41" s="43">
        <v>1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34</v>
      </c>
      <c r="X41" s="43">
        <v>2</v>
      </c>
    </row>
    <row r="42" spans="1:24" s="12" customFormat="1" ht="15" customHeight="1" x14ac:dyDescent="0.2">
      <c r="A42" s="120" t="s">
        <v>12</v>
      </c>
      <c r="B42" s="44" t="s">
        <v>107</v>
      </c>
      <c r="C42" s="45" t="s">
        <v>2</v>
      </c>
      <c r="D42" s="19">
        <v>82</v>
      </c>
      <c r="E42" s="19">
        <v>61</v>
      </c>
      <c r="F42" s="19">
        <v>21</v>
      </c>
      <c r="G42" s="19">
        <v>30</v>
      </c>
      <c r="H42" s="19">
        <v>17</v>
      </c>
      <c r="I42" s="19">
        <v>1</v>
      </c>
      <c r="J42" s="19">
        <v>1</v>
      </c>
      <c r="K42" s="19">
        <v>1</v>
      </c>
      <c r="L42" s="19">
        <v>1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29</v>
      </c>
      <c r="X42" s="19">
        <v>2</v>
      </c>
    </row>
    <row r="43" spans="1:24" s="12" customFormat="1" ht="15" customHeight="1" x14ac:dyDescent="0.2">
      <c r="A43" s="121"/>
      <c r="B43" s="46" t="s">
        <v>108</v>
      </c>
      <c r="C43" s="47" t="s">
        <v>194</v>
      </c>
      <c r="D43" s="19">
        <v>13</v>
      </c>
      <c r="E43" s="19">
        <v>10</v>
      </c>
      <c r="F43" s="19">
        <v>3</v>
      </c>
      <c r="G43" s="19">
        <v>5</v>
      </c>
      <c r="H43" s="19">
        <v>2</v>
      </c>
      <c r="I43" s="19">
        <v>0</v>
      </c>
      <c r="J43" s="19">
        <v>1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5</v>
      </c>
      <c r="X43" s="19">
        <v>0</v>
      </c>
    </row>
    <row r="44" spans="1:24" s="12" customFormat="1" ht="15" customHeight="1" x14ac:dyDescent="0.2">
      <c r="A44" s="14" t="s">
        <v>44</v>
      </c>
      <c r="B44" s="41" t="s">
        <v>104</v>
      </c>
      <c r="C44" s="42" t="s">
        <v>0</v>
      </c>
      <c r="D44" s="43">
        <v>455</v>
      </c>
      <c r="E44" s="43">
        <v>325</v>
      </c>
      <c r="F44" s="43">
        <v>130</v>
      </c>
      <c r="G44" s="43">
        <v>217</v>
      </c>
      <c r="H44" s="43">
        <v>99</v>
      </c>
      <c r="I44" s="43">
        <v>0</v>
      </c>
      <c r="J44" s="43">
        <v>1</v>
      </c>
      <c r="K44" s="43">
        <v>25</v>
      </c>
      <c r="L44" s="43">
        <v>16</v>
      </c>
      <c r="M44" s="43">
        <v>0</v>
      </c>
      <c r="N44" s="43">
        <v>0</v>
      </c>
      <c r="O44" s="43">
        <v>10</v>
      </c>
      <c r="P44" s="43">
        <v>0</v>
      </c>
      <c r="Q44" s="43">
        <v>2</v>
      </c>
      <c r="R44" s="43">
        <v>3</v>
      </c>
      <c r="S44" s="43">
        <v>6</v>
      </c>
      <c r="T44" s="43">
        <v>0</v>
      </c>
      <c r="U44" s="43">
        <v>0</v>
      </c>
      <c r="V44" s="43">
        <v>0</v>
      </c>
      <c r="W44" s="43">
        <v>65</v>
      </c>
      <c r="X44" s="43">
        <v>11</v>
      </c>
    </row>
    <row r="45" spans="1:24" s="12" customFormat="1" ht="15" customHeight="1" x14ac:dyDescent="0.2">
      <c r="A45" s="120" t="s">
        <v>13</v>
      </c>
      <c r="B45" s="44" t="s">
        <v>107</v>
      </c>
      <c r="C45" s="45" t="s">
        <v>2</v>
      </c>
      <c r="D45" s="19">
        <v>449</v>
      </c>
      <c r="E45" s="19">
        <v>325</v>
      </c>
      <c r="F45" s="19">
        <v>124</v>
      </c>
      <c r="G45" s="19">
        <v>217</v>
      </c>
      <c r="H45" s="19">
        <v>94</v>
      </c>
      <c r="I45" s="19">
        <v>0</v>
      </c>
      <c r="J45" s="19">
        <v>1</v>
      </c>
      <c r="K45" s="19">
        <v>25</v>
      </c>
      <c r="L45" s="19">
        <v>15</v>
      </c>
      <c r="M45" s="19">
        <v>0</v>
      </c>
      <c r="N45" s="19">
        <v>0</v>
      </c>
      <c r="O45" s="19">
        <v>10</v>
      </c>
      <c r="P45" s="19">
        <v>0</v>
      </c>
      <c r="Q45" s="19">
        <v>2</v>
      </c>
      <c r="R45" s="19">
        <v>3</v>
      </c>
      <c r="S45" s="19">
        <v>6</v>
      </c>
      <c r="T45" s="19">
        <v>0</v>
      </c>
      <c r="U45" s="19">
        <v>0</v>
      </c>
      <c r="V45" s="19">
        <v>0</v>
      </c>
      <c r="W45" s="19">
        <v>65</v>
      </c>
      <c r="X45" s="19">
        <v>11</v>
      </c>
    </row>
    <row r="46" spans="1:24" s="12" customFormat="1" ht="15" customHeight="1" x14ac:dyDescent="0.2">
      <c r="A46" s="121"/>
      <c r="B46" s="46" t="s">
        <v>108</v>
      </c>
      <c r="C46" s="47" t="s">
        <v>194</v>
      </c>
      <c r="D46" s="19">
        <v>6</v>
      </c>
      <c r="E46" s="19">
        <v>0</v>
      </c>
      <c r="F46" s="19">
        <v>6</v>
      </c>
      <c r="G46" s="19">
        <v>0</v>
      </c>
      <c r="H46" s="19">
        <v>5</v>
      </c>
      <c r="I46" s="19">
        <v>0</v>
      </c>
      <c r="J46" s="19">
        <v>0</v>
      </c>
      <c r="K46" s="19">
        <v>0</v>
      </c>
      <c r="L46" s="19">
        <v>1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</row>
    <row r="47" spans="1:24" s="12" customFormat="1" ht="15" customHeight="1" x14ac:dyDescent="0.2">
      <c r="A47" s="14" t="s">
        <v>45</v>
      </c>
      <c r="B47" s="41" t="s">
        <v>104</v>
      </c>
      <c r="C47" s="42" t="s">
        <v>0</v>
      </c>
      <c r="D47" s="43">
        <v>73</v>
      </c>
      <c r="E47" s="43">
        <v>53</v>
      </c>
      <c r="F47" s="43">
        <v>20</v>
      </c>
      <c r="G47" s="43">
        <v>42</v>
      </c>
      <c r="H47" s="43">
        <v>13</v>
      </c>
      <c r="I47" s="43">
        <v>0</v>
      </c>
      <c r="J47" s="43">
        <v>6</v>
      </c>
      <c r="K47" s="43">
        <v>4</v>
      </c>
      <c r="L47" s="43">
        <v>1</v>
      </c>
      <c r="M47" s="43">
        <v>0</v>
      </c>
      <c r="N47" s="43">
        <v>0</v>
      </c>
      <c r="O47" s="43">
        <v>4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3</v>
      </c>
      <c r="X47" s="43">
        <v>0</v>
      </c>
    </row>
    <row r="48" spans="1:24" s="12" customFormat="1" ht="15" customHeight="1" x14ac:dyDescent="0.2">
      <c r="A48" s="120" t="s">
        <v>14</v>
      </c>
      <c r="B48" s="44" t="s">
        <v>107</v>
      </c>
      <c r="C48" s="45" t="s">
        <v>2</v>
      </c>
      <c r="D48" s="19">
        <v>72</v>
      </c>
      <c r="E48" s="19">
        <v>52</v>
      </c>
      <c r="F48" s="19">
        <v>20</v>
      </c>
      <c r="G48" s="19">
        <v>41</v>
      </c>
      <c r="H48" s="19">
        <v>13</v>
      </c>
      <c r="I48" s="19">
        <v>0</v>
      </c>
      <c r="J48" s="19">
        <v>6</v>
      </c>
      <c r="K48" s="19">
        <v>4</v>
      </c>
      <c r="L48" s="19">
        <v>1</v>
      </c>
      <c r="M48" s="19">
        <v>0</v>
      </c>
      <c r="N48" s="19">
        <v>0</v>
      </c>
      <c r="O48" s="19">
        <v>4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3</v>
      </c>
      <c r="X48" s="19">
        <v>0</v>
      </c>
    </row>
    <row r="49" spans="1:24" s="12" customFormat="1" ht="15" customHeight="1" x14ac:dyDescent="0.2">
      <c r="A49" s="121"/>
      <c r="B49" s="46" t="s">
        <v>108</v>
      </c>
      <c r="C49" s="47" t="s">
        <v>194</v>
      </c>
      <c r="D49" s="19">
        <v>1</v>
      </c>
      <c r="E49" s="19">
        <v>1</v>
      </c>
      <c r="F49" s="19">
        <v>0</v>
      </c>
      <c r="G49" s="19">
        <v>1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</row>
    <row r="50" spans="1:24" s="12" customFormat="1" ht="15" customHeight="1" x14ac:dyDescent="0.2">
      <c r="A50" s="14" t="s">
        <v>46</v>
      </c>
      <c r="B50" s="41" t="s">
        <v>104</v>
      </c>
      <c r="C50" s="42" t="s">
        <v>0</v>
      </c>
      <c r="D50" s="43">
        <v>319</v>
      </c>
      <c r="E50" s="43">
        <v>234</v>
      </c>
      <c r="F50" s="43">
        <v>85</v>
      </c>
      <c r="G50" s="43">
        <v>105</v>
      </c>
      <c r="H50" s="43">
        <v>53</v>
      </c>
      <c r="I50" s="43">
        <v>4</v>
      </c>
      <c r="J50" s="43">
        <v>3</v>
      </c>
      <c r="K50" s="43">
        <v>19</v>
      </c>
      <c r="L50" s="43">
        <v>4</v>
      </c>
      <c r="M50" s="43">
        <v>1</v>
      </c>
      <c r="N50" s="43">
        <v>0</v>
      </c>
      <c r="O50" s="43">
        <v>4</v>
      </c>
      <c r="P50" s="43">
        <v>0</v>
      </c>
      <c r="Q50" s="43">
        <v>3</v>
      </c>
      <c r="R50" s="43">
        <v>0</v>
      </c>
      <c r="S50" s="43">
        <v>4</v>
      </c>
      <c r="T50" s="43">
        <v>1</v>
      </c>
      <c r="U50" s="43">
        <v>0</v>
      </c>
      <c r="V50" s="43">
        <v>1</v>
      </c>
      <c r="W50" s="43">
        <v>94</v>
      </c>
      <c r="X50" s="43">
        <v>23</v>
      </c>
    </row>
    <row r="51" spans="1:24" s="12" customFormat="1" ht="15" customHeight="1" x14ac:dyDescent="0.2">
      <c r="A51" s="120" t="s">
        <v>15</v>
      </c>
      <c r="B51" s="44" t="s">
        <v>107</v>
      </c>
      <c r="C51" s="45" t="s">
        <v>2</v>
      </c>
      <c r="D51" s="19">
        <v>274</v>
      </c>
      <c r="E51" s="19">
        <v>203</v>
      </c>
      <c r="F51" s="19">
        <v>71</v>
      </c>
      <c r="G51" s="19">
        <v>94</v>
      </c>
      <c r="H51" s="19">
        <v>43</v>
      </c>
      <c r="I51" s="19">
        <v>4</v>
      </c>
      <c r="J51" s="19">
        <v>3</v>
      </c>
      <c r="K51" s="19">
        <v>10</v>
      </c>
      <c r="L51" s="19">
        <v>4</v>
      </c>
      <c r="M51" s="19">
        <v>1</v>
      </c>
      <c r="N51" s="19">
        <v>0</v>
      </c>
      <c r="O51" s="19">
        <v>4</v>
      </c>
      <c r="P51" s="19">
        <v>0</v>
      </c>
      <c r="Q51" s="19">
        <v>3</v>
      </c>
      <c r="R51" s="19">
        <v>0</v>
      </c>
      <c r="S51" s="19">
        <v>1</v>
      </c>
      <c r="T51" s="19">
        <v>0</v>
      </c>
      <c r="U51" s="19">
        <v>0</v>
      </c>
      <c r="V51" s="19">
        <v>1</v>
      </c>
      <c r="W51" s="19">
        <v>86</v>
      </c>
      <c r="X51" s="19">
        <v>20</v>
      </c>
    </row>
    <row r="52" spans="1:24" s="12" customFormat="1" ht="15" customHeight="1" x14ac:dyDescent="0.2">
      <c r="A52" s="121"/>
      <c r="B52" s="46" t="s">
        <v>108</v>
      </c>
      <c r="C52" s="47" t="s">
        <v>194</v>
      </c>
      <c r="D52" s="19">
        <v>45</v>
      </c>
      <c r="E52" s="19">
        <v>31</v>
      </c>
      <c r="F52" s="19">
        <v>14</v>
      </c>
      <c r="G52" s="19">
        <v>11</v>
      </c>
      <c r="H52" s="19">
        <v>10</v>
      </c>
      <c r="I52" s="19">
        <v>0</v>
      </c>
      <c r="J52" s="19">
        <v>0</v>
      </c>
      <c r="K52" s="19">
        <v>9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3</v>
      </c>
      <c r="T52" s="19">
        <v>1</v>
      </c>
      <c r="U52" s="19">
        <v>0</v>
      </c>
      <c r="V52" s="19">
        <v>0</v>
      </c>
      <c r="W52" s="19">
        <v>8</v>
      </c>
      <c r="X52" s="19">
        <v>3</v>
      </c>
    </row>
    <row r="53" spans="1:24" s="12" customFormat="1" ht="15" customHeight="1" x14ac:dyDescent="0.2">
      <c r="A53" s="14" t="s">
        <v>47</v>
      </c>
      <c r="B53" s="41" t="s">
        <v>104</v>
      </c>
      <c r="C53" s="42" t="s">
        <v>0</v>
      </c>
      <c r="D53" s="43">
        <v>165</v>
      </c>
      <c r="E53" s="43">
        <v>119</v>
      </c>
      <c r="F53" s="43">
        <v>46</v>
      </c>
      <c r="G53" s="43">
        <v>61</v>
      </c>
      <c r="H53" s="43">
        <v>37</v>
      </c>
      <c r="I53" s="43">
        <v>46</v>
      </c>
      <c r="J53" s="43">
        <v>9</v>
      </c>
      <c r="K53" s="43">
        <v>7</v>
      </c>
      <c r="L53" s="43">
        <v>0</v>
      </c>
      <c r="M53" s="43">
        <v>0</v>
      </c>
      <c r="N53" s="43">
        <v>0</v>
      </c>
      <c r="O53" s="43">
        <v>4</v>
      </c>
      <c r="P53" s="43">
        <v>0</v>
      </c>
      <c r="Q53" s="43">
        <v>0</v>
      </c>
      <c r="R53" s="43">
        <v>0</v>
      </c>
      <c r="S53" s="43">
        <v>1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</row>
    <row r="54" spans="1:24" s="12" customFormat="1" ht="15" customHeight="1" x14ac:dyDescent="0.2">
      <c r="A54" s="120" t="s">
        <v>16</v>
      </c>
      <c r="B54" s="44" t="s">
        <v>107</v>
      </c>
      <c r="C54" s="45" t="s">
        <v>2</v>
      </c>
      <c r="D54" s="19">
        <v>85</v>
      </c>
      <c r="E54" s="19">
        <v>62</v>
      </c>
      <c r="F54" s="19">
        <v>23</v>
      </c>
      <c r="G54" s="19">
        <v>34</v>
      </c>
      <c r="H54" s="19">
        <v>18</v>
      </c>
      <c r="I54" s="19">
        <v>22</v>
      </c>
      <c r="J54" s="19">
        <v>5</v>
      </c>
      <c r="K54" s="19">
        <v>3</v>
      </c>
      <c r="L54" s="19">
        <v>0</v>
      </c>
      <c r="M54" s="19">
        <v>0</v>
      </c>
      <c r="N54" s="19">
        <v>0</v>
      </c>
      <c r="O54" s="19">
        <v>2</v>
      </c>
      <c r="P54" s="19">
        <v>0</v>
      </c>
      <c r="Q54" s="19">
        <v>0</v>
      </c>
      <c r="R54" s="19">
        <v>0</v>
      </c>
      <c r="S54" s="19">
        <v>1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</row>
    <row r="55" spans="1:24" s="12" customFormat="1" ht="15" customHeight="1" x14ac:dyDescent="0.2">
      <c r="A55" s="121"/>
      <c r="B55" s="46" t="s">
        <v>108</v>
      </c>
      <c r="C55" s="47" t="s">
        <v>194</v>
      </c>
      <c r="D55" s="19">
        <v>80</v>
      </c>
      <c r="E55" s="19">
        <v>57</v>
      </c>
      <c r="F55" s="19">
        <v>23</v>
      </c>
      <c r="G55" s="19">
        <v>27</v>
      </c>
      <c r="H55" s="19">
        <v>19</v>
      </c>
      <c r="I55" s="19">
        <v>24</v>
      </c>
      <c r="J55" s="19">
        <v>4</v>
      </c>
      <c r="K55" s="19">
        <v>4</v>
      </c>
      <c r="L55" s="19">
        <v>0</v>
      </c>
      <c r="M55" s="19">
        <v>0</v>
      </c>
      <c r="N55" s="19">
        <v>0</v>
      </c>
      <c r="O55" s="19">
        <v>2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</row>
    <row r="56" spans="1:24" s="12" customFormat="1" ht="15" customHeight="1" x14ac:dyDescent="0.2">
      <c r="A56" s="14" t="s">
        <v>48</v>
      </c>
      <c r="B56" s="41" t="s">
        <v>104</v>
      </c>
      <c r="C56" s="42" t="s">
        <v>0</v>
      </c>
      <c r="D56" s="43">
        <v>188</v>
      </c>
      <c r="E56" s="43">
        <v>121</v>
      </c>
      <c r="F56" s="43">
        <v>67</v>
      </c>
      <c r="G56" s="43">
        <v>33</v>
      </c>
      <c r="H56" s="43">
        <v>50</v>
      </c>
      <c r="I56" s="43">
        <v>2</v>
      </c>
      <c r="J56" s="43">
        <v>5</v>
      </c>
      <c r="K56" s="43">
        <v>24</v>
      </c>
      <c r="L56" s="43">
        <v>0</v>
      </c>
      <c r="M56" s="43">
        <v>0</v>
      </c>
      <c r="N56" s="43">
        <v>0</v>
      </c>
      <c r="O56" s="43">
        <v>2</v>
      </c>
      <c r="P56" s="43">
        <v>0</v>
      </c>
      <c r="Q56" s="43">
        <v>0</v>
      </c>
      <c r="R56" s="43">
        <v>0</v>
      </c>
      <c r="S56" s="43">
        <v>6</v>
      </c>
      <c r="T56" s="43">
        <v>3</v>
      </c>
      <c r="U56" s="43">
        <v>0</v>
      </c>
      <c r="V56" s="43">
        <v>0</v>
      </c>
      <c r="W56" s="43">
        <v>54</v>
      </c>
      <c r="X56" s="43">
        <v>9</v>
      </c>
    </row>
    <row r="57" spans="1:24" s="12" customFormat="1" ht="15" customHeight="1" x14ac:dyDescent="0.2">
      <c r="A57" s="120" t="s">
        <v>17</v>
      </c>
      <c r="B57" s="44" t="s">
        <v>107</v>
      </c>
      <c r="C57" s="45" t="s">
        <v>2</v>
      </c>
      <c r="D57" s="19">
        <v>89</v>
      </c>
      <c r="E57" s="19">
        <v>63</v>
      </c>
      <c r="F57" s="19">
        <v>26</v>
      </c>
      <c r="G57" s="19">
        <v>18</v>
      </c>
      <c r="H57" s="19">
        <v>22</v>
      </c>
      <c r="I57" s="19">
        <v>1</v>
      </c>
      <c r="J57" s="19">
        <v>0</v>
      </c>
      <c r="K57" s="19">
        <v>7</v>
      </c>
      <c r="L57" s="19">
        <v>0</v>
      </c>
      <c r="M57" s="19">
        <v>0</v>
      </c>
      <c r="N57" s="19">
        <v>0</v>
      </c>
      <c r="O57" s="19">
        <v>2</v>
      </c>
      <c r="P57" s="19">
        <v>0</v>
      </c>
      <c r="Q57" s="19">
        <v>0</v>
      </c>
      <c r="R57" s="19">
        <v>0</v>
      </c>
      <c r="S57" s="19">
        <v>4</v>
      </c>
      <c r="T57" s="19">
        <v>1</v>
      </c>
      <c r="U57" s="19">
        <v>0</v>
      </c>
      <c r="V57" s="19">
        <v>0</v>
      </c>
      <c r="W57" s="19">
        <v>31</v>
      </c>
      <c r="X57" s="19">
        <v>3</v>
      </c>
    </row>
    <row r="58" spans="1:24" s="12" customFormat="1" ht="15" customHeight="1" x14ac:dyDescent="0.2">
      <c r="A58" s="121"/>
      <c r="B58" s="46" t="s">
        <v>108</v>
      </c>
      <c r="C58" s="47" t="s">
        <v>194</v>
      </c>
      <c r="D58" s="19">
        <v>99</v>
      </c>
      <c r="E58" s="19">
        <v>58</v>
      </c>
      <c r="F58" s="19">
        <v>41</v>
      </c>
      <c r="G58" s="19">
        <v>15</v>
      </c>
      <c r="H58" s="19">
        <v>28</v>
      </c>
      <c r="I58" s="19">
        <v>1</v>
      </c>
      <c r="J58" s="19">
        <v>5</v>
      </c>
      <c r="K58" s="19">
        <v>17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2</v>
      </c>
      <c r="T58" s="19">
        <v>2</v>
      </c>
      <c r="U58" s="19">
        <v>0</v>
      </c>
      <c r="V58" s="19">
        <v>0</v>
      </c>
      <c r="W58" s="19">
        <v>23</v>
      </c>
      <c r="X58" s="19">
        <v>6</v>
      </c>
    </row>
    <row r="59" spans="1:24" s="12" customFormat="1" ht="15" customHeight="1" x14ac:dyDescent="0.2">
      <c r="A59" s="14" t="s">
        <v>49</v>
      </c>
      <c r="B59" s="41" t="s">
        <v>104</v>
      </c>
      <c r="C59" s="42" t="s">
        <v>0</v>
      </c>
      <c r="D59" s="43">
        <v>7</v>
      </c>
      <c r="E59" s="43">
        <v>4</v>
      </c>
      <c r="F59" s="43">
        <v>3</v>
      </c>
      <c r="G59" s="43">
        <v>2</v>
      </c>
      <c r="H59" s="43">
        <v>1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1</v>
      </c>
      <c r="T59" s="43">
        <v>0</v>
      </c>
      <c r="U59" s="43">
        <v>0</v>
      </c>
      <c r="V59" s="43">
        <v>0</v>
      </c>
      <c r="W59" s="43">
        <v>1</v>
      </c>
      <c r="X59" s="43">
        <v>2</v>
      </c>
    </row>
    <row r="60" spans="1:24" s="12" customFormat="1" ht="15" customHeight="1" x14ac:dyDescent="0.2">
      <c r="A60" s="120" t="s">
        <v>18</v>
      </c>
      <c r="B60" s="44" t="s">
        <v>107</v>
      </c>
      <c r="C60" s="45" t="s">
        <v>2</v>
      </c>
      <c r="D60" s="19">
        <v>7</v>
      </c>
      <c r="E60" s="19">
        <v>4</v>
      </c>
      <c r="F60" s="19">
        <v>3</v>
      </c>
      <c r="G60" s="19">
        <v>2</v>
      </c>
      <c r="H60" s="19">
        <v>1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1</v>
      </c>
      <c r="T60" s="19">
        <v>0</v>
      </c>
      <c r="U60" s="19">
        <v>0</v>
      </c>
      <c r="V60" s="19">
        <v>0</v>
      </c>
      <c r="W60" s="19">
        <v>1</v>
      </c>
      <c r="X60" s="19">
        <v>2</v>
      </c>
    </row>
    <row r="61" spans="1:24" s="12" customFormat="1" ht="15" customHeight="1" x14ac:dyDescent="0.2">
      <c r="A61" s="121"/>
      <c r="B61" s="46" t="s">
        <v>108</v>
      </c>
      <c r="C61" s="47" t="s">
        <v>194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</row>
    <row r="62" spans="1:24" s="12" customFormat="1" ht="15" customHeight="1" x14ac:dyDescent="0.2">
      <c r="A62" s="14" t="s">
        <v>50</v>
      </c>
      <c r="B62" s="41" t="s">
        <v>104</v>
      </c>
      <c r="C62" s="42" t="s">
        <v>0</v>
      </c>
      <c r="D62" s="43">
        <v>354</v>
      </c>
      <c r="E62" s="43">
        <v>200</v>
      </c>
      <c r="F62" s="43">
        <v>154</v>
      </c>
      <c r="G62" s="43">
        <v>87</v>
      </c>
      <c r="H62" s="43">
        <v>104</v>
      </c>
      <c r="I62" s="43">
        <v>25</v>
      </c>
      <c r="J62" s="43">
        <v>33</v>
      </c>
      <c r="K62" s="43">
        <v>6</v>
      </c>
      <c r="L62" s="43">
        <v>9</v>
      </c>
      <c r="M62" s="43">
        <v>0</v>
      </c>
      <c r="N62" s="43">
        <v>0</v>
      </c>
      <c r="O62" s="43">
        <v>5</v>
      </c>
      <c r="P62" s="43">
        <v>0</v>
      </c>
      <c r="Q62" s="43">
        <v>5</v>
      </c>
      <c r="R62" s="43">
        <v>1</v>
      </c>
      <c r="S62" s="43">
        <v>6</v>
      </c>
      <c r="T62" s="43">
        <v>0</v>
      </c>
      <c r="U62" s="43">
        <v>0</v>
      </c>
      <c r="V62" s="43">
        <v>0</v>
      </c>
      <c r="W62" s="43">
        <v>66</v>
      </c>
      <c r="X62" s="43">
        <v>7</v>
      </c>
    </row>
    <row r="63" spans="1:24" s="12" customFormat="1" ht="15" customHeight="1" x14ac:dyDescent="0.2">
      <c r="A63" s="120" t="s">
        <v>19</v>
      </c>
      <c r="B63" s="44" t="s">
        <v>107</v>
      </c>
      <c r="C63" s="45" t="s">
        <v>2</v>
      </c>
      <c r="D63" s="19">
        <v>335</v>
      </c>
      <c r="E63" s="19">
        <v>192</v>
      </c>
      <c r="F63" s="19">
        <v>143</v>
      </c>
      <c r="G63" s="19">
        <v>81</v>
      </c>
      <c r="H63" s="19">
        <v>95</v>
      </c>
      <c r="I63" s="19">
        <v>24</v>
      </c>
      <c r="J63" s="19">
        <v>31</v>
      </c>
      <c r="K63" s="19">
        <v>5</v>
      </c>
      <c r="L63" s="19">
        <v>9</v>
      </c>
      <c r="M63" s="19">
        <v>0</v>
      </c>
      <c r="N63" s="19">
        <v>0</v>
      </c>
      <c r="O63" s="19">
        <v>5</v>
      </c>
      <c r="P63" s="19">
        <v>0</v>
      </c>
      <c r="Q63" s="19">
        <v>5</v>
      </c>
      <c r="R63" s="19">
        <v>1</v>
      </c>
      <c r="S63" s="19">
        <v>6</v>
      </c>
      <c r="T63" s="19">
        <v>0</v>
      </c>
      <c r="U63" s="19">
        <v>0</v>
      </c>
      <c r="V63" s="19">
        <v>0</v>
      </c>
      <c r="W63" s="19">
        <v>66</v>
      </c>
      <c r="X63" s="19">
        <v>7</v>
      </c>
    </row>
    <row r="64" spans="1:24" s="12" customFormat="1" ht="15" customHeight="1" x14ac:dyDescent="0.2">
      <c r="A64" s="121"/>
      <c r="B64" s="46" t="s">
        <v>108</v>
      </c>
      <c r="C64" s="47" t="s">
        <v>194</v>
      </c>
      <c r="D64" s="19">
        <v>19</v>
      </c>
      <c r="E64" s="19">
        <v>8</v>
      </c>
      <c r="F64" s="19">
        <v>11</v>
      </c>
      <c r="G64" s="19">
        <v>6</v>
      </c>
      <c r="H64" s="19">
        <v>9</v>
      </c>
      <c r="I64" s="19">
        <v>1</v>
      </c>
      <c r="J64" s="19">
        <v>2</v>
      </c>
      <c r="K64" s="19">
        <v>1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</row>
    <row r="65" spans="1:24" s="12" customFormat="1" ht="15" customHeight="1" x14ac:dyDescent="0.2">
      <c r="A65" s="14" t="s">
        <v>51</v>
      </c>
      <c r="B65" s="41" t="s">
        <v>104</v>
      </c>
      <c r="C65" s="42" t="s">
        <v>0</v>
      </c>
      <c r="D65" s="43">
        <v>75</v>
      </c>
      <c r="E65" s="43">
        <v>45</v>
      </c>
      <c r="F65" s="43">
        <v>30</v>
      </c>
      <c r="G65" s="43">
        <v>30</v>
      </c>
      <c r="H65" s="43">
        <v>19</v>
      </c>
      <c r="I65" s="43">
        <v>2</v>
      </c>
      <c r="J65" s="43">
        <v>5</v>
      </c>
      <c r="K65" s="43">
        <v>2</v>
      </c>
      <c r="L65" s="43">
        <v>3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5</v>
      </c>
      <c r="T65" s="43">
        <v>1</v>
      </c>
      <c r="U65" s="43">
        <v>0</v>
      </c>
      <c r="V65" s="43">
        <v>2</v>
      </c>
      <c r="W65" s="43">
        <v>6</v>
      </c>
      <c r="X65" s="43">
        <v>0</v>
      </c>
    </row>
    <row r="66" spans="1:24" s="12" customFormat="1" ht="15" customHeight="1" x14ac:dyDescent="0.2">
      <c r="A66" s="120" t="s">
        <v>20</v>
      </c>
      <c r="B66" s="44" t="s">
        <v>107</v>
      </c>
      <c r="C66" s="45" t="s">
        <v>2</v>
      </c>
      <c r="D66" s="19">
        <v>71</v>
      </c>
      <c r="E66" s="19">
        <v>41</v>
      </c>
      <c r="F66" s="19">
        <v>30</v>
      </c>
      <c r="G66" s="19">
        <v>28</v>
      </c>
      <c r="H66" s="19">
        <v>19</v>
      </c>
      <c r="I66" s="19">
        <v>2</v>
      </c>
      <c r="J66" s="19">
        <v>5</v>
      </c>
      <c r="K66" s="19">
        <v>1</v>
      </c>
      <c r="L66" s="19">
        <v>3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5</v>
      </c>
      <c r="T66" s="19">
        <v>1</v>
      </c>
      <c r="U66" s="19">
        <v>0</v>
      </c>
      <c r="V66" s="19">
        <v>2</v>
      </c>
      <c r="W66" s="19">
        <v>5</v>
      </c>
      <c r="X66" s="19">
        <v>0</v>
      </c>
    </row>
    <row r="67" spans="1:24" s="12" customFormat="1" ht="15" customHeight="1" x14ac:dyDescent="0.2">
      <c r="A67" s="121"/>
      <c r="B67" s="46" t="s">
        <v>108</v>
      </c>
      <c r="C67" s="47" t="s">
        <v>194</v>
      </c>
      <c r="D67" s="19">
        <v>4</v>
      </c>
      <c r="E67" s="19">
        <v>4</v>
      </c>
      <c r="F67" s="19">
        <v>0</v>
      </c>
      <c r="G67" s="19">
        <v>2</v>
      </c>
      <c r="H67" s="19">
        <v>0</v>
      </c>
      <c r="I67" s="19">
        <v>0</v>
      </c>
      <c r="J67" s="19">
        <v>0</v>
      </c>
      <c r="K67" s="19">
        <v>1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1</v>
      </c>
      <c r="X67" s="19">
        <v>0</v>
      </c>
    </row>
    <row r="68" spans="1:24" s="12" customFormat="1" ht="15" customHeight="1" x14ac:dyDescent="0.2">
      <c r="A68" s="14" t="s">
        <v>52</v>
      </c>
      <c r="B68" s="41" t="s">
        <v>104</v>
      </c>
      <c r="C68" s="42" t="s">
        <v>0</v>
      </c>
      <c r="D68" s="43">
        <v>49</v>
      </c>
      <c r="E68" s="43">
        <v>32</v>
      </c>
      <c r="F68" s="43">
        <v>17</v>
      </c>
      <c r="G68" s="43">
        <v>17</v>
      </c>
      <c r="H68" s="43">
        <v>10</v>
      </c>
      <c r="I68" s="43">
        <v>2</v>
      </c>
      <c r="J68" s="43">
        <v>1</v>
      </c>
      <c r="K68" s="43">
        <v>4</v>
      </c>
      <c r="L68" s="43">
        <v>1</v>
      </c>
      <c r="M68" s="43">
        <v>0</v>
      </c>
      <c r="N68" s="43">
        <v>0</v>
      </c>
      <c r="O68" s="43">
        <v>4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5</v>
      </c>
      <c r="X68" s="43">
        <v>5</v>
      </c>
    </row>
    <row r="69" spans="1:24" s="12" customFormat="1" ht="15" customHeight="1" x14ac:dyDescent="0.2">
      <c r="A69" s="120" t="s">
        <v>21</v>
      </c>
      <c r="B69" s="44" t="s">
        <v>107</v>
      </c>
      <c r="C69" s="45" t="s">
        <v>2</v>
      </c>
      <c r="D69" s="19">
        <v>47</v>
      </c>
      <c r="E69" s="19">
        <v>31</v>
      </c>
      <c r="F69" s="19">
        <v>16</v>
      </c>
      <c r="G69" s="19">
        <v>16</v>
      </c>
      <c r="H69" s="19">
        <v>9</v>
      </c>
      <c r="I69" s="19">
        <v>2</v>
      </c>
      <c r="J69" s="19">
        <v>1</v>
      </c>
      <c r="K69" s="19">
        <v>4</v>
      </c>
      <c r="L69" s="19">
        <v>1</v>
      </c>
      <c r="M69" s="19">
        <v>0</v>
      </c>
      <c r="N69" s="19">
        <v>0</v>
      </c>
      <c r="O69" s="19">
        <v>4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5</v>
      </c>
      <c r="X69" s="19">
        <v>5</v>
      </c>
    </row>
    <row r="70" spans="1:24" s="12" customFormat="1" ht="15" customHeight="1" x14ac:dyDescent="0.2">
      <c r="A70" s="121"/>
      <c r="B70" s="46" t="s">
        <v>108</v>
      </c>
      <c r="C70" s="47" t="s">
        <v>194</v>
      </c>
      <c r="D70" s="19">
        <v>2</v>
      </c>
      <c r="E70" s="19">
        <v>1</v>
      </c>
      <c r="F70" s="19">
        <v>1</v>
      </c>
      <c r="G70" s="19">
        <v>1</v>
      </c>
      <c r="H70" s="19">
        <v>1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</row>
    <row r="71" spans="1:24" s="12" customFormat="1" ht="15" customHeight="1" x14ac:dyDescent="0.2">
      <c r="A71" s="14" t="s">
        <v>53</v>
      </c>
      <c r="B71" s="41" t="s">
        <v>104</v>
      </c>
      <c r="C71" s="42" t="s">
        <v>0</v>
      </c>
      <c r="D71" s="43">
        <v>103</v>
      </c>
      <c r="E71" s="43">
        <v>73</v>
      </c>
      <c r="F71" s="43">
        <v>30</v>
      </c>
      <c r="G71" s="43">
        <v>35</v>
      </c>
      <c r="H71" s="43">
        <v>14</v>
      </c>
      <c r="I71" s="43">
        <v>19</v>
      </c>
      <c r="J71" s="43">
        <v>11</v>
      </c>
      <c r="K71" s="43">
        <v>1</v>
      </c>
      <c r="L71" s="43">
        <v>0</v>
      </c>
      <c r="M71" s="43">
        <v>0</v>
      </c>
      <c r="N71" s="43">
        <v>0</v>
      </c>
      <c r="O71" s="43">
        <v>1</v>
      </c>
      <c r="P71" s="43">
        <v>2</v>
      </c>
      <c r="Q71" s="43">
        <v>1</v>
      </c>
      <c r="R71" s="43">
        <v>0</v>
      </c>
      <c r="S71" s="43">
        <v>8</v>
      </c>
      <c r="T71" s="43">
        <v>0</v>
      </c>
      <c r="U71" s="43">
        <v>0</v>
      </c>
      <c r="V71" s="43">
        <v>1</v>
      </c>
      <c r="W71" s="43">
        <v>8</v>
      </c>
      <c r="X71" s="43">
        <v>2</v>
      </c>
    </row>
    <row r="72" spans="1:24" s="12" customFormat="1" ht="15" customHeight="1" x14ac:dyDescent="0.2">
      <c r="A72" s="120" t="s">
        <v>22</v>
      </c>
      <c r="B72" s="44" t="s">
        <v>107</v>
      </c>
      <c r="C72" s="45" t="s">
        <v>2</v>
      </c>
      <c r="D72" s="19">
        <v>103</v>
      </c>
      <c r="E72" s="19">
        <v>73</v>
      </c>
      <c r="F72" s="19">
        <v>30</v>
      </c>
      <c r="G72" s="19">
        <v>35</v>
      </c>
      <c r="H72" s="19">
        <v>14</v>
      </c>
      <c r="I72" s="19">
        <v>19</v>
      </c>
      <c r="J72" s="19">
        <v>11</v>
      </c>
      <c r="K72" s="19">
        <v>1</v>
      </c>
      <c r="L72" s="19">
        <v>0</v>
      </c>
      <c r="M72" s="19">
        <v>0</v>
      </c>
      <c r="N72" s="19">
        <v>0</v>
      </c>
      <c r="O72" s="19">
        <v>1</v>
      </c>
      <c r="P72" s="19">
        <v>2</v>
      </c>
      <c r="Q72" s="19">
        <v>1</v>
      </c>
      <c r="R72" s="19">
        <v>0</v>
      </c>
      <c r="S72" s="19">
        <v>8</v>
      </c>
      <c r="T72" s="19">
        <v>0</v>
      </c>
      <c r="U72" s="19">
        <v>0</v>
      </c>
      <c r="V72" s="19">
        <v>1</v>
      </c>
      <c r="W72" s="19">
        <v>8</v>
      </c>
      <c r="X72" s="19">
        <v>2</v>
      </c>
    </row>
    <row r="73" spans="1:24" s="12" customFormat="1" ht="15" customHeight="1" x14ac:dyDescent="0.2">
      <c r="A73" s="121"/>
      <c r="B73" s="46" t="s">
        <v>108</v>
      </c>
      <c r="C73" s="47" t="s">
        <v>194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</row>
    <row r="74" spans="1:24" s="12" customFormat="1" ht="15" customHeight="1" x14ac:dyDescent="0.2">
      <c r="A74" s="14" t="s">
        <v>54</v>
      </c>
      <c r="B74" s="41" t="s">
        <v>104</v>
      </c>
      <c r="C74" s="42" t="s">
        <v>0</v>
      </c>
      <c r="D74" s="43">
        <v>3</v>
      </c>
      <c r="E74" s="43">
        <v>3</v>
      </c>
      <c r="F74" s="43">
        <v>0</v>
      </c>
      <c r="G74" s="43">
        <v>2</v>
      </c>
      <c r="H74" s="43">
        <v>0</v>
      </c>
      <c r="I74" s="43">
        <v>0</v>
      </c>
      <c r="J74" s="43">
        <v>0</v>
      </c>
      <c r="K74" s="43">
        <v>1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</row>
    <row r="75" spans="1:24" s="12" customFormat="1" ht="15" customHeight="1" x14ac:dyDescent="0.2">
      <c r="A75" s="120" t="s">
        <v>23</v>
      </c>
      <c r="B75" s="44" t="s">
        <v>107</v>
      </c>
      <c r="C75" s="45" t="s">
        <v>2</v>
      </c>
      <c r="D75" s="19">
        <v>3</v>
      </c>
      <c r="E75" s="19">
        <v>3</v>
      </c>
      <c r="F75" s="19">
        <v>0</v>
      </c>
      <c r="G75" s="19">
        <v>2</v>
      </c>
      <c r="H75" s="19">
        <v>0</v>
      </c>
      <c r="I75" s="19">
        <v>0</v>
      </c>
      <c r="J75" s="19">
        <v>0</v>
      </c>
      <c r="K75" s="19">
        <v>1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</row>
    <row r="76" spans="1:24" s="12" customFormat="1" ht="15" customHeight="1" x14ac:dyDescent="0.2">
      <c r="A76" s="121"/>
      <c r="B76" s="46" t="s">
        <v>108</v>
      </c>
      <c r="C76" s="47" t="s">
        <v>194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</row>
    <row r="77" spans="1:24" ht="15.75" customHeight="1" x14ac:dyDescent="0.2">
      <c r="A77" s="5" t="s">
        <v>109</v>
      </c>
    </row>
    <row r="78" spans="1:24" ht="15.75" customHeight="1" x14ac:dyDescent="0.2">
      <c r="A78" s="48" t="s">
        <v>24</v>
      </c>
      <c r="B78" s="1"/>
      <c r="C78" s="1"/>
    </row>
    <row r="79" spans="1:24" ht="15.75" customHeight="1" x14ac:dyDescent="0.2"/>
    <row r="80" spans="1:24" ht="15.75" customHeight="1" x14ac:dyDescent="0.2">
      <c r="A80" s="5" t="s">
        <v>110</v>
      </c>
    </row>
  </sheetData>
  <mergeCells count="55">
    <mergeCell ref="A4:C7"/>
    <mergeCell ref="D4:X4"/>
    <mergeCell ref="D5:F5"/>
    <mergeCell ref="G5:H5"/>
    <mergeCell ref="I5:J5"/>
    <mergeCell ref="K5:L5"/>
    <mergeCell ref="M5:N5"/>
    <mergeCell ref="O5:P5"/>
    <mergeCell ref="Q5:R5"/>
    <mergeCell ref="S5:T5"/>
    <mergeCell ref="D6:D7"/>
    <mergeCell ref="E6:E7"/>
    <mergeCell ref="F6:F7"/>
    <mergeCell ref="G6:G7"/>
    <mergeCell ref="H6:H7"/>
    <mergeCell ref="O6:O7"/>
    <mergeCell ref="P6:P7"/>
    <mergeCell ref="Q6:Q7"/>
    <mergeCell ref="M6:M7"/>
    <mergeCell ref="N6:N7"/>
    <mergeCell ref="I6:I7"/>
    <mergeCell ref="J6:J7"/>
    <mergeCell ref="K6:K7"/>
    <mergeCell ref="U5:V5"/>
    <mergeCell ref="W5:X5"/>
    <mergeCell ref="A48:A49"/>
    <mergeCell ref="X6:X7"/>
    <mergeCell ref="A9:A10"/>
    <mergeCell ref="A12:A13"/>
    <mergeCell ref="A15:A16"/>
    <mergeCell ref="A18:A19"/>
    <mergeCell ref="A21:A22"/>
    <mergeCell ref="R6:R7"/>
    <mergeCell ref="S6:S7"/>
    <mergeCell ref="T6:T7"/>
    <mergeCell ref="U6:U7"/>
    <mergeCell ref="V6:V7"/>
    <mergeCell ref="W6:W7"/>
    <mergeCell ref="L6:L7"/>
    <mergeCell ref="A24:A25"/>
    <mergeCell ref="A27:A28"/>
    <mergeCell ref="A69:A70"/>
    <mergeCell ref="A72:A73"/>
    <mergeCell ref="A75:A76"/>
    <mergeCell ref="A51:A52"/>
    <mergeCell ref="A54:A55"/>
    <mergeCell ref="A57:A58"/>
    <mergeCell ref="A60:A61"/>
    <mergeCell ref="A63:A64"/>
    <mergeCell ref="A66:A67"/>
    <mergeCell ref="A33:A34"/>
    <mergeCell ref="A36:A37"/>
    <mergeCell ref="A39:A40"/>
    <mergeCell ref="A42:A43"/>
    <mergeCell ref="A45:A46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80"/>
  <sheetViews>
    <sheetView zoomScale="110" zoomScaleNormal="110" zoomScaleSheetLayoutView="100" workbookViewId="0">
      <pane xSplit="3" ySplit="7" topLeftCell="E8" activePane="bottomRight" state="frozen"/>
      <selection activeCell="L49" sqref="L49"/>
      <selection pane="topRight" activeCell="L49" sqref="L49"/>
      <selection pane="bottomLeft" activeCell="L49" sqref="L49"/>
      <selection pane="bottomRight" activeCell="L49" sqref="L49"/>
    </sheetView>
  </sheetViews>
  <sheetFormatPr defaultColWidth="5.5" defaultRowHeight="11.1" customHeight="1" x14ac:dyDescent="0.2"/>
  <cols>
    <col min="1" max="1" width="18.33203125" style="5" customWidth="1"/>
    <col min="2" max="2" width="8.33203125" style="5" customWidth="1"/>
    <col min="3" max="3" width="12.33203125" style="5" customWidth="1"/>
    <col min="4" max="18" width="10" style="5" customWidth="1"/>
    <col min="19" max="16384" width="5.5" style="5"/>
  </cols>
  <sheetData>
    <row r="1" spans="1:18" ht="20.25" customHeight="1" x14ac:dyDescent="0.2">
      <c r="A1" s="2" t="s">
        <v>26</v>
      </c>
      <c r="B1" s="38"/>
      <c r="C1" s="38"/>
      <c r="D1" s="39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4.25" customHeight="1" x14ac:dyDescent="0.2">
      <c r="B2" s="17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8"/>
    </row>
    <row r="3" spans="1:18" ht="12.75" customHeight="1" x14ac:dyDescent="0.2">
      <c r="A3" s="17" t="s">
        <v>150</v>
      </c>
      <c r="B3" s="13"/>
      <c r="C3" s="13"/>
    </row>
    <row r="4" spans="1:18" s="6" customFormat="1" ht="24.75" customHeight="1" x14ac:dyDescent="0.2">
      <c r="A4" s="128" t="s">
        <v>38</v>
      </c>
      <c r="B4" s="128"/>
      <c r="C4" s="129"/>
      <c r="D4" s="134" t="s">
        <v>55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</row>
    <row r="5" spans="1:18" s="6" customFormat="1" ht="36" customHeight="1" x14ac:dyDescent="0.2">
      <c r="A5" s="130"/>
      <c r="B5" s="130"/>
      <c r="C5" s="131"/>
      <c r="D5" s="134" t="s">
        <v>30</v>
      </c>
      <c r="E5" s="135"/>
      <c r="F5" s="136"/>
      <c r="G5" s="122" t="s">
        <v>31</v>
      </c>
      <c r="H5" s="122"/>
      <c r="I5" s="122" t="s">
        <v>32</v>
      </c>
      <c r="J5" s="122"/>
      <c r="K5" s="122" t="s">
        <v>33</v>
      </c>
      <c r="L5" s="122"/>
      <c r="M5" s="122" t="s">
        <v>34</v>
      </c>
      <c r="N5" s="122"/>
      <c r="O5" s="122" t="s">
        <v>35</v>
      </c>
      <c r="P5" s="122"/>
      <c r="Q5" s="122" t="s">
        <v>36</v>
      </c>
      <c r="R5" s="123"/>
    </row>
    <row r="6" spans="1:18" s="6" customFormat="1" ht="30.75" customHeight="1" x14ac:dyDescent="0.2">
      <c r="A6" s="130"/>
      <c r="B6" s="130"/>
      <c r="C6" s="131"/>
      <c r="D6" s="127" t="s">
        <v>37</v>
      </c>
      <c r="E6" s="127" t="s">
        <v>27</v>
      </c>
      <c r="F6" s="127" t="s">
        <v>28</v>
      </c>
      <c r="G6" s="127" t="s">
        <v>27</v>
      </c>
      <c r="H6" s="127" t="s">
        <v>28</v>
      </c>
      <c r="I6" s="127" t="s">
        <v>27</v>
      </c>
      <c r="J6" s="127" t="s">
        <v>28</v>
      </c>
      <c r="K6" s="127" t="s">
        <v>27</v>
      </c>
      <c r="L6" s="127" t="s">
        <v>28</v>
      </c>
      <c r="M6" s="127" t="s">
        <v>27</v>
      </c>
      <c r="N6" s="127" t="s">
        <v>28</v>
      </c>
      <c r="O6" s="127" t="s">
        <v>27</v>
      </c>
      <c r="P6" s="127" t="s">
        <v>28</v>
      </c>
      <c r="Q6" s="127" t="s">
        <v>27</v>
      </c>
      <c r="R6" s="124" t="s">
        <v>28</v>
      </c>
    </row>
    <row r="7" spans="1:18" s="7" customFormat="1" ht="30.75" customHeight="1" x14ac:dyDescent="0.2">
      <c r="A7" s="132"/>
      <c r="B7" s="132"/>
      <c r="C7" s="133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/>
    </row>
    <row r="8" spans="1:18" s="10" customFormat="1" ht="16.5" customHeight="1" x14ac:dyDescent="0.2">
      <c r="A8" s="40" t="s">
        <v>112</v>
      </c>
      <c r="B8" s="41" t="s">
        <v>111</v>
      </c>
      <c r="C8" s="42" t="s">
        <v>0</v>
      </c>
      <c r="D8" s="43">
        <v>8680</v>
      </c>
      <c r="E8" s="43">
        <v>5711</v>
      </c>
      <c r="F8" s="43">
        <v>2969</v>
      </c>
      <c r="G8" s="43">
        <v>3389</v>
      </c>
      <c r="H8" s="43">
        <v>2077</v>
      </c>
      <c r="I8" s="43">
        <v>92</v>
      </c>
      <c r="J8" s="43">
        <v>131</v>
      </c>
      <c r="K8" s="43">
        <v>356</v>
      </c>
      <c r="L8" s="43">
        <v>192</v>
      </c>
      <c r="M8" s="43">
        <v>33</v>
      </c>
      <c r="N8" s="43">
        <v>22</v>
      </c>
      <c r="O8" s="43">
        <v>120</v>
      </c>
      <c r="P8" s="43">
        <v>23</v>
      </c>
      <c r="Q8" s="43">
        <v>1721</v>
      </c>
      <c r="R8" s="43">
        <v>524</v>
      </c>
    </row>
    <row r="9" spans="1:18" s="10" customFormat="1" ht="15" customHeight="1" x14ac:dyDescent="0.2">
      <c r="A9" s="125" t="s">
        <v>1</v>
      </c>
      <c r="B9" s="44" t="s">
        <v>105</v>
      </c>
      <c r="C9" s="45" t="s">
        <v>2</v>
      </c>
      <c r="D9" s="19">
        <v>8140</v>
      </c>
      <c r="E9" s="19">
        <v>5357</v>
      </c>
      <c r="F9" s="19">
        <v>2783</v>
      </c>
      <c r="G9" s="19">
        <v>3189</v>
      </c>
      <c r="H9" s="19">
        <v>1938</v>
      </c>
      <c r="I9" s="19">
        <v>82</v>
      </c>
      <c r="J9" s="19">
        <v>120</v>
      </c>
      <c r="K9" s="19">
        <v>331</v>
      </c>
      <c r="L9" s="19">
        <v>187</v>
      </c>
      <c r="M9" s="19">
        <v>33</v>
      </c>
      <c r="N9" s="19">
        <v>21</v>
      </c>
      <c r="O9" s="19">
        <v>108</v>
      </c>
      <c r="P9" s="19">
        <v>23</v>
      </c>
      <c r="Q9" s="19">
        <v>1614</v>
      </c>
      <c r="R9" s="19">
        <v>494</v>
      </c>
    </row>
    <row r="10" spans="1:18" s="10" customFormat="1" ht="15" customHeight="1" x14ac:dyDescent="0.2">
      <c r="A10" s="126"/>
      <c r="B10" s="44" t="s">
        <v>106</v>
      </c>
      <c r="C10" s="45" t="s">
        <v>194</v>
      </c>
      <c r="D10" s="19">
        <v>540</v>
      </c>
      <c r="E10" s="19">
        <v>354</v>
      </c>
      <c r="F10" s="19">
        <v>186</v>
      </c>
      <c r="G10" s="19">
        <v>200</v>
      </c>
      <c r="H10" s="19">
        <v>139</v>
      </c>
      <c r="I10" s="19">
        <v>10</v>
      </c>
      <c r="J10" s="19">
        <v>11</v>
      </c>
      <c r="K10" s="19">
        <v>25</v>
      </c>
      <c r="L10" s="19">
        <v>5</v>
      </c>
      <c r="M10" s="19">
        <v>0</v>
      </c>
      <c r="N10" s="19">
        <v>1</v>
      </c>
      <c r="O10" s="19">
        <v>12</v>
      </c>
      <c r="P10" s="19">
        <v>0</v>
      </c>
      <c r="Q10" s="19">
        <v>107</v>
      </c>
      <c r="R10" s="19">
        <v>30</v>
      </c>
    </row>
    <row r="11" spans="1:18" s="12" customFormat="1" ht="15" customHeight="1" x14ac:dyDescent="0.2">
      <c r="A11" s="57" t="s">
        <v>133</v>
      </c>
      <c r="B11" s="41" t="s">
        <v>111</v>
      </c>
      <c r="C11" s="42" t="s">
        <v>0</v>
      </c>
      <c r="D11" s="43">
        <v>798</v>
      </c>
      <c r="E11" s="43">
        <v>533</v>
      </c>
      <c r="F11" s="43">
        <v>265</v>
      </c>
      <c r="G11" s="43">
        <v>145</v>
      </c>
      <c r="H11" s="43">
        <v>84</v>
      </c>
      <c r="I11" s="43">
        <v>9</v>
      </c>
      <c r="J11" s="43">
        <v>9</v>
      </c>
      <c r="K11" s="43">
        <v>11</v>
      </c>
      <c r="L11" s="43">
        <v>2</v>
      </c>
      <c r="M11" s="43">
        <v>0</v>
      </c>
      <c r="N11" s="43">
        <v>0</v>
      </c>
      <c r="O11" s="43">
        <v>1</v>
      </c>
      <c r="P11" s="43">
        <v>1</v>
      </c>
      <c r="Q11" s="43">
        <v>367</v>
      </c>
      <c r="R11" s="43">
        <v>169</v>
      </c>
    </row>
    <row r="12" spans="1:18" s="12" customFormat="1" ht="15" customHeight="1" x14ac:dyDescent="0.2">
      <c r="A12" s="120" t="s">
        <v>120</v>
      </c>
      <c r="B12" s="44" t="s">
        <v>105</v>
      </c>
      <c r="C12" s="45" t="s">
        <v>2</v>
      </c>
      <c r="D12" s="19">
        <v>772</v>
      </c>
      <c r="E12" s="19">
        <v>515</v>
      </c>
      <c r="F12" s="19">
        <v>257</v>
      </c>
      <c r="G12" s="19">
        <v>140</v>
      </c>
      <c r="H12" s="19">
        <v>81</v>
      </c>
      <c r="I12" s="19">
        <v>8</v>
      </c>
      <c r="J12" s="19">
        <v>8</v>
      </c>
      <c r="K12" s="19">
        <v>11</v>
      </c>
      <c r="L12" s="19">
        <v>2</v>
      </c>
      <c r="M12" s="19">
        <v>0</v>
      </c>
      <c r="N12" s="19">
        <v>0</v>
      </c>
      <c r="O12" s="19">
        <v>1</v>
      </c>
      <c r="P12" s="19">
        <v>1</v>
      </c>
      <c r="Q12" s="19">
        <v>355</v>
      </c>
      <c r="R12" s="19">
        <v>165</v>
      </c>
    </row>
    <row r="13" spans="1:18" s="12" customFormat="1" ht="15" customHeight="1" x14ac:dyDescent="0.2">
      <c r="A13" s="121"/>
      <c r="B13" s="44" t="s">
        <v>106</v>
      </c>
      <c r="C13" s="45" t="s">
        <v>194</v>
      </c>
      <c r="D13" s="19">
        <v>26</v>
      </c>
      <c r="E13" s="19">
        <v>18</v>
      </c>
      <c r="F13" s="19">
        <v>8</v>
      </c>
      <c r="G13" s="19">
        <v>5</v>
      </c>
      <c r="H13" s="19">
        <v>3</v>
      </c>
      <c r="I13" s="19">
        <v>1</v>
      </c>
      <c r="J13" s="19">
        <v>1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12</v>
      </c>
      <c r="R13" s="19">
        <v>4</v>
      </c>
    </row>
    <row r="14" spans="1:18" s="12" customFormat="1" ht="15" customHeight="1" x14ac:dyDescent="0.2">
      <c r="A14" s="57" t="s">
        <v>145</v>
      </c>
      <c r="B14" s="41" t="s">
        <v>111</v>
      </c>
      <c r="C14" s="42" t="s">
        <v>0</v>
      </c>
      <c r="D14" s="43">
        <v>2393</v>
      </c>
      <c r="E14" s="43">
        <v>1484</v>
      </c>
      <c r="F14" s="43">
        <v>909</v>
      </c>
      <c r="G14" s="43">
        <v>1118</v>
      </c>
      <c r="H14" s="43">
        <v>712</v>
      </c>
      <c r="I14" s="43">
        <v>18</v>
      </c>
      <c r="J14" s="43">
        <v>23</v>
      </c>
      <c r="K14" s="43">
        <v>118</v>
      </c>
      <c r="L14" s="43">
        <v>100</v>
      </c>
      <c r="M14" s="43">
        <v>31</v>
      </c>
      <c r="N14" s="43">
        <v>19</v>
      </c>
      <c r="O14" s="43">
        <v>32</v>
      </c>
      <c r="P14" s="43">
        <v>8</v>
      </c>
      <c r="Q14" s="43">
        <v>167</v>
      </c>
      <c r="R14" s="43">
        <v>47</v>
      </c>
    </row>
    <row r="15" spans="1:18" s="12" customFormat="1" ht="15" customHeight="1" x14ac:dyDescent="0.2">
      <c r="A15" s="120" t="s">
        <v>123</v>
      </c>
      <c r="B15" s="44" t="s">
        <v>105</v>
      </c>
      <c r="C15" s="45" t="s">
        <v>194</v>
      </c>
      <c r="D15" s="19">
        <v>2391</v>
      </c>
      <c r="E15" s="19">
        <v>1483</v>
      </c>
      <c r="F15" s="19">
        <v>908</v>
      </c>
      <c r="G15" s="19">
        <v>1117</v>
      </c>
      <c r="H15" s="19">
        <v>712</v>
      </c>
      <c r="I15" s="19">
        <v>18</v>
      </c>
      <c r="J15" s="19">
        <v>23</v>
      </c>
      <c r="K15" s="19">
        <v>118</v>
      </c>
      <c r="L15" s="19">
        <v>100</v>
      </c>
      <c r="M15" s="19">
        <v>31</v>
      </c>
      <c r="N15" s="19">
        <v>19</v>
      </c>
      <c r="O15" s="19">
        <v>32</v>
      </c>
      <c r="P15" s="19">
        <v>8</v>
      </c>
      <c r="Q15" s="19">
        <v>167</v>
      </c>
      <c r="R15" s="19">
        <v>46</v>
      </c>
    </row>
    <row r="16" spans="1:18" s="12" customFormat="1" ht="15" customHeight="1" x14ac:dyDescent="0.2">
      <c r="A16" s="121"/>
      <c r="B16" s="46" t="s">
        <v>106</v>
      </c>
      <c r="C16" s="47" t="s">
        <v>194</v>
      </c>
      <c r="D16" s="19">
        <v>2</v>
      </c>
      <c r="E16" s="19">
        <v>1</v>
      </c>
      <c r="F16" s="19">
        <v>1</v>
      </c>
      <c r="G16" s="19">
        <v>1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1</v>
      </c>
    </row>
    <row r="17" spans="1:18" s="12" customFormat="1" ht="15" customHeight="1" x14ac:dyDescent="0.2">
      <c r="A17" s="57" t="s">
        <v>146</v>
      </c>
      <c r="B17" s="41" t="s">
        <v>111</v>
      </c>
      <c r="C17" s="42" t="s">
        <v>0</v>
      </c>
      <c r="D17" s="43">
        <v>1105</v>
      </c>
      <c r="E17" s="43">
        <v>805</v>
      </c>
      <c r="F17" s="43">
        <v>300</v>
      </c>
      <c r="G17" s="43">
        <v>331</v>
      </c>
      <c r="H17" s="43">
        <v>233</v>
      </c>
      <c r="I17" s="43">
        <v>3</v>
      </c>
      <c r="J17" s="43">
        <v>9</v>
      </c>
      <c r="K17" s="43">
        <v>50</v>
      </c>
      <c r="L17" s="43">
        <v>2</v>
      </c>
      <c r="M17" s="43">
        <v>0</v>
      </c>
      <c r="N17" s="43">
        <v>0</v>
      </c>
      <c r="O17" s="43">
        <v>13</v>
      </c>
      <c r="P17" s="43">
        <v>0</v>
      </c>
      <c r="Q17" s="43">
        <v>408</v>
      </c>
      <c r="R17" s="43">
        <v>56</v>
      </c>
    </row>
    <row r="18" spans="1:18" s="12" customFormat="1" ht="15" customHeight="1" x14ac:dyDescent="0.2">
      <c r="A18" s="120" t="s">
        <v>125</v>
      </c>
      <c r="B18" s="44" t="s">
        <v>105</v>
      </c>
      <c r="C18" s="45" t="s">
        <v>2</v>
      </c>
      <c r="D18" s="19">
        <v>972</v>
      </c>
      <c r="E18" s="19">
        <v>709</v>
      </c>
      <c r="F18" s="19">
        <v>263</v>
      </c>
      <c r="G18" s="19">
        <v>262</v>
      </c>
      <c r="H18" s="19">
        <v>198</v>
      </c>
      <c r="I18" s="19">
        <v>2</v>
      </c>
      <c r="J18" s="19">
        <v>9</v>
      </c>
      <c r="K18" s="19">
        <v>48</v>
      </c>
      <c r="L18" s="19">
        <v>2</v>
      </c>
      <c r="M18" s="19">
        <v>0</v>
      </c>
      <c r="N18" s="19">
        <v>0</v>
      </c>
      <c r="O18" s="19">
        <v>11</v>
      </c>
      <c r="P18" s="19">
        <v>0</v>
      </c>
      <c r="Q18" s="19">
        <v>386</v>
      </c>
      <c r="R18" s="19">
        <v>54</v>
      </c>
    </row>
    <row r="19" spans="1:18" s="12" customFormat="1" ht="15" customHeight="1" x14ac:dyDescent="0.2">
      <c r="A19" s="121"/>
      <c r="B19" s="46" t="s">
        <v>106</v>
      </c>
      <c r="C19" s="47" t="s">
        <v>194</v>
      </c>
      <c r="D19" s="19">
        <v>133</v>
      </c>
      <c r="E19" s="19">
        <v>96</v>
      </c>
      <c r="F19" s="19">
        <v>37</v>
      </c>
      <c r="G19" s="19">
        <v>69</v>
      </c>
      <c r="H19" s="19">
        <v>35</v>
      </c>
      <c r="I19" s="19">
        <v>1</v>
      </c>
      <c r="J19" s="19">
        <v>0</v>
      </c>
      <c r="K19" s="19">
        <v>2</v>
      </c>
      <c r="L19" s="19">
        <v>0</v>
      </c>
      <c r="M19" s="19">
        <v>0</v>
      </c>
      <c r="N19" s="19">
        <v>0</v>
      </c>
      <c r="O19" s="19">
        <v>2</v>
      </c>
      <c r="P19" s="19">
        <v>0</v>
      </c>
      <c r="Q19" s="19">
        <v>22</v>
      </c>
      <c r="R19" s="19">
        <v>2</v>
      </c>
    </row>
    <row r="20" spans="1:18" s="12" customFormat="1" ht="15" customHeight="1" x14ac:dyDescent="0.2">
      <c r="A20" s="57" t="s">
        <v>147</v>
      </c>
      <c r="B20" s="41" t="s">
        <v>111</v>
      </c>
      <c r="C20" s="42" t="s">
        <v>0</v>
      </c>
      <c r="D20" s="43">
        <v>551</v>
      </c>
      <c r="E20" s="43">
        <v>339</v>
      </c>
      <c r="F20" s="43">
        <v>212</v>
      </c>
      <c r="G20" s="43">
        <v>214</v>
      </c>
      <c r="H20" s="43">
        <v>154</v>
      </c>
      <c r="I20" s="43">
        <v>7</v>
      </c>
      <c r="J20" s="43">
        <v>5</v>
      </c>
      <c r="K20" s="43">
        <v>8</v>
      </c>
      <c r="L20" s="43">
        <v>8</v>
      </c>
      <c r="M20" s="43">
        <v>0</v>
      </c>
      <c r="N20" s="43">
        <v>1</v>
      </c>
      <c r="O20" s="43">
        <v>6</v>
      </c>
      <c r="P20" s="43">
        <v>1</v>
      </c>
      <c r="Q20" s="43">
        <v>104</v>
      </c>
      <c r="R20" s="43">
        <v>43</v>
      </c>
    </row>
    <row r="21" spans="1:18" s="12" customFormat="1" ht="15" customHeight="1" x14ac:dyDescent="0.2">
      <c r="A21" s="120" t="s">
        <v>127</v>
      </c>
      <c r="B21" s="44" t="s">
        <v>105</v>
      </c>
      <c r="C21" s="45" t="s">
        <v>2</v>
      </c>
      <c r="D21" s="19">
        <v>522</v>
      </c>
      <c r="E21" s="19">
        <v>325</v>
      </c>
      <c r="F21" s="19">
        <v>197</v>
      </c>
      <c r="G21" s="19">
        <v>207</v>
      </c>
      <c r="H21" s="19">
        <v>142</v>
      </c>
      <c r="I21" s="19">
        <v>7</v>
      </c>
      <c r="J21" s="19">
        <v>5</v>
      </c>
      <c r="K21" s="19">
        <v>8</v>
      </c>
      <c r="L21" s="19">
        <v>8</v>
      </c>
      <c r="M21" s="19">
        <v>0</v>
      </c>
      <c r="N21" s="19">
        <v>1</v>
      </c>
      <c r="O21" s="19">
        <v>6</v>
      </c>
      <c r="P21" s="19">
        <v>1</v>
      </c>
      <c r="Q21" s="19">
        <v>97</v>
      </c>
      <c r="R21" s="19">
        <v>40</v>
      </c>
    </row>
    <row r="22" spans="1:18" s="12" customFormat="1" ht="15" customHeight="1" x14ac:dyDescent="0.2">
      <c r="A22" s="121"/>
      <c r="B22" s="46" t="s">
        <v>106</v>
      </c>
      <c r="C22" s="47" t="s">
        <v>194</v>
      </c>
      <c r="D22" s="19">
        <v>29</v>
      </c>
      <c r="E22" s="19">
        <v>14</v>
      </c>
      <c r="F22" s="19">
        <v>15</v>
      </c>
      <c r="G22" s="19">
        <v>7</v>
      </c>
      <c r="H22" s="19">
        <v>12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7</v>
      </c>
      <c r="R22" s="19">
        <v>3</v>
      </c>
    </row>
    <row r="23" spans="1:18" s="12" customFormat="1" ht="15" customHeight="1" x14ac:dyDescent="0.2">
      <c r="A23" s="57" t="s">
        <v>148</v>
      </c>
      <c r="B23" s="41" t="s">
        <v>111</v>
      </c>
      <c r="C23" s="42" t="s">
        <v>0</v>
      </c>
      <c r="D23" s="43">
        <v>323</v>
      </c>
      <c r="E23" s="43">
        <v>206</v>
      </c>
      <c r="F23" s="43">
        <v>117</v>
      </c>
      <c r="G23" s="43">
        <v>125</v>
      </c>
      <c r="H23" s="43">
        <v>80</v>
      </c>
      <c r="I23" s="43">
        <v>4</v>
      </c>
      <c r="J23" s="43">
        <v>10</v>
      </c>
      <c r="K23" s="43">
        <v>10</v>
      </c>
      <c r="L23" s="43">
        <v>4</v>
      </c>
      <c r="M23" s="43">
        <v>0</v>
      </c>
      <c r="N23" s="43">
        <v>0</v>
      </c>
      <c r="O23" s="43">
        <v>3</v>
      </c>
      <c r="P23" s="43">
        <v>1</v>
      </c>
      <c r="Q23" s="43">
        <v>64</v>
      </c>
      <c r="R23" s="43">
        <v>22</v>
      </c>
    </row>
    <row r="24" spans="1:18" s="12" customFormat="1" ht="15" customHeight="1" x14ac:dyDescent="0.2">
      <c r="A24" s="120" t="s">
        <v>129</v>
      </c>
      <c r="B24" s="44" t="s">
        <v>105</v>
      </c>
      <c r="C24" s="45" t="s">
        <v>2</v>
      </c>
      <c r="D24" s="19">
        <v>316</v>
      </c>
      <c r="E24" s="19">
        <v>202</v>
      </c>
      <c r="F24" s="19">
        <v>114</v>
      </c>
      <c r="G24" s="19">
        <v>122</v>
      </c>
      <c r="H24" s="19">
        <v>79</v>
      </c>
      <c r="I24" s="19">
        <v>4</v>
      </c>
      <c r="J24" s="19">
        <v>9</v>
      </c>
      <c r="K24" s="19">
        <v>10</v>
      </c>
      <c r="L24" s="19">
        <v>4</v>
      </c>
      <c r="M24" s="19">
        <v>0</v>
      </c>
      <c r="N24" s="19">
        <v>0</v>
      </c>
      <c r="O24" s="19">
        <v>3</v>
      </c>
      <c r="P24" s="19">
        <v>1</v>
      </c>
      <c r="Q24" s="19">
        <v>63</v>
      </c>
      <c r="R24" s="19">
        <v>21</v>
      </c>
    </row>
    <row r="25" spans="1:18" s="12" customFormat="1" ht="15" customHeight="1" x14ac:dyDescent="0.2">
      <c r="A25" s="121"/>
      <c r="B25" s="46" t="s">
        <v>106</v>
      </c>
      <c r="C25" s="47" t="s">
        <v>194</v>
      </c>
      <c r="D25" s="19">
        <v>7</v>
      </c>
      <c r="E25" s="19">
        <v>4</v>
      </c>
      <c r="F25" s="19">
        <v>3</v>
      </c>
      <c r="G25" s="19">
        <v>3</v>
      </c>
      <c r="H25" s="19">
        <v>1</v>
      </c>
      <c r="I25" s="19">
        <v>0</v>
      </c>
      <c r="J25" s="19">
        <v>1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1</v>
      </c>
      <c r="R25" s="19">
        <v>1</v>
      </c>
    </row>
    <row r="26" spans="1:18" s="12" customFormat="1" ht="15" customHeight="1" x14ac:dyDescent="0.2">
      <c r="A26" s="57" t="s">
        <v>149</v>
      </c>
      <c r="B26" s="41" t="s">
        <v>111</v>
      </c>
      <c r="C26" s="42" t="s">
        <v>0</v>
      </c>
      <c r="D26" s="43">
        <v>806</v>
      </c>
      <c r="E26" s="43">
        <v>480</v>
      </c>
      <c r="F26" s="43">
        <v>326</v>
      </c>
      <c r="G26" s="43">
        <v>273</v>
      </c>
      <c r="H26" s="43">
        <v>199</v>
      </c>
      <c r="I26" s="43">
        <v>5</v>
      </c>
      <c r="J26" s="43">
        <v>25</v>
      </c>
      <c r="K26" s="43">
        <v>37</v>
      </c>
      <c r="L26" s="43">
        <v>17</v>
      </c>
      <c r="M26" s="43">
        <v>1</v>
      </c>
      <c r="N26" s="43">
        <v>2</v>
      </c>
      <c r="O26" s="43">
        <v>14</v>
      </c>
      <c r="P26" s="43">
        <v>3</v>
      </c>
      <c r="Q26" s="43">
        <v>150</v>
      </c>
      <c r="R26" s="43">
        <v>80</v>
      </c>
    </row>
    <row r="27" spans="1:18" s="12" customFormat="1" ht="15" customHeight="1" x14ac:dyDescent="0.2">
      <c r="A27" s="120" t="s">
        <v>132</v>
      </c>
      <c r="B27" s="44" t="s">
        <v>105</v>
      </c>
      <c r="C27" s="45" t="s">
        <v>2</v>
      </c>
      <c r="D27" s="19">
        <v>769</v>
      </c>
      <c r="E27" s="19">
        <v>459</v>
      </c>
      <c r="F27" s="19">
        <v>310</v>
      </c>
      <c r="G27" s="19">
        <v>259</v>
      </c>
      <c r="H27" s="19">
        <v>190</v>
      </c>
      <c r="I27" s="19">
        <v>5</v>
      </c>
      <c r="J27" s="19">
        <v>24</v>
      </c>
      <c r="K27" s="19">
        <v>37</v>
      </c>
      <c r="L27" s="19">
        <v>16</v>
      </c>
      <c r="M27" s="19">
        <v>1</v>
      </c>
      <c r="N27" s="19">
        <v>1</v>
      </c>
      <c r="O27" s="19">
        <v>13</v>
      </c>
      <c r="P27" s="19">
        <v>3</v>
      </c>
      <c r="Q27" s="19">
        <v>144</v>
      </c>
      <c r="R27" s="19">
        <v>76</v>
      </c>
    </row>
    <row r="28" spans="1:18" s="12" customFormat="1" ht="15" customHeight="1" x14ac:dyDescent="0.2">
      <c r="A28" s="121"/>
      <c r="B28" s="46" t="s">
        <v>106</v>
      </c>
      <c r="C28" s="47" t="s">
        <v>194</v>
      </c>
      <c r="D28" s="19">
        <v>37</v>
      </c>
      <c r="E28" s="19">
        <v>21</v>
      </c>
      <c r="F28" s="19">
        <v>16</v>
      </c>
      <c r="G28" s="19">
        <v>14</v>
      </c>
      <c r="H28" s="19">
        <v>9</v>
      </c>
      <c r="I28" s="19">
        <v>0</v>
      </c>
      <c r="J28" s="19">
        <v>1</v>
      </c>
      <c r="K28" s="19">
        <v>0</v>
      </c>
      <c r="L28" s="19">
        <v>1</v>
      </c>
      <c r="M28" s="19">
        <v>0</v>
      </c>
      <c r="N28" s="19">
        <v>1</v>
      </c>
      <c r="O28" s="19">
        <v>1</v>
      </c>
      <c r="P28" s="19">
        <v>0</v>
      </c>
      <c r="Q28" s="19">
        <v>6</v>
      </c>
      <c r="R28" s="19">
        <v>4</v>
      </c>
    </row>
    <row r="29" spans="1:18" s="12" customFormat="1" ht="15" customHeight="1" x14ac:dyDescent="0.2">
      <c r="A29" s="14" t="s">
        <v>39</v>
      </c>
      <c r="B29" s="41" t="s">
        <v>111</v>
      </c>
      <c r="C29" s="42" t="s">
        <v>0</v>
      </c>
      <c r="D29" s="43">
        <v>183</v>
      </c>
      <c r="E29" s="43">
        <v>108</v>
      </c>
      <c r="F29" s="43">
        <v>75</v>
      </c>
      <c r="G29" s="43">
        <v>76</v>
      </c>
      <c r="H29" s="43">
        <v>57</v>
      </c>
      <c r="I29" s="43">
        <v>4</v>
      </c>
      <c r="J29" s="43">
        <v>3</v>
      </c>
      <c r="K29" s="43">
        <v>4</v>
      </c>
      <c r="L29" s="43">
        <v>4</v>
      </c>
      <c r="M29" s="43">
        <v>0</v>
      </c>
      <c r="N29" s="43">
        <v>0</v>
      </c>
      <c r="O29" s="43">
        <v>8</v>
      </c>
      <c r="P29" s="43">
        <v>1</v>
      </c>
      <c r="Q29" s="43">
        <v>16</v>
      </c>
      <c r="R29" s="43">
        <v>10</v>
      </c>
    </row>
    <row r="30" spans="1:18" s="12" customFormat="1" ht="15" customHeight="1" x14ac:dyDescent="0.2">
      <c r="A30" s="15" t="s">
        <v>8</v>
      </c>
      <c r="B30" s="44" t="s">
        <v>105</v>
      </c>
      <c r="C30" s="45" t="s">
        <v>2</v>
      </c>
      <c r="D30" s="19">
        <v>164</v>
      </c>
      <c r="E30" s="19">
        <v>94</v>
      </c>
      <c r="F30" s="19">
        <v>70</v>
      </c>
      <c r="G30" s="19">
        <v>66</v>
      </c>
      <c r="H30" s="19">
        <v>55</v>
      </c>
      <c r="I30" s="19">
        <v>3</v>
      </c>
      <c r="J30" s="19">
        <v>2</v>
      </c>
      <c r="K30" s="19">
        <v>4</v>
      </c>
      <c r="L30" s="19">
        <v>3</v>
      </c>
      <c r="M30" s="19">
        <v>0</v>
      </c>
      <c r="N30" s="19">
        <v>0</v>
      </c>
      <c r="O30" s="19">
        <v>7</v>
      </c>
      <c r="P30" s="19">
        <v>1</v>
      </c>
      <c r="Q30" s="19">
        <v>14</v>
      </c>
      <c r="R30" s="19">
        <v>9</v>
      </c>
    </row>
    <row r="31" spans="1:18" s="12" customFormat="1" ht="15" customHeight="1" x14ac:dyDescent="0.2">
      <c r="A31" s="16"/>
      <c r="B31" s="46" t="s">
        <v>106</v>
      </c>
      <c r="C31" s="47" t="s">
        <v>194</v>
      </c>
      <c r="D31" s="19">
        <v>19</v>
      </c>
      <c r="E31" s="19">
        <v>14</v>
      </c>
      <c r="F31" s="19">
        <v>5</v>
      </c>
      <c r="G31" s="19">
        <v>10</v>
      </c>
      <c r="H31" s="19">
        <v>2</v>
      </c>
      <c r="I31" s="19">
        <v>1</v>
      </c>
      <c r="J31" s="19">
        <v>1</v>
      </c>
      <c r="K31" s="19">
        <v>0</v>
      </c>
      <c r="L31" s="19">
        <v>1</v>
      </c>
      <c r="M31" s="19">
        <v>0</v>
      </c>
      <c r="N31" s="19">
        <v>0</v>
      </c>
      <c r="O31" s="19">
        <v>1</v>
      </c>
      <c r="P31" s="19">
        <v>0</v>
      </c>
      <c r="Q31" s="19">
        <v>2</v>
      </c>
      <c r="R31" s="19">
        <v>1</v>
      </c>
    </row>
    <row r="32" spans="1:18" s="12" customFormat="1" ht="15" customHeight="1" x14ac:dyDescent="0.2">
      <c r="A32" s="14" t="s">
        <v>40</v>
      </c>
      <c r="B32" s="41" t="s">
        <v>111</v>
      </c>
      <c r="C32" s="42" t="s">
        <v>0</v>
      </c>
      <c r="D32" s="43">
        <v>112</v>
      </c>
      <c r="E32" s="43">
        <v>71</v>
      </c>
      <c r="F32" s="43">
        <v>41</v>
      </c>
      <c r="G32" s="43">
        <v>51</v>
      </c>
      <c r="H32" s="43">
        <v>35</v>
      </c>
      <c r="I32" s="43">
        <v>2</v>
      </c>
      <c r="J32" s="43">
        <v>2</v>
      </c>
      <c r="K32" s="43">
        <v>2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16</v>
      </c>
      <c r="R32" s="43">
        <v>4</v>
      </c>
    </row>
    <row r="33" spans="1:18" s="12" customFormat="1" ht="15" customHeight="1" x14ac:dyDescent="0.2">
      <c r="A33" s="120" t="s">
        <v>9</v>
      </c>
      <c r="B33" s="44" t="s">
        <v>105</v>
      </c>
      <c r="C33" s="45" t="s">
        <v>2</v>
      </c>
      <c r="D33" s="19">
        <v>83</v>
      </c>
      <c r="E33" s="19">
        <v>52</v>
      </c>
      <c r="F33" s="19">
        <v>31</v>
      </c>
      <c r="G33" s="19">
        <v>35</v>
      </c>
      <c r="H33" s="19">
        <v>26</v>
      </c>
      <c r="I33" s="19">
        <v>2</v>
      </c>
      <c r="J33" s="19">
        <v>2</v>
      </c>
      <c r="K33" s="19">
        <v>1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14</v>
      </c>
      <c r="R33" s="19">
        <v>3</v>
      </c>
    </row>
    <row r="34" spans="1:18" s="12" customFormat="1" ht="15" customHeight="1" x14ac:dyDescent="0.2">
      <c r="A34" s="121"/>
      <c r="B34" s="46" t="s">
        <v>106</v>
      </c>
      <c r="C34" s="47" t="s">
        <v>194</v>
      </c>
      <c r="D34" s="19">
        <v>29</v>
      </c>
      <c r="E34" s="19">
        <v>19</v>
      </c>
      <c r="F34" s="19">
        <v>10</v>
      </c>
      <c r="G34" s="19">
        <v>16</v>
      </c>
      <c r="H34" s="19">
        <v>9</v>
      </c>
      <c r="I34" s="19">
        <v>0</v>
      </c>
      <c r="J34" s="19">
        <v>0</v>
      </c>
      <c r="K34" s="19">
        <v>1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2</v>
      </c>
      <c r="R34" s="19">
        <v>1</v>
      </c>
    </row>
    <row r="35" spans="1:18" s="12" customFormat="1" ht="15" customHeight="1" x14ac:dyDescent="0.2">
      <c r="A35" s="14" t="s">
        <v>41</v>
      </c>
      <c r="B35" s="41" t="s">
        <v>111</v>
      </c>
      <c r="C35" s="42" t="s">
        <v>0</v>
      </c>
      <c r="D35" s="43">
        <v>192</v>
      </c>
      <c r="E35" s="43">
        <v>118</v>
      </c>
      <c r="F35" s="43">
        <v>74</v>
      </c>
      <c r="G35" s="43">
        <v>80</v>
      </c>
      <c r="H35" s="43">
        <v>51</v>
      </c>
      <c r="I35" s="43">
        <v>3</v>
      </c>
      <c r="J35" s="43">
        <v>4</v>
      </c>
      <c r="K35" s="43">
        <v>3</v>
      </c>
      <c r="L35" s="43">
        <v>0</v>
      </c>
      <c r="M35" s="43">
        <v>0</v>
      </c>
      <c r="N35" s="43">
        <v>0</v>
      </c>
      <c r="O35" s="43">
        <v>3</v>
      </c>
      <c r="P35" s="43">
        <v>0</v>
      </c>
      <c r="Q35" s="43">
        <v>29</v>
      </c>
      <c r="R35" s="43">
        <v>19</v>
      </c>
    </row>
    <row r="36" spans="1:18" s="12" customFormat="1" ht="15" customHeight="1" x14ac:dyDescent="0.2">
      <c r="A36" s="120" t="s">
        <v>10</v>
      </c>
      <c r="B36" s="44" t="s">
        <v>105</v>
      </c>
      <c r="C36" s="45" t="s">
        <v>2</v>
      </c>
      <c r="D36" s="19">
        <v>173</v>
      </c>
      <c r="E36" s="19">
        <v>109</v>
      </c>
      <c r="F36" s="19">
        <v>64</v>
      </c>
      <c r="G36" s="19">
        <v>74</v>
      </c>
      <c r="H36" s="19">
        <v>47</v>
      </c>
      <c r="I36" s="19">
        <v>3</v>
      </c>
      <c r="J36" s="19">
        <v>4</v>
      </c>
      <c r="K36" s="19">
        <v>3</v>
      </c>
      <c r="L36" s="19">
        <v>0</v>
      </c>
      <c r="M36" s="19">
        <v>0</v>
      </c>
      <c r="N36" s="19">
        <v>0</v>
      </c>
      <c r="O36" s="19">
        <v>3</v>
      </c>
      <c r="P36" s="19">
        <v>0</v>
      </c>
      <c r="Q36" s="19">
        <v>26</v>
      </c>
      <c r="R36" s="19">
        <v>13</v>
      </c>
    </row>
    <row r="37" spans="1:18" s="12" customFormat="1" ht="15" customHeight="1" x14ac:dyDescent="0.2">
      <c r="A37" s="121"/>
      <c r="B37" s="46" t="s">
        <v>106</v>
      </c>
      <c r="C37" s="47" t="s">
        <v>194</v>
      </c>
      <c r="D37" s="19">
        <v>19</v>
      </c>
      <c r="E37" s="19">
        <v>9</v>
      </c>
      <c r="F37" s="19">
        <v>10</v>
      </c>
      <c r="G37" s="19">
        <v>6</v>
      </c>
      <c r="H37" s="19">
        <v>4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3</v>
      </c>
      <c r="R37" s="19">
        <v>6</v>
      </c>
    </row>
    <row r="38" spans="1:18" s="12" customFormat="1" ht="15" customHeight="1" x14ac:dyDescent="0.2">
      <c r="A38" s="14" t="s">
        <v>42</v>
      </c>
      <c r="B38" s="41" t="s">
        <v>111</v>
      </c>
      <c r="C38" s="42" t="s">
        <v>0</v>
      </c>
      <c r="D38" s="43">
        <v>130</v>
      </c>
      <c r="E38" s="43">
        <v>100</v>
      </c>
      <c r="F38" s="43">
        <v>30</v>
      </c>
      <c r="G38" s="43">
        <v>57</v>
      </c>
      <c r="H38" s="43">
        <v>21</v>
      </c>
      <c r="I38" s="43">
        <v>3</v>
      </c>
      <c r="J38" s="43">
        <v>2</v>
      </c>
      <c r="K38" s="43">
        <v>2</v>
      </c>
      <c r="L38" s="43">
        <v>0</v>
      </c>
      <c r="M38" s="43">
        <v>0</v>
      </c>
      <c r="N38" s="43">
        <v>0</v>
      </c>
      <c r="O38" s="43">
        <v>2</v>
      </c>
      <c r="P38" s="43">
        <v>0</v>
      </c>
      <c r="Q38" s="43">
        <v>36</v>
      </c>
      <c r="R38" s="43">
        <v>7</v>
      </c>
    </row>
    <row r="39" spans="1:18" s="12" customFormat="1" ht="15" customHeight="1" x14ac:dyDescent="0.2">
      <c r="A39" s="120" t="s">
        <v>11</v>
      </c>
      <c r="B39" s="44" t="s">
        <v>105</v>
      </c>
      <c r="C39" s="45" t="s">
        <v>2</v>
      </c>
      <c r="D39" s="19">
        <v>128</v>
      </c>
      <c r="E39" s="19">
        <v>99</v>
      </c>
      <c r="F39" s="19">
        <v>29</v>
      </c>
      <c r="G39" s="19">
        <v>56</v>
      </c>
      <c r="H39" s="19">
        <v>20</v>
      </c>
      <c r="I39" s="19">
        <v>3</v>
      </c>
      <c r="J39" s="19">
        <v>2</v>
      </c>
      <c r="K39" s="19">
        <v>2</v>
      </c>
      <c r="L39" s="19">
        <v>0</v>
      </c>
      <c r="M39" s="19">
        <v>0</v>
      </c>
      <c r="N39" s="19">
        <v>0</v>
      </c>
      <c r="O39" s="19">
        <v>2</v>
      </c>
      <c r="P39" s="19">
        <v>0</v>
      </c>
      <c r="Q39" s="19">
        <v>36</v>
      </c>
      <c r="R39" s="19">
        <v>7</v>
      </c>
    </row>
    <row r="40" spans="1:18" s="12" customFormat="1" ht="15" customHeight="1" x14ac:dyDescent="0.2">
      <c r="A40" s="121"/>
      <c r="B40" s="46" t="s">
        <v>106</v>
      </c>
      <c r="C40" s="47" t="s">
        <v>194</v>
      </c>
      <c r="D40" s="19">
        <v>2</v>
      </c>
      <c r="E40" s="19">
        <v>1</v>
      </c>
      <c r="F40" s="19">
        <v>1</v>
      </c>
      <c r="G40" s="19">
        <v>1</v>
      </c>
      <c r="H40" s="19">
        <v>1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</row>
    <row r="41" spans="1:18" s="12" customFormat="1" ht="15" customHeight="1" x14ac:dyDescent="0.2">
      <c r="A41" s="14" t="s">
        <v>43</v>
      </c>
      <c r="B41" s="41" t="s">
        <v>111</v>
      </c>
      <c r="C41" s="42" t="s">
        <v>0</v>
      </c>
      <c r="D41" s="43">
        <v>57</v>
      </c>
      <c r="E41" s="43">
        <v>31</v>
      </c>
      <c r="F41" s="43">
        <v>26</v>
      </c>
      <c r="G41" s="43">
        <v>31</v>
      </c>
      <c r="H41" s="43">
        <v>25</v>
      </c>
      <c r="I41" s="43">
        <v>0</v>
      </c>
      <c r="J41" s="43">
        <v>1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</row>
    <row r="42" spans="1:18" s="12" customFormat="1" ht="15" customHeight="1" x14ac:dyDescent="0.2">
      <c r="A42" s="120" t="s">
        <v>12</v>
      </c>
      <c r="B42" s="44" t="s">
        <v>105</v>
      </c>
      <c r="C42" s="45" t="s">
        <v>2</v>
      </c>
      <c r="D42" s="19">
        <v>54</v>
      </c>
      <c r="E42" s="19">
        <v>30</v>
      </c>
      <c r="F42" s="19">
        <v>24</v>
      </c>
      <c r="G42" s="19">
        <v>30</v>
      </c>
      <c r="H42" s="19">
        <v>23</v>
      </c>
      <c r="I42" s="19">
        <v>0</v>
      </c>
      <c r="J42" s="19">
        <v>1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</row>
    <row r="43" spans="1:18" s="12" customFormat="1" ht="15" customHeight="1" x14ac:dyDescent="0.2">
      <c r="A43" s="121"/>
      <c r="B43" s="46" t="s">
        <v>106</v>
      </c>
      <c r="C43" s="47" t="s">
        <v>194</v>
      </c>
      <c r="D43" s="19">
        <v>3</v>
      </c>
      <c r="E43" s="19">
        <v>1</v>
      </c>
      <c r="F43" s="19">
        <v>2</v>
      </c>
      <c r="G43" s="19">
        <v>1</v>
      </c>
      <c r="H43" s="19">
        <v>2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</row>
    <row r="44" spans="1:18" s="12" customFormat="1" ht="15" customHeight="1" x14ac:dyDescent="0.2">
      <c r="A44" s="14" t="s">
        <v>44</v>
      </c>
      <c r="B44" s="41" t="s">
        <v>111</v>
      </c>
      <c r="C44" s="42" t="s">
        <v>0</v>
      </c>
      <c r="D44" s="43">
        <v>771</v>
      </c>
      <c r="E44" s="43">
        <v>561</v>
      </c>
      <c r="F44" s="43">
        <v>210</v>
      </c>
      <c r="G44" s="43">
        <v>464</v>
      </c>
      <c r="H44" s="43">
        <v>169</v>
      </c>
      <c r="I44" s="43">
        <v>6</v>
      </c>
      <c r="J44" s="43">
        <v>1</v>
      </c>
      <c r="K44" s="43">
        <v>57</v>
      </c>
      <c r="L44" s="43">
        <v>32</v>
      </c>
      <c r="M44" s="43">
        <v>0</v>
      </c>
      <c r="N44" s="43">
        <v>0</v>
      </c>
      <c r="O44" s="43">
        <v>16</v>
      </c>
      <c r="P44" s="43">
        <v>4</v>
      </c>
      <c r="Q44" s="43">
        <v>18</v>
      </c>
      <c r="R44" s="43">
        <v>4</v>
      </c>
    </row>
    <row r="45" spans="1:18" s="12" customFormat="1" ht="15" customHeight="1" x14ac:dyDescent="0.2">
      <c r="A45" s="120" t="s">
        <v>13</v>
      </c>
      <c r="B45" s="44" t="s">
        <v>105</v>
      </c>
      <c r="C45" s="45" t="s">
        <v>2</v>
      </c>
      <c r="D45" s="19">
        <v>769</v>
      </c>
      <c r="E45" s="19">
        <v>560</v>
      </c>
      <c r="F45" s="19">
        <v>209</v>
      </c>
      <c r="G45" s="19">
        <v>463</v>
      </c>
      <c r="H45" s="19">
        <v>168</v>
      </c>
      <c r="I45" s="19">
        <v>6</v>
      </c>
      <c r="J45" s="19">
        <v>1</v>
      </c>
      <c r="K45" s="19">
        <v>57</v>
      </c>
      <c r="L45" s="19">
        <v>32</v>
      </c>
      <c r="M45" s="19">
        <v>0</v>
      </c>
      <c r="N45" s="19">
        <v>0</v>
      </c>
      <c r="O45" s="19">
        <v>16</v>
      </c>
      <c r="P45" s="19">
        <v>4</v>
      </c>
      <c r="Q45" s="19">
        <v>18</v>
      </c>
      <c r="R45" s="19">
        <v>4</v>
      </c>
    </row>
    <row r="46" spans="1:18" s="12" customFormat="1" ht="15" customHeight="1" x14ac:dyDescent="0.2">
      <c r="A46" s="121"/>
      <c r="B46" s="46" t="s">
        <v>106</v>
      </c>
      <c r="C46" s="47" t="s">
        <v>194</v>
      </c>
      <c r="D46" s="19">
        <v>2</v>
      </c>
      <c r="E46" s="19">
        <v>1</v>
      </c>
      <c r="F46" s="19">
        <v>1</v>
      </c>
      <c r="G46" s="19">
        <v>1</v>
      </c>
      <c r="H46" s="19">
        <v>1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</row>
    <row r="47" spans="1:18" s="12" customFormat="1" ht="15" customHeight="1" x14ac:dyDescent="0.2">
      <c r="A47" s="14" t="s">
        <v>45</v>
      </c>
      <c r="B47" s="41" t="s">
        <v>111</v>
      </c>
      <c r="C47" s="42" t="s">
        <v>0</v>
      </c>
      <c r="D47" s="43">
        <v>153</v>
      </c>
      <c r="E47" s="43">
        <v>90</v>
      </c>
      <c r="F47" s="43">
        <v>63</v>
      </c>
      <c r="G47" s="43">
        <v>50</v>
      </c>
      <c r="H47" s="43">
        <v>41</v>
      </c>
      <c r="I47" s="43">
        <v>15</v>
      </c>
      <c r="J47" s="43">
        <v>7</v>
      </c>
      <c r="K47" s="43">
        <v>8</v>
      </c>
      <c r="L47" s="43">
        <v>6</v>
      </c>
      <c r="M47" s="43">
        <v>0</v>
      </c>
      <c r="N47" s="43">
        <v>0</v>
      </c>
      <c r="O47" s="43">
        <v>2</v>
      </c>
      <c r="P47" s="43">
        <v>2</v>
      </c>
      <c r="Q47" s="43">
        <v>15</v>
      </c>
      <c r="R47" s="43">
        <v>7</v>
      </c>
    </row>
    <row r="48" spans="1:18" s="12" customFormat="1" ht="15" customHeight="1" x14ac:dyDescent="0.2">
      <c r="A48" s="120" t="s">
        <v>14</v>
      </c>
      <c r="B48" s="44" t="s">
        <v>105</v>
      </c>
      <c r="C48" s="45" t="s">
        <v>2</v>
      </c>
      <c r="D48" s="19">
        <v>150</v>
      </c>
      <c r="E48" s="19">
        <v>87</v>
      </c>
      <c r="F48" s="19">
        <v>63</v>
      </c>
      <c r="G48" s="19">
        <v>49</v>
      </c>
      <c r="H48" s="19">
        <v>41</v>
      </c>
      <c r="I48" s="19">
        <v>14</v>
      </c>
      <c r="J48" s="19">
        <v>7</v>
      </c>
      <c r="K48" s="19">
        <v>7</v>
      </c>
      <c r="L48" s="19">
        <v>6</v>
      </c>
      <c r="M48" s="19">
        <v>0</v>
      </c>
      <c r="N48" s="19">
        <v>0</v>
      </c>
      <c r="O48" s="19">
        <v>2</v>
      </c>
      <c r="P48" s="19">
        <v>2</v>
      </c>
      <c r="Q48" s="19">
        <v>15</v>
      </c>
      <c r="R48" s="19">
        <v>7</v>
      </c>
    </row>
    <row r="49" spans="1:18" s="12" customFormat="1" ht="15" customHeight="1" x14ac:dyDescent="0.2">
      <c r="A49" s="121"/>
      <c r="B49" s="46" t="s">
        <v>106</v>
      </c>
      <c r="C49" s="47" t="s">
        <v>194</v>
      </c>
      <c r="D49" s="19">
        <v>3</v>
      </c>
      <c r="E49" s="19">
        <v>3</v>
      </c>
      <c r="F49" s="19">
        <v>0</v>
      </c>
      <c r="G49" s="19">
        <v>1</v>
      </c>
      <c r="H49" s="19">
        <v>0</v>
      </c>
      <c r="I49" s="19">
        <v>1</v>
      </c>
      <c r="J49" s="19">
        <v>0</v>
      </c>
      <c r="K49" s="19">
        <v>1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</row>
    <row r="50" spans="1:18" s="12" customFormat="1" ht="15" customHeight="1" x14ac:dyDescent="0.2">
      <c r="A50" s="14" t="s">
        <v>46</v>
      </c>
      <c r="B50" s="41" t="s">
        <v>111</v>
      </c>
      <c r="C50" s="42" t="s">
        <v>0</v>
      </c>
      <c r="D50" s="43">
        <v>262</v>
      </c>
      <c r="E50" s="43">
        <v>179</v>
      </c>
      <c r="F50" s="43">
        <v>83</v>
      </c>
      <c r="G50" s="43">
        <v>87</v>
      </c>
      <c r="H50" s="43">
        <v>43</v>
      </c>
      <c r="I50" s="43">
        <v>4</v>
      </c>
      <c r="J50" s="43">
        <v>14</v>
      </c>
      <c r="K50" s="43">
        <v>12</v>
      </c>
      <c r="L50" s="43">
        <v>4</v>
      </c>
      <c r="M50" s="43">
        <v>0</v>
      </c>
      <c r="N50" s="43">
        <v>0</v>
      </c>
      <c r="O50" s="43">
        <v>0</v>
      </c>
      <c r="P50" s="43">
        <v>1</v>
      </c>
      <c r="Q50" s="43">
        <v>76</v>
      </c>
      <c r="R50" s="43">
        <v>21</v>
      </c>
    </row>
    <row r="51" spans="1:18" s="12" customFormat="1" ht="15" customHeight="1" x14ac:dyDescent="0.2">
      <c r="A51" s="120" t="s">
        <v>15</v>
      </c>
      <c r="B51" s="44" t="s">
        <v>105</v>
      </c>
      <c r="C51" s="45" t="s">
        <v>2</v>
      </c>
      <c r="D51" s="19">
        <v>229</v>
      </c>
      <c r="E51" s="19">
        <v>156</v>
      </c>
      <c r="F51" s="19">
        <v>73</v>
      </c>
      <c r="G51" s="19">
        <v>74</v>
      </c>
      <c r="H51" s="19">
        <v>39</v>
      </c>
      <c r="I51" s="19">
        <v>1</v>
      </c>
      <c r="J51" s="19">
        <v>12</v>
      </c>
      <c r="K51" s="19">
        <v>12</v>
      </c>
      <c r="L51" s="19">
        <v>2</v>
      </c>
      <c r="M51" s="19">
        <v>0</v>
      </c>
      <c r="N51" s="19">
        <v>0</v>
      </c>
      <c r="O51" s="19">
        <v>0</v>
      </c>
      <c r="P51" s="19">
        <v>1</v>
      </c>
      <c r="Q51" s="19">
        <v>69</v>
      </c>
      <c r="R51" s="19">
        <v>19</v>
      </c>
    </row>
    <row r="52" spans="1:18" s="12" customFormat="1" ht="15" customHeight="1" x14ac:dyDescent="0.2">
      <c r="A52" s="121"/>
      <c r="B52" s="46" t="s">
        <v>106</v>
      </c>
      <c r="C52" s="47" t="s">
        <v>194</v>
      </c>
      <c r="D52" s="19">
        <v>33</v>
      </c>
      <c r="E52" s="19">
        <v>23</v>
      </c>
      <c r="F52" s="19">
        <v>10</v>
      </c>
      <c r="G52" s="19">
        <v>13</v>
      </c>
      <c r="H52" s="19">
        <v>4</v>
      </c>
      <c r="I52" s="19">
        <v>3</v>
      </c>
      <c r="J52" s="19">
        <v>2</v>
      </c>
      <c r="K52" s="19">
        <v>0</v>
      </c>
      <c r="L52" s="19">
        <v>2</v>
      </c>
      <c r="M52" s="19">
        <v>0</v>
      </c>
      <c r="N52" s="19">
        <v>0</v>
      </c>
      <c r="O52" s="19">
        <v>0</v>
      </c>
      <c r="P52" s="19">
        <v>0</v>
      </c>
      <c r="Q52" s="19">
        <v>7</v>
      </c>
      <c r="R52" s="19">
        <v>2</v>
      </c>
    </row>
    <row r="53" spans="1:18" s="12" customFormat="1" ht="15" customHeight="1" x14ac:dyDescent="0.2">
      <c r="A53" s="14" t="s">
        <v>47</v>
      </c>
      <c r="B53" s="41" t="s">
        <v>111</v>
      </c>
      <c r="C53" s="42" t="s">
        <v>0</v>
      </c>
      <c r="D53" s="43">
        <v>106</v>
      </c>
      <c r="E53" s="43">
        <v>86</v>
      </c>
      <c r="F53" s="43">
        <v>20</v>
      </c>
      <c r="G53" s="43">
        <v>22</v>
      </c>
      <c r="H53" s="43">
        <v>14</v>
      </c>
      <c r="I53" s="43">
        <v>1</v>
      </c>
      <c r="J53" s="43">
        <v>2</v>
      </c>
      <c r="K53" s="43">
        <v>2</v>
      </c>
      <c r="L53" s="43">
        <v>0</v>
      </c>
      <c r="M53" s="43">
        <v>0</v>
      </c>
      <c r="N53" s="43">
        <v>0</v>
      </c>
      <c r="O53" s="43">
        <v>3</v>
      </c>
      <c r="P53" s="43">
        <v>0</v>
      </c>
      <c r="Q53" s="43">
        <v>58</v>
      </c>
      <c r="R53" s="43">
        <v>4</v>
      </c>
    </row>
    <row r="54" spans="1:18" s="12" customFormat="1" ht="15" customHeight="1" x14ac:dyDescent="0.2">
      <c r="A54" s="120" t="s">
        <v>16</v>
      </c>
      <c r="B54" s="44" t="s">
        <v>105</v>
      </c>
      <c r="C54" s="45" t="s">
        <v>2</v>
      </c>
      <c r="D54" s="19">
        <v>68</v>
      </c>
      <c r="E54" s="19">
        <v>59</v>
      </c>
      <c r="F54" s="19">
        <v>9</v>
      </c>
      <c r="G54" s="19">
        <v>14</v>
      </c>
      <c r="H54" s="19">
        <v>7</v>
      </c>
      <c r="I54" s="19">
        <v>1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1</v>
      </c>
      <c r="P54" s="19">
        <v>0</v>
      </c>
      <c r="Q54" s="19">
        <v>43</v>
      </c>
      <c r="R54" s="19">
        <v>2</v>
      </c>
    </row>
    <row r="55" spans="1:18" s="12" customFormat="1" ht="15" customHeight="1" x14ac:dyDescent="0.2">
      <c r="A55" s="121"/>
      <c r="B55" s="46" t="s">
        <v>106</v>
      </c>
      <c r="C55" s="47" t="s">
        <v>194</v>
      </c>
      <c r="D55" s="19">
        <v>38</v>
      </c>
      <c r="E55" s="19">
        <v>27</v>
      </c>
      <c r="F55" s="19">
        <v>11</v>
      </c>
      <c r="G55" s="19">
        <v>8</v>
      </c>
      <c r="H55" s="19">
        <v>7</v>
      </c>
      <c r="I55" s="19">
        <v>0</v>
      </c>
      <c r="J55" s="19">
        <v>2</v>
      </c>
      <c r="K55" s="19">
        <v>2</v>
      </c>
      <c r="L55" s="19">
        <v>0</v>
      </c>
      <c r="M55" s="19">
        <v>0</v>
      </c>
      <c r="N55" s="19">
        <v>0</v>
      </c>
      <c r="O55" s="19">
        <v>2</v>
      </c>
      <c r="P55" s="19">
        <v>0</v>
      </c>
      <c r="Q55" s="19">
        <v>15</v>
      </c>
      <c r="R55" s="19">
        <v>2</v>
      </c>
    </row>
    <row r="56" spans="1:18" s="12" customFormat="1" ht="15" customHeight="1" x14ac:dyDescent="0.2">
      <c r="A56" s="14" t="s">
        <v>48</v>
      </c>
      <c r="B56" s="41" t="s">
        <v>111</v>
      </c>
      <c r="C56" s="42" t="s">
        <v>0</v>
      </c>
      <c r="D56" s="43">
        <v>309</v>
      </c>
      <c r="E56" s="43">
        <v>230</v>
      </c>
      <c r="F56" s="43">
        <v>79</v>
      </c>
      <c r="G56" s="43">
        <v>95</v>
      </c>
      <c r="H56" s="43">
        <v>65</v>
      </c>
      <c r="I56" s="43">
        <v>4</v>
      </c>
      <c r="J56" s="43">
        <v>7</v>
      </c>
      <c r="K56" s="43">
        <v>19</v>
      </c>
      <c r="L56" s="43">
        <v>3</v>
      </c>
      <c r="M56" s="43">
        <v>1</v>
      </c>
      <c r="N56" s="43">
        <v>0</v>
      </c>
      <c r="O56" s="43">
        <v>13</v>
      </c>
      <c r="P56" s="43">
        <v>0</v>
      </c>
      <c r="Q56" s="43">
        <v>98</v>
      </c>
      <c r="R56" s="43">
        <v>4</v>
      </c>
    </row>
    <row r="57" spans="1:18" s="12" customFormat="1" ht="15" customHeight="1" x14ac:dyDescent="0.2">
      <c r="A57" s="120" t="s">
        <v>17</v>
      </c>
      <c r="B57" s="44" t="s">
        <v>105</v>
      </c>
      <c r="C57" s="45" t="s">
        <v>2</v>
      </c>
      <c r="D57" s="19">
        <v>168</v>
      </c>
      <c r="E57" s="19">
        <v>138</v>
      </c>
      <c r="F57" s="19">
        <v>30</v>
      </c>
      <c r="G57" s="19">
        <v>56</v>
      </c>
      <c r="H57" s="19">
        <v>23</v>
      </c>
      <c r="I57" s="19">
        <v>2</v>
      </c>
      <c r="J57" s="19">
        <v>4</v>
      </c>
      <c r="K57" s="19">
        <v>2</v>
      </c>
      <c r="L57" s="19">
        <v>2</v>
      </c>
      <c r="M57" s="19">
        <v>1</v>
      </c>
      <c r="N57" s="19">
        <v>0</v>
      </c>
      <c r="O57" s="19">
        <v>7</v>
      </c>
      <c r="P57" s="19">
        <v>0</v>
      </c>
      <c r="Q57" s="19">
        <v>70</v>
      </c>
      <c r="R57" s="19">
        <v>1</v>
      </c>
    </row>
    <row r="58" spans="1:18" s="12" customFormat="1" ht="15" customHeight="1" x14ac:dyDescent="0.2">
      <c r="A58" s="121"/>
      <c r="B58" s="46" t="s">
        <v>106</v>
      </c>
      <c r="C58" s="47" t="s">
        <v>194</v>
      </c>
      <c r="D58" s="19">
        <v>141</v>
      </c>
      <c r="E58" s="19">
        <v>92</v>
      </c>
      <c r="F58" s="19">
        <v>49</v>
      </c>
      <c r="G58" s="19">
        <v>39</v>
      </c>
      <c r="H58" s="19">
        <v>42</v>
      </c>
      <c r="I58" s="19">
        <v>2</v>
      </c>
      <c r="J58" s="19">
        <v>3</v>
      </c>
      <c r="K58" s="19">
        <v>17</v>
      </c>
      <c r="L58" s="19">
        <v>1</v>
      </c>
      <c r="M58" s="19">
        <v>0</v>
      </c>
      <c r="N58" s="19">
        <v>0</v>
      </c>
      <c r="O58" s="19">
        <v>6</v>
      </c>
      <c r="P58" s="19">
        <v>0</v>
      </c>
      <c r="Q58" s="19">
        <v>28</v>
      </c>
      <c r="R58" s="19">
        <v>3</v>
      </c>
    </row>
    <row r="59" spans="1:18" s="12" customFormat="1" ht="15" customHeight="1" x14ac:dyDescent="0.2">
      <c r="A59" s="14" t="s">
        <v>49</v>
      </c>
      <c r="B59" s="41" t="s">
        <v>111</v>
      </c>
      <c r="C59" s="42" t="s">
        <v>0</v>
      </c>
      <c r="D59" s="43">
        <v>15</v>
      </c>
      <c r="E59" s="43">
        <v>10</v>
      </c>
      <c r="F59" s="43">
        <v>5</v>
      </c>
      <c r="G59" s="43">
        <v>5</v>
      </c>
      <c r="H59" s="43">
        <v>4</v>
      </c>
      <c r="I59" s="43">
        <v>0</v>
      </c>
      <c r="J59" s="43">
        <v>0</v>
      </c>
      <c r="K59" s="43">
        <v>0</v>
      </c>
      <c r="L59" s="43">
        <v>1</v>
      </c>
      <c r="M59" s="43">
        <v>0</v>
      </c>
      <c r="N59" s="43">
        <v>0</v>
      </c>
      <c r="O59" s="43">
        <v>0</v>
      </c>
      <c r="P59" s="43">
        <v>0</v>
      </c>
      <c r="Q59" s="43">
        <v>5</v>
      </c>
      <c r="R59" s="43">
        <v>0</v>
      </c>
    </row>
    <row r="60" spans="1:18" s="12" customFormat="1" ht="15" customHeight="1" x14ac:dyDescent="0.2">
      <c r="A60" s="120" t="s">
        <v>18</v>
      </c>
      <c r="B60" s="44" t="s">
        <v>105</v>
      </c>
      <c r="C60" s="45" t="s">
        <v>2</v>
      </c>
      <c r="D60" s="19">
        <v>15</v>
      </c>
      <c r="E60" s="19">
        <v>10</v>
      </c>
      <c r="F60" s="19">
        <v>5</v>
      </c>
      <c r="G60" s="19">
        <v>5</v>
      </c>
      <c r="H60" s="19">
        <v>4</v>
      </c>
      <c r="I60" s="19">
        <v>0</v>
      </c>
      <c r="J60" s="19">
        <v>0</v>
      </c>
      <c r="K60" s="19">
        <v>0</v>
      </c>
      <c r="L60" s="19">
        <v>1</v>
      </c>
      <c r="M60" s="19">
        <v>0</v>
      </c>
      <c r="N60" s="19">
        <v>0</v>
      </c>
      <c r="O60" s="19">
        <v>0</v>
      </c>
      <c r="P60" s="19">
        <v>0</v>
      </c>
      <c r="Q60" s="19">
        <v>5</v>
      </c>
      <c r="R60" s="19">
        <v>0</v>
      </c>
    </row>
    <row r="61" spans="1:18" s="12" customFormat="1" ht="15" customHeight="1" x14ac:dyDescent="0.2">
      <c r="A61" s="121"/>
      <c r="B61" s="46" t="s">
        <v>106</v>
      </c>
      <c r="C61" s="47" t="s">
        <v>194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</row>
    <row r="62" spans="1:18" s="12" customFormat="1" ht="15" customHeight="1" x14ac:dyDescent="0.2">
      <c r="A62" s="14" t="s">
        <v>50</v>
      </c>
      <c r="B62" s="41" t="s">
        <v>111</v>
      </c>
      <c r="C62" s="42" t="s">
        <v>0</v>
      </c>
      <c r="D62" s="43">
        <v>273</v>
      </c>
      <c r="E62" s="43">
        <v>196</v>
      </c>
      <c r="F62" s="43">
        <v>77</v>
      </c>
      <c r="G62" s="43">
        <v>105</v>
      </c>
      <c r="H62" s="43">
        <v>51</v>
      </c>
      <c r="I62" s="43">
        <v>1</v>
      </c>
      <c r="J62" s="43">
        <v>5</v>
      </c>
      <c r="K62" s="43">
        <v>12</v>
      </c>
      <c r="L62" s="43">
        <v>7</v>
      </c>
      <c r="M62" s="43">
        <v>0</v>
      </c>
      <c r="N62" s="43">
        <v>0</v>
      </c>
      <c r="O62" s="43">
        <v>1</v>
      </c>
      <c r="P62" s="43">
        <v>1</v>
      </c>
      <c r="Q62" s="43">
        <v>77</v>
      </c>
      <c r="R62" s="43">
        <v>13</v>
      </c>
    </row>
    <row r="63" spans="1:18" s="12" customFormat="1" ht="15" customHeight="1" x14ac:dyDescent="0.2">
      <c r="A63" s="120" t="s">
        <v>19</v>
      </c>
      <c r="B63" s="44" t="s">
        <v>105</v>
      </c>
      <c r="C63" s="45" t="s">
        <v>2</v>
      </c>
      <c r="D63" s="19">
        <v>257</v>
      </c>
      <c r="E63" s="19">
        <v>186</v>
      </c>
      <c r="F63" s="19">
        <v>71</v>
      </c>
      <c r="G63" s="19">
        <v>100</v>
      </c>
      <c r="H63" s="19">
        <v>45</v>
      </c>
      <c r="I63" s="19">
        <v>0</v>
      </c>
      <c r="J63" s="19">
        <v>5</v>
      </c>
      <c r="K63" s="19">
        <v>10</v>
      </c>
      <c r="L63" s="19">
        <v>7</v>
      </c>
      <c r="M63" s="19">
        <v>0</v>
      </c>
      <c r="N63" s="19">
        <v>0</v>
      </c>
      <c r="O63" s="19">
        <v>1</v>
      </c>
      <c r="P63" s="19">
        <v>1</v>
      </c>
      <c r="Q63" s="19">
        <v>75</v>
      </c>
      <c r="R63" s="19">
        <v>13</v>
      </c>
    </row>
    <row r="64" spans="1:18" s="12" customFormat="1" ht="15" customHeight="1" x14ac:dyDescent="0.2">
      <c r="A64" s="121"/>
      <c r="B64" s="46" t="s">
        <v>106</v>
      </c>
      <c r="C64" s="47" t="s">
        <v>194</v>
      </c>
      <c r="D64" s="19">
        <v>16</v>
      </c>
      <c r="E64" s="19">
        <v>10</v>
      </c>
      <c r="F64" s="19">
        <v>6</v>
      </c>
      <c r="G64" s="19">
        <v>5</v>
      </c>
      <c r="H64" s="19">
        <v>6</v>
      </c>
      <c r="I64" s="19">
        <v>1</v>
      </c>
      <c r="J64" s="19">
        <v>0</v>
      </c>
      <c r="K64" s="19">
        <v>2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2</v>
      </c>
      <c r="R64" s="19">
        <v>0</v>
      </c>
    </row>
    <row r="65" spans="1:18" s="12" customFormat="1" ht="15" customHeight="1" x14ac:dyDescent="0.2">
      <c r="A65" s="14" t="s">
        <v>51</v>
      </c>
      <c r="B65" s="41" t="s">
        <v>111</v>
      </c>
      <c r="C65" s="42" t="s">
        <v>0</v>
      </c>
      <c r="D65" s="43">
        <v>52</v>
      </c>
      <c r="E65" s="43">
        <v>24</v>
      </c>
      <c r="F65" s="43">
        <v>28</v>
      </c>
      <c r="G65" s="43">
        <v>23</v>
      </c>
      <c r="H65" s="43">
        <v>27</v>
      </c>
      <c r="I65" s="43">
        <v>1</v>
      </c>
      <c r="J65" s="43">
        <v>1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</row>
    <row r="66" spans="1:18" s="12" customFormat="1" ht="15" customHeight="1" x14ac:dyDescent="0.2">
      <c r="A66" s="120" t="s">
        <v>20</v>
      </c>
      <c r="B66" s="44" t="s">
        <v>105</v>
      </c>
      <c r="C66" s="45" t="s">
        <v>2</v>
      </c>
      <c r="D66" s="19">
        <v>51</v>
      </c>
      <c r="E66" s="19">
        <v>24</v>
      </c>
      <c r="F66" s="19">
        <v>27</v>
      </c>
      <c r="G66" s="19">
        <v>23</v>
      </c>
      <c r="H66" s="19">
        <v>26</v>
      </c>
      <c r="I66" s="19">
        <v>1</v>
      </c>
      <c r="J66" s="19">
        <v>1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</row>
    <row r="67" spans="1:18" s="12" customFormat="1" ht="15" customHeight="1" x14ac:dyDescent="0.2">
      <c r="A67" s="121"/>
      <c r="B67" s="46" t="s">
        <v>106</v>
      </c>
      <c r="C67" s="47" t="s">
        <v>194</v>
      </c>
      <c r="D67" s="19">
        <v>1</v>
      </c>
      <c r="E67" s="19">
        <v>0</v>
      </c>
      <c r="F67" s="19">
        <v>1</v>
      </c>
      <c r="G67" s="19">
        <v>0</v>
      </c>
      <c r="H67" s="19">
        <v>1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</row>
    <row r="68" spans="1:18" s="12" customFormat="1" ht="15" customHeight="1" x14ac:dyDescent="0.2">
      <c r="A68" s="14" t="s">
        <v>52</v>
      </c>
      <c r="B68" s="41" t="s">
        <v>111</v>
      </c>
      <c r="C68" s="42" t="s">
        <v>0</v>
      </c>
      <c r="D68" s="43">
        <v>66</v>
      </c>
      <c r="E68" s="43">
        <v>42</v>
      </c>
      <c r="F68" s="43">
        <v>24</v>
      </c>
      <c r="G68" s="43">
        <v>20</v>
      </c>
      <c r="H68" s="43">
        <v>7</v>
      </c>
      <c r="I68" s="43">
        <v>2</v>
      </c>
      <c r="J68" s="43">
        <v>1</v>
      </c>
      <c r="K68" s="43">
        <v>1</v>
      </c>
      <c r="L68" s="43">
        <v>2</v>
      </c>
      <c r="M68" s="43">
        <v>0</v>
      </c>
      <c r="N68" s="43">
        <v>0</v>
      </c>
      <c r="O68" s="43">
        <v>3</v>
      </c>
      <c r="P68" s="43">
        <v>0</v>
      </c>
      <c r="Q68" s="43">
        <v>16</v>
      </c>
      <c r="R68" s="43">
        <v>14</v>
      </c>
    </row>
    <row r="69" spans="1:18" s="12" customFormat="1" ht="15" customHeight="1" x14ac:dyDescent="0.2">
      <c r="A69" s="120" t="s">
        <v>21</v>
      </c>
      <c r="B69" s="44" t="s">
        <v>105</v>
      </c>
      <c r="C69" s="45" t="s">
        <v>2</v>
      </c>
      <c r="D69" s="19">
        <v>66</v>
      </c>
      <c r="E69" s="19">
        <v>42</v>
      </c>
      <c r="F69" s="19">
        <v>24</v>
      </c>
      <c r="G69" s="19">
        <v>20</v>
      </c>
      <c r="H69" s="19">
        <v>7</v>
      </c>
      <c r="I69" s="19">
        <v>2</v>
      </c>
      <c r="J69" s="19">
        <v>1</v>
      </c>
      <c r="K69" s="19">
        <v>1</v>
      </c>
      <c r="L69" s="19">
        <v>2</v>
      </c>
      <c r="M69" s="19">
        <v>0</v>
      </c>
      <c r="N69" s="19">
        <v>0</v>
      </c>
      <c r="O69" s="19">
        <v>3</v>
      </c>
      <c r="P69" s="19">
        <v>0</v>
      </c>
      <c r="Q69" s="19">
        <v>16</v>
      </c>
      <c r="R69" s="19">
        <v>14</v>
      </c>
    </row>
    <row r="70" spans="1:18" s="12" customFormat="1" ht="15" customHeight="1" x14ac:dyDescent="0.2">
      <c r="A70" s="121"/>
      <c r="B70" s="46" t="s">
        <v>106</v>
      </c>
      <c r="C70" s="47" t="s">
        <v>194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</row>
    <row r="71" spans="1:18" s="12" customFormat="1" ht="15" customHeight="1" x14ac:dyDescent="0.2">
      <c r="A71" s="14" t="s">
        <v>53</v>
      </c>
      <c r="B71" s="41" t="s">
        <v>111</v>
      </c>
      <c r="C71" s="42" t="s">
        <v>0</v>
      </c>
      <c r="D71" s="43">
        <v>22</v>
      </c>
      <c r="E71" s="43">
        <v>17</v>
      </c>
      <c r="F71" s="43">
        <v>5</v>
      </c>
      <c r="G71" s="43">
        <v>17</v>
      </c>
      <c r="H71" s="43">
        <v>5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</row>
    <row r="72" spans="1:18" s="12" customFormat="1" ht="15" customHeight="1" x14ac:dyDescent="0.2">
      <c r="A72" s="120" t="s">
        <v>22</v>
      </c>
      <c r="B72" s="44" t="s">
        <v>105</v>
      </c>
      <c r="C72" s="45" t="s">
        <v>2</v>
      </c>
      <c r="D72" s="19">
        <v>22</v>
      </c>
      <c r="E72" s="19">
        <v>17</v>
      </c>
      <c r="F72" s="19">
        <v>5</v>
      </c>
      <c r="G72" s="19">
        <v>17</v>
      </c>
      <c r="H72" s="19">
        <v>5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</row>
    <row r="73" spans="1:18" s="12" customFormat="1" ht="15" customHeight="1" x14ac:dyDescent="0.2">
      <c r="A73" s="121"/>
      <c r="B73" s="46" t="s">
        <v>106</v>
      </c>
      <c r="C73" s="47" t="s">
        <v>194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</row>
    <row r="74" spans="1:18" s="12" customFormat="1" ht="15" customHeight="1" x14ac:dyDescent="0.2">
      <c r="A74" s="14" t="s">
        <v>54</v>
      </c>
      <c r="B74" s="41" t="s">
        <v>111</v>
      </c>
      <c r="C74" s="42" t="s">
        <v>0</v>
      </c>
      <c r="D74" s="43">
        <v>1</v>
      </c>
      <c r="E74" s="43">
        <v>1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1</v>
      </c>
      <c r="R74" s="43">
        <v>0</v>
      </c>
    </row>
    <row r="75" spans="1:18" s="12" customFormat="1" ht="15" customHeight="1" x14ac:dyDescent="0.2">
      <c r="A75" s="120" t="s">
        <v>23</v>
      </c>
      <c r="B75" s="44" t="s">
        <v>105</v>
      </c>
      <c r="C75" s="45" t="s">
        <v>2</v>
      </c>
      <c r="D75" s="19">
        <v>1</v>
      </c>
      <c r="E75" s="19">
        <v>1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1</v>
      </c>
      <c r="R75" s="19">
        <v>0</v>
      </c>
    </row>
    <row r="76" spans="1:18" s="12" customFormat="1" ht="15" customHeight="1" x14ac:dyDescent="0.2">
      <c r="A76" s="121"/>
      <c r="B76" s="46" t="s">
        <v>106</v>
      </c>
      <c r="C76" s="47" t="s">
        <v>194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</row>
    <row r="77" spans="1:18" ht="15.75" customHeight="1" x14ac:dyDescent="0.2">
      <c r="A77" s="5" t="s">
        <v>29</v>
      </c>
    </row>
    <row r="78" spans="1:18" ht="15.75" customHeight="1" x14ac:dyDescent="0.2">
      <c r="A78" s="48" t="s">
        <v>24</v>
      </c>
      <c r="B78" s="1"/>
      <c r="C78" s="1"/>
    </row>
    <row r="79" spans="1:18" ht="15.75" customHeight="1" x14ac:dyDescent="0.2"/>
    <row r="80" spans="1:18" ht="15.75" customHeight="1" x14ac:dyDescent="0.2">
      <c r="A80" s="5" t="s">
        <v>56</v>
      </c>
    </row>
  </sheetData>
  <mergeCells count="46">
    <mergeCell ref="A45:A46"/>
    <mergeCell ref="A75:A76"/>
    <mergeCell ref="A48:A49"/>
    <mergeCell ref="A51:A52"/>
    <mergeCell ref="A54:A55"/>
    <mergeCell ref="A57:A58"/>
    <mergeCell ref="A63:A64"/>
    <mergeCell ref="A60:A61"/>
    <mergeCell ref="A66:A67"/>
    <mergeCell ref="A69:A70"/>
    <mergeCell ref="A72:A73"/>
    <mergeCell ref="A39:A40"/>
    <mergeCell ref="A42:A43"/>
    <mergeCell ref="A24:A25"/>
    <mergeCell ref="A27:A28"/>
    <mergeCell ref="A18:A19"/>
    <mergeCell ref="A33:A34"/>
    <mergeCell ref="A36:A37"/>
    <mergeCell ref="A21:A22"/>
    <mergeCell ref="K5:L5"/>
    <mergeCell ref="L6:L7"/>
    <mergeCell ref="M6:M7"/>
    <mergeCell ref="O6:O7"/>
    <mergeCell ref="P6:P7"/>
    <mergeCell ref="K6:K7"/>
    <mergeCell ref="Q5:R5"/>
    <mergeCell ref="M5:N5"/>
    <mergeCell ref="O5:P5"/>
    <mergeCell ref="N6:N7"/>
    <mergeCell ref="R6:R7"/>
    <mergeCell ref="A15:A16"/>
    <mergeCell ref="D5:F5"/>
    <mergeCell ref="D6:D7"/>
    <mergeCell ref="I6:I7"/>
    <mergeCell ref="J6:J7"/>
    <mergeCell ref="G5:H5"/>
    <mergeCell ref="F6:F7"/>
    <mergeCell ref="G6:G7"/>
    <mergeCell ref="H6:H7"/>
    <mergeCell ref="I5:J5"/>
    <mergeCell ref="A9:A10"/>
    <mergeCell ref="A12:A13"/>
    <mergeCell ref="A4:C7"/>
    <mergeCell ref="E6:E7"/>
    <mergeCell ref="D4:R4"/>
    <mergeCell ref="Q6:Q7"/>
  </mergeCells>
  <phoneticPr fontId="4" type="noConversion"/>
  <printOptions horizontalCentered="1"/>
  <pageMargins left="0.19685039370078741" right="0.19685039370078741" top="0.62992125984251968" bottom="1.52" header="0.19685039370078741" footer="0.19685039370078741"/>
  <pageSetup paperSize="9" orientation="portrait" r:id="rId1"/>
  <headerFooter alignWithMargins="0">
    <oddHeader>&amp;C&amp;"微軟正黑體,標準"&amp;16　兒童及少年保護執行概況
&amp;9民國102年&amp;R&amp;"微軟正黑體,標準"本表共&amp;N頁，第&amp;P頁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30</vt:i4>
      </vt:variant>
    </vt:vector>
  </HeadingPairs>
  <TitlesOfParts>
    <vt:vector size="46" baseType="lpstr">
      <vt:lpstr>歷年</vt:lpstr>
      <vt:lpstr>2025</vt:lpstr>
      <vt:lpstr>July-Dec., 2025</vt:lpstr>
      <vt:lpstr>Jan.-June, 2025</vt:lpstr>
      <vt:lpstr>2024</vt:lpstr>
      <vt:lpstr>July-Dec., 2024</vt:lpstr>
      <vt:lpstr>Jan.-June, 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'Jan.-June, 2024'!Print_Area</vt:lpstr>
      <vt:lpstr>'Jan.-June, 2025'!Print_Area</vt:lpstr>
      <vt:lpstr>'July-Dec., 2024'!Print_Area</vt:lpstr>
      <vt:lpstr>'July-Dec., 2025'!Print_Area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'Jan.-June, 2024'!Print_Titles</vt:lpstr>
      <vt:lpstr>'Jan.-June, 2025'!Print_Titles</vt:lpstr>
      <vt:lpstr>'July-Dec., 2024'!Print_Titles</vt:lpstr>
      <vt:lpstr>'July-Dec., 2025'!Print_Titles</vt:lpstr>
    </vt:vector>
  </TitlesOfParts>
  <Company>內政部統計處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統計處李美鈴</dc:creator>
  <cp:lastModifiedBy>統計處李美鈴</cp:lastModifiedBy>
  <cp:lastPrinted>2014-02-27T05:00:41Z</cp:lastPrinted>
  <dcterms:created xsi:type="dcterms:W3CDTF">2001-10-30T06:38:08Z</dcterms:created>
  <dcterms:modified xsi:type="dcterms:W3CDTF">2026-03-17T03:10:59Z</dcterms:modified>
</cp:coreProperties>
</file>
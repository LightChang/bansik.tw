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omments1.xml" ContentType="application/vnd.openxmlformats-officedocument.spreadsheetml.comments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04社會福利統計報表網頁(新版)\1150331\"/>
    </mc:Choice>
  </mc:AlternateContent>
  <xr:revisionPtr revIDLastSave="0" documentId="13_ncr:1_{262F3CF2-2245-4D2A-B2B3-080C7246ED70}" xr6:coauthVersionLast="47" xr6:coauthVersionMax="47" xr10:uidLastSave="{00000000-0000-0000-0000-000000000000}"/>
  <bookViews>
    <workbookView xWindow="-120" yWindow="-120" windowWidth="29040" windowHeight="15720" tabRatio="668" xr2:uid="{00000000-000D-0000-FFFF-FFFF00000000}"/>
  </bookViews>
  <sheets>
    <sheet name="歷年" sheetId="53" r:id="rId1"/>
    <sheet name="2025" sheetId="84" r:id="rId2"/>
    <sheet name="July-Dec., 2025" sheetId="70" r:id="rId3"/>
    <sheet name="Jan.-June, 2025" sheetId="69" r:id="rId4"/>
    <sheet name="2024" sheetId="81" r:id="rId5"/>
    <sheet name="July-Dec., 2024" sheetId="82" state="hidden" r:id="rId6"/>
    <sheet name="Jan.-June, 2024" sheetId="83" state="hidden" r:id="rId7"/>
    <sheet name="2023" sheetId="80" r:id="rId8"/>
    <sheet name="2022" sheetId="78" r:id="rId9"/>
    <sheet name="2021" sheetId="77" r:id="rId10"/>
    <sheet name="2020" sheetId="76" r:id="rId11"/>
    <sheet name="2019" sheetId="75" r:id="rId12"/>
    <sheet name="2018" sheetId="74" state="hidden" r:id="rId13"/>
    <sheet name="2017" sheetId="73" state="hidden" r:id="rId14"/>
    <sheet name="2016" sheetId="68" state="hidden" r:id="rId15"/>
    <sheet name="2015" sheetId="66" state="hidden" r:id="rId16"/>
  </sheets>
  <definedNames>
    <definedName name="_xlnm.Print_Area" localSheetId="15">'2015'!$A$2:$R$76</definedName>
    <definedName name="_xlnm.Print_Area" localSheetId="14">'2016'!$A$2:$R$76</definedName>
    <definedName name="_xlnm.Print_Area" localSheetId="13">'2017'!$A$2:$R$76</definedName>
    <definedName name="_xlnm.Print_Area" localSheetId="12">'2018'!$A$2:$R$76</definedName>
    <definedName name="_xlnm.Print_Area" localSheetId="11">'2019'!$A$2:$R$76</definedName>
    <definedName name="_xlnm.Print_Area" localSheetId="10">'2020'!$A$2:$R$76</definedName>
    <definedName name="_xlnm.Print_Area" localSheetId="9">'2021'!$A$2:$R$76</definedName>
    <definedName name="_xlnm.Print_Area" localSheetId="8">'2022'!$A$2:$R$76</definedName>
    <definedName name="_xlnm.Print_Area" localSheetId="7">'2023'!$A$2:$R$76</definedName>
    <definedName name="_xlnm.Print_Area" localSheetId="4">'2024'!$A$2:$R$76</definedName>
    <definedName name="_xlnm.Print_Area" localSheetId="1">'2025'!$A$2:$R$76</definedName>
    <definedName name="_xlnm.Print_Area" localSheetId="6">'Jan.-June, 2024'!$A$2:$R$76</definedName>
    <definedName name="_xlnm.Print_Area" localSheetId="3">'Jan.-June, 2025'!$A$2:$R$76</definedName>
    <definedName name="_xlnm.Print_Area" localSheetId="5">'July-Dec., 2024'!$A$2:$R$76</definedName>
    <definedName name="_xlnm.Print_Area" localSheetId="2">'July-Dec., 2025'!$A$2:$R$76</definedName>
    <definedName name="_xlnm.Print_Area" localSheetId="0">歷年!#REF!</definedName>
    <definedName name="_xlnm.Print_Titles" localSheetId="15">'2015'!$A:$A,'2015'!$2:$7</definedName>
    <definedName name="_xlnm.Print_Titles" localSheetId="14">'2016'!$A:$A,'2016'!$2:$7</definedName>
    <definedName name="_xlnm.Print_Titles" localSheetId="13">'2017'!$A:$A,'2017'!$2:$7</definedName>
    <definedName name="_xlnm.Print_Titles" localSheetId="12">'2018'!$A:$A,'2018'!$2:$7</definedName>
    <definedName name="_xlnm.Print_Titles" localSheetId="11">'2019'!$A:$A,'2019'!$2:$7</definedName>
    <definedName name="_xlnm.Print_Titles" localSheetId="10">'2020'!$A:$A,'2020'!$2:$7</definedName>
    <definedName name="_xlnm.Print_Titles" localSheetId="9">'2021'!$A:$A,'2021'!$2:$7</definedName>
    <definedName name="_xlnm.Print_Titles" localSheetId="8">'2022'!$A:$A,'2022'!$2:$7</definedName>
    <definedName name="_xlnm.Print_Titles" localSheetId="7">'2023'!$A:$A,'2023'!$2:$7</definedName>
    <definedName name="_xlnm.Print_Titles" localSheetId="4">'2024'!$A:$A,'2024'!$2:$7</definedName>
    <definedName name="_xlnm.Print_Titles" localSheetId="1">'2025'!$A:$A,'2025'!$2:$7</definedName>
    <definedName name="_xlnm.Print_Titles" localSheetId="6">'Jan.-June, 2024'!$A:$A,'Jan.-June, 2024'!$2:$7</definedName>
    <definedName name="_xlnm.Print_Titles" localSheetId="3">'Jan.-June, 2025'!$A:$A,'Jan.-June, 2025'!$2:$7</definedName>
    <definedName name="_xlnm.Print_Titles" localSheetId="5">'July-Dec., 2024'!$A:$A,'July-Dec., 2024'!$2:$7</definedName>
    <definedName name="_xlnm.Print_Titles" localSheetId="2">'July-Dec., 2025'!$A:$A,'July-Dec., 2025'!$2:$7</definedName>
    <definedName name="_xlnm.Print_Titles" localSheetId="0">歷年!$A:$A,歷年!#REF!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53" l="1"/>
  <c r="D21" i="53"/>
  <c r="E21" i="53"/>
  <c r="F21" i="53"/>
  <c r="G21" i="53"/>
  <c r="H21" i="53"/>
  <c r="I21" i="53"/>
  <c r="J21" i="53"/>
  <c r="K21" i="53"/>
  <c r="L21" i="53"/>
  <c r="M21" i="53"/>
  <c r="N21" i="53"/>
  <c r="O21" i="53"/>
  <c r="P21" i="53"/>
  <c r="B21" i="53"/>
  <c r="C15" i="53"/>
  <c r="D15" i="53"/>
  <c r="E15" i="53"/>
  <c r="F15" i="53"/>
  <c r="G15" i="53"/>
  <c r="H15" i="53"/>
  <c r="I15" i="53"/>
  <c r="J15" i="53"/>
  <c r="K15" i="53"/>
  <c r="L15" i="53"/>
  <c r="M15" i="53"/>
  <c r="N15" i="53"/>
  <c r="O15" i="53"/>
  <c r="P15" i="53"/>
  <c r="B15" i="53"/>
  <c r="R3" i="84"/>
  <c r="Q3" i="84"/>
  <c r="P3" i="84"/>
  <c r="O3" i="84"/>
  <c r="N3" i="84"/>
  <c r="M3" i="84"/>
  <c r="L3" i="84"/>
  <c r="K3" i="84"/>
  <c r="J3" i="84"/>
  <c r="I3" i="84"/>
  <c r="H3" i="84"/>
  <c r="G3" i="84"/>
  <c r="F3" i="84"/>
  <c r="E3" i="84"/>
  <c r="D3" i="84"/>
  <c r="R220" i="83"/>
  <c r="Q220" i="83"/>
  <c r="P220" i="83"/>
  <c r="O220" i="83"/>
  <c r="N220" i="83"/>
  <c r="M220" i="83"/>
  <c r="L220" i="83"/>
  <c r="K220" i="83"/>
  <c r="J220" i="83"/>
  <c r="I220" i="83"/>
  <c r="H220" i="83"/>
  <c r="G220" i="83"/>
  <c r="F220" i="83"/>
  <c r="E220" i="83"/>
  <c r="D220" i="83"/>
  <c r="R219" i="83"/>
  <c r="Q219" i="83"/>
  <c r="P219" i="83"/>
  <c r="O219" i="83"/>
  <c r="N219" i="83"/>
  <c r="M219" i="83"/>
  <c r="L219" i="83"/>
  <c r="K219" i="83"/>
  <c r="J219" i="83"/>
  <c r="I219" i="83"/>
  <c r="H219" i="83"/>
  <c r="G219" i="83"/>
  <c r="F219" i="83"/>
  <c r="E219" i="83"/>
  <c r="D219" i="83"/>
  <c r="R218" i="83"/>
  <c r="Q218" i="83"/>
  <c r="P218" i="83"/>
  <c r="O218" i="83"/>
  <c r="N218" i="83"/>
  <c r="M218" i="83"/>
  <c r="L218" i="83"/>
  <c r="K218" i="83"/>
  <c r="J218" i="83"/>
  <c r="I218" i="83"/>
  <c r="H218" i="83"/>
  <c r="G218" i="83"/>
  <c r="F218" i="83"/>
  <c r="E218" i="83"/>
  <c r="D218" i="83"/>
  <c r="R217" i="83"/>
  <c r="Q217" i="83"/>
  <c r="P217" i="83"/>
  <c r="O217" i="83"/>
  <c r="N217" i="83"/>
  <c r="M217" i="83"/>
  <c r="L217" i="83"/>
  <c r="K217" i="83"/>
  <c r="J217" i="83"/>
  <c r="I217" i="83"/>
  <c r="H217" i="83"/>
  <c r="G217" i="83"/>
  <c r="F217" i="83"/>
  <c r="E217" i="83"/>
  <c r="D217" i="83"/>
  <c r="R216" i="83"/>
  <c r="Q216" i="83"/>
  <c r="P216" i="83"/>
  <c r="O216" i="83"/>
  <c r="N216" i="83"/>
  <c r="M216" i="83"/>
  <c r="L216" i="83"/>
  <c r="K216" i="83"/>
  <c r="J216" i="83"/>
  <c r="I216" i="83"/>
  <c r="H216" i="83"/>
  <c r="G216" i="83"/>
  <c r="F216" i="83"/>
  <c r="E216" i="83"/>
  <c r="D216" i="83"/>
  <c r="R215" i="83"/>
  <c r="Q215" i="83"/>
  <c r="P215" i="83"/>
  <c r="O215" i="83"/>
  <c r="N215" i="83"/>
  <c r="M215" i="83"/>
  <c r="L215" i="83"/>
  <c r="K215" i="83"/>
  <c r="J215" i="83"/>
  <c r="I215" i="83"/>
  <c r="H215" i="83"/>
  <c r="G215" i="83"/>
  <c r="F215" i="83"/>
  <c r="E215" i="83"/>
  <c r="D215" i="83"/>
  <c r="R214" i="83"/>
  <c r="Q214" i="83"/>
  <c r="P214" i="83"/>
  <c r="O214" i="83"/>
  <c r="N214" i="83"/>
  <c r="M214" i="83"/>
  <c r="L214" i="83"/>
  <c r="K214" i="83"/>
  <c r="J214" i="83"/>
  <c r="I214" i="83"/>
  <c r="H214" i="83"/>
  <c r="G214" i="83"/>
  <c r="F214" i="83"/>
  <c r="E214" i="83"/>
  <c r="D214" i="83"/>
  <c r="R213" i="83"/>
  <c r="Q213" i="83"/>
  <c r="P213" i="83"/>
  <c r="O213" i="83"/>
  <c r="N213" i="83"/>
  <c r="M213" i="83"/>
  <c r="L213" i="83"/>
  <c r="K213" i="83"/>
  <c r="J213" i="83"/>
  <c r="I213" i="83"/>
  <c r="H213" i="83"/>
  <c r="G213" i="83"/>
  <c r="F213" i="83"/>
  <c r="E213" i="83"/>
  <c r="D213" i="83"/>
  <c r="R212" i="83"/>
  <c r="Q212" i="83"/>
  <c r="P212" i="83"/>
  <c r="O212" i="83"/>
  <c r="N212" i="83"/>
  <c r="M212" i="83"/>
  <c r="L212" i="83"/>
  <c r="K212" i="83"/>
  <c r="J212" i="83"/>
  <c r="I212" i="83"/>
  <c r="H212" i="83"/>
  <c r="G212" i="83"/>
  <c r="F212" i="83"/>
  <c r="E212" i="83"/>
  <c r="D212" i="83"/>
  <c r="R211" i="83"/>
  <c r="Q211" i="83"/>
  <c r="P211" i="83"/>
  <c r="O211" i="83"/>
  <c r="N211" i="83"/>
  <c r="M211" i="83"/>
  <c r="L211" i="83"/>
  <c r="K211" i="83"/>
  <c r="J211" i="83"/>
  <c r="I211" i="83"/>
  <c r="H211" i="83"/>
  <c r="G211" i="83"/>
  <c r="F211" i="83"/>
  <c r="E211" i="83"/>
  <c r="D211" i="83"/>
  <c r="R210" i="83"/>
  <c r="Q210" i="83"/>
  <c r="P210" i="83"/>
  <c r="O210" i="83"/>
  <c r="N210" i="83"/>
  <c r="M210" i="83"/>
  <c r="L210" i="83"/>
  <c r="K210" i="83"/>
  <c r="J210" i="83"/>
  <c r="I210" i="83"/>
  <c r="H210" i="83"/>
  <c r="G210" i="83"/>
  <c r="F210" i="83"/>
  <c r="E210" i="83"/>
  <c r="D210" i="83"/>
  <c r="R209" i="83"/>
  <c r="Q209" i="83"/>
  <c r="P209" i="83"/>
  <c r="O209" i="83"/>
  <c r="N209" i="83"/>
  <c r="M209" i="83"/>
  <c r="L209" i="83"/>
  <c r="K209" i="83"/>
  <c r="J209" i="83"/>
  <c r="I209" i="83"/>
  <c r="H209" i="83"/>
  <c r="G209" i="83"/>
  <c r="F209" i="83"/>
  <c r="E209" i="83"/>
  <c r="D209" i="83"/>
  <c r="R208" i="83"/>
  <c r="Q208" i="83"/>
  <c r="P208" i="83"/>
  <c r="O208" i="83"/>
  <c r="N208" i="83"/>
  <c r="M208" i="83"/>
  <c r="L208" i="83"/>
  <c r="K208" i="83"/>
  <c r="J208" i="83"/>
  <c r="I208" i="83"/>
  <c r="H208" i="83"/>
  <c r="G208" i="83"/>
  <c r="F208" i="83"/>
  <c r="E208" i="83"/>
  <c r="D208" i="83"/>
  <c r="R207" i="83"/>
  <c r="Q207" i="83"/>
  <c r="P207" i="83"/>
  <c r="O207" i="83"/>
  <c r="N207" i="83"/>
  <c r="M207" i="83"/>
  <c r="L207" i="83"/>
  <c r="K207" i="83"/>
  <c r="J207" i="83"/>
  <c r="I207" i="83"/>
  <c r="H207" i="83"/>
  <c r="G207" i="83"/>
  <c r="F207" i="83"/>
  <c r="E207" i="83"/>
  <c r="D207" i="83"/>
  <c r="R206" i="83"/>
  <c r="Q206" i="83"/>
  <c r="P206" i="83"/>
  <c r="O206" i="83"/>
  <c r="N206" i="83"/>
  <c r="M206" i="83"/>
  <c r="L206" i="83"/>
  <c r="K206" i="83"/>
  <c r="J206" i="83"/>
  <c r="I206" i="83"/>
  <c r="H206" i="83"/>
  <c r="G206" i="83"/>
  <c r="F206" i="83"/>
  <c r="E206" i="83"/>
  <c r="D206" i="83"/>
  <c r="R205" i="83"/>
  <c r="Q205" i="83"/>
  <c r="P205" i="83"/>
  <c r="O205" i="83"/>
  <c r="N205" i="83"/>
  <c r="M205" i="83"/>
  <c r="L205" i="83"/>
  <c r="K205" i="83"/>
  <c r="J205" i="83"/>
  <c r="I205" i="83"/>
  <c r="H205" i="83"/>
  <c r="G205" i="83"/>
  <c r="F205" i="83"/>
  <c r="E205" i="83"/>
  <c r="D205" i="83"/>
  <c r="R204" i="83"/>
  <c r="Q204" i="83"/>
  <c r="P204" i="83"/>
  <c r="O204" i="83"/>
  <c r="N204" i="83"/>
  <c r="M204" i="83"/>
  <c r="L204" i="83"/>
  <c r="K204" i="83"/>
  <c r="J204" i="83"/>
  <c r="I204" i="83"/>
  <c r="H204" i="83"/>
  <c r="G204" i="83"/>
  <c r="F204" i="83"/>
  <c r="E204" i="83"/>
  <c r="D204" i="83"/>
  <c r="R203" i="83"/>
  <c r="Q203" i="83"/>
  <c r="P203" i="83"/>
  <c r="O203" i="83"/>
  <c r="N203" i="83"/>
  <c r="M203" i="83"/>
  <c r="L203" i="83"/>
  <c r="K203" i="83"/>
  <c r="J203" i="83"/>
  <c r="I203" i="83"/>
  <c r="H203" i="83"/>
  <c r="G203" i="83"/>
  <c r="F203" i="83"/>
  <c r="E203" i="83"/>
  <c r="D203" i="83"/>
  <c r="R202" i="83"/>
  <c r="Q202" i="83"/>
  <c r="P202" i="83"/>
  <c r="O202" i="83"/>
  <c r="N202" i="83"/>
  <c r="M202" i="83"/>
  <c r="L202" i="83"/>
  <c r="K202" i="83"/>
  <c r="J202" i="83"/>
  <c r="I202" i="83"/>
  <c r="H202" i="83"/>
  <c r="G202" i="83"/>
  <c r="F202" i="83"/>
  <c r="E202" i="83"/>
  <c r="D202" i="83"/>
  <c r="R201" i="83"/>
  <c r="Q201" i="83"/>
  <c r="P201" i="83"/>
  <c r="O201" i="83"/>
  <c r="N201" i="83"/>
  <c r="M201" i="83"/>
  <c r="L201" i="83"/>
  <c r="K201" i="83"/>
  <c r="J201" i="83"/>
  <c r="I201" i="83"/>
  <c r="H201" i="83"/>
  <c r="G201" i="83"/>
  <c r="F201" i="83"/>
  <c r="E201" i="83"/>
  <c r="D201" i="83"/>
  <c r="R200" i="83"/>
  <c r="Q200" i="83"/>
  <c r="P200" i="83"/>
  <c r="O200" i="83"/>
  <c r="N200" i="83"/>
  <c r="M200" i="83"/>
  <c r="L200" i="83"/>
  <c r="K200" i="83"/>
  <c r="J200" i="83"/>
  <c r="I200" i="83"/>
  <c r="H200" i="83"/>
  <c r="G200" i="83"/>
  <c r="F200" i="83"/>
  <c r="E200" i="83"/>
  <c r="D200" i="83"/>
  <c r="R199" i="83"/>
  <c r="Q199" i="83"/>
  <c r="P199" i="83"/>
  <c r="O199" i="83"/>
  <c r="N199" i="83"/>
  <c r="M199" i="83"/>
  <c r="L199" i="83"/>
  <c r="K199" i="83"/>
  <c r="J199" i="83"/>
  <c r="I199" i="83"/>
  <c r="H199" i="83"/>
  <c r="G199" i="83"/>
  <c r="F199" i="83"/>
  <c r="E199" i="83"/>
  <c r="D199" i="83"/>
  <c r="R198" i="83"/>
  <c r="Q198" i="83"/>
  <c r="P198" i="83"/>
  <c r="O198" i="83"/>
  <c r="N198" i="83"/>
  <c r="M198" i="83"/>
  <c r="L198" i="83"/>
  <c r="K198" i="83"/>
  <c r="J198" i="83"/>
  <c r="I198" i="83"/>
  <c r="H198" i="83"/>
  <c r="G198" i="83"/>
  <c r="F198" i="83"/>
  <c r="E198" i="83"/>
  <c r="D198" i="83"/>
  <c r="R197" i="83"/>
  <c r="Q197" i="83"/>
  <c r="P197" i="83"/>
  <c r="O197" i="83"/>
  <c r="N197" i="83"/>
  <c r="M197" i="83"/>
  <c r="L197" i="83"/>
  <c r="K197" i="83"/>
  <c r="J197" i="83"/>
  <c r="I197" i="83"/>
  <c r="H197" i="83"/>
  <c r="G197" i="83"/>
  <c r="F197" i="83"/>
  <c r="E197" i="83"/>
  <c r="D197" i="83"/>
  <c r="R196" i="83"/>
  <c r="Q196" i="83"/>
  <c r="P196" i="83"/>
  <c r="O196" i="83"/>
  <c r="N196" i="83"/>
  <c r="M196" i="83"/>
  <c r="L196" i="83"/>
  <c r="K196" i="83"/>
  <c r="J196" i="83"/>
  <c r="I196" i="83"/>
  <c r="H196" i="83"/>
  <c r="G196" i="83"/>
  <c r="F196" i="83"/>
  <c r="E196" i="83"/>
  <c r="D196" i="83"/>
  <c r="R195" i="83"/>
  <c r="Q195" i="83"/>
  <c r="P195" i="83"/>
  <c r="O195" i="83"/>
  <c r="N195" i="83"/>
  <c r="M195" i="83"/>
  <c r="L195" i="83"/>
  <c r="K195" i="83"/>
  <c r="J195" i="83"/>
  <c r="I195" i="83"/>
  <c r="H195" i="83"/>
  <c r="G195" i="83"/>
  <c r="F195" i="83"/>
  <c r="E195" i="83"/>
  <c r="D195" i="83"/>
  <c r="R194" i="83"/>
  <c r="Q194" i="83"/>
  <c r="P194" i="83"/>
  <c r="O194" i="83"/>
  <c r="N194" i="83"/>
  <c r="M194" i="83"/>
  <c r="L194" i="83"/>
  <c r="K194" i="83"/>
  <c r="J194" i="83"/>
  <c r="I194" i="83"/>
  <c r="H194" i="83"/>
  <c r="G194" i="83"/>
  <c r="F194" i="83"/>
  <c r="E194" i="83"/>
  <c r="D194" i="83"/>
  <c r="R193" i="83"/>
  <c r="Q193" i="83"/>
  <c r="P193" i="83"/>
  <c r="O193" i="83"/>
  <c r="N193" i="83"/>
  <c r="M193" i="83"/>
  <c r="L193" i="83"/>
  <c r="K193" i="83"/>
  <c r="J193" i="83"/>
  <c r="I193" i="83"/>
  <c r="H193" i="83"/>
  <c r="G193" i="83"/>
  <c r="F193" i="83"/>
  <c r="E193" i="83"/>
  <c r="D193" i="83"/>
  <c r="R192" i="83"/>
  <c r="Q192" i="83"/>
  <c r="P192" i="83"/>
  <c r="O192" i="83"/>
  <c r="N192" i="83"/>
  <c r="M192" i="83"/>
  <c r="L192" i="83"/>
  <c r="K192" i="83"/>
  <c r="J192" i="83"/>
  <c r="I192" i="83"/>
  <c r="H192" i="83"/>
  <c r="G192" i="83"/>
  <c r="F192" i="83"/>
  <c r="E192" i="83"/>
  <c r="D192" i="83"/>
  <c r="R191" i="83"/>
  <c r="Q191" i="83"/>
  <c r="P191" i="83"/>
  <c r="O191" i="83"/>
  <c r="N191" i="83"/>
  <c r="M191" i="83"/>
  <c r="L191" i="83"/>
  <c r="K191" i="83"/>
  <c r="J191" i="83"/>
  <c r="I191" i="83"/>
  <c r="H191" i="83"/>
  <c r="G191" i="83"/>
  <c r="F191" i="83"/>
  <c r="E191" i="83"/>
  <c r="D191" i="83"/>
  <c r="R190" i="83"/>
  <c r="Q190" i="83"/>
  <c r="P190" i="83"/>
  <c r="O190" i="83"/>
  <c r="N190" i="83"/>
  <c r="M190" i="83"/>
  <c r="L190" i="83"/>
  <c r="K190" i="83"/>
  <c r="J190" i="83"/>
  <c r="I190" i="83"/>
  <c r="H190" i="83"/>
  <c r="G190" i="83"/>
  <c r="F190" i="83"/>
  <c r="E190" i="83"/>
  <c r="D190" i="83"/>
  <c r="R189" i="83"/>
  <c r="Q189" i="83"/>
  <c r="P189" i="83"/>
  <c r="O189" i="83"/>
  <c r="N189" i="83"/>
  <c r="M189" i="83"/>
  <c r="L189" i="83"/>
  <c r="K189" i="83"/>
  <c r="J189" i="83"/>
  <c r="I189" i="83"/>
  <c r="H189" i="83"/>
  <c r="G189" i="83"/>
  <c r="F189" i="83"/>
  <c r="E189" i="83"/>
  <c r="D189" i="83"/>
  <c r="R188" i="83"/>
  <c r="Q188" i="83"/>
  <c r="P188" i="83"/>
  <c r="O188" i="83"/>
  <c r="N188" i="83"/>
  <c r="M188" i="83"/>
  <c r="L188" i="83"/>
  <c r="K188" i="83"/>
  <c r="J188" i="83"/>
  <c r="I188" i="83"/>
  <c r="H188" i="83"/>
  <c r="G188" i="83"/>
  <c r="F188" i="83"/>
  <c r="E188" i="83"/>
  <c r="D188" i="83"/>
  <c r="R187" i="83"/>
  <c r="Q187" i="83"/>
  <c r="P187" i="83"/>
  <c r="O187" i="83"/>
  <c r="N187" i="83"/>
  <c r="M187" i="83"/>
  <c r="L187" i="83"/>
  <c r="K187" i="83"/>
  <c r="J187" i="83"/>
  <c r="I187" i="83"/>
  <c r="H187" i="83"/>
  <c r="G187" i="83"/>
  <c r="F187" i="83"/>
  <c r="E187" i="83"/>
  <c r="D187" i="83"/>
  <c r="R186" i="83"/>
  <c r="Q186" i="83"/>
  <c r="P186" i="83"/>
  <c r="O186" i="83"/>
  <c r="N186" i="83"/>
  <c r="M186" i="83"/>
  <c r="L186" i="83"/>
  <c r="K186" i="83"/>
  <c r="J186" i="83"/>
  <c r="I186" i="83"/>
  <c r="H186" i="83"/>
  <c r="G186" i="83"/>
  <c r="F186" i="83"/>
  <c r="E186" i="83"/>
  <c r="D186" i="83"/>
  <c r="R185" i="83"/>
  <c r="Q185" i="83"/>
  <c r="P185" i="83"/>
  <c r="O185" i="83"/>
  <c r="N185" i="83"/>
  <c r="M185" i="83"/>
  <c r="L185" i="83"/>
  <c r="K185" i="83"/>
  <c r="J185" i="83"/>
  <c r="I185" i="83"/>
  <c r="H185" i="83"/>
  <c r="G185" i="83"/>
  <c r="F185" i="83"/>
  <c r="E185" i="83"/>
  <c r="D185" i="83"/>
  <c r="R184" i="83"/>
  <c r="Q184" i="83"/>
  <c r="P184" i="83"/>
  <c r="O184" i="83"/>
  <c r="N184" i="83"/>
  <c r="M184" i="83"/>
  <c r="L184" i="83"/>
  <c r="K184" i="83"/>
  <c r="J184" i="83"/>
  <c r="I184" i="83"/>
  <c r="H184" i="83"/>
  <c r="G184" i="83"/>
  <c r="F184" i="83"/>
  <c r="E184" i="83"/>
  <c r="D184" i="83"/>
  <c r="R183" i="83"/>
  <c r="Q183" i="83"/>
  <c r="P183" i="83"/>
  <c r="O183" i="83"/>
  <c r="N183" i="83"/>
  <c r="M183" i="83"/>
  <c r="L183" i="83"/>
  <c r="K183" i="83"/>
  <c r="J183" i="83"/>
  <c r="I183" i="83"/>
  <c r="H183" i="83"/>
  <c r="G183" i="83"/>
  <c r="F183" i="83"/>
  <c r="E183" i="83"/>
  <c r="D183" i="83"/>
  <c r="R182" i="83"/>
  <c r="Q182" i="83"/>
  <c r="P182" i="83"/>
  <c r="O182" i="83"/>
  <c r="N182" i="83"/>
  <c r="M182" i="83"/>
  <c r="L182" i="83"/>
  <c r="K182" i="83"/>
  <c r="J182" i="83"/>
  <c r="I182" i="83"/>
  <c r="H182" i="83"/>
  <c r="G182" i="83"/>
  <c r="F182" i="83"/>
  <c r="E182" i="83"/>
  <c r="D182" i="83"/>
  <c r="R181" i="83"/>
  <c r="Q181" i="83"/>
  <c r="P181" i="83"/>
  <c r="O181" i="83"/>
  <c r="N181" i="83"/>
  <c r="M181" i="83"/>
  <c r="L181" i="83"/>
  <c r="K181" i="83"/>
  <c r="J181" i="83"/>
  <c r="I181" i="83"/>
  <c r="H181" i="83"/>
  <c r="G181" i="83"/>
  <c r="F181" i="83"/>
  <c r="E181" i="83"/>
  <c r="D181" i="83"/>
  <c r="R180" i="83"/>
  <c r="Q180" i="83"/>
  <c r="P180" i="83"/>
  <c r="O180" i="83"/>
  <c r="N180" i="83"/>
  <c r="M180" i="83"/>
  <c r="L180" i="83"/>
  <c r="K180" i="83"/>
  <c r="J180" i="83"/>
  <c r="I180" i="83"/>
  <c r="H180" i="83"/>
  <c r="G180" i="83"/>
  <c r="F180" i="83"/>
  <c r="E180" i="83"/>
  <c r="D180" i="83"/>
  <c r="R179" i="83"/>
  <c r="Q179" i="83"/>
  <c r="P179" i="83"/>
  <c r="O179" i="83"/>
  <c r="N179" i="83"/>
  <c r="M179" i="83"/>
  <c r="L179" i="83"/>
  <c r="K179" i="83"/>
  <c r="J179" i="83"/>
  <c r="I179" i="83"/>
  <c r="H179" i="83"/>
  <c r="G179" i="83"/>
  <c r="F179" i="83"/>
  <c r="E179" i="83"/>
  <c r="D179" i="83"/>
  <c r="R178" i="83"/>
  <c r="Q178" i="83"/>
  <c r="P178" i="83"/>
  <c r="O178" i="83"/>
  <c r="N178" i="83"/>
  <c r="M178" i="83"/>
  <c r="L178" i="83"/>
  <c r="K178" i="83"/>
  <c r="J178" i="83"/>
  <c r="I178" i="83"/>
  <c r="H178" i="83"/>
  <c r="G178" i="83"/>
  <c r="F178" i="83"/>
  <c r="E178" i="83"/>
  <c r="D178" i="83"/>
  <c r="R177" i="83"/>
  <c r="Q177" i="83"/>
  <c r="P177" i="83"/>
  <c r="O177" i="83"/>
  <c r="N177" i="83"/>
  <c r="M177" i="83"/>
  <c r="L177" i="83"/>
  <c r="K177" i="83"/>
  <c r="J177" i="83"/>
  <c r="I177" i="83"/>
  <c r="H177" i="83"/>
  <c r="G177" i="83"/>
  <c r="F177" i="83"/>
  <c r="E177" i="83"/>
  <c r="D177" i="83"/>
  <c r="R176" i="83"/>
  <c r="Q176" i="83"/>
  <c r="P176" i="83"/>
  <c r="O176" i="83"/>
  <c r="N176" i="83"/>
  <c r="M176" i="83"/>
  <c r="L176" i="83"/>
  <c r="K176" i="83"/>
  <c r="J176" i="83"/>
  <c r="I176" i="83"/>
  <c r="H176" i="83"/>
  <c r="G176" i="83"/>
  <c r="F176" i="83"/>
  <c r="E176" i="83"/>
  <c r="D176" i="83"/>
  <c r="R175" i="83"/>
  <c r="Q175" i="83"/>
  <c r="P175" i="83"/>
  <c r="O175" i="83"/>
  <c r="N175" i="83"/>
  <c r="M175" i="83"/>
  <c r="L175" i="83"/>
  <c r="K175" i="83"/>
  <c r="J175" i="83"/>
  <c r="I175" i="83"/>
  <c r="H175" i="83"/>
  <c r="G175" i="83"/>
  <c r="F175" i="83"/>
  <c r="E175" i="83"/>
  <c r="D175" i="83"/>
  <c r="R174" i="83"/>
  <c r="Q174" i="83"/>
  <c r="P174" i="83"/>
  <c r="O174" i="83"/>
  <c r="N174" i="83"/>
  <c r="M174" i="83"/>
  <c r="L174" i="83"/>
  <c r="K174" i="83"/>
  <c r="J174" i="83"/>
  <c r="I174" i="83"/>
  <c r="H174" i="83"/>
  <c r="G174" i="83"/>
  <c r="F174" i="83"/>
  <c r="E174" i="83"/>
  <c r="D174" i="83"/>
  <c r="R173" i="83"/>
  <c r="Q173" i="83"/>
  <c r="P173" i="83"/>
  <c r="O173" i="83"/>
  <c r="N173" i="83"/>
  <c r="M173" i="83"/>
  <c r="L173" i="83"/>
  <c r="K173" i="83"/>
  <c r="J173" i="83"/>
  <c r="I173" i="83"/>
  <c r="H173" i="83"/>
  <c r="G173" i="83"/>
  <c r="F173" i="83"/>
  <c r="E173" i="83"/>
  <c r="D173" i="83"/>
  <c r="R172" i="83"/>
  <c r="Q172" i="83"/>
  <c r="P172" i="83"/>
  <c r="O172" i="83"/>
  <c r="N172" i="83"/>
  <c r="M172" i="83"/>
  <c r="L172" i="83"/>
  <c r="K172" i="83"/>
  <c r="J172" i="83"/>
  <c r="I172" i="83"/>
  <c r="H172" i="83"/>
  <c r="G172" i="83"/>
  <c r="F172" i="83"/>
  <c r="E172" i="83"/>
  <c r="D172" i="83"/>
  <c r="R171" i="83"/>
  <c r="Q171" i="83"/>
  <c r="P171" i="83"/>
  <c r="O171" i="83"/>
  <c r="N171" i="83"/>
  <c r="M171" i="83"/>
  <c r="L171" i="83"/>
  <c r="K171" i="83"/>
  <c r="J171" i="83"/>
  <c r="I171" i="83"/>
  <c r="H171" i="83"/>
  <c r="G171" i="83"/>
  <c r="F171" i="83"/>
  <c r="E171" i="83"/>
  <c r="D171" i="83"/>
  <c r="R170" i="83"/>
  <c r="Q170" i="83"/>
  <c r="P170" i="83"/>
  <c r="O170" i="83"/>
  <c r="N170" i="83"/>
  <c r="M170" i="83"/>
  <c r="L170" i="83"/>
  <c r="K170" i="83"/>
  <c r="J170" i="83"/>
  <c r="I170" i="83"/>
  <c r="H170" i="83"/>
  <c r="G170" i="83"/>
  <c r="F170" i="83"/>
  <c r="E170" i="83"/>
  <c r="D170" i="83"/>
  <c r="R169" i="83"/>
  <c r="Q169" i="83"/>
  <c r="P169" i="83"/>
  <c r="O169" i="83"/>
  <c r="N169" i="83"/>
  <c r="M169" i="83"/>
  <c r="L169" i="83"/>
  <c r="K169" i="83"/>
  <c r="J169" i="83"/>
  <c r="I169" i="83"/>
  <c r="H169" i="83"/>
  <c r="G169" i="83"/>
  <c r="F169" i="83"/>
  <c r="E169" i="83"/>
  <c r="D169" i="83"/>
  <c r="R168" i="83"/>
  <c r="Q168" i="83"/>
  <c r="P168" i="83"/>
  <c r="O168" i="83"/>
  <c r="N168" i="83"/>
  <c r="M168" i="83"/>
  <c r="L168" i="83"/>
  <c r="K168" i="83"/>
  <c r="J168" i="83"/>
  <c r="I168" i="83"/>
  <c r="H168" i="83"/>
  <c r="G168" i="83"/>
  <c r="F168" i="83"/>
  <c r="E168" i="83"/>
  <c r="D168" i="83"/>
  <c r="R167" i="83"/>
  <c r="Q167" i="83"/>
  <c r="P167" i="83"/>
  <c r="O167" i="83"/>
  <c r="N167" i="83"/>
  <c r="M167" i="83"/>
  <c r="L167" i="83"/>
  <c r="K167" i="83"/>
  <c r="J167" i="83"/>
  <c r="I167" i="83"/>
  <c r="H167" i="83"/>
  <c r="G167" i="83"/>
  <c r="F167" i="83"/>
  <c r="E167" i="83"/>
  <c r="D167" i="83"/>
  <c r="R166" i="83"/>
  <c r="Q166" i="83"/>
  <c r="P166" i="83"/>
  <c r="O166" i="83"/>
  <c r="N166" i="83"/>
  <c r="M166" i="83"/>
  <c r="L166" i="83"/>
  <c r="K166" i="83"/>
  <c r="J166" i="83"/>
  <c r="I166" i="83"/>
  <c r="H166" i="83"/>
  <c r="G166" i="83"/>
  <c r="F166" i="83"/>
  <c r="E166" i="83"/>
  <c r="D166" i="83"/>
  <c r="R165" i="83"/>
  <c r="Q165" i="83"/>
  <c r="P165" i="83"/>
  <c r="O165" i="83"/>
  <c r="N165" i="83"/>
  <c r="M165" i="83"/>
  <c r="L165" i="83"/>
  <c r="K165" i="83"/>
  <c r="J165" i="83"/>
  <c r="I165" i="83"/>
  <c r="H165" i="83"/>
  <c r="G165" i="83"/>
  <c r="F165" i="83"/>
  <c r="E165" i="83"/>
  <c r="D165" i="83"/>
  <c r="R164" i="83"/>
  <c r="Q164" i="83"/>
  <c r="P164" i="83"/>
  <c r="O164" i="83"/>
  <c r="N164" i="83"/>
  <c r="M164" i="83"/>
  <c r="L164" i="83"/>
  <c r="K164" i="83"/>
  <c r="J164" i="83"/>
  <c r="I164" i="83"/>
  <c r="H164" i="83"/>
  <c r="G164" i="83"/>
  <c r="F164" i="83"/>
  <c r="E164" i="83"/>
  <c r="D164" i="83"/>
  <c r="R163" i="83"/>
  <c r="Q163" i="83"/>
  <c r="P163" i="83"/>
  <c r="O163" i="83"/>
  <c r="N163" i="83"/>
  <c r="M163" i="83"/>
  <c r="L163" i="83"/>
  <c r="K163" i="83"/>
  <c r="J163" i="83"/>
  <c r="I163" i="83"/>
  <c r="H163" i="83"/>
  <c r="G163" i="83"/>
  <c r="F163" i="83"/>
  <c r="E163" i="83"/>
  <c r="D163" i="83"/>
  <c r="R162" i="83"/>
  <c r="Q162" i="83"/>
  <c r="P162" i="83"/>
  <c r="O162" i="83"/>
  <c r="N162" i="83"/>
  <c r="M162" i="83"/>
  <c r="L162" i="83"/>
  <c r="K162" i="83"/>
  <c r="J162" i="83"/>
  <c r="I162" i="83"/>
  <c r="H162" i="83"/>
  <c r="G162" i="83"/>
  <c r="F162" i="83"/>
  <c r="E162" i="83"/>
  <c r="D162" i="83"/>
  <c r="R161" i="83"/>
  <c r="Q161" i="83"/>
  <c r="P161" i="83"/>
  <c r="O161" i="83"/>
  <c r="N161" i="83"/>
  <c r="M161" i="83"/>
  <c r="L161" i="83"/>
  <c r="K161" i="83"/>
  <c r="J161" i="83"/>
  <c r="I161" i="83"/>
  <c r="H161" i="83"/>
  <c r="G161" i="83"/>
  <c r="F161" i="83"/>
  <c r="E161" i="83"/>
  <c r="D161" i="83"/>
  <c r="R160" i="83"/>
  <c r="Q160" i="83"/>
  <c r="P160" i="83"/>
  <c r="O160" i="83"/>
  <c r="N160" i="83"/>
  <c r="M160" i="83"/>
  <c r="L160" i="83"/>
  <c r="K160" i="83"/>
  <c r="J160" i="83"/>
  <c r="I160" i="83"/>
  <c r="H160" i="83"/>
  <c r="G160" i="83"/>
  <c r="F160" i="83"/>
  <c r="E160" i="83"/>
  <c r="D160" i="83"/>
  <c r="R159" i="83"/>
  <c r="Q159" i="83"/>
  <c r="P159" i="83"/>
  <c r="O159" i="83"/>
  <c r="N159" i="83"/>
  <c r="M159" i="83"/>
  <c r="L159" i="83"/>
  <c r="K159" i="83"/>
  <c r="J159" i="83"/>
  <c r="I159" i="83"/>
  <c r="H159" i="83"/>
  <c r="G159" i="83"/>
  <c r="F159" i="83"/>
  <c r="E159" i="83"/>
  <c r="D159" i="83"/>
  <c r="R158" i="83"/>
  <c r="Q158" i="83"/>
  <c r="P158" i="83"/>
  <c r="O158" i="83"/>
  <c r="N158" i="83"/>
  <c r="M158" i="83"/>
  <c r="L158" i="83"/>
  <c r="K158" i="83"/>
  <c r="J158" i="83"/>
  <c r="I158" i="83"/>
  <c r="H158" i="83"/>
  <c r="G158" i="83"/>
  <c r="F158" i="83"/>
  <c r="E158" i="83"/>
  <c r="D158" i="83"/>
  <c r="R157" i="83"/>
  <c r="Q157" i="83"/>
  <c r="P157" i="83"/>
  <c r="O157" i="83"/>
  <c r="N157" i="83"/>
  <c r="M157" i="83"/>
  <c r="L157" i="83"/>
  <c r="K157" i="83"/>
  <c r="J157" i="83"/>
  <c r="I157" i="83"/>
  <c r="H157" i="83"/>
  <c r="G157" i="83"/>
  <c r="F157" i="83"/>
  <c r="E157" i="83"/>
  <c r="D157" i="83"/>
  <c r="R156" i="83"/>
  <c r="Q156" i="83"/>
  <c r="P156" i="83"/>
  <c r="O156" i="83"/>
  <c r="N156" i="83"/>
  <c r="M156" i="83"/>
  <c r="L156" i="83"/>
  <c r="K156" i="83"/>
  <c r="J156" i="83"/>
  <c r="I156" i="83"/>
  <c r="H156" i="83"/>
  <c r="G156" i="83"/>
  <c r="F156" i="83"/>
  <c r="E156" i="83"/>
  <c r="D156" i="83"/>
  <c r="R155" i="83"/>
  <c r="Q155" i="83"/>
  <c r="P155" i="83"/>
  <c r="O155" i="83"/>
  <c r="N155" i="83"/>
  <c r="M155" i="83"/>
  <c r="L155" i="83"/>
  <c r="K155" i="83"/>
  <c r="J155" i="83"/>
  <c r="I155" i="83"/>
  <c r="H155" i="83"/>
  <c r="G155" i="83"/>
  <c r="F155" i="83"/>
  <c r="E155" i="83"/>
  <c r="D155" i="83"/>
  <c r="R154" i="83"/>
  <c r="Q154" i="83"/>
  <c r="P154" i="83"/>
  <c r="O154" i="83"/>
  <c r="N154" i="83"/>
  <c r="M154" i="83"/>
  <c r="L154" i="83"/>
  <c r="K154" i="83"/>
  <c r="J154" i="83"/>
  <c r="I154" i="83"/>
  <c r="H154" i="83"/>
  <c r="G154" i="83"/>
  <c r="F154" i="83"/>
  <c r="E154" i="83"/>
  <c r="D154" i="83"/>
  <c r="R153" i="83"/>
  <c r="Q153" i="83"/>
  <c r="P153" i="83"/>
  <c r="O153" i="83"/>
  <c r="N153" i="83"/>
  <c r="M153" i="83"/>
  <c r="L153" i="83"/>
  <c r="K153" i="83"/>
  <c r="J153" i="83"/>
  <c r="I153" i="83"/>
  <c r="H153" i="83"/>
  <c r="G153" i="83"/>
  <c r="F153" i="83"/>
  <c r="E153" i="83"/>
  <c r="D153" i="83"/>
  <c r="R152" i="83"/>
  <c r="Q152" i="83"/>
  <c r="P152" i="83"/>
  <c r="O152" i="83"/>
  <c r="N152" i="83"/>
  <c r="M152" i="83"/>
  <c r="L152" i="83"/>
  <c r="K152" i="83"/>
  <c r="J152" i="83"/>
  <c r="I152" i="83"/>
  <c r="H152" i="83"/>
  <c r="G152" i="83"/>
  <c r="F152" i="83"/>
  <c r="E152" i="83"/>
  <c r="D152" i="83"/>
  <c r="R3" i="83"/>
  <c r="Q3" i="83"/>
  <c r="P3" i="83"/>
  <c r="O3" i="83"/>
  <c r="N3" i="83"/>
  <c r="M3" i="83"/>
  <c r="L3" i="83"/>
  <c r="K3" i="83"/>
  <c r="J3" i="83"/>
  <c r="I3" i="83"/>
  <c r="H3" i="83"/>
  <c r="G3" i="83"/>
  <c r="F3" i="83"/>
  <c r="E3" i="83"/>
  <c r="D3" i="83"/>
  <c r="R3" i="82"/>
  <c r="Q3" i="82"/>
  <c r="P3" i="82"/>
  <c r="O3" i="82"/>
  <c r="N3" i="82"/>
  <c r="M3" i="82"/>
  <c r="L3" i="82"/>
  <c r="K3" i="82"/>
  <c r="J3" i="82"/>
  <c r="I3" i="82"/>
  <c r="H3" i="82"/>
  <c r="G3" i="82"/>
  <c r="F3" i="82"/>
  <c r="E3" i="82"/>
  <c r="D3" i="82"/>
  <c r="C12" i="53" l="1"/>
  <c r="D12" i="53"/>
  <c r="E12" i="53"/>
  <c r="F12" i="53"/>
  <c r="G12" i="53"/>
  <c r="H12" i="53"/>
  <c r="I12" i="53"/>
  <c r="J12" i="53"/>
  <c r="K12" i="53"/>
  <c r="L12" i="53"/>
  <c r="M12" i="53"/>
  <c r="N12" i="53"/>
  <c r="O12" i="53"/>
  <c r="P12" i="53"/>
  <c r="B12" i="53"/>
  <c r="R3" i="81"/>
  <c r="Q3" i="81"/>
  <c r="P3" i="81"/>
  <c r="O3" i="81"/>
  <c r="N3" i="81"/>
  <c r="M3" i="81"/>
  <c r="L3" i="81"/>
  <c r="K3" i="81"/>
  <c r="J3" i="81"/>
  <c r="I3" i="81"/>
  <c r="H3" i="81"/>
  <c r="G3" i="81"/>
  <c r="F3" i="81"/>
  <c r="E3" i="81"/>
  <c r="D3" i="81"/>
  <c r="C11" i="53" l="1"/>
  <c r="D11" i="53"/>
  <c r="E11" i="53"/>
  <c r="F11" i="53"/>
  <c r="G11" i="53"/>
  <c r="H11" i="53"/>
  <c r="I11" i="53"/>
  <c r="J11" i="53"/>
  <c r="K11" i="53"/>
  <c r="L11" i="53"/>
  <c r="M11" i="53"/>
  <c r="N11" i="53"/>
  <c r="O11" i="53"/>
  <c r="P11" i="53"/>
  <c r="B11" i="53"/>
  <c r="R3" i="80" l="1"/>
  <c r="Q3" i="80"/>
  <c r="P3" i="80"/>
  <c r="O3" i="80"/>
  <c r="N3" i="80"/>
  <c r="M3" i="80"/>
  <c r="L3" i="80"/>
  <c r="K3" i="80"/>
  <c r="J3" i="80"/>
  <c r="I3" i="80"/>
  <c r="H3" i="80"/>
  <c r="G3" i="80"/>
  <c r="F3" i="80"/>
  <c r="E3" i="80"/>
  <c r="D3" i="80"/>
  <c r="C10" i="53" l="1"/>
  <c r="D10" i="53"/>
  <c r="E10" i="53"/>
  <c r="F10" i="53"/>
  <c r="G10" i="53"/>
  <c r="H10" i="53"/>
  <c r="I10" i="53"/>
  <c r="J10" i="53"/>
  <c r="K10" i="53"/>
  <c r="L10" i="53"/>
  <c r="M10" i="53"/>
  <c r="N10" i="53"/>
  <c r="O10" i="53"/>
  <c r="P10" i="53"/>
  <c r="B10" i="53"/>
  <c r="C17" i="53"/>
  <c r="D17" i="53"/>
  <c r="E17" i="53"/>
  <c r="F17" i="53"/>
  <c r="G17" i="53"/>
  <c r="H17" i="53"/>
  <c r="I17" i="53"/>
  <c r="J17" i="53"/>
  <c r="K17" i="53"/>
  <c r="L17" i="53"/>
  <c r="M17" i="53"/>
  <c r="N17" i="53"/>
  <c r="O17" i="53"/>
  <c r="P17" i="53"/>
  <c r="B17" i="53"/>
  <c r="E152" i="69"/>
  <c r="F152" i="69"/>
  <c r="G152" i="69"/>
  <c r="H152" i="69"/>
  <c r="I152" i="69"/>
  <c r="J152" i="69"/>
  <c r="K152" i="69"/>
  <c r="L152" i="69"/>
  <c r="M152" i="69"/>
  <c r="N152" i="69"/>
  <c r="O152" i="69"/>
  <c r="P152" i="69"/>
  <c r="Q152" i="69"/>
  <c r="R152" i="69"/>
  <c r="E153" i="69"/>
  <c r="F153" i="69"/>
  <c r="G153" i="69"/>
  <c r="H153" i="69"/>
  <c r="I153" i="69"/>
  <c r="J153" i="69"/>
  <c r="K153" i="69"/>
  <c r="L153" i="69"/>
  <c r="M153" i="69"/>
  <c r="N153" i="69"/>
  <c r="O153" i="69"/>
  <c r="P153" i="69"/>
  <c r="Q153" i="69"/>
  <c r="R153" i="69"/>
  <c r="E154" i="69"/>
  <c r="F154" i="69"/>
  <c r="G154" i="69"/>
  <c r="H154" i="69"/>
  <c r="I154" i="69"/>
  <c r="J154" i="69"/>
  <c r="K154" i="69"/>
  <c r="L154" i="69"/>
  <c r="M154" i="69"/>
  <c r="N154" i="69"/>
  <c r="O154" i="69"/>
  <c r="P154" i="69"/>
  <c r="Q154" i="69"/>
  <c r="R154" i="69"/>
  <c r="E155" i="69"/>
  <c r="F155" i="69"/>
  <c r="G155" i="69"/>
  <c r="H155" i="69"/>
  <c r="I155" i="69"/>
  <c r="J155" i="69"/>
  <c r="K155" i="69"/>
  <c r="L155" i="69"/>
  <c r="M155" i="69"/>
  <c r="N155" i="69"/>
  <c r="O155" i="69"/>
  <c r="P155" i="69"/>
  <c r="Q155" i="69"/>
  <c r="R155" i="69"/>
  <c r="E156" i="69"/>
  <c r="F156" i="69"/>
  <c r="G156" i="69"/>
  <c r="H156" i="69"/>
  <c r="I156" i="69"/>
  <c r="J156" i="69"/>
  <c r="K156" i="69"/>
  <c r="L156" i="69"/>
  <c r="M156" i="69"/>
  <c r="N156" i="69"/>
  <c r="O156" i="69"/>
  <c r="P156" i="69"/>
  <c r="Q156" i="69"/>
  <c r="R156" i="69"/>
  <c r="E157" i="69"/>
  <c r="F157" i="69"/>
  <c r="G157" i="69"/>
  <c r="H157" i="69"/>
  <c r="I157" i="69"/>
  <c r="J157" i="69"/>
  <c r="K157" i="69"/>
  <c r="L157" i="69"/>
  <c r="M157" i="69"/>
  <c r="N157" i="69"/>
  <c r="O157" i="69"/>
  <c r="P157" i="69"/>
  <c r="Q157" i="69"/>
  <c r="R157" i="69"/>
  <c r="E158" i="69"/>
  <c r="F158" i="69"/>
  <c r="G158" i="69"/>
  <c r="H158" i="69"/>
  <c r="I158" i="69"/>
  <c r="J158" i="69"/>
  <c r="K158" i="69"/>
  <c r="L158" i="69"/>
  <c r="M158" i="69"/>
  <c r="N158" i="69"/>
  <c r="O158" i="69"/>
  <c r="P158" i="69"/>
  <c r="Q158" i="69"/>
  <c r="R158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R159" i="69"/>
  <c r="E160" i="69"/>
  <c r="F160" i="69"/>
  <c r="G160" i="69"/>
  <c r="H160" i="69"/>
  <c r="I160" i="69"/>
  <c r="J160" i="69"/>
  <c r="K160" i="69"/>
  <c r="L160" i="69"/>
  <c r="M160" i="69"/>
  <c r="N160" i="69"/>
  <c r="O160" i="69"/>
  <c r="P160" i="69"/>
  <c r="Q160" i="69"/>
  <c r="R160" i="69"/>
  <c r="E161" i="69"/>
  <c r="F161" i="69"/>
  <c r="G161" i="69"/>
  <c r="H161" i="69"/>
  <c r="I161" i="69"/>
  <c r="J161" i="69"/>
  <c r="K161" i="69"/>
  <c r="L161" i="69"/>
  <c r="M161" i="69"/>
  <c r="N161" i="69"/>
  <c r="O161" i="69"/>
  <c r="P161" i="69"/>
  <c r="Q161" i="69"/>
  <c r="R161" i="69"/>
  <c r="E162" i="69"/>
  <c r="F162" i="69"/>
  <c r="G162" i="69"/>
  <c r="H162" i="69"/>
  <c r="I162" i="69"/>
  <c r="J162" i="69"/>
  <c r="K162" i="69"/>
  <c r="L162" i="69"/>
  <c r="M162" i="69"/>
  <c r="N162" i="69"/>
  <c r="O162" i="69"/>
  <c r="P162" i="69"/>
  <c r="Q162" i="69"/>
  <c r="R162" i="69"/>
  <c r="E163" i="69"/>
  <c r="F163" i="69"/>
  <c r="G163" i="69"/>
  <c r="H163" i="69"/>
  <c r="I163" i="69"/>
  <c r="J163" i="69"/>
  <c r="K163" i="69"/>
  <c r="L163" i="69"/>
  <c r="M163" i="69"/>
  <c r="N163" i="69"/>
  <c r="O163" i="69"/>
  <c r="P163" i="69"/>
  <c r="Q163" i="69"/>
  <c r="R163" i="69"/>
  <c r="E164" i="69"/>
  <c r="F164" i="69"/>
  <c r="G164" i="69"/>
  <c r="H164" i="69"/>
  <c r="I164" i="69"/>
  <c r="J164" i="69"/>
  <c r="K164" i="69"/>
  <c r="L164" i="69"/>
  <c r="M164" i="69"/>
  <c r="N164" i="69"/>
  <c r="O164" i="69"/>
  <c r="P164" i="69"/>
  <c r="Q164" i="69"/>
  <c r="R164" i="69"/>
  <c r="E165" i="69"/>
  <c r="F165" i="69"/>
  <c r="G165" i="69"/>
  <c r="H165" i="69"/>
  <c r="I165" i="69"/>
  <c r="J165" i="69"/>
  <c r="K165" i="69"/>
  <c r="L165" i="69"/>
  <c r="M165" i="69"/>
  <c r="N165" i="69"/>
  <c r="O165" i="69"/>
  <c r="P165" i="69"/>
  <c r="Q165" i="69"/>
  <c r="R165" i="69"/>
  <c r="E166" i="69"/>
  <c r="F166" i="69"/>
  <c r="G166" i="69"/>
  <c r="H166" i="69"/>
  <c r="I166" i="69"/>
  <c r="J166" i="69"/>
  <c r="K166" i="69"/>
  <c r="L166" i="69"/>
  <c r="M166" i="69"/>
  <c r="N166" i="69"/>
  <c r="O166" i="69"/>
  <c r="P166" i="69"/>
  <c r="Q166" i="69"/>
  <c r="R166" i="69"/>
  <c r="E167" i="69"/>
  <c r="F167" i="69"/>
  <c r="G167" i="69"/>
  <c r="H167" i="69"/>
  <c r="I167" i="69"/>
  <c r="J167" i="69"/>
  <c r="K167" i="69"/>
  <c r="L167" i="69"/>
  <c r="M167" i="69"/>
  <c r="N167" i="69"/>
  <c r="O167" i="69"/>
  <c r="P167" i="69"/>
  <c r="Q167" i="69"/>
  <c r="R167" i="69"/>
  <c r="E168" i="69"/>
  <c r="F168" i="69"/>
  <c r="G168" i="69"/>
  <c r="H168" i="69"/>
  <c r="I168" i="69"/>
  <c r="J168" i="69"/>
  <c r="K168" i="69"/>
  <c r="L168" i="69"/>
  <c r="M168" i="69"/>
  <c r="N168" i="69"/>
  <c r="O168" i="69"/>
  <c r="P168" i="69"/>
  <c r="Q168" i="69"/>
  <c r="R168" i="69"/>
  <c r="E169" i="69"/>
  <c r="F169" i="69"/>
  <c r="G169" i="69"/>
  <c r="H169" i="69"/>
  <c r="I169" i="69"/>
  <c r="J169" i="69"/>
  <c r="K169" i="69"/>
  <c r="L169" i="69"/>
  <c r="M169" i="69"/>
  <c r="N169" i="69"/>
  <c r="O169" i="69"/>
  <c r="P169" i="69"/>
  <c r="Q169" i="69"/>
  <c r="R169" i="69"/>
  <c r="E170" i="69"/>
  <c r="F170" i="69"/>
  <c r="G170" i="69"/>
  <c r="H170" i="69"/>
  <c r="I170" i="69"/>
  <c r="J170" i="69"/>
  <c r="K170" i="69"/>
  <c r="L170" i="69"/>
  <c r="M170" i="69"/>
  <c r="N170" i="69"/>
  <c r="O170" i="69"/>
  <c r="P170" i="69"/>
  <c r="Q170" i="69"/>
  <c r="R170" i="69"/>
  <c r="E171" i="69"/>
  <c r="F171" i="69"/>
  <c r="G171" i="69"/>
  <c r="H171" i="69"/>
  <c r="I171" i="69"/>
  <c r="J171" i="69"/>
  <c r="K171" i="69"/>
  <c r="L171" i="69"/>
  <c r="M171" i="69"/>
  <c r="N171" i="69"/>
  <c r="O171" i="69"/>
  <c r="P171" i="69"/>
  <c r="Q171" i="69"/>
  <c r="R171" i="69"/>
  <c r="E172" i="69"/>
  <c r="F172" i="69"/>
  <c r="G172" i="69"/>
  <c r="H172" i="69"/>
  <c r="I172" i="69"/>
  <c r="J172" i="69"/>
  <c r="K172" i="69"/>
  <c r="L172" i="69"/>
  <c r="M172" i="69"/>
  <c r="N172" i="69"/>
  <c r="O172" i="69"/>
  <c r="P172" i="69"/>
  <c r="Q172" i="69"/>
  <c r="R172" i="69"/>
  <c r="E173" i="69"/>
  <c r="F173" i="69"/>
  <c r="G173" i="69"/>
  <c r="H173" i="69"/>
  <c r="I173" i="69"/>
  <c r="J173" i="69"/>
  <c r="K173" i="69"/>
  <c r="L173" i="69"/>
  <c r="M173" i="69"/>
  <c r="N173" i="69"/>
  <c r="O173" i="69"/>
  <c r="P173" i="69"/>
  <c r="Q173" i="69"/>
  <c r="R173" i="69"/>
  <c r="E174" i="69"/>
  <c r="F174" i="69"/>
  <c r="G174" i="69"/>
  <c r="H174" i="69"/>
  <c r="I174" i="69"/>
  <c r="J174" i="69"/>
  <c r="K174" i="69"/>
  <c r="L174" i="69"/>
  <c r="M174" i="69"/>
  <c r="N174" i="69"/>
  <c r="O174" i="69"/>
  <c r="P174" i="69"/>
  <c r="Q174" i="69"/>
  <c r="R174" i="69"/>
  <c r="E175" i="69"/>
  <c r="F175" i="69"/>
  <c r="G175" i="69"/>
  <c r="H175" i="69"/>
  <c r="I175" i="69"/>
  <c r="J175" i="69"/>
  <c r="K175" i="69"/>
  <c r="L175" i="69"/>
  <c r="M175" i="69"/>
  <c r="N175" i="69"/>
  <c r="O175" i="69"/>
  <c r="P175" i="69"/>
  <c r="Q175" i="69"/>
  <c r="R175" i="69"/>
  <c r="E176" i="69"/>
  <c r="F176" i="69"/>
  <c r="G176" i="69"/>
  <c r="H176" i="69"/>
  <c r="I176" i="69"/>
  <c r="J176" i="69"/>
  <c r="K176" i="69"/>
  <c r="L176" i="69"/>
  <c r="M176" i="69"/>
  <c r="N176" i="69"/>
  <c r="O176" i="69"/>
  <c r="P176" i="69"/>
  <c r="Q176" i="69"/>
  <c r="R176" i="69"/>
  <c r="E177" i="69"/>
  <c r="F177" i="69"/>
  <c r="G177" i="69"/>
  <c r="H177" i="69"/>
  <c r="I177" i="69"/>
  <c r="J177" i="69"/>
  <c r="K177" i="69"/>
  <c r="L177" i="69"/>
  <c r="M177" i="69"/>
  <c r="N177" i="69"/>
  <c r="O177" i="69"/>
  <c r="P177" i="69"/>
  <c r="Q177" i="69"/>
  <c r="R177" i="69"/>
  <c r="E178" i="69"/>
  <c r="F178" i="69"/>
  <c r="G178" i="69"/>
  <c r="H178" i="69"/>
  <c r="I178" i="69"/>
  <c r="J178" i="69"/>
  <c r="K178" i="69"/>
  <c r="L178" i="69"/>
  <c r="M178" i="69"/>
  <c r="N178" i="69"/>
  <c r="O178" i="69"/>
  <c r="P178" i="69"/>
  <c r="Q178" i="69"/>
  <c r="R178" i="69"/>
  <c r="E179" i="69"/>
  <c r="F179" i="69"/>
  <c r="G179" i="69"/>
  <c r="H179" i="69"/>
  <c r="I179" i="69"/>
  <c r="J179" i="69"/>
  <c r="K179" i="69"/>
  <c r="L179" i="69"/>
  <c r="M179" i="69"/>
  <c r="N179" i="69"/>
  <c r="O179" i="69"/>
  <c r="P179" i="69"/>
  <c r="Q179" i="69"/>
  <c r="R179" i="69"/>
  <c r="E180" i="69"/>
  <c r="F180" i="69"/>
  <c r="G180" i="69"/>
  <c r="H180" i="69"/>
  <c r="I180" i="69"/>
  <c r="J180" i="69"/>
  <c r="K180" i="69"/>
  <c r="L180" i="69"/>
  <c r="M180" i="69"/>
  <c r="N180" i="69"/>
  <c r="O180" i="69"/>
  <c r="P180" i="69"/>
  <c r="Q180" i="69"/>
  <c r="R180" i="69"/>
  <c r="E181" i="69"/>
  <c r="F181" i="69"/>
  <c r="G181" i="69"/>
  <c r="H181" i="69"/>
  <c r="I181" i="69"/>
  <c r="J181" i="69"/>
  <c r="K181" i="69"/>
  <c r="L181" i="69"/>
  <c r="M181" i="69"/>
  <c r="N181" i="69"/>
  <c r="O181" i="69"/>
  <c r="P181" i="69"/>
  <c r="Q181" i="69"/>
  <c r="R181" i="69"/>
  <c r="E182" i="69"/>
  <c r="F182" i="69"/>
  <c r="G182" i="69"/>
  <c r="H182" i="69"/>
  <c r="I182" i="69"/>
  <c r="J182" i="69"/>
  <c r="K182" i="69"/>
  <c r="L182" i="69"/>
  <c r="M182" i="69"/>
  <c r="N182" i="69"/>
  <c r="O182" i="69"/>
  <c r="P182" i="69"/>
  <c r="Q182" i="69"/>
  <c r="R182" i="69"/>
  <c r="E183" i="69"/>
  <c r="F183" i="69"/>
  <c r="G183" i="69"/>
  <c r="H183" i="69"/>
  <c r="I183" i="69"/>
  <c r="J183" i="69"/>
  <c r="K183" i="69"/>
  <c r="L183" i="69"/>
  <c r="M183" i="69"/>
  <c r="N183" i="69"/>
  <c r="O183" i="69"/>
  <c r="P183" i="69"/>
  <c r="Q183" i="69"/>
  <c r="R183" i="69"/>
  <c r="E184" i="69"/>
  <c r="F184" i="69"/>
  <c r="G184" i="69"/>
  <c r="H184" i="69"/>
  <c r="I184" i="69"/>
  <c r="J184" i="69"/>
  <c r="K184" i="69"/>
  <c r="L184" i="69"/>
  <c r="M184" i="69"/>
  <c r="N184" i="69"/>
  <c r="O184" i="69"/>
  <c r="P184" i="69"/>
  <c r="Q184" i="69"/>
  <c r="R184" i="69"/>
  <c r="E185" i="69"/>
  <c r="F185" i="69"/>
  <c r="G185" i="69"/>
  <c r="H185" i="69"/>
  <c r="I185" i="69"/>
  <c r="J185" i="69"/>
  <c r="K185" i="69"/>
  <c r="L185" i="69"/>
  <c r="M185" i="69"/>
  <c r="N185" i="69"/>
  <c r="O185" i="69"/>
  <c r="P185" i="69"/>
  <c r="Q185" i="69"/>
  <c r="R185" i="69"/>
  <c r="E186" i="69"/>
  <c r="F186" i="69"/>
  <c r="G186" i="69"/>
  <c r="H186" i="69"/>
  <c r="I186" i="69"/>
  <c r="J186" i="69"/>
  <c r="K186" i="69"/>
  <c r="L186" i="69"/>
  <c r="M186" i="69"/>
  <c r="N186" i="69"/>
  <c r="O186" i="69"/>
  <c r="P186" i="69"/>
  <c r="Q186" i="69"/>
  <c r="R186" i="69"/>
  <c r="E187" i="69"/>
  <c r="F187" i="69"/>
  <c r="G187" i="69"/>
  <c r="H187" i="69"/>
  <c r="I187" i="69"/>
  <c r="J187" i="69"/>
  <c r="K187" i="69"/>
  <c r="L187" i="69"/>
  <c r="M187" i="69"/>
  <c r="N187" i="69"/>
  <c r="O187" i="69"/>
  <c r="P187" i="69"/>
  <c r="Q187" i="69"/>
  <c r="R187" i="69"/>
  <c r="E188" i="69"/>
  <c r="F188" i="69"/>
  <c r="G188" i="69"/>
  <c r="H188" i="69"/>
  <c r="I188" i="69"/>
  <c r="J188" i="69"/>
  <c r="K188" i="69"/>
  <c r="L188" i="69"/>
  <c r="M188" i="69"/>
  <c r="N188" i="69"/>
  <c r="O188" i="69"/>
  <c r="P188" i="69"/>
  <c r="Q188" i="69"/>
  <c r="R188" i="69"/>
  <c r="E189" i="69"/>
  <c r="F189" i="69"/>
  <c r="G189" i="69"/>
  <c r="H189" i="69"/>
  <c r="I189" i="69"/>
  <c r="J189" i="69"/>
  <c r="K189" i="69"/>
  <c r="L189" i="69"/>
  <c r="M189" i="69"/>
  <c r="N189" i="69"/>
  <c r="O189" i="69"/>
  <c r="P189" i="69"/>
  <c r="Q189" i="69"/>
  <c r="R189" i="69"/>
  <c r="E190" i="69"/>
  <c r="F190" i="69"/>
  <c r="G190" i="69"/>
  <c r="H190" i="69"/>
  <c r="I190" i="69"/>
  <c r="J190" i="69"/>
  <c r="K190" i="69"/>
  <c r="L190" i="69"/>
  <c r="M190" i="69"/>
  <c r="N190" i="69"/>
  <c r="O190" i="69"/>
  <c r="P190" i="69"/>
  <c r="Q190" i="69"/>
  <c r="R190" i="69"/>
  <c r="E191" i="69"/>
  <c r="F191" i="69"/>
  <c r="G191" i="69"/>
  <c r="H191" i="69"/>
  <c r="I191" i="69"/>
  <c r="J191" i="69"/>
  <c r="K191" i="69"/>
  <c r="L191" i="69"/>
  <c r="M191" i="69"/>
  <c r="N191" i="69"/>
  <c r="O191" i="69"/>
  <c r="P191" i="69"/>
  <c r="Q191" i="69"/>
  <c r="R191" i="69"/>
  <c r="E192" i="69"/>
  <c r="F192" i="69"/>
  <c r="G192" i="69"/>
  <c r="H192" i="69"/>
  <c r="I192" i="69"/>
  <c r="J192" i="69"/>
  <c r="K192" i="69"/>
  <c r="L192" i="69"/>
  <c r="M192" i="69"/>
  <c r="N192" i="69"/>
  <c r="O192" i="69"/>
  <c r="P192" i="69"/>
  <c r="Q192" i="69"/>
  <c r="R192" i="69"/>
  <c r="E193" i="69"/>
  <c r="F193" i="69"/>
  <c r="G193" i="69"/>
  <c r="H193" i="69"/>
  <c r="I193" i="69"/>
  <c r="J193" i="69"/>
  <c r="K193" i="69"/>
  <c r="L193" i="69"/>
  <c r="M193" i="69"/>
  <c r="N193" i="69"/>
  <c r="O193" i="69"/>
  <c r="P193" i="69"/>
  <c r="Q193" i="69"/>
  <c r="R193" i="69"/>
  <c r="E194" i="69"/>
  <c r="F194" i="69"/>
  <c r="G194" i="69"/>
  <c r="H194" i="69"/>
  <c r="I194" i="69"/>
  <c r="J194" i="69"/>
  <c r="K194" i="69"/>
  <c r="L194" i="69"/>
  <c r="M194" i="69"/>
  <c r="N194" i="69"/>
  <c r="O194" i="69"/>
  <c r="P194" i="69"/>
  <c r="Q194" i="69"/>
  <c r="R194" i="69"/>
  <c r="E195" i="69"/>
  <c r="F195" i="69"/>
  <c r="G195" i="69"/>
  <c r="H195" i="69"/>
  <c r="I195" i="69"/>
  <c r="J195" i="69"/>
  <c r="K195" i="69"/>
  <c r="L195" i="69"/>
  <c r="M195" i="69"/>
  <c r="N195" i="69"/>
  <c r="O195" i="69"/>
  <c r="P195" i="69"/>
  <c r="Q195" i="69"/>
  <c r="R195" i="69"/>
  <c r="E196" i="69"/>
  <c r="F196" i="69"/>
  <c r="G196" i="69"/>
  <c r="H196" i="69"/>
  <c r="I196" i="69"/>
  <c r="J196" i="69"/>
  <c r="K196" i="69"/>
  <c r="L196" i="69"/>
  <c r="M196" i="69"/>
  <c r="N196" i="69"/>
  <c r="O196" i="69"/>
  <c r="P196" i="69"/>
  <c r="Q196" i="69"/>
  <c r="R196" i="69"/>
  <c r="E197" i="69"/>
  <c r="F197" i="69"/>
  <c r="G197" i="69"/>
  <c r="H197" i="69"/>
  <c r="I197" i="69"/>
  <c r="J197" i="69"/>
  <c r="K197" i="69"/>
  <c r="L197" i="69"/>
  <c r="M197" i="69"/>
  <c r="N197" i="69"/>
  <c r="O197" i="69"/>
  <c r="P197" i="69"/>
  <c r="Q197" i="69"/>
  <c r="R197" i="69"/>
  <c r="E198" i="69"/>
  <c r="F198" i="69"/>
  <c r="G198" i="69"/>
  <c r="H198" i="69"/>
  <c r="I198" i="69"/>
  <c r="J198" i="69"/>
  <c r="K198" i="69"/>
  <c r="L198" i="69"/>
  <c r="M198" i="69"/>
  <c r="N198" i="69"/>
  <c r="O198" i="69"/>
  <c r="P198" i="69"/>
  <c r="Q198" i="69"/>
  <c r="R198" i="69"/>
  <c r="E199" i="69"/>
  <c r="F199" i="69"/>
  <c r="G199" i="69"/>
  <c r="H199" i="69"/>
  <c r="I199" i="69"/>
  <c r="J199" i="69"/>
  <c r="K199" i="69"/>
  <c r="L199" i="69"/>
  <c r="M199" i="69"/>
  <c r="N199" i="69"/>
  <c r="O199" i="69"/>
  <c r="P199" i="69"/>
  <c r="Q199" i="69"/>
  <c r="R199" i="69"/>
  <c r="E200" i="69"/>
  <c r="F200" i="69"/>
  <c r="G200" i="69"/>
  <c r="H200" i="69"/>
  <c r="I200" i="69"/>
  <c r="J200" i="69"/>
  <c r="K200" i="69"/>
  <c r="L200" i="69"/>
  <c r="M200" i="69"/>
  <c r="N200" i="69"/>
  <c r="O200" i="69"/>
  <c r="P200" i="69"/>
  <c r="Q200" i="69"/>
  <c r="R200" i="69"/>
  <c r="E201" i="69"/>
  <c r="F201" i="69"/>
  <c r="G201" i="69"/>
  <c r="H201" i="69"/>
  <c r="I201" i="69"/>
  <c r="J201" i="69"/>
  <c r="K201" i="69"/>
  <c r="L201" i="69"/>
  <c r="M201" i="69"/>
  <c r="N201" i="69"/>
  <c r="O201" i="69"/>
  <c r="P201" i="69"/>
  <c r="Q201" i="69"/>
  <c r="R201" i="69"/>
  <c r="E202" i="69"/>
  <c r="F202" i="69"/>
  <c r="G202" i="69"/>
  <c r="H202" i="69"/>
  <c r="I202" i="69"/>
  <c r="J202" i="69"/>
  <c r="K202" i="69"/>
  <c r="L202" i="69"/>
  <c r="M202" i="69"/>
  <c r="N202" i="69"/>
  <c r="O202" i="69"/>
  <c r="P202" i="69"/>
  <c r="Q202" i="69"/>
  <c r="R202" i="69"/>
  <c r="E203" i="69"/>
  <c r="F203" i="69"/>
  <c r="G203" i="69"/>
  <c r="H203" i="69"/>
  <c r="I203" i="69"/>
  <c r="J203" i="69"/>
  <c r="K203" i="69"/>
  <c r="L203" i="69"/>
  <c r="M203" i="69"/>
  <c r="N203" i="69"/>
  <c r="O203" i="69"/>
  <c r="P203" i="69"/>
  <c r="Q203" i="69"/>
  <c r="R203" i="69"/>
  <c r="E204" i="69"/>
  <c r="F204" i="69"/>
  <c r="G204" i="69"/>
  <c r="H204" i="69"/>
  <c r="I204" i="69"/>
  <c r="J204" i="69"/>
  <c r="K204" i="69"/>
  <c r="L204" i="69"/>
  <c r="M204" i="69"/>
  <c r="N204" i="69"/>
  <c r="O204" i="69"/>
  <c r="P204" i="69"/>
  <c r="Q204" i="69"/>
  <c r="R204" i="69"/>
  <c r="E205" i="69"/>
  <c r="F205" i="69"/>
  <c r="G205" i="69"/>
  <c r="H205" i="69"/>
  <c r="I205" i="69"/>
  <c r="J205" i="69"/>
  <c r="K205" i="69"/>
  <c r="L205" i="69"/>
  <c r="M205" i="69"/>
  <c r="N205" i="69"/>
  <c r="O205" i="69"/>
  <c r="P205" i="69"/>
  <c r="Q205" i="69"/>
  <c r="R205" i="69"/>
  <c r="E206" i="69"/>
  <c r="F206" i="69"/>
  <c r="G206" i="69"/>
  <c r="H206" i="69"/>
  <c r="I206" i="69"/>
  <c r="J206" i="69"/>
  <c r="K206" i="69"/>
  <c r="L206" i="69"/>
  <c r="M206" i="69"/>
  <c r="N206" i="69"/>
  <c r="O206" i="69"/>
  <c r="P206" i="69"/>
  <c r="Q206" i="69"/>
  <c r="R206" i="69"/>
  <c r="E207" i="69"/>
  <c r="F207" i="69"/>
  <c r="G207" i="69"/>
  <c r="H207" i="69"/>
  <c r="I207" i="69"/>
  <c r="J207" i="69"/>
  <c r="K207" i="69"/>
  <c r="L207" i="69"/>
  <c r="M207" i="69"/>
  <c r="N207" i="69"/>
  <c r="O207" i="69"/>
  <c r="P207" i="69"/>
  <c r="Q207" i="69"/>
  <c r="R207" i="69"/>
  <c r="E208" i="69"/>
  <c r="F208" i="69"/>
  <c r="G208" i="69"/>
  <c r="H208" i="69"/>
  <c r="I208" i="69"/>
  <c r="J208" i="69"/>
  <c r="K208" i="69"/>
  <c r="L208" i="69"/>
  <c r="M208" i="69"/>
  <c r="N208" i="69"/>
  <c r="O208" i="69"/>
  <c r="P208" i="69"/>
  <c r="Q208" i="69"/>
  <c r="R208" i="69"/>
  <c r="E209" i="69"/>
  <c r="F209" i="69"/>
  <c r="G209" i="69"/>
  <c r="H209" i="69"/>
  <c r="I209" i="69"/>
  <c r="J209" i="69"/>
  <c r="K209" i="69"/>
  <c r="L209" i="69"/>
  <c r="M209" i="69"/>
  <c r="N209" i="69"/>
  <c r="O209" i="69"/>
  <c r="P209" i="69"/>
  <c r="Q209" i="69"/>
  <c r="R209" i="69"/>
  <c r="E210" i="69"/>
  <c r="F210" i="69"/>
  <c r="G210" i="69"/>
  <c r="H210" i="69"/>
  <c r="I210" i="69"/>
  <c r="J210" i="69"/>
  <c r="K210" i="69"/>
  <c r="L210" i="69"/>
  <c r="M210" i="69"/>
  <c r="N210" i="69"/>
  <c r="O210" i="69"/>
  <c r="P210" i="69"/>
  <c r="Q210" i="69"/>
  <c r="R210" i="69"/>
  <c r="E211" i="69"/>
  <c r="F211" i="69"/>
  <c r="G211" i="69"/>
  <c r="H211" i="69"/>
  <c r="I211" i="69"/>
  <c r="J211" i="69"/>
  <c r="K211" i="69"/>
  <c r="L211" i="69"/>
  <c r="M211" i="69"/>
  <c r="N211" i="69"/>
  <c r="O211" i="69"/>
  <c r="P211" i="69"/>
  <c r="Q211" i="69"/>
  <c r="R211" i="69"/>
  <c r="E212" i="69"/>
  <c r="F212" i="69"/>
  <c r="G212" i="69"/>
  <c r="H212" i="69"/>
  <c r="I212" i="69"/>
  <c r="J212" i="69"/>
  <c r="K212" i="69"/>
  <c r="L212" i="69"/>
  <c r="M212" i="69"/>
  <c r="N212" i="69"/>
  <c r="O212" i="69"/>
  <c r="P212" i="69"/>
  <c r="Q212" i="69"/>
  <c r="R212" i="69"/>
  <c r="E213" i="69"/>
  <c r="F213" i="69"/>
  <c r="G213" i="69"/>
  <c r="H213" i="69"/>
  <c r="I213" i="69"/>
  <c r="J213" i="69"/>
  <c r="K213" i="69"/>
  <c r="L213" i="69"/>
  <c r="M213" i="69"/>
  <c r="N213" i="69"/>
  <c r="O213" i="69"/>
  <c r="P213" i="69"/>
  <c r="Q213" i="69"/>
  <c r="R213" i="69"/>
  <c r="E214" i="69"/>
  <c r="F214" i="69"/>
  <c r="G214" i="69"/>
  <c r="H214" i="69"/>
  <c r="I214" i="69"/>
  <c r="J214" i="69"/>
  <c r="K214" i="69"/>
  <c r="L214" i="69"/>
  <c r="M214" i="69"/>
  <c r="N214" i="69"/>
  <c r="O214" i="69"/>
  <c r="P214" i="69"/>
  <c r="Q214" i="69"/>
  <c r="R214" i="69"/>
  <c r="E215" i="69"/>
  <c r="F215" i="69"/>
  <c r="G215" i="69"/>
  <c r="H215" i="69"/>
  <c r="I215" i="69"/>
  <c r="J215" i="69"/>
  <c r="K215" i="69"/>
  <c r="L215" i="69"/>
  <c r="M215" i="69"/>
  <c r="N215" i="69"/>
  <c r="O215" i="69"/>
  <c r="P215" i="69"/>
  <c r="Q215" i="69"/>
  <c r="R215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R216" i="69"/>
  <c r="E217" i="69"/>
  <c r="F217" i="69"/>
  <c r="G217" i="69"/>
  <c r="H217" i="69"/>
  <c r="I217" i="69"/>
  <c r="J217" i="69"/>
  <c r="K217" i="69"/>
  <c r="L217" i="69"/>
  <c r="M217" i="69"/>
  <c r="N217" i="69"/>
  <c r="O217" i="69"/>
  <c r="P217" i="69"/>
  <c r="Q217" i="69"/>
  <c r="R217" i="69"/>
  <c r="E218" i="69"/>
  <c r="F218" i="69"/>
  <c r="G218" i="69"/>
  <c r="H218" i="69"/>
  <c r="I218" i="69"/>
  <c r="J218" i="69"/>
  <c r="K218" i="69"/>
  <c r="L218" i="69"/>
  <c r="M218" i="69"/>
  <c r="N218" i="69"/>
  <c r="O218" i="69"/>
  <c r="P218" i="69"/>
  <c r="Q218" i="69"/>
  <c r="R218" i="69"/>
  <c r="E219" i="69"/>
  <c r="F219" i="69"/>
  <c r="G219" i="69"/>
  <c r="H219" i="69"/>
  <c r="I219" i="69"/>
  <c r="J219" i="69"/>
  <c r="K219" i="69"/>
  <c r="L219" i="69"/>
  <c r="M219" i="69"/>
  <c r="N219" i="69"/>
  <c r="O219" i="69"/>
  <c r="P219" i="69"/>
  <c r="Q219" i="69"/>
  <c r="R219" i="69"/>
  <c r="E220" i="69"/>
  <c r="F220" i="69"/>
  <c r="G220" i="69"/>
  <c r="H220" i="69"/>
  <c r="I220" i="69"/>
  <c r="J220" i="69"/>
  <c r="K220" i="69"/>
  <c r="L220" i="69"/>
  <c r="M220" i="69"/>
  <c r="N220" i="69"/>
  <c r="O220" i="69"/>
  <c r="P220" i="69"/>
  <c r="Q220" i="69"/>
  <c r="R220" i="69"/>
  <c r="D153" i="69"/>
  <c r="D154" i="69"/>
  <c r="D155" i="69"/>
  <c r="D156" i="69"/>
  <c r="D157" i="69"/>
  <c r="D158" i="69"/>
  <c r="D159" i="69"/>
  <c r="D160" i="69"/>
  <c r="D161" i="69"/>
  <c r="D162" i="69"/>
  <c r="D163" i="69"/>
  <c r="D164" i="69"/>
  <c r="D165" i="69"/>
  <c r="D166" i="69"/>
  <c r="D167" i="69"/>
  <c r="D168" i="69"/>
  <c r="D169" i="69"/>
  <c r="D170" i="69"/>
  <c r="D171" i="69"/>
  <c r="D172" i="69"/>
  <c r="D173" i="69"/>
  <c r="D174" i="69"/>
  <c r="D175" i="69"/>
  <c r="D176" i="69"/>
  <c r="D177" i="69"/>
  <c r="D178" i="69"/>
  <c r="D179" i="69"/>
  <c r="D180" i="69"/>
  <c r="D181" i="69"/>
  <c r="D182" i="69"/>
  <c r="D183" i="69"/>
  <c r="D184" i="69"/>
  <c r="D185" i="69"/>
  <c r="D186" i="69"/>
  <c r="D187" i="69"/>
  <c r="D188" i="69"/>
  <c r="D189" i="69"/>
  <c r="D190" i="69"/>
  <c r="D191" i="69"/>
  <c r="D192" i="69"/>
  <c r="D193" i="69"/>
  <c r="D194" i="69"/>
  <c r="D195" i="69"/>
  <c r="D196" i="69"/>
  <c r="D197" i="69"/>
  <c r="D198" i="69"/>
  <c r="D199" i="69"/>
  <c r="D200" i="69"/>
  <c r="D201" i="69"/>
  <c r="D202" i="69"/>
  <c r="D203" i="69"/>
  <c r="D204" i="69"/>
  <c r="D205" i="69"/>
  <c r="D206" i="69"/>
  <c r="D207" i="69"/>
  <c r="D208" i="69"/>
  <c r="D209" i="69"/>
  <c r="D210" i="69"/>
  <c r="D211" i="69"/>
  <c r="D212" i="69"/>
  <c r="D213" i="69"/>
  <c r="D214" i="69"/>
  <c r="D215" i="69"/>
  <c r="D216" i="69"/>
  <c r="D217" i="69"/>
  <c r="D218" i="69"/>
  <c r="D219" i="69"/>
  <c r="D220" i="69"/>
  <c r="D152" i="69"/>
  <c r="R3" i="78"/>
  <c r="Q3" i="78"/>
  <c r="P3" i="78"/>
  <c r="O3" i="78"/>
  <c r="N3" i="78"/>
  <c r="M3" i="78"/>
  <c r="L3" i="78"/>
  <c r="K3" i="78"/>
  <c r="J3" i="78"/>
  <c r="I3" i="78"/>
  <c r="H3" i="78"/>
  <c r="G3" i="78"/>
  <c r="F3" i="78"/>
  <c r="E3" i="78"/>
  <c r="D3" i="78"/>
  <c r="C9" i="53"/>
  <c r="D9" i="53"/>
  <c r="E9" i="53"/>
  <c r="F9" i="53"/>
  <c r="G9" i="53"/>
  <c r="H9" i="53"/>
  <c r="I9" i="53"/>
  <c r="J9" i="53"/>
  <c r="K9" i="53"/>
  <c r="L9" i="53"/>
  <c r="M9" i="53"/>
  <c r="N9" i="53"/>
  <c r="O9" i="53"/>
  <c r="P9" i="53"/>
  <c r="B9" i="53"/>
  <c r="R3" i="77"/>
  <c r="Q3" i="77"/>
  <c r="P3" i="77"/>
  <c r="O3" i="77"/>
  <c r="N3" i="77"/>
  <c r="M3" i="77"/>
  <c r="L3" i="77"/>
  <c r="K3" i="77"/>
  <c r="J3" i="77"/>
  <c r="I3" i="77"/>
  <c r="H3" i="77"/>
  <c r="G3" i="77"/>
  <c r="F3" i="77"/>
  <c r="E3" i="77"/>
  <c r="D3" i="77"/>
  <c r="R3" i="70"/>
  <c r="Q3" i="70"/>
  <c r="P3" i="70"/>
  <c r="O3" i="70"/>
  <c r="N3" i="70"/>
  <c r="M3" i="70"/>
  <c r="L3" i="70"/>
  <c r="K3" i="70"/>
  <c r="J3" i="70"/>
  <c r="I3" i="70"/>
  <c r="H3" i="70"/>
  <c r="G3" i="70"/>
  <c r="F3" i="70"/>
  <c r="E3" i="70"/>
  <c r="D3" i="70"/>
  <c r="E3" i="69"/>
  <c r="F3" i="69"/>
  <c r="G3" i="69"/>
  <c r="H3" i="69"/>
  <c r="I3" i="69"/>
  <c r="J3" i="69"/>
  <c r="K3" i="69"/>
  <c r="L3" i="69"/>
  <c r="M3" i="69"/>
  <c r="N3" i="69"/>
  <c r="O3" i="69"/>
  <c r="P3" i="69"/>
  <c r="Q3" i="69"/>
  <c r="R3" i="69"/>
  <c r="D3" i="69"/>
  <c r="C8" i="53"/>
  <c r="D8" i="53"/>
  <c r="E8" i="53"/>
  <c r="F8" i="53"/>
  <c r="G8" i="53"/>
  <c r="H8" i="53"/>
  <c r="I8" i="53"/>
  <c r="J8" i="53"/>
  <c r="K8" i="53"/>
  <c r="L8" i="53"/>
  <c r="M8" i="53"/>
  <c r="N8" i="53"/>
  <c r="O8" i="53"/>
  <c r="P8" i="53"/>
  <c r="B8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B7" i="53"/>
  <c r="C16" i="53"/>
  <c r="D16" i="53"/>
  <c r="E16" i="53"/>
  <c r="F16" i="53"/>
  <c r="G16" i="53"/>
  <c r="H16" i="53"/>
  <c r="I16" i="53"/>
  <c r="J16" i="53"/>
  <c r="K16" i="53"/>
  <c r="L16" i="53"/>
  <c r="M16" i="53"/>
  <c r="N16" i="53"/>
  <c r="O16" i="53"/>
  <c r="P16" i="53"/>
  <c r="B16" i="5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d04</author>
  </authors>
  <commentList>
    <comment ref="A4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1060327</t>
        </r>
        <r>
          <rPr>
            <b/>
            <sz val="9"/>
            <color indexed="81"/>
            <rFont val="細明體"/>
            <family val="3"/>
            <charset val="136"/>
          </rPr>
          <t>新北市修</t>
        </r>
      </text>
    </comment>
  </commentList>
</comments>
</file>

<file path=xl/sharedStrings.xml><?xml version="1.0" encoding="utf-8"?>
<sst xmlns="http://schemas.openxmlformats.org/spreadsheetml/2006/main" count="3986" uniqueCount="237">
  <si>
    <t>Total</t>
    <phoneticPr fontId="3" type="noConversion"/>
  </si>
  <si>
    <t>Total</t>
  </si>
  <si>
    <t>General</t>
    <phoneticPr fontId="3" type="noConversion"/>
  </si>
  <si>
    <t>New Taipei City</t>
    <phoneticPr fontId="4" type="noConversion"/>
  </si>
  <si>
    <t>Taipei City</t>
    <phoneticPr fontId="4" type="noConversion"/>
  </si>
  <si>
    <t>Yilan County</t>
  </si>
  <si>
    <t>Hsinchu County</t>
  </si>
  <si>
    <t>Miaoli County</t>
  </si>
  <si>
    <t>Changhua County</t>
  </si>
  <si>
    <t>Nantou County</t>
  </si>
  <si>
    <t>Yunlin County</t>
  </si>
  <si>
    <t>Chiayi County</t>
  </si>
  <si>
    <t>Pingtung County</t>
  </si>
  <si>
    <t>Taitung County</t>
  </si>
  <si>
    <t>Hualien County</t>
  </si>
  <si>
    <t>Penghu County</t>
  </si>
  <si>
    <t>Keelung City</t>
  </si>
  <si>
    <t>Hsinchu City</t>
  </si>
  <si>
    <t>Chiayi City</t>
  </si>
  <si>
    <t>Kinmen County</t>
  </si>
  <si>
    <t>Lienchiang County</t>
  </si>
  <si>
    <t>Taichung City</t>
    <phoneticPr fontId="4" type="noConversion"/>
  </si>
  <si>
    <t>Tainan City</t>
    <phoneticPr fontId="4" type="noConversion"/>
  </si>
  <si>
    <t>Kaohsiung City</t>
    <phoneticPr fontId="4" type="noConversion"/>
  </si>
  <si>
    <t>Source: County and Government.</t>
    <phoneticPr fontId="4" type="noConversion"/>
  </si>
  <si>
    <t>Taoyuan City</t>
    <phoneticPr fontId="4" type="noConversion"/>
  </si>
  <si>
    <r>
      <rPr>
        <b/>
        <sz val="16"/>
        <rFont val="標楷體"/>
        <family val="4"/>
        <charset val="136"/>
      </rPr>
      <t>兒童少年保護</t>
    </r>
    <r>
      <rPr>
        <b/>
        <sz val="16"/>
        <rFont val="Times New Roman"/>
        <family val="1"/>
      </rPr>
      <t>-</t>
    </r>
    <r>
      <rPr>
        <b/>
        <sz val="16"/>
        <rFont val="標楷體"/>
        <family val="4"/>
        <charset val="136"/>
      </rPr>
      <t>受虐人數</t>
    </r>
    <r>
      <rPr>
        <b/>
        <sz val="16"/>
        <rFont val="Times New Roman"/>
        <family val="1"/>
      </rPr>
      <t xml:space="preserve"> Number of Abused Child and Youth</t>
    </r>
    <phoneticPr fontId="4" type="noConversion"/>
  </si>
  <si>
    <r>
      <rPr>
        <sz val="8"/>
        <color indexed="8"/>
        <rFont val="標楷體"/>
        <family val="4"/>
        <charset val="136"/>
      </rPr>
      <t xml:space="preserve">區域及特殊族群別
</t>
    </r>
    <r>
      <rPr>
        <sz val="8"/>
        <color indexed="8"/>
        <rFont val="Times New Roman"/>
        <family val="1"/>
      </rPr>
      <t>Locality &amp;  Ethnos</t>
    </r>
    <phoneticPr fontId="3" type="noConversion"/>
  </si>
  <si>
    <r>
      <rPr>
        <sz val="8"/>
        <rFont val="標楷體"/>
        <family val="4"/>
        <charset val="136"/>
      </rPr>
      <t>受虐兒童少年人數按年齡分</t>
    </r>
    <r>
      <rPr>
        <sz val="8"/>
        <rFont val="Times New Roman"/>
        <family val="1"/>
      </rPr>
      <t>(</t>
    </r>
    <r>
      <rPr>
        <sz val="8"/>
        <rFont val="標楷體"/>
        <family val="4"/>
        <charset val="136"/>
      </rPr>
      <t>人</t>
    </r>
    <r>
      <rPr>
        <sz val="8"/>
        <rFont val="Times New Roman"/>
        <family val="1"/>
      </rPr>
      <t>) By Age</t>
    </r>
    <phoneticPr fontId="3" type="noConversion"/>
  </si>
  <si>
    <r>
      <rPr>
        <sz val="8"/>
        <rFont val="標楷體"/>
        <family val="4"/>
        <charset val="136"/>
      </rPr>
      <t xml:space="preserve">合計
</t>
    </r>
    <r>
      <rPr>
        <sz val="8"/>
        <rFont val="Times New Roman"/>
        <family val="1"/>
      </rPr>
      <t>Total</t>
    </r>
    <phoneticPr fontId="3" type="noConversion"/>
  </si>
  <si>
    <r>
      <t>0-</t>
    </r>
    <r>
      <rPr>
        <sz val="8"/>
        <color indexed="8"/>
        <rFont val="標楷體"/>
        <family val="4"/>
        <charset val="136"/>
      </rPr>
      <t>未滿</t>
    </r>
    <r>
      <rPr>
        <sz val="8"/>
        <color indexed="8"/>
        <rFont val="Times New Roman"/>
        <family val="1"/>
      </rPr>
      <t>3</t>
    </r>
    <r>
      <rPr>
        <sz val="8"/>
        <color indexed="8"/>
        <rFont val="標楷體"/>
        <family val="4"/>
        <charset val="136"/>
      </rPr>
      <t xml:space="preserve">歲
</t>
    </r>
    <r>
      <rPr>
        <sz val="8"/>
        <color indexed="8"/>
        <rFont val="Times New Roman"/>
        <family val="1"/>
      </rPr>
      <t>Under 3 Years</t>
    </r>
    <phoneticPr fontId="3" type="noConversion"/>
  </si>
  <si>
    <r>
      <t>3-</t>
    </r>
    <r>
      <rPr>
        <sz val="8"/>
        <color indexed="8"/>
        <rFont val="標楷體"/>
        <family val="4"/>
        <charset val="136"/>
      </rPr>
      <t>未滿</t>
    </r>
    <r>
      <rPr>
        <sz val="8"/>
        <color indexed="8"/>
        <rFont val="Times New Roman"/>
        <family val="1"/>
      </rPr>
      <t>6</t>
    </r>
    <r>
      <rPr>
        <sz val="8"/>
        <color indexed="8"/>
        <rFont val="標楷體"/>
        <family val="4"/>
        <charset val="136"/>
      </rPr>
      <t xml:space="preserve">歲
</t>
    </r>
    <r>
      <rPr>
        <sz val="8"/>
        <color indexed="8"/>
        <rFont val="Times New Roman"/>
        <family val="1"/>
      </rPr>
      <t>3-Under 6 Years</t>
    </r>
    <phoneticPr fontId="3" type="noConversion"/>
  </si>
  <si>
    <r>
      <t>6-</t>
    </r>
    <r>
      <rPr>
        <sz val="8"/>
        <color indexed="8"/>
        <rFont val="標楷體"/>
        <family val="4"/>
        <charset val="136"/>
      </rPr>
      <t>未滿</t>
    </r>
    <r>
      <rPr>
        <sz val="8"/>
        <color indexed="8"/>
        <rFont val="Times New Roman"/>
        <family val="1"/>
      </rPr>
      <t>9</t>
    </r>
    <r>
      <rPr>
        <sz val="8"/>
        <color indexed="8"/>
        <rFont val="標楷體"/>
        <family val="4"/>
        <charset val="136"/>
      </rPr>
      <t xml:space="preserve">歲
</t>
    </r>
    <r>
      <rPr>
        <sz val="8"/>
        <color indexed="8"/>
        <rFont val="Times New Roman"/>
        <family val="1"/>
      </rPr>
      <t>6-Under 9 Years</t>
    </r>
    <phoneticPr fontId="3" type="noConversion"/>
  </si>
  <si>
    <r>
      <t>9-</t>
    </r>
    <r>
      <rPr>
        <sz val="8"/>
        <color indexed="8"/>
        <rFont val="標楷體"/>
        <family val="4"/>
        <charset val="136"/>
      </rPr>
      <t>未滿</t>
    </r>
    <r>
      <rPr>
        <sz val="8"/>
        <color indexed="8"/>
        <rFont val="Times New Roman"/>
        <family val="1"/>
      </rPr>
      <t>12</t>
    </r>
    <r>
      <rPr>
        <sz val="8"/>
        <color indexed="8"/>
        <rFont val="標楷體"/>
        <family val="4"/>
        <charset val="136"/>
      </rPr>
      <t xml:space="preserve">歲
</t>
    </r>
    <r>
      <rPr>
        <sz val="8"/>
        <color indexed="8"/>
        <rFont val="Times New Roman"/>
        <family val="1"/>
      </rPr>
      <t>9-Under 12 Years</t>
    </r>
    <phoneticPr fontId="3" type="noConversion"/>
  </si>
  <si>
    <r>
      <t>12-</t>
    </r>
    <r>
      <rPr>
        <sz val="8"/>
        <color indexed="8"/>
        <rFont val="標楷體"/>
        <family val="4"/>
        <charset val="136"/>
      </rPr>
      <t>未滿</t>
    </r>
    <r>
      <rPr>
        <sz val="8"/>
        <color indexed="8"/>
        <rFont val="Times New Roman"/>
        <family val="1"/>
      </rPr>
      <t>15</t>
    </r>
    <r>
      <rPr>
        <sz val="8"/>
        <color indexed="8"/>
        <rFont val="標楷體"/>
        <family val="4"/>
        <charset val="136"/>
      </rPr>
      <t xml:space="preserve">歲
</t>
    </r>
    <r>
      <rPr>
        <sz val="8"/>
        <color indexed="8"/>
        <rFont val="Times New Roman"/>
        <family val="1"/>
      </rPr>
      <t>12-Under 15 Years</t>
    </r>
    <phoneticPr fontId="3" type="noConversion"/>
  </si>
  <si>
    <r>
      <t>15-</t>
    </r>
    <r>
      <rPr>
        <sz val="8"/>
        <color indexed="8"/>
        <rFont val="標楷體"/>
        <family val="4"/>
        <charset val="136"/>
      </rPr>
      <t>未滿</t>
    </r>
    <r>
      <rPr>
        <sz val="8"/>
        <color indexed="8"/>
        <rFont val="Times New Roman"/>
        <family val="1"/>
      </rPr>
      <t>18</t>
    </r>
    <r>
      <rPr>
        <sz val="8"/>
        <color indexed="8"/>
        <rFont val="標楷體"/>
        <family val="4"/>
        <charset val="136"/>
      </rPr>
      <t xml:space="preserve">歲
</t>
    </r>
    <r>
      <rPr>
        <sz val="8"/>
        <color indexed="8"/>
        <rFont val="Times New Roman"/>
        <family val="1"/>
      </rPr>
      <t>15-Under 18 Years</t>
    </r>
    <phoneticPr fontId="3" type="noConversion"/>
  </si>
  <si>
    <r>
      <rPr>
        <sz val="8"/>
        <rFont val="標楷體"/>
        <family val="4"/>
        <charset val="136"/>
      </rPr>
      <t xml:space="preserve">計
</t>
    </r>
    <r>
      <rPr>
        <sz val="8"/>
        <rFont val="Times New Roman"/>
        <family val="1"/>
      </rPr>
      <t>Total</t>
    </r>
    <phoneticPr fontId="4" type="noConversion"/>
  </si>
  <si>
    <r>
      <rPr>
        <sz val="8"/>
        <color indexed="8"/>
        <rFont val="標楷體"/>
        <family val="4"/>
        <charset val="136"/>
      </rPr>
      <t xml:space="preserve">男
</t>
    </r>
    <r>
      <rPr>
        <sz val="8"/>
        <color indexed="8"/>
        <rFont val="Times New Roman"/>
        <family val="1"/>
      </rPr>
      <t xml:space="preserve">Male </t>
    </r>
    <phoneticPr fontId="3" type="noConversion"/>
  </si>
  <si>
    <r>
      <rPr>
        <sz val="8"/>
        <color indexed="8"/>
        <rFont val="標楷體"/>
        <family val="4"/>
        <charset val="136"/>
      </rPr>
      <t xml:space="preserve">女
</t>
    </r>
    <r>
      <rPr>
        <sz val="8"/>
        <color indexed="8"/>
        <rFont val="Times New Roman"/>
        <family val="1"/>
      </rPr>
      <t>Female</t>
    </r>
    <phoneticPr fontId="3" type="noConversion"/>
  </si>
  <si>
    <r>
      <rPr>
        <sz val="8"/>
        <rFont val="標楷體"/>
        <family val="4"/>
        <charset val="136"/>
      </rPr>
      <t>資料來源：各直轄市、縣市政府。</t>
    </r>
    <phoneticPr fontId="4" type="noConversion"/>
  </si>
  <si>
    <r>
      <rPr>
        <sz val="8"/>
        <rFont val="標楷體"/>
        <family val="4"/>
        <charset val="136"/>
      </rPr>
      <t>備註：自</t>
    </r>
    <r>
      <rPr>
        <sz val="8"/>
        <rFont val="Times New Roman"/>
        <family val="1"/>
      </rPr>
      <t>102</t>
    </r>
    <r>
      <rPr>
        <sz val="8"/>
        <rFont val="標楷體"/>
        <family val="4"/>
        <charset val="136"/>
      </rPr>
      <t>年起非屬「受虐兒童少年之受虐者本身因素」不再歸類於『其他』項下統計。</t>
    </r>
    <phoneticPr fontId="4" type="noConversion"/>
  </si>
  <si>
    <r>
      <rPr>
        <sz val="8"/>
        <rFont val="標楷體"/>
        <family val="4"/>
        <charset val="136"/>
      </rPr>
      <t>更新日期：</t>
    </r>
    <r>
      <rPr>
        <sz val="8"/>
        <rFont val="Times New Roman"/>
        <family val="1"/>
      </rPr>
      <t>2017/3/9</t>
    </r>
    <phoneticPr fontId="4" type="noConversion"/>
  </si>
  <si>
    <r>
      <rPr>
        <sz val="10"/>
        <color indexed="8"/>
        <rFont val="標楷體"/>
        <family val="4"/>
        <charset val="136"/>
      </rPr>
      <t xml:space="preserve">區域及特殊族群別
</t>
    </r>
    <r>
      <rPr>
        <sz val="10"/>
        <color indexed="8"/>
        <rFont val="Times New Roman"/>
        <family val="1"/>
      </rPr>
      <t>Locality &amp;  Ethnos</t>
    </r>
    <phoneticPr fontId="3" type="noConversion"/>
  </si>
  <si>
    <r>
      <rPr>
        <sz val="10"/>
        <rFont val="標楷體"/>
        <family val="4"/>
        <charset val="136"/>
      </rPr>
      <t>受虐兒童少年人數按年齡分</t>
    </r>
    <r>
      <rPr>
        <sz val="10"/>
        <rFont val="Times New Roman"/>
        <family val="1"/>
      </rPr>
      <t>(</t>
    </r>
    <r>
      <rPr>
        <sz val="10"/>
        <rFont val="標楷體"/>
        <family val="4"/>
        <charset val="136"/>
      </rPr>
      <t>人</t>
    </r>
    <r>
      <rPr>
        <sz val="10"/>
        <rFont val="Times New Roman"/>
        <family val="1"/>
      </rPr>
      <t>) By Age</t>
    </r>
    <phoneticPr fontId="3" type="noConversion"/>
  </si>
  <si>
    <r>
      <rPr>
        <sz val="10"/>
        <rFont val="標楷體"/>
        <family val="4"/>
        <charset val="136"/>
      </rPr>
      <t xml:space="preserve">合計
</t>
    </r>
    <r>
      <rPr>
        <sz val="10"/>
        <rFont val="Times New Roman"/>
        <family val="1"/>
      </rPr>
      <t>Total</t>
    </r>
    <phoneticPr fontId="3" type="noConversion"/>
  </si>
  <si>
    <r>
      <t>0-</t>
    </r>
    <r>
      <rPr>
        <sz val="10"/>
        <color indexed="8"/>
        <rFont val="標楷體"/>
        <family val="4"/>
        <charset val="136"/>
      </rPr>
      <t>未滿</t>
    </r>
    <r>
      <rPr>
        <sz val="10"/>
        <color indexed="8"/>
        <rFont val="Times New Roman"/>
        <family val="1"/>
      </rPr>
      <t>3</t>
    </r>
    <r>
      <rPr>
        <sz val="10"/>
        <color indexed="8"/>
        <rFont val="標楷體"/>
        <family val="4"/>
        <charset val="136"/>
      </rPr>
      <t xml:space="preserve">歲
</t>
    </r>
    <r>
      <rPr>
        <sz val="10"/>
        <color indexed="8"/>
        <rFont val="Times New Roman"/>
        <family val="1"/>
      </rPr>
      <t>Under 3 Years</t>
    </r>
    <phoneticPr fontId="3" type="noConversion"/>
  </si>
  <si>
    <r>
      <t>3-</t>
    </r>
    <r>
      <rPr>
        <sz val="10"/>
        <color indexed="8"/>
        <rFont val="標楷體"/>
        <family val="4"/>
        <charset val="136"/>
      </rPr>
      <t>未滿</t>
    </r>
    <r>
      <rPr>
        <sz val="10"/>
        <color indexed="8"/>
        <rFont val="Times New Roman"/>
        <family val="1"/>
      </rPr>
      <t>6</t>
    </r>
    <r>
      <rPr>
        <sz val="10"/>
        <color indexed="8"/>
        <rFont val="標楷體"/>
        <family val="4"/>
        <charset val="136"/>
      </rPr>
      <t xml:space="preserve">歲
</t>
    </r>
    <r>
      <rPr>
        <sz val="10"/>
        <color indexed="8"/>
        <rFont val="Times New Roman"/>
        <family val="1"/>
      </rPr>
      <t>3-Under 6 Years</t>
    </r>
    <phoneticPr fontId="3" type="noConversion"/>
  </si>
  <si>
    <r>
      <t>6-</t>
    </r>
    <r>
      <rPr>
        <sz val="10"/>
        <color indexed="8"/>
        <rFont val="標楷體"/>
        <family val="4"/>
        <charset val="136"/>
      </rPr>
      <t>未滿</t>
    </r>
    <r>
      <rPr>
        <sz val="10"/>
        <color indexed="8"/>
        <rFont val="Times New Roman"/>
        <family val="1"/>
      </rPr>
      <t>9</t>
    </r>
    <r>
      <rPr>
        <sz val="10"/>
        <color indexed="8"/>
        <rFont val="標楷體"/>
        <family val="4"/>
        <charset val="136"/>
      </rPr>
      <t xml:space="preserve">歲
</t>
    </r>
    <r>
      <rPr>
        <sz val="10"/>
        <color indexed="8"/>
        <rFont val="Times New Roman"/>
        <family val="1"/>
      </rPr>
      <t>6-Under 9 Years</t>
    </r>
    <phoneticPr fontId="3" type="noConversion"/>
  </si>
  <si>
    <r>
      <t>9-</t>
    </r>
    <r>
      <rPr>
        <sz val="10"/>
        <color indexed="8"/>
        <rFont val="標楷體"/>
        <family val="4"/>
        <charset val="136"/>
      </rPr>
      <t>未滿</t>
    </r>
    <r>
      <rPr>
        <sz val="10"/>
        <color indexed="8"/>
        <rFont val="Times New Roman"/>
        <family val="1"/>
      </rPr>
      <t>12</t>
    </r>
    <r>
      <rPr>
        <sz val="10"/>
        <color indexed="8"/>
        <rFont val="標楷體"/>
        <family val="4"/>
        <charset val="136"/>
      </rPr>
      <t xml:space="preserve">歲
</t>
    </r>
    <r>
      <rPr>
        <sz val="10"/>
        <color indexed="8"/>
        <rFont val="Times New Roman"/>
        <family val="1"/>
      </rPr>
      <t>9-Under 12 Years</t>
    </r>
    <phoneticPr fontId="3" type="noConversion"/>
  </si>
  <si>
    <r>
      <t>12-</t>
    </r>
    <r>
      <rPr>
        <sz val="10"/>
        <color indexed="8"/>
        <rFont val="標楷體"/>
        <family val="4"/>
        <charset val="136"/>
      </rPr>
      <t>未滿</t>
    </r>
    <r>
      <rPr>
        <sz val="10"/>
        <color indexed="8"/>
        <rFont val="Times New Roman"/>
        <family val="1"/>
      </rPr>
      <t>15</t>
    </r>
    <r>
      <rPr>
        <sz val="10"/>
        <color indexed="8"/>
        <rFont val="標楷體"/>
        <family val="4"/>
        <charset val="136"/>
      </rPr>
      <t xml:space="preserve">歲
</t>
    </r>
    <r>
      <rPr>
        <sz val="10"/>
        <color indexed="8"/>
        <rFont val="Times New Roman"/>
        <family val="1"/>
      </rPr>
      <t>12-Under 15 Years</t>
    </r>
    <phoneticPr fontId="3" type="noConversion"/>
  </si>
  <si>
    <r>
      <t>15-</t>
    </r>
    <r>
      <rPr>
        <sz val="10"/>
        <color indexed="8"/>
        <rFont val="標楷體"/>
        <family val="4"/>
        <charset val="136"/>
      </rPr>
      <t>未滿</t>
    </r>
    <r>
      <rPr>
        <sz val="10"/>
        <color indexed="8"/>
        <rFont val="Times New Roman"/>
        <family val="1"/>
      </rPr>
      <t>18</t>
    </r>
    <r>
      <rPr>
        <sz val="10"/>
        <color indexed="8"/>
        <rFont val="標楷體"/>
        <family val="4"/>
        <charset val="136"/>
      </rPr>
      <t xml:space="preserve">歲
</t>
    </r>
    <r>
      <rPr>
        <sz val="10"/>
        <color indexed="8"/>
        <rFont val="Times New Roman"/>
        <family val="1"/>
      </rPr>
      <t>15-Under 18 Years</t>
    </r>
    <phoneticPr fontId="3" type="noConversion"/>
  </si>
  <si>
    <r>
      <rPr>
        <sz val="10"/>
        <rFont val="標楷體"/>
        <family val="4"/>
        <charset val="136"/>
      </rPr>
      <t xml:space="preserve">計
</t>
    </r>
    <r>
      <rPr>
        <sz val="10"/>
        <rFont val="Times New Roman"/>
        <family val="1"/>
      </rPr>
      <t>Total</t>
    </r>
    <phoneticPr fontId="4" type="noConversion"/>
  </si>
  <si>
    <r>
      <rPr>
        <sz val="10"/>
        <color indexed="8"/>
        <rFont val="標楷體"/>
        <family val="4"/>
        <charset val="136"/>
      </rPr>
      <t xml:space="preserve">男
</t>
    </r>
    <r>
      <rPr>
        <sz val="10"/>
        <color indexed="8"/>
        <rFont val="Times New Roman"/>
        <family val="1"/>
      </rPr>
      <t xml:space="preserve">Male </t>
    </r>
    <phoneticPr fontId="3" type="noConversion"/>
  </si>
  <si>
    <r>
      <rPr>
        <sz val="10"/>
        <color indexed="8"/>
        <rFont val="標楷體"/>
        <family val="4"/>
        <charset val="136"/>
      </rPr>
      <t xml:space="preserve">女
</t>
    </r>
    <r>
      <rPr>
        <sz val="10"/>
        <color indexed="8"/>
        <rFont val="Times New Roman"/>
        <family val="1"/>
      </rPr>
      <t>Female</t>
    </r>
    <phoneticPr fontId="3" type="noConversion"/>
  </si>
  <si>
    <r>
      <rPr>
        <sz val="10"/>
        <rFont val="標楷體"/>
        <family val="4"/>
        <charset val="136"/>
      </rPr>
      <t>總計</t>
    </r>
    <phoneticPr fontId="4" type="noConversion"/>
  </si>
  <si>
    <r>
      <rPr>
        <sz val="10"/>
        <color indexed="12"/>
        <rFont val="標楷體"/>
        <family val="4"/>
        <charset val="136"/>
      </rPr>
      <t>計</t>
    </r>
    <phoneticPr fontId="3" type="noConversion"/>
  </si>
  <si>
    <r>
      <rPr>
        <sz val="10"/>
        <rFont val="標楷體"/>
        <family val="4"/>
        <charset val="136"/>
      </rPr>
      <t>一般</t>
    </r>
    <phoneticPr fontId="3" type="noConversion"/>
  </si>
  <si>
    <r>
      <rPr>
        <sz val="10"/>
        <rFont val="標楷體"/>
        <family val="4"/>
        <charset val="136"/>
      </rPr>
      <t>原住民</t>
    </r>
    <phoneticPr fontId="3" type="noConversion"/>
  </si>
  <si>
    <r>
      <rPr>
        <sz val="10"/>
        <rFont val="標楷體"/>
        <family val="4"/>
        <charset val="136"/>
      </rPr>
      <t>新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北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市</t>
    </r>
    <phoneticPr fontId="4" type="noConversion"/>
  </si>
  <si>
    <r>
      <rPr>
        <sz val="10"/>
        <rFont val="標楷體"/>
        <family val="4"/>
        <charset val="136"/>
      </rPr>
      <t>臺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北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市</t>
    </r>
    <phoneticPr fontId="4" type="noConversion"/>
  </si>
  <si>
    <r>
      <rPr>
        <sz val="10"/>
        <rFont val="標楷體"/>
        <family val="4"/>
        <charset val="136"/>
      </rPr>
      <t>桃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園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市</t>
    </r>
    <phoneticPr fontId="4" type="noConversion"/>
  </si>
  <si>
    <r>
      <rPr>
        <sz val="10"/>
        <rFont val="標楷體"/>
        <family val="4"/>
        <charset val="136"/>
      </rPr>
      <t>臺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中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市</t>
    </r>
    <phoneticPr fontId="4" type="noConversion"/>
  </si>
  <si>
    <r>
      <rPr>
        <sz val="10"/>
        <rFont val="標楷體"/>
        <family val="4"/>
        <charset val="136"/>
      </rPr>
      <t>臺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南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市</t>
    </r>
    <phoneticPr fontId="4" type="noConversion"/>
  </si>
  <si>
    <r>
      <rPr>
        <sz val="10"/>
        <rFont val="標楷體"/>
        <family val="4"/>
        <charset val="136"/>
      </rPr>
      <t>高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雄</t>
    </r>
    <r>
      <rPr>
        <sz val="10"/>
        <rFont val="Times New Roman"/>
        <family val="1"/>
      </rPr>
      <t xml:space="preserve"> </t>
    </r>
    <r>
      <rPr>
        <sz val="10"/>
        <rFont val="標楷體"/>
        <family val="4"/>
        <charset val="136"/>
      </rPr>
      <t>市</t>
    </r>
    <phoneticPr fontId="4" type="noConversion"/>
  </si>
  <si>
    <r>
      <rPr>
        <sz val="10"/>
        <rFont val="標楷體"/>
        <family val="4"/>
        <charset val="136"/>
      </rPr>
      <t>　宜蘭縣</t>
    </r>
    <phoneticPr fontId="4" type="noConversion"/>
  </si>
  <si>
    <r>
      <rPr>
        <sz val="10"/>
        <rFont val="標楷體"/>
        <family val="4"/>
        <charset val="136"/>
      </rPr>
      <t>　新竹縣</t>
    </r>
    <phoneticPr fontId="4" type="noConversion"/>
  </si>
  <si>
    <r>
      <rPr>
        <sz val="10"/>
        <rFont val="標楷體"/>
        <family val="4"/>
        <charset val="136"/>
      </rPr>
      <t>　苗栗縣</t>
    </r>
    <phoneticPr fontId="4" type="noConversion"/>
  </si>
  <si>
    <r>
      <rPr>
        <sz val="10"/>
        <rFont val="標楷體"/>
        <family val="4"/>
        <charset val="136"/>
      </rPr>
      <t>　彰化縣</t>
    </r>
    <phoneticPr fontId="4" type="noConversion"/>
  </si>
  <si>
    <r>
      <rPr>
        <sz val="10"/>
        <rFont val="標楷體"/>
        <family val="4"/>
        <charset val="136"/>
      </rPr>
      <t>　南投縣</t>
    </r>
    <phoneticPr fontId="4" type="noConversion"/>
  </si>
  <si>
    <r>
      <rPr>
        <sz val="10"/>
        <rFont val="標楷體"/>
        <family val="4"/>
        <charset val="136"/>
      </rPr>
      <t>　雲林縣</t>
    </r>
    <phoneticPr fontId="4" type="noConversion"/>
  </si>
  <si>
    <r>
      <rPr>
        <sz val="10"/>
        <rFont val="標楷體"/>
        <family val="4"/>
        <charset val="136"/>
      </rPr>
      <t>　嘉義縣</t>
    </r>
    <phoneticPr fontId="4" type="noConversion"/>
  </si>
  <si>
    <r>
      <rPr>
        <sz val="10"/>
        <rFont val="標楷體"/>
        <family val="4"/>
        <charset val="136"/>
      </rPr>
      <t>　屏東縣</t>
    </r>
    <phoneticPr fontId="4" type="noConversion"/>
  </si>
  <si>
    <r>
      <rPr>
        <sz val="10"/>
        <rFont val="標楷體"/>
        <family val="4"/>
        <charset val="136"/>
      </rPr>
      <t>　臺東縣</t>
    </r>
    <phoneticPr fontId="4" type="noConversion"/>
  </si>
  <si>
    <r>
      <rPr>
        <sz val="10"/>
        <rFont val="標楷體"/>
        <family val="4"/>
        <charset val="136"/>
      </rPr>
      <t>　花蓮縣</t>
    </r>
    <phoneticPr fontId="4" type="noConversion"/>
  </si>
  <si>
    <r>
      <rPr>
        <sz val="10"/>
        <rFont val="標楷體"/>
        <family val="4"/>
        <charset val="136"/>
      </rPr>
      <t>　澎湖縣</t>
    </r>
    <phoneticPr fontId="4" type="noConversion"/>
  </si>
  <si>
    <r>
      <rPr>
        <sz val="10"/>
        <rFont val="標楷體"/>
        <family val="4"/>
        <charset val="136"/>
      </rPr>
      <t>　基隆市</t>
    </r>
    <phoneticPr fontId="4" type="noConversion"/>
  </si>
  <si>
    <r>
      <rPr>
        <sz val="10"/>
        <rFont val="標楷體"/>
        <family val="4"/>
        <charset val="136"/>
      </rPr>
      <t>　新竹市</t>
    </r>
    <phoneticPr fontId="4" type="noConversion"/>
  </si>
  <si>
    <r>
      <rPr>
        <sz val="10"/>
        <rFont val="標楷體"/>
        <family val="4"/>
        <charset val="136"/>
      </rPr>
      <t>　嘉義市</t>
    </r>
    <phoneticPr fontId="4" type="noConversion"/>
  </si>
  <si>
    <r>
      <rPr>
        <sz val="10"/>
        <rFont val="標楷體"/>
        <family val="4"/>
        <charset val="136"/>
      </rPr>
      <t>　金門縣</t>
    </r>
    <phoneticPr fontId="4" type="noConversion"/>
  </si>
  <si>
    <r>
      <rPr>
        <sz val="10"/>
        <rFont val="標楷體"/>
        <family val="4"/>
        <charset val="136"/>
      </rPr>
      <t>　連江縣</t>
    </r>
    <phoneticPr fontId="4" type="noConversion"/>
  </si>
  <si>
    <r>
      <rPr>
        <sz val="10"/>
        <rFont val="標楷體"/>
        <family val="4"/>
        <charset val="136"/>
      </rPr>
      <t>資料來源：各直轄市、縣市政府。</t>
    </r>
    <phoneticPr fontId="4" type="noConversion"/>
  </si>
  <si>
    <r>
      <rPr>
        <sz val="8"/>
        <rFont val="標楷體"/>
        <family val="4"/>
        <charset val="136"/>
      </rPr>
      <t>總計</t>
    </r>
    <phoneticPr fontId="4" type="noConversion"/>
  </si>
  <si>
    <r>
      <rPr>
        <sz val="9"/>
        <color indexed="12"/>
        <rFont val="標楷體"/>
        <family val="4"/>
        <charset val="136"/>
      </rPr>
      <t>計</t>
    </r>
    <phoneticPr fontId="3" type="noConversion"/>
  </si>
  <si>
    <r>
      <rPr>
        <sz val="8"/>
        <rFont val="標楷體"/>
        <family val="4"/>
        <charset val="136"/>
      </rPr>
      <t>一般</t>
    </r>
    <phoneticPr fontId="3" type="noConversion"/>
  </si>
  <si>
    <r>
      <rPr>
        <sz val="8"/>
        <rFont val="標楷體"/>
        <family val="4"/>
        <charset val="136"/>
      </rPr>
      <t>原住民</t>
    </r>
    <phoneticPr fontId="3" type="noConversion"/>
  </si>
  <si>
    <r>
      <rPr>
        <sz val="9"/>
        <color indexed="12"/>
        <rFont val="標楷體"/>
        <family val="4"/>
        <charset val="136"/>
      </rPr>
      <t>計</t>
    </r>
    <phoneticPr fontId="3" type="noConversion"/>
  </si>
  <si>
    <r>
      <rPr>
        <sz val="8"/>
        <rFont val="標楷體"/>
        <family val="4"/>
        <charset val="136"/>
      </rPr>
      <t>一般</t>
    </r>
    <phoneticPr fontId="3" type="noConversion"/>
  </si>
  <si>
    <r>
      <rPr>
        <sz val="8"/>
        <rFont val="標楷體"/>
        <family val="4"/>
        <charset val="136"/>
      </rPr>
      <t>原住民</t>
    </r>
    <phoneticPr fontId="3" type="noConversion"/>
  </si>
  <si>
    <r>
      <rPr>
        <sz val="8"/>
        <rFont val="標楷體"/>
        <family val="4"/>
        <charset val="136"/>
      </rPr>
      <t>　宜蘭縣</t>
    </r>
    <phoneticPr fontId="4" type="noConversion"/>
  </si>
  <si>
    <r>
      <rPr>
        <sz val="8"/>
        <rFont val="標楷體"/>
        <family val="4"/>
        <charset val="136"/>
      </rPr>
      <t>　新竹縣</t>
    </r>
    <phoneticPr fontId="4" type="noConversion"/>
  </si>
  <si>
    <r>
      <rPr>
        <sz val="8"/>
        <rFont val="標楷體"/>
        <family val="4"/>
        <charset val="136"/>
      </rPr>
      <t>　苗栗縣</t>
    </r>
    <phoneticPr fontId="4" type="noConversion"/>
  </si>
  <si>
    <r>
      <rPr>
        <sz val="8"/>
        <rFont val="標楷體"/>
        <family val="4"/>
        <charset val="136"/>
      </rPr>
      <t>　彰化縣</t>
    </r>
    <phoneticPr fontId="4" type="noConversion"/>
  </si>
  <si>
    <r>
      <rPr>
        <sz val="8"/>
        <rFont val="標楷體"/>
        <family val="4"/>
        <charset val="136"/>
      </rPr>
      <t>　南投縣</t>
    </r>
    <phoneticPr fontId="4" type="noConversion"/>
  </si>
  <si>
    <r>
      <rPr>
        <sz val="8"/>
        <rFont val="標楷體"/>
        <family val="4"/>
        <charset val="136"/>
      </rPr>
      <t>　雲林縣</t>
    </r>
    <phoneticPr fontId="4" type="noConversion"/>
  </si>
  <si>
    <r>
      <rPr>
        <sz val="8"/>
        <rFont val="標楷體"/>
        <family val="4"/>
        <charset val="136"/>
      </rPr>
      <t>　嘉義縣</t>
    </r>
    <phoneticPr fontId="4" type="noConversion"/>
  </si>
  <si>
    <r>
      <rPr>
        <sz val="8"/>
        <rFont val="標楷體"/>
        <family val="4"/>
        <charset val="136"/>
      </rPr>
      <t>　屏東縣</t>
    </r>
    <phoneticPr fontId="4" type="noConversion"/>
  </si>
  <si>
    <r>
      <rPr>
        <sz val="8"/>
        <rFont val="標楷體"/>
        <family val="4"/>
        <charset val="136"/>
      </rPr>
      <t>　臺東縣</t>
    </r>
    <phoneticPr fontId="4" type="noConversion"/>
  </si>
  <si>
    <r>
      <rPr>
        <sz val="8"/>
        <rFont val="標楷體"/>
        <family val="4"/>
        <charset val="136"/>
      </rPr>
      <t>　花蓮縣</t>
    </r>
    <phoneticPr fontId="4" type="noConversion"/>
  </si>
  <si>
    <r>
      <rPr>
        <sz val="8"/>
        <rFont val="標楷體"/>
        <family val="4"/>
        <charset val="136"/>
      </rPr>
      <t>　澎湖縣</t>
    </r>
    <phoneticPr fontId="4" type="noConversion"/>
  </si>
  <si>
    <r>
      <rPr>
        <sz val="8"/>
        <rFont val="標楷體"/>
        <family val="4"/>
        <charset val="136"/>
      </rPr>
      <t>　基隆市</t>
    </r>
    <phoneticPr fontId="4" type="noConversion"/>
  </si>
  <si>
    <r>
      <rPr>
        <sz val="8"/>
        <rFont val="標楷體"/>
        <family val="4"/>
        <charset val="136"/>
      </rPr>
      <t>　新竹市</t>
    </r>
    <phoneticPr fontId="4" type="noConversion"/>
  </si>
  <si>
    <r>
      <rPr>
        <sz val="8"/>
        <rFont val="標楷體"/>
        <family val="4"/>
        <charset val="136"/>
      </rPr>
      <t>　嘉義市</t>
    </r>
    <phoneticPr fontId="4" type="noConversion"/>
  </si>
  <si>
    <r>
      <rPr>
        <sz val="8"/>
        <rFont val="標楷體"/>
        <family val="4"/>
        <charset val="136"/>
      </rPr>
      <t>　金門縣</t>
    </r>
    <phoneticPr fontId="4" type="noConversion"/>
  </si>
  <si>
    <r>
      <rPr>
        <sz val="8"/>
        <rFont val="標楷體"/>
        <family val="4"/>
        <charset val="136"/>
      </rPr>
      <t>　連江縣</t>
    </r>
    <phoneticPr fontId="4" type="noConversion"/>
  </si>
  <si>
    <r>
      <rPr>
        <sz val="8"/>
        <color indexed="8"/>
        <rFont val="標楷體"/>
        <family val="4"/>
        <charset val="136"/>
      </rPr>
      <t xml:space="preserve">區域及特殊族群別
</t>
    </r>
    <r>
      <rPr>
        <sz val="8"/>
        <color indexed="8"/>
        <rFont val="Times New Roman"/>
        <family val="1"/>
      </rPr>
      <t>Locality &amp;  Ethnos</t>
    </r>
    <phoneticPr fontId="3" type="noConversion"/>
  </si>
  <si>
    <r>
      <rPr>
        <sz val="8"/>
        <rFont val="標楷體"/>
        <family val="4"/>
        <charset val="136"/>
      </rPr>
      <t>受虐兒童少年人數按年齡分</t>
    </r>
    <r>
      <rPr>
        <sz val="8"/>
        <rFont val="Times New Roman"/>
        <family val="1"/>
      </rPr>
      <t>(</t>
    </r>
    <r>
      <rPr>
        <sz val="8"/>
        <rFont val="標楷體"/>
        <family val="4"/>
        <charset val="136"/>
      </rPr>
      <t>人</t>
    </r>
    <r>
      <rPr>
        <sz val="8"/>
        <rFont val="Times New Roman"/>
        <family val="1"/>
      </rPr>
      <t>) By Age</t>
    </r>
    <phoneticPr fontId="3" type="noConversion"/>
  </si>
  <si>
    <r>
      <rPr>
        <sz val="8"/>
        <rFont val="標楷體"/>
        <family val="4"/>
        <charset val="136"/>
      </rPr>
      <t xml:space="preserve">合計
</t>
    </r>
    <r>
      <rPr>
        <sz val="8"/>
        <rFont val="Times New Roman"/>
        <family val="1"/>
      </rPr>
      <t>Total</t>
    </r>
    <phoneticPr fontId="3" type="noConversion"/>
  </si>
  <si>
    <r>
      <t>0-</t>
    </r>
    <r>
      <rPr>
        <sz val="8"/>
        <color indexed="8"/>
        <rFont val="標楷體"/>
        <family val="4"/>
        <charset val="136"/>
      </rPr>
      <t>未滿</t>
    </r>
    <r>
      <rPr>
        <sz val="8"/>
        <color indexed="8"/>
        <rFont val="Times New Roman"/>
        <family val="1"/>
      </rPr>
      <t>3</t>
    </r>
    <r>
      <rPr>
        <sz val="8"/>
        <color indexed="8"/>
        <rFont val="標楷體"/>
        <family val="4"/>
        <charset val="136"/>
      </rPr>
      <t xml:space="preserve">歲
</t>
    </r>
    <r>
      <rPr>
        <sz val="8"/>
        <color indexed="8"/>
        <rFont val="Times New Roman"/>
        <family val="1"/>
      </rPr>
      <t>Under 3 Years</t>
    </r>
    <phoneticPr fontId="3" type="noConversion"/>
  </si>
  <si>
    <r>
      <t>3-</t>
    </r>
    <r>
      <rPr>
        <sz val="8"/>
        <color indexed="8"/>
        <rFont val="標楷體"/>
        <family val="4"/>
        <charset val="136"/>
      </rPr>
      <t>未滿</t>
    </r>
    <r>
      <rPr>
        <sz val="8"/>
        <color indexed="8"/>
        <rFont val="Times New Roman"/>
        <family val="1"/>
      </rPr>
      <t>6</t>
    </r>
    <r>
      <rPr>
        <sz val="8"/>
        <color indexed="8"/>
        <rFont val="標楷體"/>
        <family val="4"/>
        <charset val="136"/>
      </rPr>
      <t xml:space="preserve">歲
</t>
    </r>
    <r>
      <rPr>
        <sz val="8"/>
        <color indexed="8"/>
        <rFont val="Times New Roman"/>
        <family val="1"/>
      </rPr>
      <t>3-Under 6 Years</t>
    </r>
    <phoneticPr fontId="3" type="noConversion"/>
  </si>
  <si>
    <r>
      <t>6-</t>
    </r>
    <r>
      <rPr>
        <sz val="8"/>
        <color indexed="8"/>
        <rFont val="標楷體"/>
        <family val="4"/>
        <charset val="136"/>
      </rPr>
      <t>未滿</t>
    </r>
    <r>
      <rPr>
        <sz val="8"/>
        <color indexed="8"/>
        <rFont val="Times New Roman"/>
        <family val="1"/>
      </rPr>
      <t>9</t>
    </r>
    <r>
      <rPr>
        <sz val="8"/>
        <color indexed="8"/>
        <rFont val="標楷體"/>
        <family val="4"/>
        <charset val="136"/>
      </rPr>
      <t xml:space="preserve">歲
</t>
    </r>
    <r>
      <rPr>
        <sz val="8"/>
        <color indexed="8"/>
        <rFont val="Times New Roman"/>
        <family val="1"/>
      </rPr>
      <t>6-Under 9 Years</t>
    </r>
    <phoneticPr fontId="3" type="noConversion"/>
  </si>
  <si>
    <r>
      <t>9-</t>
    </r>
    <r>
      <rPr>
        <sz val="8"/>
        <color indexed="8"/>
        <rFont val="標楷體"/>
        <family val="4"/>
        <charset val="136"/>
      </rPr>
      <t>未滿</t>
    </r>
    <r>
      <rPr>
        <sz val="8"/>
        <color indexed="8"/>
        <rFont val="Times New Roman"/>
        <family val="1"/>
      </rPr>
      <t>12</t>
    </r>
    <r>
      <rPr>
        <sz val="8"/>
        <color indexed="8"/>
        <rFont val="標楷體"/>
        <family val="4"/>
        <charset val="136"/>
      </rPr>
      <t xml:space="preserve">歲
</t>
    </r>
    <r>
      <rPr>
        <sz val="8"/>
        <color indexed="8"/>
        <rFont val="Times New Roman"/>
        <family val="1"/>
      </rPr>
      <t>9-Under 12 Years</t>
    </r>
    <phoneticPr fontId="3" type="noConversion"/>
  </si>
  <si>
    <r>
      <t>12-</t>
    </r>
    <r>
      <rPr>
        <sz val="8"/>
        <color indexed="8"/>
        <rFont val="標楷體"/>
        <family val="4"/>
        <charset val="136"/>
      </rPr>
      <t>未滿</t>
    </r>
    <r>
      <rPr>
        <sz val="8"/>
        <color indexed="8"/>
        <rFont val="Times New Roman"/>
        <family val="1"/>
      </rPr>
      <t>15</t>
    </r>
    <r>
      <rPr>
        <sz val="8"/>
        <color indexed="8"/>
        <rFont val="標楷體"/>
        <family val="4"/>
        <charset val="136"/>
      </rPr>
      <t xml:space="preserve">歲
</t>
    </r>
    <r>
      <rPr>
        <sz val="8"/>
        <color indexed="8"/>
        <rFont val="Times New Roman"/>
        <family val="1"/>
      </rPr>
      <t>12-Under 15 Years</t>
    </r>
    <phoneticPr fontId="3" type="noConversion"/>
  </si>
  <si>
    <r>
      <t>15-</t>
    </r>
    <r>
      <rPr>
        <sz val="8"/>
        <color indexed="8"/>
        <rFont val="標楷體"/>
        <family val="4"/>
        <charset val="136"/>
      </rPr>
      <t>未滿</t>
    </r>
    <r>
      <rPr>
        <sz val="8"/>
        <color indexed="8"/>
        <rFont val="Times New Roman"/>
        <family val="1"/>
      </rPr>
      <t>18</t>
    </r>
    <r>
      <rPr>
        <sz val="8"/>
        <color indexed="8"/>
        <rFont val="標楷體"/>
        <family val="4"/>
        <charset val="136"/>
      </rPr>
      <t xml:space="preserve">歲
</t>
    </r>
    <r>
      <rPr>
        <sz val="8"/>
        <color indexed="8"/>
        <rFont val="Times New Roman"/>
        <family val="1"/>
      </rPr>
      <t>15-Under 18 Years</t>
    </r>
    <phoneticPr fontId="3" type="noConversion"/>
  </si>
  <si>
    <r>
      <rPr>
        <sz val="8"/>
        <rFont val="標楷體"/>
        <family val="4"/>
        <charset val="136"/>
      </rPr>
      <t xml:space="preserve">計
</t>
    </r>
    <r>
      <rPr>
        <sz val="8"/>
        <rFont val="Times New Roman"/>
        <family val="1"/>
      </rPr>
      <t>Total</t>
    </r>
    <phoneticPr fontId="4" type="noConversion"/>
  </si>
  <si>
    <r>
      <rPr>
        <sz val="8"/>
        <color indexed="8"/>
        <rFont val="標楷體"/>
        <family val="4"/>
        <charset val="136"/>
      </rPr>
      <t xml:space="preserve">男
</t>
    </r>
    <r>
      <rPr>
        <sz val="8"/>
        <color indexed="8"/>
        <rFont val="Times New Roman"/>
        <family val="1"/>
      </rPr>
      <t xml:space="preserve">Male </t>
    </r>
    <phoneticPr fontId="3" type="noConversion"/>
  </si>
  <si>
    <r>
      <rPr>
        <sz val="8"/>
        <color indexed="8"/>
        <rFont val="標楷體"/>
        <family val="4"/>
        <charset val="136"/>
      </rPr>
      <t xml:space="preserve">女
</t>
    </r>
    <r>
      <rPr>
        <sz val="8"/>
        <color indexed="8"/>
        <rFont val="Times New Roman"/>
        <family val="1"/>
      </rPr>
      <t>Female</t>
    </r>
    <phoneticPr fontId="3" type="noConversion"/>
  </si>
  <si>
    <r>
      <rPr>
        <sz val="8"/>
        <rFont val="標楷體"/>
        <family val="4"/>
        <charset val="136"/>
      </rPr>
      <t>　宜蘭縣</t>
    </r>
    <phoneticPr fontId="4" type="noConversion"/>
  </si>
  <si>
    <r>
      <rPr>
        <sz val="8"/>
        <rFont val="標楷體"/>
        <family val="4"/>
        <charset val="136"/>
      </rPr>
      <t>　新竹縣</t>
    </r>
    <phoneticPr fontId="4" type="noConversion"/>
  </si>
  <si>
    <r>
      <rPr>
        <sz val="8"/>
        <rFont val="標楷體"/>
        <family val="4"/>
        <charset val="136"/>
      </rPr>
      <t>　苗栗縣</t>
    </r>
    <phoneticPr fontId="4" type="noConversion"/>
  </si>
  <si>
    <r>
      <rPr>
        <sz val="8"/>
        <rFont val="標楷體"/>
        <family val="4"/>
        <charset val="136"/>
      </rPr>
      <t>　彰化縣</t>
    </r>
    <phoneticPr fontId="4" type="noConversion"/>
  </si>
  <si>
    <r>
      <rPr>
        <sz val="8"/>
        <rFont val="標楷體"/>
        <family val="4"/>
        <charset val="136"/>
      </rPr>
      <t>　南投縣</t>
    </r>
    <phoneticPr fontId="4" type="noConversion"/>
  </si>
  <si>
    <r>
      <rPr>
        <sz val="8"/>
        <rFont val="標楷體"/>
        <family val="4"/>
        <charset val="136"/>
      </rPr>
      <t>　雲林縣</t>
    </r>
    <phoneticPr fontId="4" type="noConversion"/>
  </si>
  <si>
    <r>
      <rPr>
        <sz val="8"/>
        <rFont val="標楷體"/>
        <family val="4"/>
        <charset val="136"/>
      </rPr>
      <t>　嘉義縣</t>
    </r>
    <phoneticPr fontId="4" type="noConversion"/>
  </si>
  <si>
    <r>
      <rPr>
        <sz val="8"/>
        <rFont val="標楷體"/>
        <family val="4"/>
        <charset val="136"/>
      </rPr>
      <t>　屏東縣</t>
    </r>
    <phoneticPr fontId="4" type="noConversion"/>
  </si>
  <si>
    <r>
      <rPr>
        <sz val="8"/>
        <rFont val="標楷體"/>
        <family val="4"/>
        <charset val="136"/>
      </rPr>
      <t>　臺東縣</t>
    </r>
    <phoneticPr fontId="4" type="noConversion"/>
  </si>
  <si>
    <r>
      <rPr>
        <sz val="8"/>
        <rFont val="標楷體"/>
        <family val="4"/>
        <charset val="136"/>
      </rPr>
      <t>　花蓮縣</t>
    </r>
    <phoneticPr fontId="4" type="noConversion"/>
  </si>
  <si>
    <r>
      <rPr>
        <sz val="8"/>
        <rFont val="標楷體"/>
        <family val="4"/>
        <charset val="136"/>
      </rPr>
      <t>　澎湖縣</t>
    </r>
    <phoneticPr fontId="4" type="noConversion"/>
  </si>
  <si>
    <r>
      <rPr>
        <sz val="8"/>
        <rFont val="標楷體"/>
        <family val="4"/>
        <charset val="136"/>
      </rPr>
      <t>　基隆市</t>
    </r>
    <phoneticPr fontId="4" type="noConversion"/>
  </si>
  <si>
    <r>
      <rPr>
        <sz val="8"/>
        <rFont val="標楷體"/>
        <family val="4"/>
        <charset val="136"/>
      </rPr>
      <t>　新竹市</t>
    </r>
    <phoneticPr fontId="4" type="noConversion"/>
  </si>
  <si>
    <r>
      <rPr>
        <sz val="8"/>
        <rFont val="標楷體"/>
        <family val="4"/>
        <charset val="136"/>
      </rPr>
      <t>　嘉義市</t>
    </r>
    <phoneticPr fontId="4" type="noConversion"/>
  </si>
  <si>
    <r>
      <rPr>
        <sz val="8"/>
        <rFont val="標楷體"/>
        <family val="4"/>
        <charset val="136"/>
      </rPr>
      <t>　金門縣</t>
    </r>
    <phoneticPr fontId="4" type="noConversion"/>
  </si>
  <si>
    <r>
      <rPr>
        <sz val="8"/>
        <rFont val="標楷體"/>
        <family val="4"/>
        <charset val="136"/>
      </rPr>
      <t>　連江縣</t>
    </r>
    <phoneticPr fontId="4" type="noConversion"/>
  </si>
  <si>
    <r>
      <rPr>
        <sz val="8"/>
        <rFont val="標楷體"/>
        <family val="4"/>
        <charset val="136"/>
      </rPr>
      <t>資料來源：各直轄市、縣市政府。</t>
    </r>
    <phoneticPr fontId="4" type="noConversion"/>
  </si>
  <si>
    <r>
      <rPr>
        <sz val="8"/>
        <rFont val="標楷體"/>
        <family val="4"/>
        <charset val="136"/>
      </rPr>
      <t>備註：自</t>
    </r>
    <r>
      <rPr>
        <sz val="8"/>
        <rFont val="Times New Roman"/>
        <family val="1"/>
      </rPr>
      <t>102</t>
    </r>
    <r>
      <rPr>
        <sz val="8"/>
        <rFont val="標楷體"/>
        <family val="4"/>
        <charset val="136"/>
      </rPr>
      <t>年起非屬「受虐兒童少年之受虐者本身因素」不再歸類於『其他』項下統計。</t>
    </r>
    <phoneticPr fontId="4" type="noConversion"/>
  </si>
  <si>
    <r>
      <rPr>
        <sz val="8"/>
        <rFont val="標楷體"/>
        <family val="4"/>
        <charset val="136"/>
      </rPr>
      <t>更新日期：</t>
    </r>
    <r>
      <rPr>
        <sz val="8"/>
        <rFont val="Times New Roman"/>
        <family val="1"/>
      </rPr>
      <t>2016/3/8</t>
    </r>
    <phoneticPr fontId="4" type="noConversion"/>
  </si>
  <si>
    <r>
      <rPr>
        <b/>
        <sz val="16"/>
        <rFont val="標楷體"/>
        <family val="4"/>
        <charset val="136"/>
      </rPr>
      <t>兒童少年保護</t>
    </r>
    <r>
      <rPr>
        <b/>
        <sz val="16"/>
        <rFont val="Times New Roman"/>
        <family val="1"/>
      </rPr>
      <t>-</t>
    </r>
    <r>
      <rPr>
        <b/>
        <sz val="16"/>
        <rFont val="標楷體"/>
        <family val="4"/>
        <charset val="136"/>
      </rPr>
      <t>受虐人數</t>
    </r>
    <r>
      <rPr>
        <b/>
        <sz val="16"/>
        <rFont val="Times New Roman"/>
        <family val="1"/>
      </rPr>
      <t xml:space="preserve"> Number of Abused Child and Youth</t>
    </r>
    <phoneticPr fontId="4" type="noConversion"/>
  </si>
  <si>
    <r>
      <rPr>
        <sz val="10"/>
        <rFont val="標楷體"/>
        <family val="4"/>
        <charset val="136"/>
      </rPr>
      <t xml:space="preserve">年別
</t>
    </r>
    <r>
      <rPr>
        <sz val="10"/>
        <rFont val="Times New Roman"/>
        <family val="1"/>
      </rPr>
      <t>Year</t>
    </r>
    <phoneticPr fontId="3" type="noConversion"/>
  </si>
  <si>
    <r>
      <t>0-</t>
    </r>
    <r>
      <rPr>
        <sz val="10"/>
        <rFont val="標楷體"/>
        <family val="4"/>
        <charset val="136"/>
      </rPr>
      <t>未滿</t>
    </r>
    <r>
      <rPr>
        <sz val="10"/>
        <rFont val="Times New Roman"/>
        <family val="1"/>
      </rPr>
      <t>3</t>
    </r>
    <r>
      <rPr>
        <sz val="10"/>
        <rFont val="標楷體"/>
        <family val="4"/>
        <charset val="136"/>
      </rPr>
      <t xml:space="preserve">歲
</t>
    </r>
    <r>
      <rPr>
        <sz val="10"/>
        <rFont val="Times New Roman"/>
        <family val="1"/>
      </rPr>
      <t>Under 3 Years</t>
    </r>
    <phoneticPr fontId="3" type="noConversion"/>
  </si>
  <si>
    <r>
      <t>3-</t>
    </r>
    <r>
      <rPr>
        <sz val="10"/>
        <rFont val="標楷體"/>
        <family val="4"/>
        <charset val="136"/>
      </rPr>
      <t>未滿</t>
    </r>
    <r>
      <rPr>
        <sz val="10"/>
        <rFont val="Times New Roman"/>
        <family val="1"/>
      </rPr>
      <t>6</t>
    </r>
    <r>
      <rPr>
        <sz val="10"/>
        <rFont val="標楷體"/>
        <family val="4"/>
        <charset val="136"/>
      </rPr>
      <t xml:space="preserve">歲
</t>
    </r>
    <r>
      <rPr>
        <sz val="10"/>
        <rFont val="Times New Roman"/>
        <family val="1"/>
      </rPr>
      <t>3-Under 6 Years</t>
    </r>
    <phoneticPr fontId="3" type="noConversion"/>
  </si>
  <si>
    <r>
      <t>6-</t>
    </r>
    <r>
      <rPr>
        <sz val="10"/>
        <rFont val="標楷體"/>
        <family val="4"/>
        <charset val="136"/>
      </rPr>
      <t>未滿</t>
    </r>
    <r>
      <rPr>
        <sz val="10"/>
        <rFont val="Times New Roman"/>
        <family val="1"/>
      </rPr>
      <t>9</t>
    </r>
    <r>
      <rPr>
        <sz val="10"/>
        <rFont val="標楷體"/>
        <family val="4"/>
        <charset val="136"/>
      </rPr>
      <t xml:space="preserve">歲
</t>
    </r>
    <r>
      <rPr>
        <sz val="10"/>
        <rFont val="Times New Roman"/>
        <family val="1"/>
      </rPr>
      <t>6-Under 9 Years</t>
    </r>
    <phoneticPr fontId="3" type="noConversion"/>
  </si>
  <si>
    <r>
      <t>9-</t>
    </r>
    <r>
      <rPr>
        <sz val="10"/>
        <rFont val="標楷體"/>
        <family val="4"/>
        <charset val="136"/>
      </rPr>
      <t>未滿</t>
    </r>
    <r>
      <rPr>
        <sz val="10"/>
        <rFont val="Times New Roman"/>
        <family val="1"/>
      </rPr>
      <t>12</t>
    </r>
    <r>
      <rPr>
        <sz val="10"/>
        <rFont val="標楷體"/>
        <family val="4"/>
        <charset val="136"/>
      </rPr>
      <t xml:space="preserve">歲
</t>
    </r>
    <r>
      <rPr>
        <sz val="10"/>
        <rFont val="Times New Roman"/>
        <family val="1"/>
      </rPr>
      <t>9-Under 12 Years</t>
    </r>
    <phoneticPr fontId="3" type="noConversion"/>
  </si>
  <si>
    <r>
      <t>12-</t>
    </r>
    <r>
      <rPr>
        <sz val="10"/>
        <rFont val="標楷體"/>
        <family val="4"/>
        <charset val="136"/>
      </rPr>
      <t>未滿</t>
    </r>
    <r>
      <rPr>
        <sz val="10"/>
        <rFont val="Times New Roman"/>
        <family val="1"/>
      </rPr>
      <t>15</t>
    </r>
    <r>
      <rPr>
        <sz val="10"/>
        <rFont val="標楷體"/>
        <family val="4"/>
        <charset val="136"/>
      </rPr>
      <t xml:space="preserve">歲
</t>
    </r>
    <r>
      <rPr>
        <sz val="10"/>
        <rFont val="Times New Roman"/>
        <family val="1"/>
      </rPr>
      <t>12-Under 15 Years</t>
    </r>
    <phoneticPr fontId="3" type="noConversion"/>
  </si>
  <si>
    <r>
      <t>15-</t>
    </r>
    <r>
      <rPr>
        <sz val="10"/>
        <rFont val="標楷體"/>
        <family val="4"/>
        <charset val="136"/>
      </rPr>
      <t>未滿</t>
    </r>
    <r>
      <rPr>
        <sz val="10"/>
        <rFont val="Times New Roman"/>
        <family val="1"/>
      </rPr>
      <t>18</t>
    </r>
    <r>
      <rPr>
        <sz val="10"/>
        <rFont val="標楷體"/>
        <family val="4"/>
        <charset val="136"/>
      </rPr>
      <t xml:space="preserve">歲
</t>
    </r>
    <r>
      <rPr>
        <sz val="10"/>
        <rFont val="Times New Roman"/>
        <family val="1"/>
      </rPr>
      <t>15-Under 18 Years</t>
    </r>
    <phoneticPr fontId="3" type="noConversion"/>
  </si>
  <si>
    <r>
      <rPr>
        <sz val="10"/>
        <rFont val="標楷體"/>
        <family val="4"/>
        <charset val="136"/>
      </rPr>
      <t xml:space="preserve">男
</t>
    </r>
    <r>
      <rPr>
        <sz val="10"/>
        <rFont val="Times New Roman"/>
        <family val="1"/>
      </rPr>
      <t xml:space="preserve">Male </t>
    </r>
    <phoneticPr fontId="3" type="noConversion"/>
  </si>
  <si>
    <r>
      <rPr>
        <sz val="10"/>
        <rFont val="標楷體"/>
        <family val="4"/>
        <charset val="136"/>
      </rPr>
      <t xml:space="preserve">女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</si>
  <si>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標楷體"/>
        <family val="4"/>
        <charset val="136"/>
      </rPr>
      <t>資料來源：各直轄市、縣市政府。</t>
    </r>
    <phoneticPr fontId="4" type="noConversion"/>
  </si>
  <si>
    <t>Source: County and Government.</t>
    <phoneticPr fontId="4" type="noConversion"/>
  </si>
  <si>
    <r>
      <rPr>
        <b/>
        <sz val="14"/>
        <color indexed="10"/>
        <rFont val="標楷體"/>
        <family val="4"/>
        <charset val="136"/>
      </rPr>
      <t>家內</t>
    </r>
    <r>
      <rPr>
        <b/>
        <sz val="14"/>
        <rFont val="標楷體"/>
        <family val="4"/>
        <charset val="136"/>
      </rPr>
      <t>兒童及少年保護</t>
    </r>
    <r>
      <rPr>
        <b/>
        <sz val="14"/>
        <color indexed="10"/>
        <rFont val="標楷體"/>
        <family val="4"/>
        <charset val="136"/>
      </rPr>
      <t>案件</t>
    </r>
    <r>
      <rPr>
        <b/>
        <sz val="14"/>
        <rFont val="Times New Roman"/>
        <family val="1"/>
      </rPr>
      <t>-</t>
    </r>
    <r>
      <rPr>
        <b/>
        <sz val="14"/>
        <rFont val="標楷體"/>
        <family val="4"/>
        <charset val="136"/>
      </rPr>
      <t>受虐人數</t>
    </r>
    <r>
      <rPr>
        <b/>
        <sz val="14"/>
        <rFont val="Times New Roman"/>
        <family val="1"/>
      </rPr>
      <t xml:space="preserve">  Intra-family Child and Youth Protection Cases - Number of Abused</t>
    </r>
    <phoneticPr fontId="4" type="noConversion"/>
  </si>
  <si>
    <r>
      <rPr>
        <sz val="10"/>
        <rFont val="標楷體"/>
        <family val="4"/>
        <charset val="136"/>
      </rPr>
      <t>單位：人</t>
    </r>
    <r>
      <rPr>
        <sz val="10"/>
        <rFont val="Times New Roman"/>
        <family val="1"/>
      </rPr>
      <t xml:space="preserve">  Unit : Persons</t>
    </r>
    <phoneticPr fontId="4" type="noConversion"/>
  </si>
  <si>
    <r>
      <rPr>
        <sz val="10"/>
        <rFont val="標楷體"/>
        <family val="4"/>
        <charset val="136"/>
      </rPr>
      <t>更新日期：</t>
    </r>
    <r>
      <rPr>
        <sz val="10"/>
        <rFont val="Times New Roman"/>
        <family val="1"/>
      </rPr>
      <t>2018/3/31</t>
    </r>
    <phoneticPr fontId="4" type="noConversion"/>
  </si>
  <si>
    <t xml:space="preserve">  新北市</t>
    <phoneticPr fontId="4" type="noConversion"/>
  </si>
  <si>
    <t>New Taipei City</t>
    <phoneticPr fontId="4" type="noConversion"/>
  </si>
  <si>
    <t xml:space="preserve">  臺北市</t>
    <phoneticPr fontId="4" type="noConversion"/>
  </si>
  <si>
    <t>Taipei City</t>
    <phoneticPr fontId="4" type="noConversion"/>
  </si>
  <si>
    <t xml:space="preserve">  桃園市</t>
    <phoneticPr fontId="4" type="noConversion"/>
  </si>
  <si>
    <t>Taoyuan City</t>
    <phoneticPr fontId="4" type="noConversion"/>
  </si>
  <si>
    <t xml:space="preserve">  臺中市</t>
    <phoneticPr fontId="4" type="noConversion"/>
  </si>
  <si>
    <t>Taichung City</t>
    <phoneticPr fontId="4" type="noConversion"/>
  </si>
  <si>
    <t xml:space="preserve">  臺南市</t>
    <phoneticPr fontId="4" type="noConversion"/>
  </si>
  <si>
    <t>Tainan City</t>
    <phoneticPr fontId="4" type="noConversion"/>
  </si>
  <si>
    <t xml:space="preserve">  高雄市</t>
    <phoneticPr fontId="4" type="noConversion"/>
  </si>
  <si>
    <t>Kaohsiung City</t>
    <phoneticPr fontId="4" type="noConversion"/>
  </si>
  <si>
    <t>　新北市</t>
    <phoneticPr fontId="4" type="noConversion"/>
  </si>
  <si>
    <t>　臺北市</t>
    <phoneticPr fontId="4" type="noConversion"/>
  </si>
  <si>
    <t>　桃園市</t>
    <phoneticPr fontId="4" type="noConversion"/>
  </si>
  <si>
    <t>　臺中市</t>
    <phoneticPr fontId="4" type="noConversion"/>
  </si>
  <si>
    <t>　臺南市</t>
    <phoneticPr fontId="4" type="noConversion"/>
  </si>
  <si>
    <t>　高雄市</t>
    <phoneticPr fontId="4" type="noConversion"/>
  </si>
  <si>
    <r>
      <rPr>
        <sz val="10"/>
        <rFont val="標楷體"/>
        <family val="4"/>
        <charset val="136"/>
      </rPr>
      <t>更新日期：</t>
    </r>
    <r>
      <rPr>
        <sz val="10"/>
        <rFont val="Times New Roman"/>
        <family val="1"/>
      </rPr>
      <t>2019/4/1</t>
    </r>
    <phoneticPr fontId="4" type="noConversion"/>
  </si>
  <si>
    <r>
      <t>106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 xml:space="preserve">, 2017 </t>
    </r>
    <phoneticPr fontId="4" type="noConversion"/>
  </si>
  <si>
    <r>
      <rPr>
        <sz val="9"/>
        <rFont val="Times New Roman"/>
        <family val="1"/>
      </rPr>
      <t>105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 xml:space="preserve">, 2016 </t>
    </r>
    <phoneticPr fontId="4" type="noConversion"/>
  </si>
  <si>
    <r>
      <rPr>
        <sz val="9"/>
        <rFont val="Times New Roman"/>
        <family val="1"/>
      </rPr>
      <t>104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>, 2015</t>
    </r>
    <phoneticPr fontId="4" type="noConversion"/>
  </si>
  <si>
    <r>
      <t>108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 xml:space="preserve">, 2019 </t>
    </r>
    <phoneticPr fontId="4" type="noConversion"/>
  </si>
  <si>
    <r>
      <t>107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 xml:space="preserve">, 2018 </t>
    </r>
    <phoneticPr fontId="4" type="noConversion"/>
  </si>
  <si>
    <r>
      <rPr>
        <b/>
        <sz val="14"/>
        <rFont val="標楷體"/>
        <family val="4"/>
        <charset val="136"/>
      </rPr>
      <t>兒童及少年保護</t>
    </r>
    <r>
      <rPr>
        <b/>
        <sz val="14"/>
        <rFont val="Times New Roman"/>
        <family val="1"/>
      </rPr>
      <t>-</t>
    </r>
    <r>
      <rPr>
        <b/>
        <sz val="14"/>
        <rFont val="標楷體"/>
        <family val="4"/>
        <charset val="136"/>
      </rPr>
      <t>受虐人數</t>
    </r>
    <r>
      <rPr>
        <b/>
        <sz val="14"/>
        <rFont val="Times New Roman"/>
        <family val="1"/>
      </rPr>
      <t xml:space="preserve">  Number of Abused Child and Youth</t>
    </r>
    <phoneticPr fontId="4" type="noConversion"/>
  </si>
  <si>
    <r>
      <rPr>
        <b/>
        <sz val="14"/>
        <rFont val="標楷體"/>
        <family val="4"/>
        <charset val="136"/>
      </rPr>
      <t>兒童及少年保護</t>
    </r>
    <r>
      <rPr>
        <b/>
        <sz val="14"/>
        <rFont val="Times New Roman"/>
        <family val="1"/>
      </rPr>
      <t>-</t>
    </r>
    <r>
      <rPr>
        <b/>
        <sz val="14"/>
        <rFont val="標楷體"/>
        <family val="4"/>
        <charset val="136"/>
      </rPr>
      <t>受虐人數</t>
    </r>
    <r>
      <rPr>
        <b/>
        <sz val="14"/>
        <rFont val="Times New Roman"/>
        <family val="1"/>
      </rPr>
      <t xml:space="preserve">  Number of Abused Child and Youth</t>
    </r>
    <phoneticPr fontId="4" type="noConversion"/>
  </si>
  <si>
    <r>
      <rPr>
        <sz val="10"/>
        <rFont val="標楷體"/>
        <family val="4"/>
        <charset val="136"/>
      </rPr>
      <t>更新日期：</t>
    </r>
    <r>
      <rPr>
        <sz val="10"/>
        <rFont val="Times New Roman"/>
        <family val="1"/>
      </rPr>
      <t>2020/3/31</t>
    </r>
    <phoneticPr fontId="4" type="noConversion"/>
  </si>
  <si>
    <r>
      <t>109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2020</t>
    </r>
    <r>
      <rPr>
        <sz val="9"/>
        <rFont val="Times New Roman"/>
        <family val="1"/>
      </rPr>
      <t/>
    </r>
    <phoneticPr fontId="4" type="noConversion"/>
  </si>
  <si>
    <r>
      <rPr>
        <sz val="10"/>
        <rFont val="標楷體"/>
        <family val="4"/>
        <charset val="136"/>
      </rPr>
      <t>上半年</t>
    </r>
    <r>
      <rPr>
        <sz val="10"/>
        <rFont val="Times New Roman"/>
        <family val="1"/>
      </rPr>
      <t>, Jan.-June</t>
    </r>
    <r>
      <rPr>
        <sz val="12"/>
        <color indexed="8"/>
        <rFont val="新細明體"/>
        <family val="1"/>
        <charset val="136"/>
      </rPr>
      <t/>
    </r>
    <phoneticPr fontId="4" type="noConversion"/>
  </si>
  <si>
    <r>
      <rPr>
        <sz val="10"/>
        <rFont val="標楷體"/>
        <family val="4"/>
        <charset val="136"/>
      </rPr>
      <t>下半年</t>
    </r>
    <r>
      <rPr>
        <sz val="10"/>
        <rFont val="Times New Roman"/>
        <family val="1"/>
      </rPr>
      <t>, July-Dec.</t>
    </r>
    <phoneticPr fontId="4" type="noConversion"/>
  </si>
  <si>
    <r>
      <t>108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2019</t>
    </r>
    <phoneticPr fontId="4" type="noConversion"/>
  </si>
  <si>
    <r>
      <rPr>
        <sz val="9"/>
        <rFont val="標楷體"/>
        <family val="4"/>
        <charset val="136"/>
      </rPr>
      <t>民國</t>
    </r>
    <r>
      <rPr>
        <sz val="9"/>
        <rFont val="Times New Roman"/>
        <family val="1"/>
      </rPr>
      <t>109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>, 2020</t>
    </r>
    <phoneticPr fontId="3" type="noConversion"/>
  </si>
  <si>
    <r>
      <rPr>
        <sz val="10"/>
        <rFont val="標楷體"/>
        <family val="4"/>
        <charset val="136"/>
      </rPr>
      <t>更新日期：</t>
    </r>
    <r>
      <rPr>
        <sz val="10"/>
        <rFont val="Times New Roman"/>
        <family val="1"/>
      </rPr>
      <t>2021/03/31</t>
    </r>
    <phoneticPr fontId="4" type="noConversion"/>
  </si>
  <si>
    <r>
      <rPr>
        <sz val="10"/>
        <rFont val="標楷體"/>
        <family val="4"/>
        <charset val="136"/>
      </rPr>
      <t>更新日期：</t>
    </r>
    <r>
      <rPr>
        <sz val="10"/>
        <rFont val="Times New Roman"/>
        <family val="1"/>
      </rPr>
      <t>2022/3/31</t>
    </r>
    <phoneticPr fontId="4" type="noConversion"/>
  </si>
  <si>
    <r>
      <rPr>
        <sz val="9"/>
        <rFont val="標楷體"/>
        <family val="4"/>
        <charset val="136"/>
      </rPr>
      <t>民國</t>
    </r>
    <r>
      <rPr>
        <sz val="9"/>
        <rFont val="Times New Roman"/>
        <family val="1"/>
      </rPr>
      <t>110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>, 2021</t>
    </r>
    <phoneticPr fontId="3" type="noConversion"/>
  </si>
  <si>
    <r>
      <rPr>
        <sz val="10"/>
        <rFont val="標楷體"/>
        <family val="4"/>
        <charset val="136"/>
      </rPr>
      <t>資料來源：各直轄市、縣市政府；</t>
    </r>
    <r>
      <rPr>
        <sz val="10"/>
        <rFont val="Times New Roman"/>
        <family val="1"/>
      </rPr>
      <t>106</t>
    </r>
    <r>
      <rPr>
        <sz val="10"/>
        <rFont val="標楷體"/>
        <family val="4"/>
        <charset val="136"/>
      </rPr>
      <t>年及</t>
    </r>
    <r>
      <rPr>
        <sz val="10"/>
        <rFont val="Times New Roman"/>
        <family val="1"/>
      </rPr>
      <t>107</t>
    </r>
    <r>
      <rPr>
        <sz val="10"/>
        <rFont val="標楷體"/>
        <family val="4"/>
        <charset val="136"/>
      </rPr>
      <t>年歷年由保護服務司另行提供。</t>
    </r>
    <phoneticPr fontId="4" type="noConversion"/>
  </si>
  <si>
    <r>
      <rPr>
        <b/>
        <sz val="10"/>
        <rFont val="標楷體"/>
        <family val="4"/>
        <charset val="136"/>
      </rPr>
      <t>總計</t>
    </r>
    <phoneticPr fontId="4" type="noConversion"/>
  </si>
  <si>
    <r>
      <rPr>
        <b/>
        <sz val="10"/>
        <color indexed="12"/>
        <rFont val="標楷體"/>
        <family val="4"/>
        <charset val="136"/>
      </rPr>
      <t>計</t>
    </r>
    <phoneticPr fontId="3" type="noConversion"/>
  </si>
  <si>
    <r>
      <rPr>
        <b/>
        <sz val="10"/>
        <rFont val="標楷體"/>
        <family val="4"/>
        <charset val="136"/>
      </rPr>
      <t>一般</t>
    </r>
    <phoneticPr fontId="3" type="noConversion"/>
  </si>
  <si>
    <r>
      <rPr>
        <b/>
        <sz val="10"/>
        <rFont val="標楷體"/>
        <family val="4"/>
        <charset val="136"/>
      </rPr>
      <t>原住民</t>
    </r>
    <phoneticPr fontId="3" type="noConversion"/>
  </si>
  <si>
    <r>
      <rPr>
        <b/>
        <sz val="10"/>
        <rFont val="標楷體"/>
        <family val="4"/>
        <charset val="136"/>
      </rPr>
      <t>一般</t>
    </r>
    <phoneticPr fontId="3" type="noConversion"/>
  </si>
  <si>
    <r>
      <rPr>
        <b/>
        <sz val="10"/>
        <color indexed="12"/>
        <rFont val="標楷體"/>
        <family val="4"/>
        <charset val="136"/>
      </rPr>
      <t>計</t>
    </r>
    <phoneticPr fontId="3" type="noConversion"/>
  </si>
  <si>
    <r>
      <rPr>
        <b/>
        <sz val="10"/>
        <rFont val="標楷體"/>
        <family val="4"/>
        <charset val="136"/>
      </rPr>
      <t>原住民</t>
    </r>
    <phoneticPr fontId="3" type="noConversion"/>
  </si>
  <si>
    <r>
      <t>110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2021</t>
    </r>
    <phoneticPr fontId="4" type="noConversion"/>
  </si>
  <si>
    <t>宜蘭縣</t>
    <phoneticPr fontId="4" type="noConversion"/>
  </si>
  <si>
    <t>新竹縣</t>
    <phoneticPr fontId="4" type="noConversion"/>
  </si>
  <si>
    <t>苗栗縣</t>
    <phoneticPr fontId="4" type="noConversion"/>
  </si>
  <si>
    <t>彰化縣</t>
    <phoneticPr fontId="4" type="noConversion"/>
  </si>
  <si>
    <t>南投縣</t>
    <phoneticPr fontId="4" type="noConversion"/>
  </si>
  <si>
    <t>雲林縣</t>
    <phoneticPr fontId="4" type="noConversion"/>
  </si>
  <si>
    <t>嘉義縣</t>
    <phoneticPr fontId="4" type="noConversion"/>
  </si>
  <si>
    <t>屏東縣</t>
    <phoneticPr fontId="4" type="noConversion"/>
  </si>
  <si>
    <t>臺東縣</t>
    <phoneticPr fontId="4" type="noConversion"/>
  </si>
  <si>
    <t>花蓮縣</t>
    <phoneticPr fontId="4" type="noConversion"/>
  </si>
  <si>
    <t>澎湖縣</t>
    <phoneticPr fontId="4" type="noConversion"/>
  </si>
  <si>
    <t>基隆市</t>
    <phoneticPr fontId="4" type="noConversion"/>
  </si>
  <si>
    <t>新竹市</t>
    <phoneticPr fontId="4" type="noConversion"/>
  </si>
  <si>
    <t>嘉義市</t>
    <phoneticPr fontId="4" type="noConversion"/>
  </si>
  <si>
    <t>金門縣</t>
    <phoneticPr fontId="4" type="noConversion"/>
  </si>
  <si>
    <t>連江縣</t>
    <phoneticPr fontId="4" type="noConversion"/>
  </si>
  <si>
    <t>新北市</t>
    <phoneticPr fontId="4" type="noConversion"/>
  </si>
  <si>
    <t>臺北市</t>
    <phoneticPr fontId="4" type="noConversion"/>
  </si>
  <si>
    <t>桃園市</t>
    <phoneticPr fontId="4" type="noConversion"/>
  </si>
  <si>
    <t>臺中市</t>
    <phoneticPr fontId="4" type="noConversion"/>
  </si>
  <si>
    <t>臺南市</t>
    <phoneticPr fontId="4" type="noConversion"/>
  </si>
  <si>
    <t>高雄市</t>
    <phoneticPr fontId="4" type="noConversion"/>
  </si>
  <si>
    <r>
      <rPr>
        <sz val="10"/>
        <rFont val="標楷體"/>
        <family val="4"/>
        <charset val="136"/>
      </rPr>
      <t>更新日期：</t>
    </r>
    <r>
      <rPr>
        <sz val="10"/>
        <rFont val="Times New Roman"/>
        <family val="1"/>
      </rPr>
      <t>2023/3/31</t>
    </r>
    <phoneticPr fontId="4" type="noConversion"/>
  </si>
  <si>
    <r>
      <rPr>
        <sz val="9"/>
        <rFont val="標楷體"/>
        <family val="4"/>
        <charset val="136"/>
      </rPr>
      <t>民國</t>
    </r>
    <r>
      <rPr>
        <sz val="9"/>
        <rFont val="Times New Roman"/>
        <family val="1"/>
      </rPr>
      <t>111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>, 2022</t>
    </r>
    <phoneticPr fontId="3" type="noConversion"/>
  </si>
  <si>
    <r>
      <t>111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2022</t>
    </r>
    <phoneticPr fontId="4" type="noConversion"/>
  </si>
  <si>
    <r>
      <rPr>
        <sz val="9"/>
        <rFont val="標楷體"/>
        <family val="4"/>
        <charset val="136"/>
      </rPr>
      <t>民國</t>
    </r>
    <r>
      <rPr>
        <sz val="9"/>
        <rFont val="Times New Roman"/>
        <family val="1"/>
      </rPr>
      <t>112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>, 2023</t>
    </r>
    <phoneticPr fontId="3" type="noConversion"/>
  </si>
  <si>
    <r>
      <rPr>
        <sz val="10"/>
        <rFont val="標楷體"/>
        <family val="4"/>
        <charset val="136"/>
      </rPr>
      <t>更新日期：</t>
    </r>
    <r>
      <rPr>
        <sz val="10"/>
        <rFont val="Times New Roman"/>
        <family val="1"/>
      </rPr>
      <t>2024/04/01</t>
    </r>
    <phoneticPr fontId="4" type="noConversion"/>
  </si>
  <si>
    <r>
      <t>112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2023</t>
    </r>
    <phoneticPr fontId="4" type="noConversion"/>
  </si>
  <si>
    <r>
      <rPr>
        <sz val="9"/>
        <rFont val="標楷體"/>
        <family val="4"/>
        <charset val="136"/>
      </rPr>
      <t>民國</t>
    </r>
    <r>
      <rPr>
        <sz val="9"/>
        <rFont val="Times New Roman"/>
        <family val="1"/>
      </rPr>
      <t>113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>7-12</t>
    </r>
    <r>
      <rPr>
        <sz val="9"/>
        <rFont val="標楷體"/>
        <family val="4"/>
        <charset val="136"/>
      </rPr>
      <t>月</t>
    </r>
    <r>
      <rPr>
        <sz val="9"/>
        <rFont val="Times New Roman"/>
        <family val="1"/>
      </rPr>
      <t>, July-Dec., 2024</t>
    </r>
    <phoneticPr fontId="3" type="noConversion"/>
  </si>
  <si>
    <r>
      <rPr>
        <sz val="9"/>
        <rFont val="標楷體"/>
        <family val="4"/>
        <charset val="136"/>
      </rPr>
      <t>民國</t>
    </r>
    <r>
      <rPr>
        <sz val="9"/>
        <rFont val="Times New Roman"/>
        <family val="1"/>
      </rPr>
      <t>113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>1-6</t>
    </r>
    <r>
      <rPr>
        <sz val="9"/>
        <rFont val="標楷體"/>
        <family val="4"/>
        <charset val="136"/>
      </rPr>
      <t>月</t>
    </r>
    <r>
      <rPr>
        <sz val="9"/>
        <rFont val="Times New Roman"/>
        <family val="1"/>
      </rPr>
      <t>,Jan.-June, 2024</t>
    </r>
    <phoneticPr fontId="3" type="noConversion"/>
  </si>
  <si>
    <r>
      <rPr>
        <sz val="10"/>
        <rFont val="標楷體"/>
        <family val="4"/>
        <charset val="136"/>
      </rPr>
      <t>更新日期：</t>
    </r>
    <r>
      <rPr>
        <sz val="10"/>
        <rFont val="Times New Roman"/>
        <family val="1"/>
      </rPr>
      <t>2024/09/30</t>
    </r>
    <phoneticPr fontId="4" type="noConversion"/>
  </si>
  <si>
    <t>Indigenous</t>
  </si>
  <si>
    <r>
      <rPr>
        <sz val="9"/>
        <rFont val="標楷體"/>
        <family val="4"/>
        <charset val="136"/>
      </rPr>
      <t>民國</t>
    </r>
    <r>
      <rPr>
        <sz val="9"/>
        <rFont val="Times New Roman"/>
        <family val="1"/>
      </rPr>
      <t>113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>, 2024</t>
    </r>
    <phoneticPr fontId="3" type="noConversion"/>
  </si>
  <si>
    <r>
      <rPr>
        <sz val="10"/>
        <rFont val="標楷體"/>
        <family val="4"/>
        <charset val="136"/>
      </rPr>
      <t>更新日期：</t>
    </r>
    <r>
      <rPr>
        <sz val="10"/>
        <rFont val="Times New Roman"/>
        <family val="1"/>
      </rPr>
      <t>2025/03/31</t>
    </r>
    <phoneticPr fontId="4" type="noConversion"/>
  </si>
  <si>
    <r>
      <t>114</t>
    </r>
    <r>
      <rPr>
        <b/>
        <sz val="10"/>
        <rFont val="標楷體"/>
        <family val="4"/>
        <charset val="136"/>
      </rPr>
      <t>年</t>
    </r>
    <r>
      <rPr>
        <b/>
        <sz val="10"/>
        <rFont val="Times New Roman"/>
        <family val="1"/>
      </rPr>
      <t>, 2025</t>
    </r>
    <phoneticPr fontId="4" type="noConversion"/>
  </si>
  <si>
    <r>
      <t>113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2024</t>
    </r>
    <r>
      <rPr>
        <sz val="12"/>
        <color theme="1"/>
        <rFont val="新細明體"/>
        <family val="2"/>
        <charset val="136"/>
        <scheme val="minor"/>
      </rPr>
      <t/>
    </r>
    <phoneticPr fontId="4" type="noConversion"/>
  </si>
  <si>
    <r>
      <rPr>
        <sz val="9"/>
        <rFont val="標楷體"/>
        <family val="4"/>
        <charset val="136"/>
      </rPr>
      <t>民國</t>
    </r>
    <r>
      <rPr>
        <sz val="9"/>
        <rFont val="Times New Roman"/>
        <family val="1"/>
      </rPr>
      <t>114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>7-12</t>
    </r>
    <r>
      <rPr>
        <sz val="9"/>
        <rFont val="標楷體"/>
        <family val="4"/>
        <charset val="136"/>
      </rPr>
      <t>月</t>
    </r>
    <r>
      <rPr>
        <sz val="9"/>
        <rFont val="Times New Roman"/>
        <family val="1"/>
      </rPr>
      <t xml:space="preserve"> July-Dec., 2025</t>
    </r>
    <phoneticPr fontId="3" type="noConversion"/>
  </si>
  <si>
    <r>
      <rPr>
        <sz val="9"/>
        <rFont val="標楷體"/>
        <family val="4"/>
        <charset val="136"/>
      </rPr>
      <t>民國</t>
    </r>
    <r>
      <rPr>
        <sz val="9"/>
        <rFont val="Times New Roman"/>
        <family val="1"/>
      </rPr>
      <t>114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>1-6</t>
    </r>
    <r>
      <rPr>
        <sz val="9"/>
        <rFont val="標楷體"/>
        <family val="4"/>
        <charset val="136"/>
      </rPr>
      <t>月</t>
    </r>
    <r>
      <rPr>
        <sz val="9"/>
        <rFont val="Times New Roman"/>
        <family val="1"/>
      </rPr>
      <t xml:space="preserve"> Jan.-June, 2025</t>
    </r>
    <phoneticPr fontId="3" type="noConversion"/>
  </si>
  <si>
    <r>
      <rPr>
        <sz val="10"/>
        <rFont val="標楷體"/>
        <family val="4"/>
        <charset val="136"/>
      </rPr>
      <t>更新日期：</t>
    </r>
    <r>
      <rPr>
        <sz val="10"/>
        <rFont val="Times New Roman"/>
        <family val="1"/>
      </rPr>
      <t>2025/09/30</t>
    </r>
    <phoneticPr fontId="4" type="noConversion"/>
  </si>
  <si>
    <r>
      <t xml:space="preserve">  </t>
    </r>
    <r>
      <rPr>
        <sz val="10"/>
        <rFont val="標楷體"/>
        <family val="4"/>
        <charset val="136"/>
      </rPr>
      <t>上半年</t>
    </r>
    <r>
      <rPr>
        <sz val="10"/>
        <rFont val="Times New Roman"/>
        <family val="1"/>
      </rPr>
      <t>, Jan.-June</t>
    </r>
    <r>
      <rPr>
        <sz val="12"/>
        <color indexed="8"/>
        <rFont val="新細明體"/>
        <family val="1"/>
        <charset val="136"/>
      </rPr>
      <t/>
    </r>
    <phoneticPr fontId="4" type="noConversion"/>
  </si>
  <si>
    <r>
      <rPr>
        <sz val="10"/>
        <rFont val="標楷體"/>
        <family val="4"/>
        <charset val="136"/>
      </rPr>
      <t>更新日期：</t>
    </r>
    <r>
      <rPr>
        <sz val="10"/>
        <rFont val="Times New Roman"/>
        <family val="1"/>
      </rPr>
      <t>2026/03/31</t>
    </r>
    <phoneticPr fontId="4" type="noConversion"/>
  </si>
  <si>
    <r>
      <rPr>
        <sz val="9"/>
        <rFont val="標楷體"/>
        <family val="4"/>
        <charset val="136"/>
      </rPr>
      <t>民國</t>
    </r>
    <r>
      <rPr>
        <sz val="9"/>
        <rFont val="Times New Roman"/>
        <family val="1"/>
      </rPr>
      <t>114</t>
    </r>
    <r>
      <rPr>
        <sz val="9"/>
        <rFont val="標楷體"/>
        <family val="4"/>
        <charset val="136"/>
      </rPr>
      <t>年</t>
    </r>
    <r>
      <rPr>
        <sz val="9"/>
        <rFont val="Times New Roman"/>
        <family val="1"/>
      </rPr>
      <t>, 2025</t>
    </r>
    <phoneticPr fontId="3" type="noConversion"/>
  </si>
  <si>
    <r>
      <t xml:space="preserve">  </t>
    </r>
    <r>
      <rPr>
        <sz val="10"/>
        <rFont val="標楷體"/>
        <family val="4"/>
        <charset val="136"/>
      </rPr>
      <t>下半年</t>
    </r>
    <r>
      <rPr>
        <sz val="10"/>
        <rFont val="Times New Roman"/>
        <family val="1"/>
      </rPr>
      <t>, July-Dec.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</si>
</sst>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－&quot;"/>
    <numFmt numFmtId="177" formatCode="#,##0_);[Red]\(#,##0\)"/>
  </numFmts>
  <fonts count="41" x14ac:knownFonts="1">
    <font>
      <sz val="9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9"/>
      <name val="Times New Roman"/>
      <family val="1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16"/>
      <name val="標楷體"/>
      <family val="4"/>
      <charset val="136"/>
    </font>
    <font>
      <sz val="8"/>
      <name val="標楷體"/>
      <family val="4"/>
      <charset val="136"/>
    </font>
    <font>
      <sz val="9"/>
      <name val="標楷體"/>
      <family val="4"/>
      <charset val="136"/>
    </font>
    <font>
      <sz val="8"/>
      <color indexed="8"/>
      <name val="標楷體"/>
      <family val="4"/>
      <charset val="136"/>
    </font>
    <font>
      <b/>
      <sz val="16"/>
      <name val="Times New Roman"/>
      <family val="1"/>
    </font>
    <font>
      <b/>
      <sz val="12"/>
      <name val="Times New Roman"/>
      <family val="1"/>
    </font>
    <font>
      <sz val="8"/>
      <name val="Times New Roman"/>
      <family val="1"/>
    </font>
    <font>
      <sz val="8"/>
      <color indexed="8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color indexed="8"/>
      <name val="Times New Roman"/>
      <family val="1"/>
    </font>
    <font>
      <sz val="10"/>
      <color indexed="8"/>
      <name val="標楷體"/>
      <family val="4"/>
      <charset val="136"/>
    </font>
    <font>
      <sz val="10"/>
      <color indexed="12"/>
      <name val="Times New Roman"/>
      <family val="1"/>
    </font>
    <font>
      <sz val="10"/>
      <color indexed="12"/>
      <name val="標楷體"/>
      <family val="4"/>
      <charset val="136"/>
    </font>
    <font>
      <sz val="9"/>
      <color indexed="12"/>
      <name val="Times New Roman"/>
      <family val="1"/>
    </font>
    <font>
      <sz val="9"/>
      <color indexed="12"/>
      <name val="標楷體"/>
      <family val="4"/>
      <charset val="136"/>
    </font>
    <font>
      <sz val="8"/>
      <color indexed="12"/>
      <name val="Times New Roman"/>
      <family val="1"/>
    </font>
    <font>
      <sz val="16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b/>
      <sz val="14"/>
      <color indexed="10"/>
      <name val="標楷體"/>
      <family val="4"/>
      <charset val="136"/>
    </font>
    <font>
      <b/>
      <sz val="14"/>
      <name val="標楷體"/>
      <family val="4"/>
      <charset val="136"/>
    </font>
    <font>
      <sz val="12"/>
      <color indexed="8"/>
      <name val="新細明體"/>
      <family val="1"/>
      <charset val="136"/>
    </font>
    <font>
      <sz val="10"/>
      <name val="Times New Roman"/>
      <family val="4"/>
      <charset val="136"/>
    </font>
    <font>
      <sz val="9"/>
      <name val="Times New Roman"/>
      <family val="4"/>
      <charset val="136"/>
    </font>
    <font>
      <b/>
      <sz val="10"/>
      <name val="Times New Roman"/>
      <family val="1"/>
    </font>
    <font>
      <b/>
      <sz val="10"/>
      <name val="標楷體"/>
      <family val="4"/>
      <charset val="136"/>
    </font>
    <font>
      <b/>
      <sz val="10"/>
      <color indexed="12"/>
      <name val="Times New Roman"/>
      <family val="1"/>
    </font>
    <font>
      <b/>
      <sz val="10"/>
      <color indexed="12"/>
      <name val="標楷體"/>
      <family val="4"/>
      <charset val="136"/>
    </font>
    <font>
      <sz val="8"/>
      <color theme="0"/>
      <name val="Times New Roman"/>
      <family val="1"/>
    </font>
    <font>
      <sz val="10"/>
      <color theme="0"/>
      <name val="Times New Roman"/>
      <family val="1"/>
    </font>
    <font>
      <sz val="10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>
      <alignment vertical="center"/>
    </xf>
    <xf numFmtId="0" fontId="5" fillId="0" borderId="0"/>
    <xf numFmtId="0" fontId="5" fillId="0" borderId="0"/>
  </cellStyleXfs>
  <cellXfs count="137">
    <xf numFmtId="0" fontId="0" fillId="0" borderId="0" xfId="0"/>
    <xf numFmtId="177" fontId="12" fillId="0" borderId="0" xfId="0" applyNumberFormat="1" applyFont="1" applyAlignment="1">
      <alignment vertical="center"/>
    </xf>
    <xf numFmtId="177" fontId="14" fillId="0" borderId="0" xfId="1" applyNumberFormat="1" applyFont="1" applyAlignment="1">
      <alignment horizontal="centerContinuous" vertical="center"/>
    </xf>
    <xf numFmtId="177" fontId="13" fillId="0" borderId="0" xfId="0" applyNumberFormat="1" applyFont="1" applyAlignment="1">
      <alignment horizontal="centerContinuous" vertical="center"/>
    </xf>
    <xf numFmtId="177" fontId="14" fillId="0" borderId="0" xfId="1" applyNumberFormat="1" applyFont="1">
      <alignment vertical="center"/>
    </xf>
    <xf numFmtId="0" fontId="0" fillId="0" borderId="0" xfId="0" applyAlignment="1">
      <alignment horizontal="centerContinuous"/>
    </xf>
    <xf numFmtId="177" fontId="14" fillId="0" borderId="0" xfId="1" applyNumberFormat="1" applyFont="1" applyAlignment="1">
      <alignment horizontal="center" vertical="center"/>
    </xf>
    <xf numFmtId="177" fontId="14" fillId="0" borderId="0" xfId="1" applyNumberFormat="1" applyFont="1" applyAlignment="1">
      <alignment horizontal="center" wrapText="1"/>
    </xf>
    <xf numFmtId="0" fontId="0" fillId="0" borderId="0" xfId="3" applyFont="1"/>
    <xf numFmtId="177" fontId="16" fillId="0" borderId="0" xfId="1" applyNumberFormat="1" applyFont="1">
      <alignment vertical="center"/>
    </xf>
    <xf numFmtId="0" fontId="0" fillId="0" borderId="0" xfId="0" applyAlignment="1">
      <alignment horizontal="left"/>
    </xf>
    <xf numFmtId="0" fontId="14" fillId="0" borderId="0" xfId="1" applyFont="1">
      <alignment vertical="center"/>
    </xf>
    <xf numFmtId="177" fontId="14" fillId="0" borderId="0" xfId="1" applyNumberFormat="1" applyFont="1" applyAlignment="1">
      <alignment horizontal="left" wrapText="1"/>
    </xf>
    <xf numFmtId="176" fontId="14" fillId="0" borderId="0" xfId="0" applyNumberFormat="1" applyFont="1" applyAlignment="1">
      <alignment horizontal="right"/>
    </xf>
    <xf numFmtId="176" fontId="14" fillId="0" borderId="1" xfId="0" applyNumberFormat="1" applyFont="1" applyBorder="1" applyAlignment="1">
      <alignment horizontal="right"/>
    </xf>
    <xf numFmtId="0" fontId="17" fillId="0" borderId="0" xfId="0" applyFont="1" applyAlignment="1">
      <alignment horizontal="left"/>
    </xf>
    <xf numFmtId="0" fontId="17" fillId="0" borderId="0" xfId="1" applyFont="1">
      <alignment vertical="center"/>
    </xf>
    <xf numFmtId="177" fontId="17" fillId="0" borderId="0" xfId="1" applyNumberFormat="1" applyFont="1">
      <alignment vertical="center"/>
    </xf>
    <xf numFmtId="177" fontId="17" fillId="0" borderId="0" xfId="1" applyNumberFormat="1" applyFont="1" applyAlignment="1">
      <alignment horizontal="center" vertical="center"/>
    </xf>
    <xf numFmtId="177" fontId="17" fillId="0" borderId="0" xfId="1" applyNumberFormat="1" applyFont="1" applyAlignment="1">
      <alignment horizontal="center" wrapText="1"/>
    </xf>
    <xf numFmtId="177" fontId="17" fillId="0" borderId="0" xfId="1" applyNumberFormat="1" applyFont="1" applyAlignment="1">
      <alignment horizontal="left" wrapText="1"/>
    </xf>
    <xf numFmtId="176" fontId="17" fillId="0" borderId="0" xfId="0" applyNumberFormat="1" applyFont="1" applyAlignment="1">
      <alignment horizontal="right"/>
    </xf>
    <xf numFmtId="176" fontId="17" fillId="0" borderId="1" xfId="0" applyNumberFormat="1" applyFont="1" applyBorder="1" applyAlignment="1">
      <alignment horizontal="right"/>
    </xf>
    <xf numFmtId="0" fontId="17" fillId="0" borderId="0" xfId="3" applyFont="1"/>
    <xf numFmtId="49" fontId="17" fillId="3" borderId="2" xfId="0" applyNumberFormat="1" applyFont="1" applyFill="1" applyBorder="1" applyAlignment="1">
      <alignment vertical="center"/>
    </xf>
    <xf numFmtId="49" fontId="21" fillId="3" borderId="3" xfId="2" applyNumberFormat="1" applyFont="1" applyFill="1" applyBorder="1" applyAlignment="1">
      <alignment horizontal="right" vertical="center"/>
    </xf>
    <xf numFmtId="49" fontId="21" fillId="3" borderId="4" xfId="2" applyNumberFormat="1" applyFont="1" applyFill="1" applyBorder="1" applyAlignment="1">
      <alignment horizontal="left" vertical="center"/>
    </xf>
    <xf numFmtId="176" fontId="21" fillId="3" borderId="0" xfId="0" applyNumberFormat="1" applyFont="1" applyFill="1" applyAlignment="1">
      <alignment horizontal="right" vertical="center"/>
    </xf>
    <xf numFmtId="49" fontId="17" fillId="0" borderId="5" xfId="2" applyNumberFormat="1" applyFont="1" applyBorder="1" applyAlignment="1">
      <alignment horizontal="right" vertical="center"/>
    </xf>
    <xf numFmtId="49" fontId="17" fillId="0" borderId="6" xfId="2" applyNumberFormat="1" applyFont="1" applyBorder="1" applyAlignment="1">
      <alignment horizontal="left" vertical="center"/>
    </xf>
    <xf numFmtId="49" fontId="17" fillId="0" borderId="7" xfId="2" applyNumberFormat="1" applyFont="1" applyBorder="1" applyAlignment="1">
      <alignment horizontal="right" vertical="center"/>
    </xf>
    <xf numFmtId="49" fontId="17" fillId="0" borderId="8" xfId="2" applyNumberFormat="1" applyFont="1" applyBorder="1" applyAlignment="1">
      <alignment horizontal="left" vertical="center"/>
    </xf>
    <xf numFmtId="176" fontId="17" fillId="0" borderId="0" xfId="0" applyNumberFormat="1" applyFont="1" applyAlignment="1">
      <alignment horizontal="right" vertical="center"/>
    </xf>
    <xf numFmtId="177" fontId="17" fillId="0" borderId="0" xfId="1" applyNumberFormat="1" applyFont="1" applyAlignment="1">
      <alignment horizontal="right" vertical="center" wrapText="1"/>
    </xf>
    <xf numFmtId="49" fontId="14" fillId="3" borderId="2" xfId="0" applyNumberFormat="1" applyFont="1" applyFill="1" applyBorder="1" applyAlignment="1">
      <alignment vertical="center"/>
    </xf>
    <xf numFmtId="49" fontId="23" fillId="3" borderId="3" xfId="2" applyNumberFormat="1" applyFont="1" applyFill="1" applyBorder="1" applyAlignment="1">
      <alignment horizontal="right" vertical="center"/>
    </xf>
    <xf numFmtId="49" fontId="23" fillId="3" borderId="4" xfId="2" applyNumberFormat="1" applyFont="1" applyFill="1" applyBorder="1" applyAlignment="1">
      <alignment horizontal="left" vertical="center"/>
    </xf>
    <xf numFmtId="176" fontId="25" fillId="3" borderId="0" xfId="0" applyNumberFormat="1" applyFont="1" applyFill="1" applyAlignment="1">
      <alignment horizontal="right" vertical="center"/>
    </xf>
    <xf numFmtId="49" fontId="14" fillId="0" borderId="5" xfId="2" applyNumberFormat="1" applyFont="1" applyBorder="1" applyAlignment="1">
      <alignment horizontal="right" vertical="center"/>
    </xf>
    <xf numFmtId="49" fontId="14" fillId="0" borderId="6" xfId="2" applyNumberFormat="1" applyFont="1" applyBorder="1" applyAlignment="1">
      <alignment horizontal="left" vertical="center"/>
    </xf>
    <xf numFmtId="49" fontId="14" fillId="0" borderId="7" xfId="2" applyNumberFormat="1" applyFont="1" applyBorder="1" applyAlignment="1">
      <alignment horizontal="right" vertical="center"/>
    </xf>
    <xf numFmtId="49" fontId="14" fillId="0" borderId="8" xfId="2" applyNumberFormat="1" applyFont="1" applyBorder="1" applyAlignment="1">
      <alignment horizontal="left" vertical="center"/>
    </xf>
    <xf numFmtId="177" fontId="26" fillId="0" borderId="0" xfId="0" applyNumberFormat="1" applyFont="1" applyAlignment="1">
      <alignment vertical="center"/>
    </xf>
    <xf numFmtId="177" fontId="27" fillId="0" borderId="0" xfId="0" applyNumberFormat="1" applyFont="1" applyAlignment="1">
      <alignment horizontal="centerContinuous" vertical="center"/>
    </xf>
    <xf numFmtId="0" fontId="2" fillId="0" borderId="0" xfId="3" applyFont="1"/>
    <xf numFmtId="49" fontId="8" fillId="0" borderId="1" xfId="2" applyNumberFormat="1" applyFont="1" applyBorder="1" applyAlignment="1">
      <alignment vertical="center"/>
    </xf>
    <xf numFmtId="49" fontId="28" fillId="0" borderId="0" xfId="2" applyNumberFormat="1" applyFont="1" applyAlignment="1">
      <alignment vertical="center"/>
    </xf>
    <xf numFmtId="49" fontId="8" fillId="0" borderId="0" xfId="2" applyNumberFormat="1" applyFont="1" applyAlignment="1">
      <alignment vertical="center"/>
    </xf>
    <xf numFmtId="177" fontId="17" fillId="0" borderId="10" xfId="1" applyNumberFormat="1" applyFont="1" applyBorder="1">
      <alignment vertical="center"/>
    </xf>
    <xf numFmtId="49" fontId="9" fillId="3" borderId="2" xfId="0" applyNumberFormat="1" applyFont="1" applyFill="1" applyBorder="1" applyAlignment="1">
      <alignment vertical="center"/>
    </xf>
    <xf numFmtId="49" fontId="18" fillId="3" borderId="2" xfId="0" applyNumberFormat="1" applyFont="1" applyFill="1" applyBorder="1" applyAlignment="1">
      <alignment vertical="center"/>
    </xf>
    <xf numFmtId="0" fontId="0" fillId="0" borderId="1" xfId="2" applyFont="1" applyBorder="1"/>
    <xf numFmtId="177" fontId="32" fillId="0" borderId="0" xfId="1" applyNumberFormat="1" applyFont="1">
      <alignment vertical="center"/>
    </xf>
    <xf numFmtId="0" fontId="33" fillId="0" borderId="1" xfId="2" applyFont="1" applyBorder="1"/>
    <xf numFmtId="177" fontId="32" fillId="0" borderId="10" xfId="1" applyNumberFormat="1" applyFont="1" applyBorder="1">
      <alignment vertical="center"/>
    </xf>
    <xf numFmtId="176" fontId="34" fillId="0" borderId="0" xfId="0" applyNumberFormat="1" applyFont="1" applyAlignment="1">
      <alignment horizontal="right" vertical="center"/>
    </xf>
    <xf numFmtId="49" fontId="36" fillId="3" borderId="3" xfId="2" applyNumberFormat="1" applyFont="1" applyFill="1" applyBorder="1" applyAlignment="1">
      <alignment horizontal="right" vertical="center"/>
    </xf>
    <xf numFmtId="49" fontId="36" fillId="3" borderId="4" xfId="2" applyNumberFormat="1" applyFont="1" applyFill="1" applyBorder="1" applyAlignment="1">
      <alignment horizontal="left" vertical="center"/>
    </xf>
    <xf numFmtId="176" fontId="36" fillId="3" borderId="0" xfId="0" applyNumberFormat="1" applyFont="1" applyFill="1" applyAlignment="1">
      <alignment horizontal="right" vertical="center"/>
    </xf>
    <xf numFmtId="177" fontId="34" fillId="0" borderId="0" xfId="1" applyNumberFormat="1" applyFont="1" applyAlignment="1">
      <alignment horizontal="left" wrapText="1"/>
    </xf>
    <xf numFmtId="49" fontId="34" fillId="0" borderId="5" xfId="2" applyNumberFormat="1" applyFont="1" applyBorder="1" applyAlignment="1">
      <alignment horizontal="right" vertical="center"/>
    </xf>
    <xf numFmtId="49" fontId="34" fillId="0" borderId="6" xfId="2" applyNumberFormat="1" applyFont="1" applyBorder="1" applyAlignment="1">
      <alignment horizontal="left" vertical="center"/>
    </xf>
    <xf numFmtId="176" fontId="34" fillId="0" borderId="0" xfId="0" applyNumberFormat="1" applyFont="1" applyAlignment="1">
      <alignment horizontal="right"/>
    </xf>
    <xf numFmtId="49" fontId="34" fillId="3" borderId="2" xfId="0" applyNumberFormat="1" applyFont="1" applyFill="1" applyBorder="1" applyAlignment="1">
      <alignment horizontal="center" vertical="center"/>
    </xf>
    <xf numFmtId="49" fontId="18" fillId="3" borderId="2" xfId="0" applyNumberFormat="1" applyFont="1" applyFill="1" applyBorder="1" applyAlignment="1">
      <alignment horizontal="center" vertical="center"/>
    </xf>
    <xf numFmtId="177" fontId="38" fillId="0" borderId="0" xfId="1" applyNumberFormat="1" applyFont="1">
      <alignment vertical="center"/>
    </xf>
    <xf numFmtId="177" fontId="39" fillId="0" borderId="0" xfId="1" applyNumberFormat="1" applyFont="1">
      <alignment vertical="center"/>
    </xf>
    <xf numFmtId="177" fontId="17" fillId="0" borderId="6" xfId="1" applyNumberFormat="1" applyFont="1" applyBorder="1" applyAlignment="1">
      <alignment horizontal="left" vertical="center" wrapText="1" indent="1"/>
    </xf>
    <xf numFmtId="49" fontId="17" fillId="0" borderId="6" xfId="0" applyNumberFormat="1" applyFont="1" applyBorder="1" applyAlignment="1">
      <alignment horizontal="left" vertical="center" wrapText="1" indent="1"/>
    </xf>
    <xf numFmtId="177" fontId="34" fillId="0" borderId="6" xfId="1" applyNumberFormat="1" applyFont="1" applyBorder="1" applyAlignment="1">
      <alignment horizontal="left" vertical="center" wrapText="1" indent="1"/>
    </xf>
    <xf numFmtId="49" fontId="17" fillId="0" borderId="6" xfId="0" applyNumberFormat="1" applyFont="1" applyBorder="1" applyAlignment="1">
      <alignment horizontal="left" wrapText="1"/>
    </xf>
    <xf numFmtId="177" fontId="40" fillId="0" borderId="0" xfId="1" applyNumberFormat="1" applyFont="1">
      <alignment vertical="center"/>
    </xf>
    <xf numFmtId="177" fontId="17" fillId="0" borderId="9" xfId="1" applyNumberFormat="1" applyFont="1" applyBorder="1" applyAlignment="1">
      <alignment horizontal="center" vertical="center" wrapText="1"/>
    </xf>
    <xf numFmtId="177" fontId="17" fillId="0" borderId="11" xfId="1" applyNumberFormat="1" applyFont="1" applyBorder="1" applyAlignment="1">
      <alignment horizontal="center" vertical="center"/>
    </xf>
    <xf numFmtId="177" fontId="17" fillId="0" borderId="2" xfId="1" applyNumberFormat="1" applyFont="1" applyBorder="1" applyAlignment="1">
      <alignment horizontal="center" vertical="center" wrapText="1"/>
    </xf>
    <xf numFmtId="177" fontId="17" fillId="0" borderId="11" xfId="1" applyNumberFormat="1" applyFont="1" applyBorder="1" applyAlignment="1">
      <alignment horizontal="center" vertical="center" wrapText="1"/>
    </xf>
    <xf numFmtId="177" fontId="17" fillId="0" borderId="12" xfId="1" applyNumberFormat="1" applyFont="1" applyBorder="1" applyAlignment="1">
      <alignment horizontal="center" vertical="center"/>
    </xf>
    <xf numFmtId="177" fontId="17" fillId="0" borderId="13" xfId="1" applyNumberFormat="1" applyFont="1" applyBorder="1" applyAlignment="1">
      <alignment horizontal="center" vertical="center"/>
    </xf>
    <xf numFmtId="177" fontId="17" fillId="0" borderId="12" xfId="1" applyNumberFormat="1" applyFont="1" applyBorder="1" applyAlignment="1">
      <alignment horizontal="center" vertical="center" wrapText="1"/>
    </xf>
    <xf numFmtId="177" fontId="17" fillId="0" borderId="13" xfId="1" applyNumberFormat="1" applyFont="1" applyBorder="1" applyAlignment="1">
      <alignment horizontal="center" vertical="center" wrapText="1"/>
    </xf>
    <xf numFmtId="177" fontId="17" fillId="0" borderId="14" xfId="1" applyNumberFormat="1" applyFont="1" applyBorder="1" applyAlignment="1">
      <alignment horizontal="center" vertical="center" wrapText="1"/>
    </xf>
    <xf numFmtId="177" fontId="17" fillId="0" borderId="14" xfId="1" applyNumberFormat="1" applyFont="1" applyBorder="1" applyAlignment="1">
      <alignment horizontal="center" vertical="center"/>
    </xf>
    <xf numFmtId="177" fontId="17" fillId="0" borderId="4" xfId="1" applyNumberFormat="1" applyFont="1" applyBorder="1" applyAlignment="1">
      <alignment horizontal="center" vertical="center" wrapText="1"/>
    </xf>
    <xf numFmtId="177" fontId="17" fillId="0" borderId="8" xfId="1" applyNumberFormat="1" applyFont="1" applyBorder="1" applyAlignment="1">
      <alignment horizontal="center" vertical="center"/>
    </xf>
    <xf numFmtId="177" fontId="17" fillId="0" borderId="3" xfId="1" applyNumberFormat="1" applyFont="1" applyBorder="1" applyAlignment="1">
      <alignment horizontal="center" vertical="center" wrapText="1"/>
    </xf>
    <xf numFmtId="177" fontId="17" fillId="0" borderId="7" xfId="1" applyNumberFormat="1" applyFont="1" applyBorder="1" applyAlignment="1">
      <alignment horizontal="center" vertical="center"/>
    </xf>
    <xf numFmtId="49" fontId="17" fillId="2" borderId="2" xfId="0" applyNumberFormat="1" applyFont="1" applyFill="1" applyBorder="1" applyAlignment="1">
      <alignment horizontal="center" vertical="center"/>
    </xf>
    <xf numFmtId="49" fontId="17" fillId="2" borderId="11" xfId="0" applyNumberFormat="1" applyFont="1" applyFill="1" applyBorder="1" applyAlignment="1">
      <alignment horizontal="center" vertical="center"/>
    </xf>
    <xf numFmtId="49" fontId="34" fillId="0" borderId="2" xfId="2" applyNumberFormat="1" applyFont="1" applyBorder="1" applyAlignment="1">
      <alignment horizontal="center" vertical="center" wrapText="1"/>
    </xf>
    <xf numFmtId="49" fontId="34" fillId="0" borderId="11" xfId="2" applyNumberFormat="1" applyFont="1" applyBorder="1" applyAlignment="1">
      <alignment horizontal="center" vertical="center" wrapText="1"/>
    </xf>
    <xf numFmtId="177" fontId="19" fillId="0" borderId="9" xfId="1" applyNumberFormat="1" applyFont="1" applyBorder="1" applyAlignment="1">
      <alignment horizontal="center" vertical="center" wrapText="1"/>
    </xf>
    <xf numFmtId="177" fontId="19" fillId="0" borderId="11" xfId="1" applyNumberFormat="1" applyFont="1" applyBorder="1" applyAlignment="1">
      <alignment horizontal="center" vertical="center"/>
    </xf>
    <xf numFmtId="177" fontId="19" fillId="0" borderId="4" xfId="1" applyNumberFormat="1" applyFont="1" applyBorder="1" applyAlignment="1">
      <alignment horizontal="center" vertical="center" wrapText="1"/>
    </xf>
    <xf numFmtId="177" fontId="19" fillId="0" borderId="8" xfId="1" applyNumberFormat="1" applyFont="1" applyBorder="1" applyAlignment="1">
      <alignment horizontal="center" vertical="center"/>
    </xf>
    <xf numFmtId="177" fontId="19" fillId="0" borderId="3" xfId="1" applyNumberFormat="1" applyFont="1" applyBorder="1" applyAlignment="1">
      <alignment horizontal="center" vertical="center" wrapText="1"/>
    </xf>
    <xf numFmtId="177" fontId="19" fillId="0" borderId="10" xfId="1" applyNumberFormat="1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177" fontId="19" fillId="0" borderId="5" xfId="1" applyNumberFormat="1" applyFont="1" applyBorder="1" applyAlignment="1">
      <alignment horizontal="center" vertical="center"/>
    </xf>
    <xf numFmtId="177" fontId="19" fillId="0" borderId="0" xfId="1" applyNumberFormat="1" applyFont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177" fontId="19" fillId="0" borderId="7" xfId="1" applyNumberFormat="1" applyFont="1" applyBorder="1" applyAlignment="1">
      <alignment horizontal="center" vertical="center"/>
    </xf>
    <xf numFmtId="177" fontId="19" fillId="0" borderId="1" xfId="1" applyNumberFormat="1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177" fontId="19" fillId="0" borderId="12" xfId="1" applyNumberFormat="1" applyFont="1" applyBorder="1" applyAlignment="1">
      <alignment horizontal="center" vertical="center" wrapText="1"/>
    </xf>
    <xf numFmtId="177" fontId="19" fillId="0" borderId="14" xfId="1" applyNumberFormat="1" applyFont="1" applyBorder="1" applyAlignment="1">
      <alignment horizontal="center" vertical="center"/>
    </xf>
    <xf numFmtId="177" fontId="19" fillId="0" borderId="13" xfId="1" applyNumberFormat="1" applyFont="1" applyBorder="1" applyAlignment="1">
      <alignment horizontal="center" vertical="center"/>
    </xf>
    <xf numFmtId="49" fontId="17" fillId="0" borderId="2" xfId="2" applyNumberFormat="1" applyFont="1" applyBorder="1" applyAlignment="1">
      <alignment horizontal="center" vertical="center" wrapText="1"/>
    </xf>
    <xf numFmtId="49" fontId="17" fillId="0" borderId="11" xfId="2" applyNumberFormat="1" applyFont="1" applyBorder="1" applyAlignment="1">
      <alignment horizontal="center" vertical="center" wrapText="1"/>
    </xf>
    <xf numFmtId="177" fontId="15" fillId="0" borderId="9" xfId="1" applyNumberFormat="1" applyFont="1" applyBorder="1" applyAlignment="1">
      <alignment horizontal="center" vertical="center" wrapText="1"/>
    </xf>
    <xf numFmtId="177" fontId="15" fillId="0" borderId="11" xfId="1" applyNumberFormat="1" applyFont="1" applyBorder="1" applyAlignment="1">
      <alignment horizontal="center" vertical="center"/>
    </xf>
    <xf numFmtId="177" fontId="15" fillId="0" borderId="12" xfId="1" applyNumberFormat="1" applyFont="1" applyBorder="1" applyAlignment="1">
      <alignment horizontal="center" vertical="center" wrapText="1"/>
    </xf>
    <xf numFmtId="177" fontId="15" fillId="0" borderId="14" xfId="1" applyNumberFormat="1" applyFont="1" applyBorder="1" applyAlignment="1">
      <alignment horizontal="center" vertical="center"/>
    </xf>
    <xf numFmtId="49" fontId="14" fillId="2" borderId="2" xfId="0" applyNumberFormat="1" applyFont="1" applyFill="1" applyBorder="1" applyAlignment="1">
      <alignment horizontal="center" vertical="center"/>
    </xf>
    <xf numFmtId="49" fontId="14" fillId="2" borderId="11" xfId="0" applyNumberFormat="1" applyFont="1" applyFill="1" applyBorder="1" applyAlignment="1">
      <alignment horizontal="center" vertical="center"/>
    </xf>
    <xf numFmtId="49" fontId="2" fillId="0" borderId="2" xfId="2" applyNumberFormat="1" applyFont="1" applyBorder="1" applyAlignment="1">
      <alignment horizontal="center" vertical="center" wrapText="1"/>
    </xf>
    <xf numFmtId="49" fontId="2" fillId="0" borderId="11" xfId="2" applyNumberFormat="1" applyFont="1" applyBorder="1" applyAlignment="1">
      <alignment horizontal="center" vertical="center" wrapText="1"/>
    </xf>
    <xf numFmtId="177" fontId="15" fillId="0" borderId="3" xfId="1" applyNumberFormat="1" applyFont="1" applyBorder="1" applyAlignment="1">
      <alignment horizontal="center" vertical="center" wrapText="1"/>
    </xf>
    <xf numFmtId="177" fontId="15" fillId="0" borderId="10" xfId="1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77" fontId="15" fillId="0" borderId="5" xfId="1" applyNumberFormat="1" applyFont="1" applyBorder="1" applyAlignment="1">
      <alignment horizontal="center" vertical="center"/>
    </xf>
    <xf numFmtId="177" fontId="15" fillId="0" borderId="0" xfId="1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7" fontId="15" fillId="0" borderId="7" xfId="1" applyNumberFormat="1" applyFont="1" applyBorder="1" applyAlignment="1">
      <alignment horizontal="center" vertical="center"/>
    </xf>
    <xf numFmtId="177" fontId="15" fillId="0" borderId="1" xfId="1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7" fontId="14" fillId="0" borderId="12" xfId="1" applyNumberFormat="1" applyFont="1" applyBorder="1" applyAlignment="1">
      <alignment horizontal="center" vertical="center"/>
    </xf>
    <xf numFmtId="177" fontId="14" fillId="0" borderId="13" xfId="1" applyNumberFormat="1" applyFont="1" applyBorder="1" applyAlignment="1">
      <alignment horizontal="center" vertical="center"/>
    </xf>
    <xf numFmtId="177" fontId="15" fillId="0" borderId="13" xfId="1" applyNumberFormat="1" applyFont="1" applyBorder="1" applyAlignment="1">
      <alignment horizontal="center" vertical="center"/>
    </xf>
    <xf numFmtId="177" fontId="14" fillId="0" borderId="9" xfId="1" applyNumberFormat="1" applyFont="1" applyBorder="1" applyAlignment="1">
      <alignment horizontal="center" vertical="center" wrapText="1"/>
    </xf>
    <xf numFmtId="177" fontId="14" fillId="0" borderId="11" xfId="1" applyNumberFormat="1" applyFont="1" applyBorder="1" applyAlignment="1">
      <alignment horizontal="center" vertical="center" wrapText="1"/>
    </xf>
    <xf numFmtId="177" fontId="15" fillId="0" borderId="4" xfId="1" applyNumberFormat="1" applyFont="1" applyBorder="1" applyAlignment="1">
      <alignment horizontal="center" vertical="center" wrapText="1"/>
    </xf>
    <xf numFmtId="177" fontId="15" fillId="0" borderId="8" xfId="1" applyNumberFormat="1" applyFont="1" applyBorder="1" applyAlignment="1">
      <alignment horizontal="center" vertical="center"/>
    </xf>
    <xf numFmtId="177" fontId="14" fillId="0" borderId="12" xfId="1" applyNumberFormat="1" applyFont="1" applyBorder="1" applyAlignment="1">
      <alignment horizontal="center" vertical="center" wrapText="1"/>
    </xf>
    <xf numFmtId="177" fontId="14" fillId="0" borderId="13" xfId="1" applyNumberFormat="1" applyFont="1" applyBorder="1" applyAlignment="1">
      <alignment horizontal="center" vertical="center" wrapText="1"/>
    </xf>
    <xf numFmtId="177" fontId="14" fillId="0" borderId="14" xfId="1" applyNumberFormat="1" applyFont="1" applyBorder="1" applyAlignment="1">
      <alignment horizontal="center" vertical="center" wrapText="1"/>
    </xf>
    <xf numFmtId="49" fontId="17" fillId="0" borderId="8" xfId="0" applyNumberFormat="1" applyFont="1" applyBorder="1" applyAlignment="1">
      <alignment horizontal="left" wrapText="1"/>
    </xf>
    <xf numFmtId="177" fontId="32" fillId="0" borderId="12" xfId="1" applyNumberFormat="1" applyFont="1" applyBorder="1" applyAlignment="1">
      <alignment horizontal="center" vertical="center"/>
    </xf>
  </cellXfs>
  <cellStyles count="4">
    <cellStyle name="一般" xfId="0" builtinId="0"/>
    <cellStyle name="一般_moi04-05" xfId="1" xr:uid="{00000000-0005-0000-0000-000001000000}"/>
    <cellStyle name="一般_Sheet1" xfId="2" xr:uid="{00000000-0005-0000-0000-000002000000}"/>
    <cellStyle name="一般_十年長照上網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33</xdr:row>
      <xdr:rowOff>0</xdr:rowOff>
    </xdr:from>
    <xdr:to>
      <xdr:col>6</xdr:col>
      <xdr:colOff>359860</xdr:colOff>
      <xdr:row>33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4410075" y="622935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28</xdr:row>
      <xdr:rowOff>19050</xdr:rowOff>
    </xdr:from>
    <xdr:to>
      <xdr:col>6</xdr:col>
      <xdr:colOff>359860</xdr:colOff>
      <xdr:row>28</xdr:row>
      <xdr:rowOff>19050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4410075" y="5343525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359860</xdr:colOff>
      <xdr:row>33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4410075" y="622935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28</xdr:row>
      <xdr:rowOff>19050</xdr:rowOff>
    </xdr:from>
    <xdr:to>
      <xdr:col>6</xdr:col>
      <xdr:colOff>359860</xdr:colOff>
      <xdr:row>28</xdr:row>
      <xdr:rowOff>19050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4410075" y="5343525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7</xdr:col>
      <xdr:colOff>359491</xdr:colOff>
      <xdr:row>33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4410075" y="6229350"/>
          <a:ext cx="101671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33</xdr:row>
      <xdr:rowOff>0</xdr:rowOff>
    </xdr:from>
    <xdr:to>
      <xdr:col>6</xdr:col>
      <xdr:colOff>359860</xdr:colOff>
      <xdr:row>33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3759200" y="7232650"/>
          <a:ext cx="38422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28</xdr:row>
      <xdr:rowOff>19050</xdr:rowOff>
    </xdr:from>
    <xdr:to>
      <xdr:col>6</xdr:col>
      <xdr:colOff>359860</xdr:colOff>
      <xdr:row>28</xdr:row>
      <xdr:rowOff>19050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3759200" y="6362700"/>
          <a:ext cx="38422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359860</xdr:colOff>
      <xdr:row>33</xdr:row>
      <xdr:rowOff>0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>
          <a:spLocks noChangeArrowheads="1"/>
        </xdr:cNvSpPr>
      </xdr:nvSpPr>
      <xdr:spPr bwMode="auto">
        <a:xfrm>
          <a:off x="3759200" y="7232650"/>
          <a:ext cx="38422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28</xdr:row>
      <xdr:rowOff>19050</xdr:rowOff>
    </xdr:from>
    <xdr:to>
      <xdr:col>6</xdr:col>
      <xdr:colOff>359860</xdr:colOff>
      <xdr:row>28</xdr:row>
      <xdr:rowOff>19050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3759200" y="6362700"/>
          <a:ext cx="38422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7</xdr:col>
      <xdr:colOff>359491</xdr:colOff>
      <xdr:row>33</xdr:row>
      <xdr:rowOff>0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3759200" y="7232650"/>
          <a:ext cx="866198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33</xdr:row>
      <xdr:rowOff>0</xdr:rowOff>
    </xdr:from>
    <xdr:to>
      <xdr:col>6</xdr:col>
      <xdr:colOff>359860</xdr:colOff>
      <xdr:row>33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3581400" y="7343775"/>
          <a:ext cx="390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28</xdr:row>
      <xdr:rowOff>19050</xdr:rowOff>
    </xdr:from>
    <xdr:to>
      <xdr:col>6</xdr:col>
      <xdr:colOff>359860</xdr:colOff>
      <xdr:row>28</xdr:row>
      <xdr:rowOff>19050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>
          <a:off x="3581400" y="6457950"/>
          <a:ext cx="390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359860</xdr:colOff>
      <xdr:row>33</xdr:row>
      <xdr:rowOff>0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>
          <a:spLocks noChangeArrowheads="1"/>
        </xdr:cNvSpPr>
      </xdr:nvSpPr>
      <xdr:spPr bwMode="auto">
        <a:xfrm>
          <a:off x="3581400" y="7343775"/>
          <a:ext cx="390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28</xdr:row>
      <xdr:rowOff>19050</xdr:rowOff>
    </xdr:from>
    <xdr:to>
      <xdr:col>6</xdr:col>
      <xdr:colOff>359860</xdr:colOff>
      <xdr:row>28</xdr:row>
      <xdr:rowOff>19050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>
          <a:spLocks noChangeArrowheads="1"/>
        </xdr:cNvSpPr>
      </xdr:nvSpPr>
      <xdr:spPr bwMode="auto">
        <a:xfrm>
          <a:off x="3581400" y="6457950"/>
          <a:ext cx="390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7</xdr:col>
      <xdr:colOff>359491</xdr:colOff>
      <xdr:row>33</xdr:row>
      <xdr:rowOff>0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>
          <a:spLocks noChangeArrowheads="1"/>
        </xdr:cNvSpPr>
      </xdr:nvSpPr>
      <xdr:spPr bwMode="auto">
        <a:xfrm>
          <a:off x="3581400" y="7343775"/>
          <a:ext cx="79317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107</xdr:row>
      <xdr:rowOff>0</xdr:rowOff>
    </xdr:from>
    <xdr:to>
      <xdr:col>6</xdr:col>
      <xdr:colOff>359860</xdr:colOff>
      <xdr:row>107</xdr:row>
      <xdr:rowOff>0</xdr:rowOff>
    </xdr:to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 txBox="1">
          <a:spLocks noChangeArrowheads="1"/>
        </xdr:cNvSpPr>
      </xdr:nvSpPr>
      <xdr:spPr bwMode="auto">
        <a:xfrm>
          <a:off x="4046220" y="633222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82</xdr:row>
      <xdr:rowOff>0</xdr:rowOff>
    </xdr:from>
    <xdr:to>
      <xdr:col>6</xdr:col>
      <xdr:colOff>359860</xdr:colOff>
      <xdr:row>82</xdr:row>
      <xdr:rowOff>0</xdr:rowOff>
    </xdr:to>
    <xdr:sp macro="" textlink="">
      <xdr:nvSpPr>
        <xdr:cNvPr id="18" name="Text Box 2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 txBox="1">
          <a:spLocks noChangeArrowheads="1"/>
        </xdr:cNvSpPr>
      </xdr:nvSpPr>
      <xdr:spPr bwMode="auto">
        <a:xfrm>
          <a:off x="4046220" y="195072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102</xdr:row>
      <xdr:rowOff>19050</xdr:rowOff>
    </xdr:from>
    <xdr:to>
      <xdr:col>6</xdr:col>
      <xdr:colOff>359860</xdr:colOff>
      <xdr:row>102</xdr:row>
      <xdr:rowOff>19050</xdr:rowOff>
    </xdr:to>
    <xdr:sp macro="" textlink="">
      <xdr:nvSpPr>
        <xdr:cNvPr id="19" name="Text Box 1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>
          <a:spLocks noChangeArrowheads="1"/>
        </xdr:cNvSpPr>
      </xdr:nvSpPr>
      <xdr:spPr bwMode="auto">
        <a:xfrm>
          <a:off x="4046220" y="547497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81</xdr:row>
      <xdr:rowOff>152400</xdr:rowOff>
    </xdr:from>
    <xdr:to>
      <xdr:col>6</xdr:col>
      <xdr:colOff>359860</xdr:colOff>
      <xdr:row>81</xdr:row>
      <xdr:rowOff>152400</xdr:rowOff>
    </xdr:to>
    <xdr:sp macro="" textlink="">
      <xdr:nvSpPr>
        <xdr:cNvPr id="20" name="Text Box 2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>
          <a:spLocks noChangeArrowheads="1"/>
        </xdr:cNvSpPr>
      </xdr:nvSpPr>
      <xdr:spPr bwMode="auto">
        <a:xfrm>
          <a:off x="4046220" y="187452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81</xdr:row>
      <xdr:rowOff>152400</xdr:rowOff>
    </xdr:from>
    <xdr:to>
      <xdr:col>6</xdr:col>
      <xdr:colOff>359860</xdr:colOff>
      <xdr:row>81</xdr:row>
      <xdr:rowOff>152400</xdr:rowOff>
    </xdr:to>
    <xdr:sp macro="" textlink="">
      <xdr:nvSpPr>
        <xdr:cNvPr id="21" name="Text Box 2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>
          <a:spLocks noChangeArrowheads="1"/>
        </xdr:cNvSpPr>
      </xdr:nvSpPr>
      <xdr:spPr bwMode="auto">
        <a:xfrm>
          <a:off x="4046220" y="187452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107</xdr:row>
      <xdr:rowOff>0</xdr:rowOff>
    </xdr:from>
    <xdr:to>
      <xdr:col>6</xdr:col>
      <xdr:colOff>359860</xdr:colOff>
      <xdr:row>107</xdr:row>
      <xdr:rowOff>0</xdr:rowOff>
    </xdr:to>
    <xdr:sp macro="" textlink="">
      <xdr:nvSpPr>
        <xdr:cNvPr id="22" name="Text Box 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>
          <a:spLocks noChangeArrowheads="1"/>
        </xdr:cNvSpPr>
      </xdr:nvSpPr>
      <xdr:spPr bwMode="auto">
        <a:xfrm>
          <a:off x="4046220" y="633222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82</xdr:row>
      <xdr:rowOff>0</xdr:rowOff>
    </xdr:from>
    <xdr:to>
      <xdr:col>6</xdr:col>
      <xdr:colOff>359860</xdr:colOff>
      <xdr:row>82</xdr:row>
      <xdr:rowOff>0</xdr:rowOff>
    </xdr:to>
    <xdr:sp macro="" textlink="">
      <xdr:nvSpPr>
        <xdr:cNvPr id="23" name="Text Box 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>
          <a:spLocks noChangeArrowheads="1"/>
        </xdr:cNvSpPr>
      </xdr:nvSpPr>
      <xdr:spPr bwMode="auto">
        <a:xfrm>
          <a:off x="4046220" y="195072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102</xdr:row>
      <xdr:rowOff>19050</xdr:rowOff>
    </xdr:from>
    <xdr:to>
      <xdr:col>6</xdr:col>
      <xdr:colOff>359860</xdr:colOff>
      <xdr:row>102</xdr:row>
      <xdr:rowOff>19050</xdr:rowOff>
    </xdr:to>
    <xdr:sp macro="" textlink="">
      <xdr:nvSpPr>
        <xdr:cNvPr id="24" name="Text Box 1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>
          <a:spLocks noChangeArrowheads="1"/>
        </xdr:cNvSpPr>
      </xdr:nvSpPr>
      <xdr:spPr bwMode="auto">
        <a:xfrm>
          <a:off x="4046220" y="547497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81</xdr:row>
      <xdr:rowOff>152400</xdr:rowOff>
    </xdr:from>
    <xdr:to>
      <xdr:col>6</xdr:col>
      <xdr:colOff>359860</xdr:colOff>
      <xdr:row>81</xdr:row>
      <xdr:rowOff>152400</xdr:rowOff>
    </xdr:to>
    <xdr:sp macro="" textlink="">
      <xdr:nvSpPr>
        <xdr:cNvPr id="25" name="Text Box 2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 txBox="1">
          <a:spLocks noChangeArrowheads="1"/>
        </xdr:cNvSpPr>
      </xdr:nvSpPr>
      <xdr:spPr bwMode="auto">
        <a:xfrm>
          <a:off x="4046220" y="187452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81</xdr:row>
      <xdr:rowOff>152400</xdr:rowOff>
    </xdr:from>
    <xdr:to>
      <xdr:col>6</xdr:col>
      <xdr:colOff>359860</xdr:colOff>
      <xdr:row>81</xdr:row>
      <xdr:rowOff>152400</xdr:rowOff>
    </xdr:to>
    <xdr:sp macro="" textlink="">
      <xdr:nvSpPr>
        <xdr:cNvPr id="26" name="Text Box 2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>
          <a:spLocks noChangeArrowheads="1"/>
        </xdr:cNvSpPr>
      </xdr:nvSpPr>
      <xdr:spPr bwMode="auto">
        <a:xfrm>
          <a:off x="4046220" y="187452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107</xdr:row>
      <xdr:rowOff>0</xdr:rowOff>
    </xdr:from>
    <xdr:to>
      <xdr:col>7</xdr:col>
      <xdr:colOff>359491</xdr:colOff>
      <xdr:row>107</xdr:row>
      <xdr:rowOff>0</xdr:rowOff>
    </xdr:to>
    <xdr:sp macro="" textlink="">
      <xdr:nvSpPr>
        <xdr:cNvPr id="27" name="Text Box 1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 txBox="1">
          <a:spLocks noChangeArrowheads="1"/>
        </xdr:cNvSpPr>
      </xdr:nvSpPr>
      <xdr:spPr bwMode="auto">
        <a:xfrm>
          <a:off x="4046220" y="6332220"/>
          <a:ext cx="95385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82</xdr:row>
      <xdr:rowOff>0</xdr:rowOff>
    </xdr:from>
    <xdr:to>
      <xdr:col>7</xdr:col>
      <xdr:colOff>359491</xdr:colOff>
      <xdr:row>82</xdr:row>
      <xdr:rowOff>0</xdr:rowOff>
    </xdr:to>
    <xdr:sp macro="" textlink="">
      <xdr:nvSpPr>
        <xdr:cNvPr id="28" name="Text Box 2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 txBox="1">
          <a:spLocks noChangeArrowheads="1"/>
        </xdr:cNvSpPr>
      </xdr:nvSpPr>
      <xdr:spPr bwMode="auto">
        <a:xfrm>
          <a:off x="4046220" y="1950720"/>
          <a:ext cx="95385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81</xdr:row>
      <xdr:rowOff>152400</xdr:rowOff>
    </xdr:from>
    <xdr:to>
      <xdr:col>7</xdr:col>
      <xdr:colOff>359491</xdr:colOff>
      <xdr:row>81</xdr:row>
      <xdr:rowOff>152400</xdr:rowOff>
    </xdr:to>
    <xdr:sp macro="" textlink="">
      <xdr:nvSpPr>
        <xdr:cNvPr id="29" name="Text Box 2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 txBox="1">
          <a:spLocks noChangeArrowheads="1"/>
        </xdr:cNvSpPr>
      </xdr:nvSpPr>
      <xdr:spPr bwMode="auto">
        <a:xfrm>
          <a:off x="4046220" y="1874520"/>
          <a:ext cx="95385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81</xdr:row>
      <xdr:rowOff>152400</xdr:rowOff>
    </xdr:from>
    <xdr:to>
      <xdr:col>7</xdr:col>
      <xdr:colOff>359491</xdr:colOff>
      <xdr:row>81</xdr:row>
      <xdr:rowOff>152400</xdr:rowOff>
    </xdr:to>
    <xdr:sp macro="" textlink="">
      <xdr:nvSpPr>
        <xdr:cNvPr id="30" name="Text Box 2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 txBox="1">
          <a:spLocks noChangeArrowheads="1"/>
        </xdr:cNvSpPr>
      </xdr:nvSpPr>
      <xdr:spPr bwMode="auto">
        <a:xfrm>
          <a:off x="4046220" y="1874520"/>
          <a:ext cx="95385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177</xdr:row>
      <xdr:rowOff>0</xdr:rowOff>
    </xdr:from>
    <xdr:to>
      <xdr:col>6</xdr:col>
      <xdr:colOff>359860</xdr:colOff>
      <xdr:row>177</xdr:row>
      <xdr:rowOff>0</xdr:rowOff>
    </xdr:to>
    <xdr:sp macro="" textlink="">
      <xdr:nvSpPr>
        <xdr:cNvPr id="31" name="Text Box 1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 txBox="1">
          <a:spLocks noChangeArrowheads="1"/>
        </xdr:cNvSpPr>
      </xdr:nvSpPr>
      <xdr:spPr bwMode="auto">
        <a:xfrm>
          <a:off x="4046220" y="633222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152</xdr:row>
      <xdr:rowOff>0</xdr:rowOff>
    </xdr:from>
    <xdr:to>
      <xdr:col>6</xdr:col>
      <xdr:colOff>359860</xdr:colOff>
      <xdr:row>152</xdr:row>
      <xdr:rowOff>0</xdr:rowOff>
    </xdr:to>
    <xdr:sp macro="" textlink="">
      <xdr:nvSpPr>
        <xdr:cNvPr id="32" name="Text Box 2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 txBox="1">
          <a:spLocks noChangeArrowheads="1"/>
        </xdr:cNvSpPr>
      </xdr:nvSpPr>
      <xdr:spPr bwMode="auto">
        <a:xfrm>
          <a:off x="4046220" y="195072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172</xdr:row>
      <xdr:rowOff>19050</xdr:rowOff>
    </xdr:from>
    <xdr:to>
      <xdr:col>6</xdr:col>
      <xdr:colOff>359860</xdr:colOff>
      <xdr:row>172</xdr:row>
      <xdr:rowOff>19050</xdr:rowOff>
    </xdr:to>
    <xdr:sp macro="" textlink="">
      <xdr:nvSpPr>
        <xdr:cNvPr id="33" name="Text Box 1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 txBox="1">
          <a:spLocks noChangeArrowheads="1"/>
        </xdr:cNvSpPr>
      </xdr:nvSpPr>
      <xdr:spPr bwMode="auto">
        <a:xfrm>
          <a:off x="4046220" y="547497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151</xdr:row>
      <xdr:rowOff>152400</xdr:rowOff>
    </xdr:from>
    <xdr:to>
      <xdr:col>6</xdr:col>
      <xdr:colOff>359860</xdr:colOff>
      <xdr:row>151</xdr:row>
      <xdr:rowOff>152400</xdr:rowOff>
    </xdr:to>
    <xdr:sp macro="" textlink="">
      <xdr:nvSpPr>
        <xdr:cNvPr id="34" name="Text Box 2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 txBox="1">
          <a:spLocks noChangeArrowheads="1"/>
        </xdr:cNvSpPr>
      </xdr:nvSpPr>
      <xdr:spPr bwMode="auto">
        <a:xfrm>
          <a:off x="4046220" y="187452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151</xdr:row>
      <xdr:rowOff>152400</xdr:rowOff>
    </xdr:from>
    <xdr:to>
      <xdr:col>6</xdr:col>
      <xdr:colOff>359860</xdr:colOff>
      <xdr:row>151</xdr:row>
      <xdr:rowOff>152400</xdr:rowOff>
    </xdr:to>
    <xdr:sp macro="" textlink="">
      <xdr:nvSpPr>
        <xdr:cNvPr id="35" name="Text Box 2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 txBox="1">
          <a:spLocks noChangeArrowheads="1"/>
        </xdr:cNvSpPr>
      </xdr:nvSpPr>
      <xdr:spPr bwMode="auto">
        <a:xfrm>
          <a:off x="4046220" y="187452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177</xdr:row>
      <xdr:rowOff>0</xdr:rowOff>
    </xdr:from>
    <xdr:to>
      <xdr:col>6</xdr:col>
      <xdr:colOff>359860</xdr:colOff>
      <xdr:row>177</xdr:row>
      <xdr:rowOff>0</xdr:rowOff>
    </xdr:to>
    <xdr:sp macro="" textlink="">
      <xdr:nvSpPr>
        <xdr:cNvPr id="36" name="Text Box 1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 txBox="1">
          <a:spLocks noChangeArrowheads="1"/>
        </xdr:cNvSpPr>
      </xdr:nvSpPr>
      <xdr:spPr bwMode="auto">
        <a:xfrm>
          <a:off x="4046220" y="633222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152</xdr:row>
      <xdr:rowOff>0</xdr:rowOff>
    </xdr:from>
    <xdr:to>
      <xdr:col>6</xdr:col>
      <xdr:colOff>359860</xdr:colOff>
      <xdr:row>152</xdr:row>
      <xdr:rowOff>0</xdr:rowOff>
    </xdr:to>
    <xdr:sp macro="" textlink="">
      <xdr:nvSpPr>
        <xdr:cNvPr id="37" name="Text Box 2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 txBox="1">
          <a:spLocks noChangeArrowheads="1"/>
        </xdr:cNvSpPr>
      </xdr:nvSpPr>
      <xdr:spPr bwMode="auto">
        <a:xfrm>
          <a:off x="4046220" y="195072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172</xdr:row>
      <xdr:rowOff>19050</xdr:rowOff>
    </xdr:from>
    <xdr:to>
      <xdr:col>6</xdr:col>
      <xdr:colOff>359860</xdr:colOff>
      <xdr:row>172</xdr:row>
      <xdr:rowOff>19050</xdr:rowOff>
    </xdr:to>
    <xdr:sp macro="" textlink="">
      <xdr:nvSpPr>
        <xdr:cNvPr id="38" name="Text Box 1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 txBox="1">
          <a:spLocks noChangeArrowheads="1"/>
        </xdr:cNvSpPr>
      </xdr:nvSpPr>
      <xdr:spPr bwMode="auto">
        <a:xfrm>
          <a:off x="4046220" y="547497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151</xdr:row>
      <xdr:rowOff>152400</xdr:rowOff>
    </xdr:from>
    <xdr:to>
      <xdr:col>6</xdr:col>
      <xdr:colOff>359860</xdr:colOff>
      <xdr:row>151</xdr:row>
      <xdr:rowOff>152400</xdr:rowOff>
    </xdr:to>
    <xdr:sp macro="" textlink="">
      <xdr:nvSpPr>
        <xdr:cNvPr id="39" name="Text Box 2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 txBox="1">
          <a:spLocks noChangeArrowheads="1"/>
        </xdr:cNvSpPr>
      </xdr:nvSpPr>
      <xdr:spPr bwMode="auto">
        <a:xfrm>
          <a:off x="4046220" y="187452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151</xdr:row>
      <xdr:rowOff>152400</xdr:rowOff>
    </xdr:from>
    <xdr:to>
      <xdr:col>6</xdr:col>
      <xdr:colOff>359860</xdr:colOff>
      <xdr:row>151</xdr:row>
      <xdr:rowOff>152400</xdr:rowOff>
    </xdr:to>
    <xdr:sp macro="" textlink="">
      <xdr:nvSpPr>
        <xdr:cNvPr id="40" name="Text Box 2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 txBox="1">
          <a:spLocks noChangeArrowheads="1"/>
        </xdr:cNvSpPr>
      </xdr:nvSpPr>
      <xdr:spPr bwMode="auto">
        <a:xfrm>
          <a:off x="4046220" y="187452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177</xdr:row>
      <xdr:rowOff>0</xdr:rowOff>
    </xdr:from>
    <xdr:to>
      <xdr:col>7</xdr:col>
      <xdr:colOff>359491</xdr:colOff>
      <xdr:row>177</xdr:row>
      <xdr:rowOff>0</xdr:rowOff>
    </xdr:to>
    <xdr:sp macro="" textlink="">
      <xdr:nvSpPr>
        <xdr:cNvPr id="41" name="Text Box 1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 txBox="1">
          <a:spLocks noChangeArrowheads="1"/>
        </xdr:cNvSpPr>
      </xdr:nvSpPr>
      <xdr:spPr bwMode="auto">
        <a:xfrm>
          <a:off x="4046220" y="6332220"/>
          <a:ext cx="95385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152</xdr:row>
      <xdr:rowOff>0</xdr:rowOff>
    </xdr:from>
    <xdr:to>
      <xdr:col>7</xdr:col>
      <xdr:colOff>359491</xdr:colOff>
      <xdr:row>152</xdr:row>
      <xdr:rowOff>0</xdr:rowOff>
    </xdr:to>
    <xdr:sp macro="" textlink="">
      <xdr:nvSpPr>
        <xdr:cNvPr id="42" name="Text Box 2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 txBox="1">
          <a:spLocks noChangeArrowheads="1"/>
        </xdr:cNvSpPr>
      </xdr:nvSpPr>
      <xdr:spPr bwMode="auto">
        <a:xfrm>
          <a:off x="4046220" y="1950720"/>
          <a:ext cx="95385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151</xdr:row>
      <xdr:rowOff>152400</xdr:rowOff>
    </xdr:from>
    <xdr:to>
      <xdr:col>7</xdr:col>
      <xdr:colOff>359491</xdr:colOff>
      <xdr:row>151</xdr:row>
      <xdr:rowOff>152400</xdr:rowOff>
    </xdr:to>
    <xdr:sp macro="" textlink="">
      <xdr:nvSpPr>
        <xdr:cNvPr id="43" name="Text Box 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 txBox="1">
          <a:spLocks noChangeArrowheads="1"/>
        </xdr:cNvSpPr>
      </xdr:nvSpPr>
      <xdr:spPr bwMode="auto">
        <a:xfrm>
          <a:off x="4046220" y="1874520"/>
          <a:ext cx="95385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151</xdr:row>
      <xdr:rowOff>152400</xdr:rowOff>
    </xdr:from>
    <xdr:to>
      <xdr:col>7</xdr:col>
      <xdr:colOff>359491</xdr:colOff>
      <xdr:row>151</xdr:row>
      <xdr:rowOff>152400</xdr:rowOff>
    </xdr:to>
    <xdr:sp macro="" textlink="">
      <xdr:nvSpPr>
        <xdr:cNvPr id="44" name="Text Box 2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 txBox="1">
          <a:spLocks noChangeArrowheads="1"/>
        </xdr:cNvSpPr>
      </xdr:nvSpPr>
      <xdr:spPr bwMode="auto">
        <a:xfrm>
          <a:off x="4046220" y="1874520"/>
          <a:ext cx="95385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107</xdr:row>
      <xdr:rowOff>0</xdr:rowOff>
    </xdr:from>
    <xdr:to>
      <xdr:col>6</xdr:col>
      <xdr:colOff>359860</xdr:colOff>
      <xdr:row>107</xdr:row>
      <xdr:rowOff>0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8F6F5A56-4684-4308-9A84-976A0FC7D22E}"/>
            </a:ext>
          </a:extLst>
        </xdr:cNvPr>
        <xdr:cNvSpPr txBox="1">
          <a:spLocks noChangeArrowheads="1"/>
        </xdr:cNvSpPr>
      </xdr:nvSpPr>
      <xdr:spPr bwMode="auto">
        <a:xfrm>
          <a:off x="4410075" y="622935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102</xdr:row>
      <xdr:rowOff>19050</xdr:rowOff>
    </xdr:from>
    <xdr:to>
      <xdr:col>6</xdr:col>
      <xdr:colOff>359860</xdr:colOff>
      <xdr:row>102</xdr:row>
      <xdr:rowOff>19050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34DA035F-38D8-4C42-BF04-AA115A6BFB7C}"/>
            </a:ext>
          </a:extLst>
        </xdr:cNvPr>
        <xdr:cNvSpPr txBox="1">
          <a:spLocks noChangeArrowheads="1"/>
        </xdr:cNvSpPr>
      </xdr:nvSpPr>
      <xdr:spPr bwMode="auto">
        <a:xfrm>
          <a:off x="4410075" y="5343525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107</xdr:row>
      <xdr:rowOff>0</xdr:rowOff>
    </xdr:from>
    <xdr:to>
      <xdr:col>6</xdr:col>
      <xdr:colOff>359860</xdr:colOff>
      <xdr:row>107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EA3BF354-7E4D-48D6-9DEC-4EC141ABA5CD}"/>
            </a:ext>
          </a:extLst>
        </xdr:cNvPr>
        <xdr:cNvSpPr txBox="1">
          <a:spLocks noChangeArrowheads="1"/>
        </xdr:cNvSpPr>
      </xdr:nvSpPr>
      <xdr:spPr bwMode="auto">
        <a:xfrm>
          <a:off x="4410075" y="622935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102</xdr:row>
      <xdr:rowOff>19050</xdr:rowOff>
    </xdr:from>
    <xdr:to>
      <xdr:col>6</xdr:col>
      <xdr:colOff>359860</xdr:colOff>
      <xdr:row>102</xdr:row>
      <xdr:rowOff>19050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310FC273-1E9D-4F26-8191-F728C45CB1EC}"/>
            </a:ext>
          </a:extLst>
        </xdr:cNvPr>
        <xdr:cNvSpPr txBox="1">
          <a:spLocks noChangeArrowheads="1"/>
        </xdr:cNvSpPr>
      </xdr:nvSpPr>
      <xdr:spPr bwMode="auto">
        <a:xfrm>
          <a:off x="4410075" y="5343525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107</xdr:row>
      <xdr:rowOff>0</xdr:rowOff>
    </xdr:from>
    <xdr:to>
      <xdr:col>7</xdr:col>
      <xdr:colOff>359491</xdr:colOff>
      <xdr:row>107</xdr:row>
      <xdr:rowOff>0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A14DA88E-0CB0-44CE-8D7F-2D35FB4AFE46}"/>
            </a:ext>
          </a:extLst>
        </xdr:cNvPr>
        <xdr:cNvSpPr txBox="1">
          <a:spLocks noChangeArrowheads="1"/>
        </xdr:cNvSpPr>
      </xdr:nvSpPr>
      <xdr:spPr bwMode="auto">
        <a:xfrm>
          <a:off x="4410075" y="6229350"/>
          <a:ext cx="101671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33</xdr:row>
      <xdr:rowOff>0</xdr:rowOff>
    </xdr:from>
    <xdr:to>
      <xdr:col>6</xdr:col>
      <xdr:colOff>359860</xdr:colOff>
      <xdr:row>33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4410075" y="622935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28</xdr:row>
      <xdr:rowOff>19050</xdr:rowOff>
    </xdr:from>
    <xdr:to>
      <xdr:col>6</xdr:col>
      <xdr:colOff>359860</xdr:colOff>
      <xdr:row>28</xdr:row>
      <xdr:rowOff>19050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4410075" y="5343525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359860</xdr:colOff>
      <xdr:row>33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4410075" y="622935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28</xdr:row>
      <xdr:rowOff>19050</xdr:rowOff>
    </xdr:from>
    <xdr:to>
      <xdr:col>6</xdr:col>
      <xdr:colOff>359860</xdr:colOff>
      <xdr:row>28</xdr:row>
      <xdr:rowOff>19050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>
          <a:spLocks noChangeArrowheads="1"/>
        </xdr:cNvSpPr>
      </xdr:nvSpPr>
      <xdr:spPr bwMode="auto">
        <a:xfrm>
          <a:off x="4410075" y="5343525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7</xdr:col>
      <xdr:colOff>359491</xdr:colOff>
      <xdr:row>33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>
          <a:spLocks noChangeArrowheads="1"/>
        </xdr:cNvSpPr>
      </xdr:nvSpPr>
      <xdr:spPr bwMode="auto">
        <a:xfrm>
          <a:off x="4410075" y="6229350"/>
          <a:ext cx="101671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33</xdr:row>
      <xdr:rowOff>0</xdr:rowOff>
    </xdr:from>
    <xdr:to>
      <xdr:col>6</xdr:col>
      <xdr:colOff>359860</xdr:colOff>
      <xdr:row>33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 bwMode="auto">
        <a:xfrm>
          <a:off x="4410075" y="622935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28</xdr:row>
      <xdr:rowOff>19050</xdr:rowOff>
    </xdr:from>
    <xdr:to>
      <xdr:col>6</xdr:col>
      <xdr:colOff>359860</xdr:colOff>
      <xdr:row>28</xdr:row>
      <xdr:rowOff>19050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>
          <a:spLocks noChangeArrowheads="1"/>
        </xdr:cNvSpPr>
      </xdr:nvSpPr>
      <xdr:spPr bwMode="auto">
        <a:xfrm>
          <a:off x="4410075" y="5343525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359860</xdr:colOff>
      <xdr:row>33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>
          <a:spLocks noChangeArrowheads="1"/>
        </xdr:cNvSpPr>
      </xdr:nvSpPr>
      <xdr:spPr bwMode="auto">
        <a:xfrm>
          <a:off x="4410075" y="622935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28</xdr:row>
      <xdr:rowOff>19050</xdr:rowOff>
    </xdr:from>
    <xdr:to>
      <xdr:col>6</xdr:col>
      <xdr:colOff>359860</xdr:colOff>
      <xdr:row>28</xdr:row>
      <xdr:rowOff>19050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>
          <a:spLocks noChangeArrowheads="1"/>
        </xdr:cNvSpPr>
      </xdr:nvSpPr>
      <xdr:spPr bwMode="auto">
        <a:xfrm>
          <a:off x="4410075" y="5343525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7</xdr:col>
      <xdr:colOff>359491</xdr:colOff>
      <xdr:row>33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>
          <a:spLocks noChangeArrowheads="1"/>
        </xdr:cNvSpPr>
      </xdr:nvSpPr>
      <xdr:spPr bwMode="auto">
        <a:xfrm>
          <a:off x="4410075" y="6229350"/>
          <a:ext cx="101671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33</xdr:row>
      <xdr:rowOff>0</xdr:rowOff>
    </xdr:from>
    <xdr:to>
      <xdr:col>6</xdr:col>
      <xdr:colOff>359860</xdr:colOff>
      <xdr:row>33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>
          <a:spLocks noChangeArrowheads="1"/>
        </xdr:cNvSpPr>
      </xdr:nvSpPr>
      <xdr:spPr bwMode="auto">
        <a:xfrm>
          <a:off x="4410075" y="622935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28</xdr:row>
      <xdr:rowOff>19050</xdr:rowOff>
    </xdr:from>
    <xdr:to>
      <xdr:col>6</xdr:col>
      <xdr:colOff>359860</xdr:colOff>
      <xdr:row>28</xdr:row>
      <xdr:rowOff>19050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>
          <a:spLocks noChangeArrowheads="1"/>
        </xdr:cNvSpPr>
      </xdr:nvSpPr>
      <xdr:spPr bwMode="auto">
        <a:xfrm>
          <a:off x="4410075" y="5343525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359860</xdr:colOff>
      <xdr:row>33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>
          <a:spLocks noChangeArrowheads="1"/>
        </xdr:cNvSpPr>
      </xdr:nvSpPr>
      <xdr:spPr bwMode="auto">
        <a:xfrm>
          <a:off x="4410075" y="622935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28</xdr:row>
      <xdr:rowOff>19050</xdr:rowOff>
    </xdr:from>
    <xdr:to>
      <xdr:col>6</xdr:col>
      <xdr:colOff>359860</xdr:colOff>
      <xdr:row>28</xdr:row>
      <xdr:rowOff>19050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>
          <a:spLocks noChangeArrowheads="1"/>
        </xdr:cNvSpPr>
      </xdr:nvSpPr>
      <xdr:spPr bwMode="auto">
        <a:xfrm>
          <a:off x="4410075" y="5343525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7</xdr:col>
      <xdr:colOff>359491</xdr:colOff>
      <xdr:row>33</xdr:row>
      <xdr:rowOff>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>
          <a:spLocks noChangeArrowheads="1"/>
        </xdr:cNvSpPr>
      </xdr:nvSpPr>
      <xdr:spPr bwMode="auto">
        <a:xfrm>
          <a:off x="4410075" y="6229350"/>
          <a:ext cx="101671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107</xdr:row>
      <xdr:rowOff>0</xdr:rowOff>
    </xdr:from>
    <xdr:to>
      <xdr:col>6</xdr:col>
      <xdr:colOff>359860</xdr:colOff>
      <xdr:row>107</xdr:row>
      <xdr:rowOff>0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>
          <a:spLocks noChangeArrowheads="1"/>
        </xdr:cNvSpPr>
      </xdr:nvSpPr>
      <xdr:spPr bwMode="auto">
        <a:xfrm>
          <a:off x="4410075" y="14868525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82</xdr:row>
      <xdr:rowOff>0</xdr:rowOff>
    </xdr:from>
    <xdr:to>
      <xdr:col>6</xdr:col>
      <xdr:colOff>359860</xdr:colOff>
      <xdr:row>82</xdr:row>
      <xdr:rowOff>0</xdr:rowOff>
    </xdr:to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>
          <a:spLocks noChangeArrowheads="1"/>
        </xdr:cNvSpPr>
      </xdr:nvSpPr>
      <xdr:spPr bwMode="auto">
        <a:xfrm>
          <a:off x="4410075" y="14868525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102</xdr:row>
      <xdr:rowOff>19050</xdr:rowOff>
    </xdr:from>
    <xdr:to>
      <xdr:col>6</xdr:col>
      <xdr:colOff>359860</xdr:colOff>
      <xdr:row>102</xdr:row>
      <xdr:rowOff>19050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>
          <a:spLocks noChangeArrowheads="1"/>
        </xdr:cNvSpPr>
      </xdr:nvSpPr>
      <xdr:spPr bwMode="auto">
        <a:xfrm>
          <a:off x="4410075" y="14868525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81</xdr:row>
      <xdr:rowOff>152400</xdr:rowOff>
    </xdr:from>
    <xdr:to>
      <xdr:col>6</xdr:col>
      <xdr:colOff>359860</xdr:colOff>
      <xdr:row>81</xdr:row>
      <xdr:rowOff>152400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>
          <a:spLocks noChangeArrowheads="1"/>
        </xdr:cNvSpPr>
      </xdr:nvSpPr>
      <xdr:spPr bwMode="auto">
        <a:xfrm>
          <a:off x="4410075" y="14868525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81</xdr:row>
      <xdr:rowOff>152400</xdr:rowOff>
    </xdr:from>
    <xdr:to>
      <xdr:col>6</xdr:col>
      <xdr:colOff>359860</xdr:colOff>
      <xdr:row>81</xdr:row>
      <xdr:rowOff>152400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>
          <a:spLocks noChangeArrowheads="1"/>
        </xdr:cNvSpPr>
      </xdr:nvSpPr>
      <xdr:spPr bwMode="auto">
        <a:xfrm>
          <a:off x="4410075" y="14868525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107</xdr:row>
      <xdr:rowOff>0</xdr:rowOff>
    </xdr:from>
    <xdr:to>
      <xdr:col>6</xdr:col>
      <xdr:colOff>359860</xdr:colOff>
      <xdr:row>107</xdr:row>
      <xdr:rowOff>0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>
          <a:spLocks noChangeArrowheads="1"/>
        </xdr:cNvSpPr>
      </xdr:nvSpPr>
      <xdr:spPr bwMode="auto">
        <a:xfrm>
          <a:off x="4410075" y="14868525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82</xdr:row>
      <xdr:rowOff>0</xdr:rowOff>
    </xdr:from>
    <xdr:to>
      <xdr:col>6</xdr:col>
      <xdr:colOff>359860</xdr:colOff>
      <xdr:row>82</xdr:row>
      <xdr:rowOff>0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>
          <a:spLocks noChangeArrowheads="1"/>
        </xdr:cNvSpPr>
      </xdr:nvSpPr>
      <xdr:spPr bwMode="auto">
        <a:xfrm>
          <a:off x="4410075" y="14868525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102</xdr:row>
      <xdr:rowOff>19050</xdr:rowOff>
    </xdr:from>
    <xdr:to>
      <xdr:col>6</xdr:col>
      <xdr:colOff>359860</xdr:colOff>
      <xdr:row>102</xdr:row>
      <xdr:rowOff>19050</xdr:rowOff>
    </xdr:to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>
          <a:spLocks noChangeArrowheads="1"/>
        </xdr:cNvSpPr>
      </xdr:nvSpPr>
      <xdr:spPr bwMode="auto">
        <a:xfrm>
          <a:off x="4410075" y="14868525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81</xdr:row>
      <xdr:rowOff>152400</xdr:rowOff>
    </xdr:from>
    <xdr:to>
      <xdr:col>6</xdr:col>
      <xdr:colOff>359860</xdr:colOff>
      <xdr:row>81</xdr:row>
      <xdr:rowOff>152400</xdr:rowOff>
    </xdr:to>
    <xdr:sp macro="" textlink="">
      <xdr:nvSpPr>
        <xdr:cNvPr id="15" name="Text Box 2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>
          <a:spLocks noChangeArrowheads="1"/>
        </xdr:cNvSpPr>
      </xdr:nvSpPr>
      <xdr:spPr bwMode="auto">
        <a:xfrm>
          <a:off x="4410075" y="14868525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81</xdr:row>
      <xdr:rowOff>152400</xdr:rowOff>
    </xdr:from>
    <xdr:to>
      <xdr:col>6</xdr:col>
      <xdr:colOff>359860</xdr:colOff>
      <xdr:row>81</xdr:row>
      <xdr:rowOff>152400</xdr:rowOff>
    </xdr:to>
    <xdr:sp macro="" textlink="">
      <xdr:nvSpPr>
        <xdr:cNvPr id="16" name="Text Box 2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>
          <a:spLocks noChangeArrowheads="1"/>
        </xdr:cNvSpPr>
      </xdr:nvSpPr>
      <xdr:spPr bwMode="auto">
        <a:xfrm>
          <a:off x="4410075" y="14868525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107</xdr:row>
      <xdr:rowOff>0</xdr:rowOff>
    </xdr:from>
    <xdr:to>
      <xdr:col>7</xdr:col>
      <xdr:colOff>359491</xdr:colOff>
      <xdr:row>107</xdr:row>
      <xdr:rowOff>0</xdr:rowOff>
    </xdr:to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>
          <a:spLocks noChangeArrowheads="1"/>
        </xdr:cNvSpPr>
      </xdr:nvSpPr>
      <xdr:spPr bwMode="auto">
        <a:xfrm>
          <a:off x="4410075" y="14868525"/>
          <a:ext cx="101671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82</xdr:row>
      <xdr:rowOff>0</xdr:rowOff>
    </xdr:from>
    <xdr:to>
      <xdr:col>7</xdr:col>
      <xdr:colOff>359491</xdr:colOff>
      <xdr:row>82</xdr:row>
      <xdr:rowOff>0</xdr:rowOff>
    </xdr:to>
    <xdr:sp macro="" textlink="">
      <xdr:nvSpPr>
        <xdr:cNvPr id="18" name="Text Box 2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 txBox="1">
          <a:spLocks noChangeArrowheads="1"/>
        </xdr:cNvSpPr>
      </xdr:nvSpPr>
      <xdr:spPr bwMode="auto">
        <a:xfrm>
          <a:off x="4410075" y="14868525"/>
          <a:ext cx="101671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81</xdr:row>
      <xdr:rowOff>152400</xdr:rowOff>
    </xdr:from>
    <xdr:to>
      <xdr:col>7</xdr:col>
      <xdr:colOff>359491</xdr:colOff>
      <xdr:row>81</xdr:row>
      <xdr:rowOff>152400</xdr:rowOff>
    </xdr:to>
    <xdr:sp macro="" textlink="">
      <xdr:nvSpPr>
        <xdr:cNvPr id="19" name="Text Box 2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>
          <a:spLocks noChangeArrowheads="1"/>
        </xdr:cNvSpPr>
      </xdr:nvSpPr>
      <xdr:spPr bwMode="auto">
        <a:xfrm>
          <a:off x="4410075" y="14868525"/>
          <a:ext cx="101671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81</xdr:row>
      <xdr:rowOff>152400</xdr:rowOff>
    </xdr:from>
    <xdr:to>
      <xdr:col>7</xdr:col>
      <xdr:colOff>359491</xdr:colOff>
      <xdr:row>81</xdr:row>
      <xdr:rowOff>152400</xdr:rowOff>
    </xdr:to>
    <xdr:sp macro="" textlink="">
      <xdr:nvSpPr>
        <xdr:cNvPr id="20" name="Text Box 2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 txBox="1">
          <a:spLocks noChangeArrowheads="1"/>
        </xdr:cNvSpPr>
      </xdr:nvSpPr>
      <xdr:spPr bwMode="auto">
        <a:xfrm>
          <a:off x="4410075" y="14868525"/>
          <a:ext cx="101671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177</xdr:row>
      <xdr:rowOff>0</xdr:rowOff>
    </xdr:from>
    <xdr:to>
      <xdr:col>6</xdr:col>
      <xdr:colOff>359860</xdr:colOff>
      <xdr:row>177</xdr:row>
      <xdr:rowOff>0</xdr:rowOff>
    </xdr:to>
    <xdr:sp macro="" textlink="">
      <xdr:nvSpPr>
        <xdr:cNvPr id="21" name="Text Box 1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>
          <a:spLocks noChangeArrowheads="1"/>
        </xdr:cNvSpPr>
      </xdr:nvSpPr>
      <xdr:spPr bwMode="auto">
        <a:xfrm>
          <a:off x="4410075" y="14868525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152</xdr:row>
      <xdr:rowOff>0</xdr:rowOff>
    </xdr:from>
    <xdr:to>
      <xdr:col>6</xdr:col>
      <xdr:colOff>359860</xdr:colOff>
      <xdr:row>152</xdr:row>
      <xdr:rowOff>0</xdr:rowOff>
    </xdr:to>
    <xdr:sp macro="" textlink="">
      <xdr:nvSpPr>
        <xdr:cNvPr id="22" name="Text Box 2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>
          <a:spLocks noChangeArrowheads="1"/>
        </xdr:cNvSpPr>
      </xdr:nvSpPr>
      <xdr:spPr bwMode="auto">
        <a:xfrm>
          <a:off x="4410075" y="14868525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172</xdr:row>
      <xdr:rowOff>19050</xdr:rowOff>
    </xdr:from>
    <xdr:to>
      <xdr:col>6</xdr:col>
      <xdr:colOff>359860</xdr:colOff>
      <xdr:row>172</xdr:row>
      <xdr:rowOff>19050</xdr:rowOff>
    </xdr:to>
    <xdr:sp macro="" textlink="">
      <xdr:nvSpPr>
        <xdr:cNvPr id="23" name="Text Box 1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 txBox="1">
          <a:spLocks noChangeArrowheads="1"/>
        </xdr:cNvSpPr>
      </xdr:nvSpPr>
      <xdr:spPr bwMode="auto">
        <a:xfrm>
          <a:off x="4410075" y="14868525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151</xdr:row>
      <xdr:rowOff>152400</xdr:rowOff>
    </xdr:from>
    <xdr:to>
      <xdr:col>6</xdr:col>
      <xdr:colOff>359860</xdr:colOff>
      <xdr:row>151</xdr:row>
      <xdr:rowOff>152400</xdr:rowOff>
    </xdr:to>
    <xdr:sp macro="" textlink="">
      <xdr:nvSpPr>
        <xdr:cNvPr id="24" name="Text Box 2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 txBox="1">
          <a:spLocks noChangeArrowheads="1"/>
        </xdr:cNvSpPr>
      </xdr:nvSpPr>
      <xdr:spPr bwMode="auto">
        <a:xfrm>
          <a:off x="4410075" y="14868525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151</xdr:row>
      <xdr:rowOff>152400</xdr:rowOff>
    </xdr:from>
    <xdr:to>
      <xdr:col>6</xdr:col>
      <xdr:colOff>359860</xdr:colOff>
      <xdr:row>151</xdr:row>
      <xdr:rowOff>152400</xdr:rowOff>
    </xdr:to>
    <xdr:sp macro="" textlink="">
      <xdr:nvSpPr>
        <xdr:cNvPr id="25" name="Text Box 2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 txBox="1">
          <a:spLocks noChangeArrowheads="1"/>
        </xdr:cNvSpPr>
      </xdr:nvSpPr>
      <xdr:spPr bwMode="auto">
        <a:xfrm>
          <a:off x="4410075" y="14868525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177</xdr:row>
      <xdr:rowOff>0</xdr:rowOff>
    </xdr:from>
    <xdr:to>
      <xdr:col>6</xdr:col>
      <xdr:colOff>359860</xdr:colOff>
      <xdr:row>177</xdr:row>
      <xdr:rowOff>0</xdr:rowOff>
    </xdr:to>
    <xdr:sp macro="" textlink="">
      <xdr:nvSpPr>
        <xdr:cNvPr id="26" name="Text Box 1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 txBox="1">
          <a:spLocks noChangeArrowheads="1"/>
        </xdr:cNvSpPr>
      </xdr:nvSpPr>
      <xdr:spPr bwMode="auto">
        <a:xfrm>
          <a:off x="4410075" y="14868525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152</xdr:row>
      <xdr:rowOff>0</xdr:rowOff>
    </xdr:from>
    <xdr:to>
      <xdr:col>6</xdr:col>
      <xdr:colOff>359860</xdr:colOff>
      <xdr:row>152</xdr:row>
      <xdr:rowOff>0</xdr:rowOff>
    </xdr:to>
    <xdr:sp macro="" textlink="">
      <xdr:nvSpPr>
        <xdr:cNvPr id="27" name="Text Box 2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 txBox="1">
          <a:spLocks noChangeArrowheads="1"/>
        </xdr:cNvSpPr>
      </xdr:nvSpPr>
      <xdr:spPr bwMode="auto">
        <a:xfrm>
          <a:off x="4410075" y="14868525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172</xdr:row>
      <xdr:rowOff>19050</xdr:rowOff>
    </xdr:from>
    <xdr:to>
      <xdr:col>6</xdr:col>
      <xdr:colOff>359860</xdr:colOff>
      <xdr:row>172</xdr:row>
      <xdr:rowOff>19050</xdr:rowOff>
    </xdr:to>
    <xdr:sp macro="" textlink="">
      <xdr:nvSpPr>
        <xdr:cNvPr id="28" name="Text Box 1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 txBox="1">
          <a:spLocks noChangeArrowheads="1"/>
        </xdr:cNvSpPr>
      </xdr:nvSpPr>
      <xdr:spPr bwMode="auto">
        <a:xfrm>
          <a:off x="4410075" y="14868525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151</xdr:row>
      <xdr:rowOff>152400</xdr:rowOff>
    </xdr:from>
    <xdr:to>
      <xdr:col>6</xdr:col>
      <xdr:colOff>359860</xdr:colOff>
      <xdr:row>151</xdr:row>
      <xdr:rowOff>152400</xdr:rowOff>
    </xdr:to>
    <xdr:sp macro="" textlink="">
      <xdr:nvSpPr>
        <xdr:cNvPr id="29" name="Text Box 2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 txBox="1">
          <a:spLocks noChangeArrowheads="1"/>
        </xdr:cNvSpPr>
      </xdr:nvSpPr>
      <xdr:spPr bwMode="auto">
        <a:xfrm>
          <a:off x="4410075" y="14868525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151</xdr:row>
      <xdr:rowOff>152400</xdr:rowOff>
    </xdr:from>
    <xdr:to>
      <xdr:col>6</xdr:col>
      <xdr:colOff>359860</xdr:colOff>
      <xdr:row>151</xdr:row>
      <xdr:rowOff>152400</xdr:rowOff>
    </xdr:to>
    <xdr:sp macro="" textlink="">
      <xdr:nvSpPr>
        <xdr:cNvPr id="30" name="Text Box 2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 txBox="1">
          <a:spLocks noChangeArrowheads="1"/>
        </xdr:cNvSpPr>
      </xdr:nvSpPr>
      <xdr:spPr bwMode="auto">
        <a:xfrm>
          <a:off x="4410075" y="14868525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177</xdr:row>
      <xdr:rowOff>0</xdr:rowOff>
    </xdr:from>
    <xdr:to>
      <xdr:col>7</xdr:col>
      <xdr:colOff>359491</xdr:colOff>
      <xdr:row>177</xdr:row>
      <xdr:rowOff>0</xdr:rowOff>
    </xdr:to>
    <xdr:sp macro="" textlink="">
      <xdr:nvSpPr>
        <xdr:cNvPr id="31" name="Text Box 1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 txBox="1">
          <a:spLocks noChangeArrowheads="1"/>
        </xdr:cNvSpPr>
      </xdr:nvSpPr>
      <xdr:spPr bwMode="auto">
        <a:xfrm>
          <a:off x="4410075" y="14868525"/>
          <a:ext cx="101671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152</xdr:row>
      <xdr:rowOff>0</xdr:rowOff>
    </xdr:from>
    <xdr:to>
      <xdr:col>7</xdr:col>
      <xdr:colOff>359491</xdr:colOff>
      <xdr:row>152</xdr:row>
      <xdr:rowOff>0</xdr:rowOff>
    </xdr:to>
    <xdr:sp macro="" textlink="">
      <xdr:nvSpPr>
        <xdr:cNvPr id="32" name="Text Box 2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 txBox="1">
          <a:spLocks noChangeArrowheads="1"/>
        </xdr:cNvSpPr>
      </xdr:nvSpPr>
      <xdr:spPr bwMode="auto">
        <a:xfrm>
          <a:off x="4410075" y="14868525"/>
          <a:ext cx="101671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151</xdr:row>
      <xdr:rowOff>152400</xdr:rowOff>
    </xdr:from>
    <xdr:to>
      <xdr:col>7</xdr:col>
      <xdr:colOff>359491</xdr:colOff>
      <xdr:row>151</xdr:row>
      <xdr:rowOff>152400</xdr:rowOff>
    </xdr:to>
    <xdr:sp macro="" textlink="">
      <xdr:nvSpPr>
        <xdr:cNvPr id="33" name="Text Box 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 txBox="1">
          <a:spLocks noChangeArrowheads="1"/>
        </xdr:cNvSpPr>
      </xdr:nvSpPr>
      <xdr:spPr bwMode="auto">
        <a:xfrm>
          <a:off x="4410075" y="14868525"/>
          <a:ext cx="101671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151</xdr:row>
      <xdr:rowOff>152400</xdr:rowOff>
    </xdr:from>
    <xdr:to>
      <xdr:col>7</xdr:col>
      <xdr:colOff>359491</xdr:colOff>
      <xdr:row>151</xdr:row>
      <xdr:rowOff>152400</xdr:rowOff>
    </xdr:to>
    <xdr:sp macro="" textlink="">
      <xdr:nvSpPr>
        <xdr:cNvPr id="34" name="Text Box 2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 txBox="1">
          <a:spLocks noChangeArrowheads="1"/>
        </xdr:cNvSpPr>
      </xdr:nvSpPr>
      <xdr:spPr bwMode="auto">
        <a:xfrm>
          <a:off x="4410075" y="14868525"/>
          <a:ext cx="101671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33</xdr:row>
      <xdr:rowOff>0</xdr:rowOff>
    </xdr:from>
    <xdr:to>
      <xdr:col>6</xdr:col>
      <xdr:colOff>359860</xdr:colOff>
      <xdr:row>33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>
          <a:spLocks noChangeArrowheads="1"/>
        </xdr:cNvSpPr>
      </xdr:nvSpPr>
      <xdr:spPr bwMode="auto">
        <a:xfrm>
          <a:off x="4476750" y="622935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28</xdr:row>
      <xdr:rowOff>19050</xdr:rowOff>
    </xdr:from>
    <xdr:to>
      <xdr:col>6</xdr:col>
      <xdr:colOff>359860</xdr:colOff>
      <xdr:row>28</xdr:row>
      <xdr:rowOff>19050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>
          <a:spLocks noChangeArrowheads="1"/>
        </xdr:cNvSpPr>
      </xdr:nvSpPr>
      <xdr:spPr bwMode="auto">
        <a:xfrm>
          <a:off x="4476750" y="5343525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359860</xdr:colOff>
      <xdr:row>33</xdr:row>
      <xdr:rowOff>0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>
          <a:spLocks noChangeArrowheads="1"/>
        </xdr:cNvSpPr>
      </xdr:nvSpPr>
      <xdr:spPr bwMode="auto">
        <a:xfrm>
          <a:off x="4476750" y="622935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28</xdr:row>
      <xdr:rowOff>19050</xdr:rowOff>
    </xdr:from>
    <xdr:to>
      <xdr:col>6</xdr:col>
      <xdr:colOff>359860</xdr:colOff>
      <xdr:row>28</xdr:row>
      <xdr:rowOff>19050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>
          <a:spLocks noChangeArrowheads="1"/>
        </xdr:cNvSpPr>
      </xdr:nvSpPr>
      <xdr:spPr bwMode="auto">
        <a:xfrm>
          <a:off x="4476750" y="5343525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7</xdr:col>
      <xdr:colOff>359491</xdr:colOff>
      <xdr:row>33</xdr:row>
      <xdr:rowOff>0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>
          <a:spLocks noChangeArrowheads="1"/>
        </xdr:cNvSpPr>
      </xdr:nvSpPr>
      <xdr:spPr bwMode="auto">
        <a:xfrm>
          <a:off x="4476750" y="6229350"/>
          <a:ext cx="101671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33</xdr:row>
      <xdr:rowOff>0</xdr:rowOff>
    </xdr:from>
    <xdr:to>
      <xdr:col>6</xdr:col>
      <xdr:colOff>359860</xdr:colOff>
      <xdr:row>33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3931920" y="635508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28</xdr:row>
      <xdr:rowOff>19050</xdr:rowOff>
    </xdr:from>
    <xdr:to>
      <xdr:col>6</xdr:col>
      <xdr:colOff>359860</xdr:colOff>
      <xdr:row>28</xdr:row>
      <xdr:rowOff>19050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3931920" y="549783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359860</xdr:colOff>
      <xdr:row>33</xdr:row>
      <xdr:rowOff>0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>
          <a:spLocks noChangeArrowheads="1"/>
        </xdr:cNvSpPr>
      </xdr:nvSpPr>
      <xdr:spPr bwMode="auto">
        <a:xfrm>
          <a:off x="3931920" y="635508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28</xdr:row>
      <xdr:rowOff>19050</xdr:rowOff>
    </xdr:from>
    <xdr:to>
      <xdr:col>6</xdr:col>
      <xdr:colOff>359860</xdr:colOff>
      <xdr:row>28</xdr:row>
      <xdr:rowOff>19050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>
          <a:spLocks noChangeArrowheads="1"/>
        </xdr:cNvSpPr>
      </xdr:nvSpPr>
      <xdr:spPr bwMode="auto">
        <a:xfrm>
          <a:off x="3931920" y="549783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7</xdr:col>
      <xdr:colOff>359491</xdr:colOff>
      <xdr:row>33</xdr:row>
      <xdr:rowOff>0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>
          <a:spLocks noChangeArrowheads="1"/>
        </xdr:cNvSpPr>
      </xdr:nvSpPr>
      <xdr:spPr bwMode="auto">
        <a:xfrm>
          <a:off x="3931920" y="6355080"/>
          <a:ext cx="95385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33</xdr:row>
      <xdr:rowOff>0</xdr:rowOff>
    </xdr:from>
    <xdr:to>
      <xdr:col>6</xdr:col>
      <xdr:colOff>359860</xdr:colOff>
      <xdr:row>33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3931920" y="663702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28</xdr:row>
      <xdr:rowOff>19050</xdr:rowOff>
    </xdr:from>
    <xdr:to>
      <xdr:col>6</xdr:col>
      <xdr:colOff>359860</xdr:colOff>
      <xdr:row>28</xdr:row>
      <xdr:rowOff>19050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3931920" y="577977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359860</xdr:colOff>
      <xdr:row>33</xdr:row>
      <xdr:rowOff>0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3931920" y="663702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28</xdr:row>
      <xdr:rowOff>19050</xdr:rowOff>
    </xdr:from>
    <xdr:to>
      <xdr:col>6</xdr:col>
      <xdr:colOff>359860</xdr:colOff>
      <xdr:row>28</xdr:row>
      <xdr:rowOff>19050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3931920" y="5779770"/>
          <a:ext cx="35986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7</xdr:col>
      <xdr:colOff>359491</xdr:colOff>
      <xdr:row>33</xdr:row>
      <xdr:rowOff>0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3931920" y="6637020"/>
          <a:ext cx="95385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33</xdr:row>
      <xdr:rowOff>0</xdr:rowOff>
    </xdr:from>
    <xdr:to>
      <xdr:col>6</xdr:col>
      <xdr:colOff>359860</xdr:colOff>
      <xdr:row>33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4219575" y="6800850"/>
          <a:ext cx="38283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28</xdr:row>
      <xdr:rowOff>19050</xdr:rowOff>
    </xdr:from>
    <xdr:to>
      <xdr:col>6</xdr:col>
      <xdr:colOff>359860</xdr:colOff>
      <xdr:row>28</xdr:row>
      <xdr:rowOff>19050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4219575" y="5915025"/>
          <a:ext cx="38283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359860</xdr:colOff>
      <xdr:row>33</xdr:row>
      <xdr:rowOff>0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>
          <a:spLocks noChangeArrowheads="1"/>
        </xdr:cNvSpPr>
      </xdr:nvSpPr>
      <xdr:spPr bwMode="auto">
        <a:xfrm>
          <a:off x="4219575" y="6800850"/>
          <a:ext cx="38283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28</xdr:row>
      <xdr:rowOff>19050</xdr:rowOff>
    </xdr:from>
    <xdr:to>
      <xdr:col>6</xdr:col>
      <xdr:colOff>359860</xdr:colOff>
      <xdr:row>28</xdr:row>
      <xdr:rowOff>19050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>
          <a:spLocks noChangeArrowheads="1"/>
        </xdr:cNvSpPr>
      </xdr:nvSpPr>
      <xdr:spPr bwMode="auto">
        <a:xfrm>
          <a:off x="4219575" y="5915025"/>
          <a:ext cx="38283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7</xdr:col>
      <xdr:colOff>359491</xdr:colOff>
      <xdr:row>33</xdr:row>
      <xdr:rowOff>0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>
          <a:spLocks noChangeArrowheads="1"/>
        </xdr:cNvSpPr>
      </xdr:nvSpPr>
      <xdr:spPr bwMode="auto">
        <a:xfrm>
          <a:off x="4219575" y="6800850"/>
          <a:ext cx="1020558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33</xdr:row>
      <xdr:rowOff>0</xdr:rowOff>
    </xdr:from>
    <xdr:to>
      <xdr:col>6</xdr:col>
      <xdr:colOff>359860</xdr:colOff>
      <xdr:row>33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4076700" y="6800850"/>
          <a:ext cx="38283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28</xdr:row>
      <xdr:rowOff>19050</xdr:rowOff>
    </xdr:from>
    <xdr:to>
      <xdr:col>6</xdr:col>
      <xdr:colOff>359860</xdr:colOff>
      <xdr:row>28</xdr:row>
      <xdr:rowOff>19050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4076700" y="5915025"/>
          <a:ext cx="38283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359860</xdr:colOff>
      <xdr:row>33</xdr:row>
      <xdr:rowOff>0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>
          <a:spLocks noChangeArrowheads="1"/>
        </xdr:cNvSpPr>
      </xdr:nvSpPr>
      <xdr:spPr bwMode="auto">
        <a:xfrm>
          <a:off x="4076700" y="6800850"/>
          <a:ext cx="38283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28</xdr:row>
      <xdr:rowOff>19050</xdr:rowOff>
    </xdr:from>
    <xdr:to>
      <xdr:col>6</xdr:col>
      <xdr:colOff>359860</xdr:colOff>
      <xdr:row>28</xdr:row>
      <xdr:rowOff>19050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 txBox="1">
          <a:spLocks noChangeArrowheads="1"/>
        </xdr:cNvSpPr>
      </xdr:nvSpPr>
      <xdr:spPr bwMode="auto">
        <a:xfrm>
          <a:off x="4076700" y="5915025"/>
          <a:ext cx="38283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7</xdr:col>
      <xdr:colOff>359491</xdr:colOff>
      <xdr:row>33</xdr:row>
      <xdr:rowOff>0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>
          <a:spLocks noChangeArrowheads="1"/>
        </xdr:cNvSpPr>
      </xdr:nvSpPr>
      <xdr:spPr bwMode="auto">
        <a:xfrm>
          <a:off x="4076700" y="6800850"/>
          <a:ext cx="1020558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33</xdr:row>
      <xdr:rowOff>0</xdr:rowOff>
    </xdr:from>
    <xdr:to>
      <xdr:col>6</xdr:col>
      <xdr:colOff>359860</xdr:colOff>
      <xdr:row>33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>
          <a:spLocks noChangeArrowheads="1"/>
        </xdr:cNvSpPr>
      </xdr:nvSpPr>
      <xdr:spPr bwMode="auto">
        <a:xfrm>
          <a:off x="4076700" y="6800850"/>
          <a:ext cx="38283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359860</xdr:colOff>
      <xdr:row>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 txBox="1">
          <a:spLocks noChangeArrowheads="1"/>
        </xdr:cNvSpPr>
      </xdr:nvSpPr>
      <xdr:spPr bwMode="auto">
        <a:xfrm>
          <a:off x="4076700" y="2276475"/>
          <a:ext cx="38283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28</xdr:row>
      <xdr:rowOff>19050</xdr:rowOff>
    </xdr:from>
    <xdr:to>
      <xdr:col>6</xdr:col>
      <xdr:colOff>359860</xdr:colOff>
      <xdr:row>28</xdr:row>
      <xdr:rowOff>19050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 txBox="1">
          <a:spLocks noChangeArrowheads="1"/>
        </xdr:cNvSpPr>
      </xdr:nvSpPr>
      <xdr:spPr bwMode="auto">
        <a:xfrm>
          <a:off x="4076700" y="5915025"/>
          <a:ext cx="38283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152400</xdr:rowOff>
    </xdr:from>
    <xdr:to>
      <xdr:col>6</xdr:col>
      <xdr:colOff>359860</xdr:colOff>
      <xdr:row>7</xdr:row>
      <xdr:rowOff>152400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 txBox="1">
          <a:spLocks noChangeArrowheads="1"/>
        </xdr:cNvSpPr>
      </xdr:nvSpPr>
      <xdr:spPr bwMode="auto">
        <a:xfrm>
          <a:off x="4076700" y="2200275"/>
          <a:ext cx="38283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152400</xdr:rowOff>
    </xdr:from>
    <xdr:to>
      <xdr:col>6</xdr:col>
      <xdr:colOff>359860</xdr:colOff>
      <xdr:row>7</xdr:row>
      <xdr:rowOff>152400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 txBox="1">
          <a:spLocks noChangeArrowheads="1"/>
        </xdr:cNvSpPr>
      </xdr:nvSpPr>
      <xdr:spPr bwMode="auto">
        <a:xfrm>
          <a:off x="4076700" y="2200275"/>
          <a:ext cx="38283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359860</xdr:colOff>
      <xdr:row>33</xdr:row>
      <xdr:rowOff>0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 txBox="1">
          <a:spLocks noChangeArrowheads="1"/>
        </xdr:cNvSpPr>
      </xdr:nvSpPr>
      <xdr:spPr bwMode="auto">
        <a:xfrm>
          <a:off x="4076700" y="6800850"/>
          <a:ext cx="38283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359860</xdr:colOff>
      <xdr:row>8</xdr:row>
      <xdr:rowOff>0</xdr:rowOff>
    </xdr:to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 txBox="1">
          <a:spLocks noChangeArrowheads="1"/>
        </xdr:cNvSpPr>
      </xdr:nvSpPr>
      <xdr:spPr bwMode="auto">
        <a:xfrm>
          <a:off x="4076700" y="2276475"/>
          <a:ext cx="38283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28</xdr:row>
      <xdr:rowOff>19050</xdr:rowOff>
    </xdr:from>
    <xdr:to>
      <xdr:col>6</xdr:col>
      <xdr:colOff>359860</xdr:colOff>
      <xdr:row>28</xdr:row>
      <xdr:rowOff>19050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 txBox="1">
          <a:spLocks noChangeArrowheads="1"/>
        </xdr:cNvSpPr>
      </xdr:nvSpPr>
      <xdr:spPr bwMode="auto">
        <a:xfrm>
          <a:off x="4076700" y="5915025"/>
          <a:ext cx="38283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152400</xdr:rowOff>
    </xdr:from>
    <xdr:to>
      <xdr:col>6</xdr:col>
      <xdr:colOff>359860</xdr:colOff>
      <xdr:row>7</xdr:row>
      <xdr:rowOff>152400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 txBox="1">
          <a:spLocks noChangeArrowheads="1"/>
        </xdr:cNvSpPr>
      </xdr:nvSpPr>
      <xdr:spPr bwMode="auto">
        <a:xfrm>
          <a:off x="4076700" y="2200275"/>
          <a:ext cx="38283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152400</xdr:rowOff>
    </xdr:from>
    <xdr:to>
      <xdr:col>6</xdr:col>
      <xdr:colOff>359860</xdr:colOff>
      <xdr:row>7</xdr:row>
      <xdr:rowOff>152400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 txBox="1">
          <a:spLocks noChangeArrowheads="1"/>
        </xdr:cNvSpPr>
      </xdr:nvSpPr>
      <xdr:spPr bwMode="auto">
        <a:xfrm>
          <a:off x="4076700" y="2200275"/>
          <a:ext cx="38283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7</xdr:col>
      <xdr:colOff>359491</xdr:colOff>
      <xdr:row>33</xdr:row>
      <xdr:rowOff>0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 txBox="1">
          <a:spLocks noChangeArrowheads="1"/>
        </xdr:cNvSpPr>
      </xdr:nvSpPr>
      <xdr:spPr bwMode="auto">
        <a:xfrm>
          <a:off x="4076700" y="6800850"/>
          <a:ext cx="1020558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7</xdr:col>
      <xdr:colOff>359491</xdr:colOff>
      <xdr:row>8</xdr:row>
      <xdr:rowOff>0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SpPr txBox="1">
          <a:spLocks noChangeArrowheads="1"/>
        </xdr:cNvSpPr>
      </xdr:nvSpPr>
      <xdr:spPr bwMode="auto">
        <a:xfrm>
          <a:off x="4076700" y="2276475"/>
          <a:ext cx="1020558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152400</xdr:rowOff>
    </xdr:from>
    <xdr:to>
      <xdr:col>7</xdr:col>
      <xdr:colOff>359491</xdr:colOff>
      <xdr:row>7</xdr:row>
      <xdr:rowOff>152400</xdr:rowOff>
    </xdr:to>
    <xdr:sp macro="" textlink="">
      <xdr:nvSpPr>
        <xdr:cNvPr id="14" name="Text Box 2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 txBox="1">
          <a:spLocks noChangeArrowheads="1"/>
        </xdr:cNvSpPr>
      </xdr:nvSpPr>
      <xdr:spPr bwMode="auto">
        <a:xfrm>
          <a:off x="4076700" y="2200275"/>
          <a:ext cx="1020558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152400</xdr:rowOff>
    </xdr:from>
    <xdr:to>
      <xdr:col>7</xdr:col>
      <xdr:colOff>359491</xdr:colOff>
      <xdr:row>7</xdr:row>
      <xdr:rowOff>152400</xdr:rowOff>
    </xdr:to>
    <xdr:sp macro="" textlink="">
      <xdr:nvSpPr>
        <xdr:cNvPr id="15" name="Text Box 2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SpPr txBox="1">
          <a:spLocks noChangeArrowheads="1"/>
        </xdr:cNvSpPr>
      </xdr:nvSpPr>
      <xdr:spPr bwMode="auto">
        <a:xfrm>
          <a:off x="4076700" y="2200275"/>
          <a:ext cx="1020558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33</xdr:row>
      <xdr:rowOff>0</xdr:rowOff>
    </xdr:from>
    <xdr:to>
      <xdr:col>6</xdr:col>
      <xdr:colOff>359860</xdr:colOff>
      <xdr:row>33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4083050" y="7232650"/>
          <a:ext cx="38422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359860</xdr:colOff>
      <xdr:row>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>
          <a:spLocks noChangeArrowheads="1"/>
        </xdr:cNvSpPr>
      </xdr:nvSpPr>
      <xdr:spPr bwMode="auto">
        <a:xfrm>
          <a:off x="4083050" y="2254250"/>
          <a:ext cx="38422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28</xdr:row>
      <xdr:rowOff>19050</xdr:rowOff>
    </xdr:from>
    <xdr:to>
      <xdr:col>6</xdr:col>
      <xdr:colOff>359860</xdr:colOff>
      <xdr:row>28</xdr:row>
      <xdr:rowOff>19050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>
          <a:spLocks noChangeArrowheads="1"/>
        </xdr:cNvSpPr>
      </xdr:nvSpPr>
      <xdr:spPr bwMode="auto">
        <a:xfrm>
          <a:off x="4083050" y="6362700"/>
          <a:ext cx="38422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152400</xdr:rowOff>
    </xdr:from>
    <xdr:to>
      <xdr:col>6</xdr:col>
      <xdr:colOff>359860</xdr:colOff>
      <xdr:row>7</xdr:row>
      <xdr:rowOff>152400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>
          <a:spLocks noChangeArrowheads="1"/>
        </xdr:cNvSpPr>
      </xdr:nvSpPr>
      <xdr:spPr bwMode="auto">
        <a:xfrm>
          <a:off x="4083050" y="2178050"/>
          <a:ext cx="38422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152400</xdr:rowOff>
    </xdr:from>
    <xdr:to>
      <xdr:col>6</xdr:col>
      <xdr:colOff>359860</xdr:colOff>
      <xdr:row>7</xdr:row>
      <xdr:rowOff>152400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 txBox="1">
          <a:spLocks noChangeArrowheads="1"/>
        </xdr:cNvSpPr>
      </xdr:nvSpPr>
      <xdr:spPr bwMode="auto">
        <a:xfrm>
          <a:off x="4083050" y="2178050"/>
          <a:ext cx="38422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359860</xdr:colOff>
      <xdr:row>33</xdr:row>
      <xdr:rowOff>0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>
          <a:spLocks noChangeArrowheads="1"/>
        </xdr:cNvSpPr>
      </xdr:nvSpPr>
      <xdr:spPr bwMode="auto">
        <a:xfrm>
          <a:off x="4083050" y="7232650"/>
          <a:ext cx="38422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359860</xdr:colOff>
      <xdr:row>8</xdr:row>
      <xdr:rowOff>0</xdr:rowOff>
    </xdr:to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>
          <a:spLocks noChangeArrowheads="1"/>
        </xdr:cNvSpPr>
      </xdr:nvSpPr>
      <xdr:spPr bwMode="auto">
        <a:xfrm>
          <a:off x="4083050" y="2254250"/>
          <a:ext cx="38422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28</xdr:row>
      <xdr:rowOff>19050</xdr:rowOff>
    </xdr:from>
    <xdr:to>
      <xdr:col>6</xdr:col>
      <xdr:colOff>359860</xdr:colOff>
      <xdr:row>28</xdr:row>
      <xdr:rowOff>19050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>
          <a:spLocks noChangeArrowheads="1"/>
        </xdr:cNvSpPr>
      </xdr:nvSpPr>
      <xdr:spPr bwMode="auto">
        <a:xfrm>
          <a:off x="4083050" y="6362700"/>
          <a:ext cx="38422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152400</xdr:rowOff>
    </xdr:from>
    <xdr:to>
      <xdr:col>6</xdr:col>
      <xdr:colOff>359860</xdr:colOff>
      <xdr:row>7</xdr:row>
      <xdr:rowOff>152400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>
          <a:spLocks noChangeArrowheads="1"/>
        </xdr:cNvSpPr>
      </xdr:nvSpPr>
      <xdr:spPr bwMode="auto">
        <a:xfrm>
          <a:off x="4083050" y="2178050"/>
          <a:ext cx="38422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152400</xdr:rowOff>
    </xdr:from>
    <xdr:to>
      <xdr:col>6</xdr:col>
      <xdr:colOff>359860</xdr:colOff>
      <xdr:row>7</xdr:row>
      <xdr:rowOff>152400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>
          <a:spLocks noChangeArrowheads="1"/>
        </xdr:cNvSpPr>
      </xdr:nvSpPr>
      <xdr:spPr bwMode="auto">
        <a:xfrm>
          <a:off x="4083050" y="2178050"/>
          <a:ext cx="38422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7</xdr:col>
      <xdr:colOff>359491</xdr:colOff>
      <xdr:row>33</xdr:row>
      <xdr:rowOff>0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 txBox="1">
          <a:spLocks noChangeArrowheads="1"/>
        </xdr:cNvSpPr>
      </xdr:nvSpPr>
      <xdr:spPr bwMode="auto">
        <a:xfrm>
          <a:off x="4083050" y="7232650"/>
          <a:ext cx="1018598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7</xdr:col>
      <xdr:colOff>359491</xdr:colOff>
      <xdr:row>8</xdr:row>
      <xdr:rowOff>0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 txBox="1">
          <a:spLocks noChangeArrowheads="1"/>
        </xdr:cNvSpPr>
      </xdr:nvSpPr>
      <xdr:spPr bwMode="auto">
        <a:xfrm>
          <a:off x="4083050" y="2254250"/>
          <a:ext cx="1018598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152400</xdr:rowOff>
    </xdr:from>
    <xdr:to>
      <xdr:col>7</xdr:col>
      <xdr:colOff>359491</xdr:colOff>
      <xdr:row>7</xdr:row>
      <xdr:rowOff>152400</xdr:rowOff>
    </xdr:to>
    <xdr:sp macro="" textlink="">
      <xdr:nvSpPr>
        <xdr:cNvPr id="15" name="Text Box 2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>
          <a:spLocks noChangeArrowheads="1"/>
        </xdr:cNvSpPr>
      </xdr:nvSpPr>
      <xdr:spPr bwMode="auto">
        <a:xfrm>
          <a:off x="4083050" y="2178050"/>
          <a:ext cx="1018598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152400</xdr:rowOff>
    </xdr:from>
    <xdr:to>
      <xdr:col>7</xdr:col>
      <xdr:colOff>359491</xdr:colOff>
      <xdr:row>7</xdr:row>
      <xdr:rowOff>152400</xdr:rowOff>
    </xdr:to>
    <xdr:sp macro="" textlink="">
      <xdr:nvSpPr>
        <xdr:cNvPr id="16" name="Text Box 2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 txBox="1">
          <a:spLocks noChangeArrowheads="1"/>
        </xdr:cNvSpPr>
      </xdr:nvSpPr>
      <xdr:spPr bwMode="auto">
        <a:xfrm>
          <a:off x="4083050" y="2178050"/>
          <a:ext cx="1018598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33</xdr:row>
      <xdr:rowOff>0</xdr:rowOff>
    </xdr:from>
    <xdr:to>
      <xdr:col>6</xdr:col>
      <xdr:colOff>353488</xdr:colOff>
      <xdr:row>33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>
          <a:spLocks noChangeArrowheads="1"/>
        </xdr:cNvSpPr>
      </xdr:nvSpPr>
      <xdr:spPr bwMode="auto">
        <a:xfrm>
          <a:off x="3581400" y="7343775"/>
          <a:ext cx="390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353488</xdr:colOff>
      <xdr:row>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 txBox="1">
          <a:spLocks noChangeArrowheads="1"/>
        </xdr:cNvSpPr>
      </xdr:nvSpPr>
      <xdr:spPr bwMode="auto">
        <a:xfrm>
          <a:off x="3581400" y="2276475"/>
          <a:ext cx="390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28</xdr:row>
      <xdr:rowOff>19050</xdr:rowOff>
    </xdr:from>
    <xdr:to>
      <xdr:col>6</xdr:col>
      <xdr:colOff>353488</xdr:colOff>
      <xdr:row>28</xdr:row>
      <xdr:rowOff>19050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 txBox="1">
          <a:spLocks noChangeArrowheads="1"/>
        </xdr:cNvSpPr>
      </xdr:nvSpPr>
      <xdr:spPr bwMode="auto">
        <a:xfrm>
          <a:off x="3581400" y="6457950"/>
          <a:ext cx="390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152400</xdr:rowOff>
    </xdr:from>
    <xdr:to>
      <xdr:col>6</xdr:col>
      <xdr:colOff>353488</xdr:colOff>
      <xdr:row>7</xdr:row>
      <xdr:rowOff>152400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 txBox="1">
          <a:spLocks noChangeArrowheads="1"/>
        </xdr:cNvSpPr>
      </xdr:nvSpPr>
      <xdr:spPr bwMode="auto">
        <a:xfrm>
          <a:off x="3581400" y="2200275"/>
          <a:ext cx="390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152400</xdr:rowOff>
    </xdr:from>
    <xdr:to>
      <xdr:col>6</xdr:col>
      <xdr:colOff>353488</xdr:colOff>
      <xdr:row>7</xdr:row>
      <xdr:rowOff>152400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 txBox="1">
          <a:spLocks noChangeArrowheads="1"/>
        </xdr:cNvSpPr>
      </xdr:nvSpPr>
      <xdr:spPr bwMode="auto">
        <a:xfrm>
          <a:off x="3581400" y="2200275"/>
          <a:ext cx="390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353488</xdr:colOff>
      <xdr:row>33</xdr:row>
      <xdr:rowOff>0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 txBox="1">
          <a:spLocks noChangeArrowheads="1"/>
        </xdr:cNvSpPr>
      </xdr:nvSpPr>
      <xdr:spPr bwMode="auto">
        <a:xfrm>
          <a:off x="3581400" y="7343775"/>
          <a:ext cx="390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353488</xdr:colOff>
      <xdr:row>8</xdr:row>
      <xdr:rowOff>0</xdr:rowOff>
    </xdr:to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 txBox="1">
          <a:spLocks noChangeArrowheads="1"/>
        </xdr:cNvSpPr>
      </xdr:nvSpPr>
      <xdr:spPr bwMode="auto">
        <a:xfrm>
          <a:off x="3581400" y="2276475"/>
          <a:ext cx="390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28</xdr:row>
      <xdr:rowOff>19050</xdr:rowOff>
    </xdr:from>
    <xdr:to>
      <xdr:col>6</xdr:col>
      <xdr:colOff>353488</xdr:colOff>
      <xdr:row>28</xdr:row>
      <xdr:rowOff>19050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 txBox="1">
          <a:spLocks noChangeArrowheads="1"/>
        </xdr:cNvSpPr>
      </xdr:nvSpPr>
      <xdr:spPr bwMode="auto">
        <a:xfrm>
          <a:off x="3581400" y="6457950"/>
          <a:ext cx="390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152400</xdr:rowOff>
    </xdr:from>
    <xdr:to>
      <xdr:col>6</xdr:col>
      <xdr:colOff>353488</xdr:colOff>
      <xdr:row>7</xdr:row>
      <xdr:rowOff>152400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 txBox="1">
          <a:spLocks noChangeArrowheads="1"/>
        </xdr:cNvSpPr>
      </xdr:nvSpPr>
      <xdr:spPr bwMode="auto">
        <a:xfrm>
          <a:off x="3581400" y="2200275"/>
          <a:ext cx="390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152400</xdr:rowOff>
    </xdr:from>
    <xdr:to>
      <xdr:col>6</xdr:col>
      <xdr:colOff>353488</xdr:colOff>
      <xdr:row>7</xdr:row>
      <xdr:rowOff>152400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 txBox="1">
          <a:spLocks noChangeArrowheads="1"/>
        </xdr:cNvSpPr>
      </xdr:nvSpPr>
      <xdr:spPr bwMode="auto">
        <a:xfrm>
          <a:off x="3581400" y="2200275"/>
          <a:ext cx="390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7</xdr:col>
      <xdr:colOff>361303</xdr:colOff>
      <xdr:row>33</xdr:row>
      <xdr:rowOff>0</xdr:rowOff>
    </xdr:to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SpPr txBox="1">
          <a:spLocks noChangeArrowheads="1"/>
        </xdr:cNvSpPr>
      </xdr:nvSpPr>
      <xdr:spPr bwMode="auto">
        <a:xfrm>
          <a:off x="3895725" y="8362950"/>
          <a:ext cx="790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7</xdr:col>
      <xdr:colOff>361303</xdr:colOff>
      <xdr:row>8</xdr:row>
      <xdr:rowOff>0</xdr:rowOff>
    </xdr:to>
    <xdr:sp macro="" textlink="">
      <xdr:nvSpPr>
        <xdr:cNvPr id="18" name="Text Box 2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SpPr txBox="1">
          <a:spLocks noChangeArrowheads="1"/>
        </xdr:cNvSpPr>
      </xdr:nvSpPr>
      <xdr:spPr bwMode="auto">
        <a:xfrm>
          <a:off x="3895725" y="2495550"/>
          <a:ext cx="790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152400</xdr:rowOff>
    </xdr:from>
    <xdr:to>
      <xdr:col>7</xdr:col>
      <xdr:colOff>361303</xdr:colOff>
      <xdr:row>7</xdr:row>
      <xdr:rowOff>152400</xdr:rowOff>
    </xdr:to>
    <xdr:sp macro="" textlink="">
      <xdr:nvSpPr>
        <xdr:cNvPr id="20" name="Text Box 2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SpPr txBox="1">
          <a:spLocks noChangeArrowheads="1"/>
        </xdr:cNvSpPr>
      </xdr:nvSpPr>
      <xdr:spPr bwMode="auto">
        <a:xfrm>
          <a:off x="3895725" y="8782050"/>
          <a:ext cx="790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152400</xdr:rowOff>
    </xdr:from>
    <xdr:to>
      <xdr:col>7</xdr:col>
      <xdr:colOff>361303</xdr:colOff>
      <xdr:row>7</xdr:row>
      <xdr:rowOff>152400</xdr:rowOff>
    </xdr:to>
    <xdr:sp macro="" textlink="">
      <xdr:nvSpPr>
        <xdr:cNvPr id="21" name="Text Box 2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SpPr txBox="1">
          <a:spLocks noChangeArrowheads="1"/>
        </xdr:cNvSpPr>
      </xdr:nvSpPr>
      <xdr:spPr bwMode="auto">
        <a:xfrm>
          <a:off x="3895725" y="15068550"/>
          <a:ext cx="790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33</xdr:row>
      <xdr:rowOff>0</xdr:rowOff>
    </xdr:from>
    <xdr:to>
      <xdr:col>6</xdr:col>
      <xdr:colOff>368733</xdr:colOff>
      <xdr:row>33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>
          <a:spLocks noChangeArrowheads="1"/>
        </xdr:cNvSpPr>
      </xdr:nvSpPr>
      <xdr:spPr bwMode="auto">
        <a:xfrm>
          <a:off x="22098000" y="7343775"/>
          <a:ext cx="390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368733</xdr:colOff>
      <xdr:row>8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>
          <a:spLocks noChangeArrowheads="1"/>
        </xdr:cNvSpPr>
      </xdr:nvSpPr>
      <xdr:spPr bwMode="auto">
        <a:xfrm>
          <a:off x="22098000" y="2276475"/>
          <a:ext cx="390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28</xdr:row>
      <xdr:rowOff>19050</xdr:rowOff>
    </xdr:from>
    <xdr:to>
      <xdr:col>6</xdr:col>
      <xdr:colOff>368733</xdr:colOff>
      <xdr:row>28</xdr:row>
      <xdr:rowOff>19050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 txBox="1">
          <a:spLocks noChangeArrowheads="1"/>
        </xdr:cNvSpPr>
      </xdr:nvSpPr>
      <xdr:spPr bwMode="auto">
        <a:xfrm>
          <a:off x="22098000" y="6457950"/>
          <a:ext cx="390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152400</xdr:rowOff>
    </xdr:from>
    <xdr:to>
      <xdr:col>6</xdr:col>
      <xdr:colOff>368733</xdr:colOff>
      <xdr:row>7</xdr:row>
      <xdr:rowOff>152400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 txBox="1">
          <a:spLocks noChangeArrowheads="1"/>
        </xdr:cNvSpPr>
      </xdr:nvSpPr>
      <xdr:spPr bwMode="auto">
        <a:xfrm>
          <a:off x="22098000" y="2200275"/>
          <a:ext cx="390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152400</xdr:rowOff>
    </xdr:from>
    <xdr:to>
      <xdr:col>6</xdr:col>
      <xdr:colOff>368733</xdr:colOff>
      <xdr:row>7</xdr:row>
      <xdr:rowOff>152400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 txBox="1">
          <a:spLocks noChangeArrowheads="1"/>
        </xdr:cNvSpPr>
      </xdr:nvSpPr>
      <xdr:spPr bwMode="auto">
        <a:xfrm>
          <a:off x="22098000" y="2200275"/>
          <a:ext cx="390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368733</xdr:colOff>
      <xdr:row>33</xdr:row>
      <xdr:rowOff>0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 txBox="1">
          <a:spLocks noChangeArrowheads="1"/>
        </xdr:cNvSpPr>
      </xdr:nvSpPr>
      <xdr:spPr bwMode="auto">
        <a:xfrm>
          <a:off x="22098000" y="7343775"/>
          <a:ext cx="390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368733</xdr:colOff>
      <xdr:row>8</xdr:row>
      <xdr:rowOff>0</xdr:rowOff>
    </xdr:to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 txBox="1">
          <a:spLocks noChangeArrowheads="1"/>
        </xdr:cNvSpPr>
      </xdr:nvSpPr>
      <xdr:spPr bwMode="auto">
        <a:xfrm>
          <a:off x="22098000" y="2276475"/>
          <a:ext cx="390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28</xdr:row>
      <xdr:rowOff>19050</xdr:rowOff>
    </xdr:from>
    <xdr:to>
      <xdr:col>6</xdr:col>
      <xdr:colOff>368733</xdr:colOff>
      <xdr:row>28</xdr:row>
      <xdr:rowOff>19050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 txBox="1">
          <a:spLocks noChangeArrowheads="1"/>
        </xdr:cNvSpPr>
      </xdr:nvSpPr>
      <xdr:spPr bwMode="auto">
        <a:xfrm>
          <a:off x="22098000" y="6457950"/>
          <a:ext cx="390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152400</xdr:rowOff>
    </xdr:from>
    <xdr:to>
      <xdr:col>6</xdr:col>
      <xdr:colOff>368733</xdr:colOff>
      <xdr:row>7</xdr:row>
      <xdr:rowOff>152400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 txBox="1">
          <a:spLocks noChangeArrowheads="1"/>
        </xdr:cNvSpPr>
      </xdr:nvSpPr>
      <xdr:spPr bwMode="auto">
        <a:xfrm>
          <a:off x="22098000" y="2200275"/>
          <a:ext cx="390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152400</xdr:rowOff>
    </xdr:from>
    <xdr:to>
      <xdr:col>6</xdr:col>
      <xdr:colOff>368733</xdr:colOff>
      <xdr:row>7</xdr:row>
      <xdr:rowOff>152400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 txBox="1">
          <a:spLocks noChangeArrowheads="1"/>
        </xdr:cNvSpPr>
      </xdr:nvSpPr>
      <xdr:spPr bwMode="auto">
        <a:xfrm>
          <a:off x="22098000" y="2200275"/>
          <a:ext cx="390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368733</xdr:colOff>
      <xdr:row>33</xdr:row>
      <xdr:rowOff>0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 txBox="1">
          <a:spLocks noChangeArrowheads="1"/>
        </xdr:cNvSpPr>
      </xdr:nvSpPr>
      <xdr:spPr bwMode="auto">
        <a:xfrm>
          <a:off x="2524125" y="8362950"/>
          <a:ext cx="390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368733</xdr:colOff>
      <xdr:row>8</xdr:row>
      <xdr:rowOff>0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SpPr txBox="1">
          <a:spLocks noChangeArrowheads="1"/>
        </xdr:cNvSpPr>
      </xdr:nvSpPr>
      <xdr:spPr bwMode="auto">
        <a:xfrm>
          <a:off x="2524125" y="2495550"/>
          <a:ext cx="390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152400</xdr:rowOff>
    </xdr:from>
    <xdr:to>
      <xdr:col>6</xdr:col>
      <xdr:colOff>368733</xdr:colOff>
      <xdr:row>7</xdr:row>
      <xdr:rowOff>152400</xdr:rowOff>
    </xdr:to>
    <xdr:sp macro="" textlink="">
      <xdr:nvSpPr>
        <xdr:cNvPr id="15" name="Text Box 2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SpPr txBox="1">
          <a:spLocks noChangeArrowheads="1"/>
        </xdr:cNvSpPr>
      </xdr:nvSpPr>
      <xdr:spPr bwMode="auto">
        <a:xfrm>
          <a:off x="2524125" y="8782050"/>
          <a:ext cx="390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0</xdr:colOff>
      <xdr:row>7</xdr:row>
      <xdr:rowOff>152400</xdr:rowOff>
    </xdr:from>
    <xdr:to>
      <xdr:col>6</xdr:col>
      <xdr:colOff>368733</xdr:colOff>
      <xdr:row>7</xdr:row>
      <xdr:rowOff>152400</xdr:rowOff>
    </xdr:to>
    <xdr:sp macro="" textlink="">
      <xdr:nvSpPr>
        <xdr:cNvPr id="16" name="Text Box 2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SpPr txBox="1">
          <a:spLocks noChangeArrowheads="1"/>
        </xdr:cNvSpPr>
      </xdr:nvSpPr>
      <xdr:spPr bwMode="auto">
        <a:xfrm>
          <a:off x="2524125" y="15068550"/>
          <a:ext cx="390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0" tIns="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TW" altLang="en-US" sz="16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"/>
  <sheetViews>
    <sheetView tabSelected="1" zoomScaleNormal="100" zoomScaleSheetLayoutView="100" workbookViewId="0">
      <pane xSplit="2" ySplit="7" topLeftCell="C8" activePane="bottomRight" state="frozen"/>
      <selection pane="topRight" activeCell="C1" sqref="C1"/>
      <selection pane="bottomLeft" activeCell="A40" sqref="A40"/>
      <selection pane="bottomRight" activeCell="F20" sqref="F20"/>
    </sheetView>
  </sheetViews>
  <sheetFormatPr defaultColWidth="5.5" defaultRowHeight="11.1" customHeight="1" x14ac:dyDescent="0.2"/>
  <cols>
    <col min="1" max="1" width="23.6640625" style="4" customWidth="1"/>
    <col min="2" max="16" width="9.6640625" style="4" customWidth="1"/>
    <col min="17" max="21" width="7.33203125" style="4" customWidth="1"/>
    <col min="22" max="22" width="7.6640625" style="4" customWidth="1"/>
    <col min="23" max="36" width="7.1640625" style="4" customWidth="1"/>
    <col min="37" max="37" width="8.1640625" style="4" customWidth="1"/>
    <col min="38" max="51" width="7.1640625" style="4" customWidth="1"/>
    <col min="52" max="52" width="7.33203125" style="4" customWidth="1"/>
    <col min="53" max="57" width="6" style="4" customWidth="1"/>
    <col min="58" max="58" width="4.6640625" style="4" customWidth="1"/>
    <col min="59" max="72" width="7.6640625" style="4" customWidth="1"/>
    <col min="73" max="73" width="11" style="4" customWidth="1"/>
    <col min="74" max="83" width="9.5" style="4" customWidth="1"/>
    <col min="84" max="84" width="7.6640625" style="4" customWidth="1"/>
    <col min="85" max="98" width="7.33203125" style="4" customWidth="1"/>
    <col min="99" max="99" width="9.1640625" style="4" customWidth="1"/>
    <col min="100" max="111" width="8.1640625" style="4" customWidth="1"/>
    <col min="112" max="112" width="6.6640625" style="4" customWidth="1"/>
    <col min="113" max="129" width="6.33203125" style="4" customWidth="1"/>
    <col min="130" max="130" width="5.5" style="4" customWidth="1"/>
    <col min="131" max="16384" width="5.5" style="4"/>
  </cols>
  <sheetData>
    <row r="1" spans="1:16" s="33" customFormat="1" ht="16.149999999999999" customHeight="1" x14ac:dyDescent="0.2">
      <c r="A1" s="46" t="s">
        <v>174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 spans="1:16" s="33" customFormat="1" ht="16.149999999999999" customHeight="1" x14ac:dyDescent="0.2">
      <c r="A2" s="17" t="s">
        <v>148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</row>
    <row r="3" spans="1:16" s="33" customFormat="1" ht="28.5" customHeight="1" x14ac:dyDescent="0.2">
      <c r="A3" s="72" t="s">
        <v>136</v>
      </c>
      <c r="B3" s="136" t="s">
        <v>43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</row>
    <row r="4" spans="1:16" s="33" customFormat="1" ht="30" customHeight="1" x14ac:dyDescent="0.2">
      <c r="A4" s="74"/>
      <c r="B4" s="78" t="s">
        <v>44</v>
      </c>
      <c r="C4" s="79"/>
      <c r="D4" s="80"/>
      <c r="E4" s="78" t="s">
        <v>137</v>
      </c>
      <c r="F4" s="81"/>
      <c r="G4" s="78" t="s">
        <v>138</v>
      </c>
      <c r="H4" s="81"/>
      <c r="I4" s="78" t="s">
        <v>139</v>
      </c>
      <c r="J4" s="81"/>
      <c r="K4" s="78" t="s">
        <v>140</v>
      </c>
      <c r="L4" s="81"/>
      <c r="M4" s="78" t="s">
        <v>141</v>
      </c>
      <c r="N4" s="81"/>
      <c r="O4" s="78" t="s">
        <v>142</v>
      </c>
      <c r="P4" s="77"/>
    </row>
    <row r="5" spans="1:16" s="33" customFormat="1" ht="17.25" customHeight="1" x14ac:dyDescent="0.2">
      <c r="A5" s="74"/>
      <c r="B5" s="72" t="s">
        <v>51</v>
      </c>
      <c r="C5" s="82" t="s">
        <v>143</v>
      </c>
      <c r="D5" s="72" t="s">
        <v>144</v>
      </c>
      <c r="E5" s="72" t="s">
        <v>143</v>
      </c>
      <c r="F5" s="72" t="s">
        <v>144</v>
      </c>
      <c r="G5" s="72" t="s">
        <v>143</v>
      </c>
      <c r="H5" s="72" t="s">
        <v>144</v>
      </c>
      <c r="I5" s="72" t="s">
        <v>143</v>
      </c>
      <c r="J5" s="72" t="s">
        <v>144</v>
      </c>
      <c r="K5" s="72" t="s">
        <v>143</v>
      </c>
      <c r="L5" s="72" t="s">
        <v>144</v>
      </c>
      <c r="M5" s="72" t="s">
        <v>143</v>
      </c>
      <c r="N5" s="72" t="s">
        <v>144</v>
      </c>
      <c r="O5" s="72" t="s">
        <v>143</v>
      </c>
      <c r="P5" s="84" t="s">
        <v>144</v>
      </c>
    </row>
    <row r="6" spans="1:16" s="33" customFormat="1" ht="17.25" customHeight="1" x14ac:dyDescent="0.2">
      <c r="A6" s="75"/>
      <c r="B6" s="75"/>
      <c r="C6" s="8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85"/>
    </row>
    <row r="7" spans="1:16" s="33" customFormat="1" ht="14.65" customHeight="1" x14ac:dyDescent="0.2">
      <c r="A7" s="67" t="s">
        <v>180</v>
      </c>
      <c r="B7" s="32">
        <f>'2019'!D8</f>
        <v>11113</v>
      </c>
      <c r="C7" s="32">
        <f>'2019'!E8</f>
        <v>4832</v>
      </c>
      <c r="D7" s="32">
        <f>'2019'!F8</f>
        <v>6281</v>
      </c>
      <c r="E7" s="32">
        <f>'2019'!G8</f>
        <v>565</v>
      </c>
      <c r="F7" s="32">
        <f>'2019'!H8</f>
        <v>449</v>
      </c>
      <c r="G7" s="32">
        <f>'2019'!I8</f>
        <v>634</v>
      </c>
      <c r="H7" s="32">
        <f>'2019'!J8</f>
        <v>596</v>
      </c>
      <c r="I7" s="32">
        <f>'2019'!K8</f>
        <v>955</v>
      </c>
      <c r="J7" s="32">
        <f>'2019'!L8</f>
        <v>667</v>
      </c>
      <c r="K7" s="32">
        <f>'2019'!M8</f>
        <v>917</v>
      </c>
      <c r="L7" s="32">
        <f>'2019'!N8</f>
        <v>676</v>
      </c>
      <c r="M7" s="32">
        <f>'2019'!O8</f>
        <v>946</v>
      </c>
      <c r="N7" s="32">
        <f>'2019'!P8</f>
        <v>2010</v>
      </c>
      <c r="O7" s="32">
        <f>'2019'!Q8</f>
        <v>815</v>
      </c>
      <c r="P7" s="32">
        <f>'2019'!R8</f>
        <v>1883</v>
      </c>
    </row>
    <row r="8" spans="1:16" s="33" customFormat="1" ht="14.65" customHeight="1" x14ac:dyDescent="0.2">
      <c r="A8" s="67" t="s">
        <v>177</v>
      </c>
      <c r="B8" s="32">
        <f>'2020'!D8</f>
        <v>12610</v>
      </c>
      <c r="C8" s="32">
        <f>'2020'!E8</f>
        <v>5475</v>
      </c>
      <c r="D8" s="32">
        <f>'2020'!F8</f>
        <v>7135</v>
      </c>
      <c r="E8" s="32">
        <f>'2020'!G8</f>
        <v>628</v>
      </c>
      <c r="F8" s="32">
        <f>'2020'!H8</f>
        <v>518</v>
      </c>
      <c r="G8" s="32">
        <f>'2020'!I8</f>
        <v>750</v>
      </c>
      <c r="H8" s="32">
        <f>'2020'!J8</f>
        <v>685</v>
      </c>
      <c r="I8" s="32">
        <f>'2020'!K8</f>
        <v>1064</v>
      </c>
      <c r="J8" s="32">
        <f>'2020'!L8</f>
        <v>779</v>
      </c>
      <c r="K8" s="32">
        <f>'2020'!M8</f>
        <v>973</v>
      </c>
      <c r="L8" s="32">
        <f>'2020'!N8</f>
        <v>746</v>
      </c>
      <c r="M8" s="32">
        <f>'2020'!O8</f>
        <v>1076</v>
      </c>
      <c r="N8" s="32">
        <f>'2020'!P8</f>
        <v>2254</v>
      </c>
      <c r="O8" s="32">
        <f>'2020'!Q8</f>
        <v>984</v>
      </c>
      <c r="P8" s="32">
        <f>'2020'!R8</f>
        <v>2153</v>
      </c>
    </row>
    <row r="9" spans="1:16" s="33" customFormat="1" ht="14.65" customHeight="1" x14ac:dyDescent="0.2">
      <c r="A9" s="67" t="s">
        <v>193</v>
      </c>
      <c r="B9" s="32">
        <f>'2021'!D8</f>
        <v>11523</v>
      </c>
      <c r="C9" s="32">
        <f>'2021'!E8</f>
        <v>5108</v>
      </c>
      <c r="D9" s="32">
        <f>'2021'!F8</f>
        <v>6415</v>
      </c>
      <c r="E9" s="32">
        <f>'2021'!G8</f>
        <v>595</v>
      </c>
      <c r="F9" s="32">
        <f>'2021'!H8</f>
        <v>482</v>
      </c>
      <c r="G9" s="32">
        <f>'2021'!I8</f>
        <v>774</v>
      </c>
      <c r="H9" s="32">
        <f>'2021'!J8</f>
        <v>615</v>
      </c>
      <c r="I9" s="32">
        <f>'2021'!K8</f>
        <v>1022</v>
      </c>
      <c r="J9" s="32">
        <f>'2021'!L8</f>
        <v>760</v>
      </c>
      <c r="K9" s="32">
        <f>'2021'!M8</f>
        <v>937</v>
      </c>
      <c r="L9" s="32">
        <f>'2021'!N8</f>
        <v>779</v>
      </c>
      <c r="M9" s="32">
        <f>'2021'!O8</f>
        <v>953</v>
      </c>
      <c r="N9" s="32">
        <f>'2021'!P8</f>
        <v>1920</v>
      </c>
      <c r="O9" s="32">
        <f>'2021'!Q8</f>
        <v>827</v>
      </c>
      <c r="P9" s="32">
        <f>'2021'!R8</f>
        <v>1859</v>
      </c>
    </row>
    <row r="10" spans="1:16" s="33" customFormat="1" ht="14.65" customHeight="1" x14ac:dyDescent="0.2">
      <c r="A10" s="67" t="s">
        <v>218</v>
      </c>
      <c r="B10" s="32">
        <f>'2022'!D8</f>
        <v>11950</v>
      </c>
      <c r="C10" s="32">
        <f>'2022'!E8</f>
        <v>5281</v>
      </c>
      <c r="D10" s="32">
        <f>'2022'!F8</f>
        <v>6669</v>
      </c>
      <c r="E10" s="32">
        <f>'2022'!G8</f>
        <v>655</v>
      </c>
      <c r="F10" s="32">
        <f>'2022'!H8</f>
        <v>497</v>
      </c>
      <c r="G10" s="32">
        <f>'2022'!I8</f>
        <v>812</v>
      </c>
      <c r="H10" s="32">
        <f>'2022'!J8</f>
        <v>695</v>
      </c>
      <c r="I10" s="32">
        <f>'2022'!K8</f>
        <v>1025</v>
      </c>
      <c r="J10" s="32">
        <f>'2022'!L8</f>
        <v>683</v>
      </c>
      <c r="K10" s="32">
        <f>'2022'!M8</f>
        <v>1026</v>
      </c>
      <c r="L10" s="32">
        <f>'2022'!N8</f>
        <v>783</v>
      </c>
      <c r="M10" s="32">
        <f>'2022'!O8</f>
        <v>985</v>
      </c>
      <c r="N10" s="32">
        <f>'2022'!P8</f>
        <v>2088</v>
      </c>
      <c r="O10" s="32">
        <f>'2022'!Q8</f>
        <v>778</v>
      </c>
      <c r="P10" s="32">
        <f>'2022'!R8</f>
        <v>1923</v>
      </c>
    </row>
    <row r="11" spans="1:16" s="33" customFormat="1" ht="15" customHeight="1" x14ac:dyDescent="0.2">
      <c r="A11" s="67" t="s">
        <v>221</v>
      </c>
      <c r="B11" s="32">
        <f>'2023'!D8</f>
        <v>12646</v>
      </c>
      <c r="C11" s="32">
        <f>'2023'!E8</f>
        <v>5649</v>
      </c>
      <c r="D11" s="32">
        <f>'2023'!F8</f>
        <v>6997</v>
      </c>
      <c r="E11" s="32">
        <f>'2023'!G8</f>
        <v>668</v>
      </c>
      <c r="F11" s="32">
        <f>'2023'!H8</f>
        <v>534</v>
      </c>
      <c r="G11" s="32">
        <f>'2023'!I8</f>
        <v>968</v>
      </c>
      <c r="H11" s="32">
        <f>'2023'!J8</f>
        <v>698</v>
      </c>
      <c r="I11" s="32">
        <f>'2023'!K8</f>
        <v>1178</v>
      </c>
      <c r="J11" s="32">
        <f>'2023'!L8</f>
        <v>825</v>
      </c>
      <c r="K11" s="32">
        <f>'2023'!M8</f>
        <v>1196</v>
      </c>
      <c r="L11" s="32">
        <f>'2023'!N8</f>
        <v>944</v>
      </c>
      <c r="M11" s="32">
        <f>'2023'!O8</f>
        <v>987</v>
      </c>
      <c r="N11" s="32">
        <f>'2023'!P8</f>
        <v>2178</v>
      </c>
      <c r="O11" s="32">
        <f>'2023'!Q8</f>
        <v>652</v>
      </c>
      <c r="P11" s="32">
        <f>'2023'!R8</f>
        <v>1818</v>
      </c>
    </row>
    <row r="12" spans="1:16" s="33" customFormat="1" ht="14.65" customHeight="1" x14ac:dyDescent="0.2">
      <c r="A12" s="67" t="s">
        <v>229</v>
      </c>
      <c r="B12" s="32">
        <f>'2024'!D8</f>
        <v>10810</v>
      </c>
      <c r="C12" s="32">
        <f>'2024'!E8</f>
        <v>4836</v>
      </c>
      <c r="D12" s="32">
        <f>'2024'!F8</f>
        <v>5974</v>
      </c>
      <c r="E12" s="32">
        <f>'2024'!G8</f>
        <v>564</v>
      </c>
      <c r="F12" s="32">
        <f>'2024'!H8</f>
        <v>437</v>
      </c>
      <c r="G12" s="32">
        <f>'2024'!I8</f>
        <v>788</v>
      </c>
      <c r="H12" s="32">
        <f>'2024'!J8</f>
        <v>664</v>
      </c>
      <c r="I12" s="32">
        <f>'2024'!K8</f>
        <v>1202</v>
      </c>
      <c r="J12" s="32">
        <f>'2024'!L8</f>
        <v>738</v>
      </c>
      <c r="K12" s="32">
        <f>'2024'!M8</f>
        <v>1086</v>
      </c>
      <c r="L12" s="32">
        <f>'2024'!N8</f>
        <v>797</v>
      </c>
      <c r="M12" s="32">
        <f>'2024'!O8</f>
        <v>812</v>
      </c>
      <c r="N12" s="32">
        <f>'2024'!P8</f>
        <v>1771</v>
      </c>
      <c r="O12" s="32">
        <f>'2024'!Q8</f>
        <v>384</v>
      </c>
      <c r="P12" s="32">
        <f>'2024'!R8</f>
        <v>1567</v>
      </c>
    </row>
    <row r="13" spans="1:16" s="33" customFormat="1" ht="14.65" hidden="1" customHeight="1" x14ac:dyDescent="0.2">
      <c r="A13" s="68" t="s">
        <v>178</v>
      </c>
      <c r="B13" s="32">
        <v>5771</v>
      </c>
      <c r="C13" s="32">
        <v>2521</v>
      </c>
      <c r="D13" s="32">
        <v>3250</v>
      </c>
      <c r="E13" s="32">
        <v>257</v>
      </c>
      <c r="F13" s="32">
        <v>212</v>
      </c>
      <c r="G13" s="32">
        <v>418</v>
      </c>
      <c r="H13" s="32">
        <v>331</v>
      </c>
      <c r="I13" s="32">
        <v>636</v>
      </c>
      <c r="J13" s="32">
        <v>408</v>
      </c>
      <c r="K13" s="32">
        <v>600</v>
      </c>
      <c r="L13" s="32">
        <v>453</v>
      </c>
      <c r="M13" s="32">
        <v>409</v>
      </c>
      <c r="N13" s="32">
        <v>952</v>
      </c>
      <c r="O13" s="32">
        <v>201</v>
      </c>
      <c r="P13" s="32">
        <v>894</v>
      </c>
    </row>
    <row r="14" spans="1:16" s="33" customFormat="1" ht="14.65" hidden="1" customHeight="1" x14ac:dyDescent="0.2">
      <c r="A14" s="68" t="s">
        <v>179</v>
      </c>
      <c r="B14" s="32">
        <v>5039</v>
      </c>
      <c r="C14" s="32">
        <v>2315</v>
      </c>
      <c r="D14" s="32">
        <v>2724</v>
      </c>
      <c r="E14" s="32">
        <v>307</v>
      </c>
      <c r="F14" s="32">
        <v>225</v>
      </c>
      <c r="G14" s="32">
        <v>370</v>
      </c>
      <c r="H14" s="32">
        <v>333</v>
      </c>
      <c r="I14" s="32">
        <v>566</v>
      </c>
      <c r="J14" s="32">
        <v>330</v>
      </c>
      <c r="K14" s="32">
        <v>486</v>
      </c>
      <c r="L14" s="32">
        <v>344</v>
      </c>
      <c r="M14" s="32">
        <v>403</v>
      </c>
      <c r="N14" s="32">
        <v>819</v>
      </c>
      <c r="O14" s="32">
        <v>183</v>
      </c>
      <c r="P14" s="32">
        <v>673</v>
      </c>
    </row>
    <row r="15" spans="1:16" s="33" customFormat="1" ht="14.65" customHeight="1" x14ac:dyDescent="0.2">
      <c r="A15" s="69" t="s">
        <v>228</v>
      </c>
      <c r="B15" s="55">
        <f>'2025'!D8</f>
        <v>9898</v>
      </c>
      <c r="C15" s="55">
        <f>'2025'!E8</f>
        <v>4451</v>
      </c>
      <c r="D15" s="55">
        <f>'2025'!F8</f>
        <v>5447</v>
      </c>
      <c r="E15" s="55">
        <f>'2025'!G8</f>
        <v>644</v>
      </c>
      <c r="F15" s="55">
        <f>'2025'!H8</f>
        <v>478</v>
      </c>
      <c r="G15" s="55">
        <f>'2025'!I8</f>
        <v>769</v>
      </c>
      <c r="H15" s="55">
        <f>'2025'!J8</f>
        <v>551</v>
      </c>
      <c r="I15" s="55">
        <f>'2025'!K8</f>
        <v>1016</v>
      </c>
      <c r="J15" s="55">
        <f>'2025'!L8</f>
        <v>690</v>
      </c>
      <c r="K15" s="55">
        <f>'2025'!M8</f>
        <v>961</v>
      </c>
      <c r="L15" s="55">
        <f>'2025'!N8</f>
        <v>663</v>
      </c>
      <c r="M15" s="55">
        <f>'2025'!O8</f>
        <v>738</v>
      </c>
      <c r="N15" s="55">
        <f>'2025'!P8</f>
        <v>1701</v>
      </c>
      <c r="O15" s="55">
        <f>'2025'!Q8</f>
        <v>323</v>
      </c>
      <c r="P15" s="55">
        <f>'2025'!R8</f>
        <v>1364</v>
      </c>
    </row>
    <row r="16" spans="1:16" s="33" customFormat="1" ht="14.65" customHeight="1" x14ac:dyDescent="0.25">
      <c r="A16" s="70" t="s">
        <v>233</v>
      </c>
      <c r="B16" s="32">
        <f>'Jan.-June, 2025'!D8</f>
        <v>5352</v>
      </c>
      <c r="C16" s="32">
        <f>'Jan.-June, 2025'!E8</f>
        <v>2421</v>
      </c>
      <c r="D16" s="32">
        <f>'Jan.-June, 2025'!F8</f>
        <v>2931</v>
      </c>
      <c r="E16" s="32">
        <f>'Jan.-June, 2025'!G8</f>
        <v>316</v>
      </c>
      <c r="F16" s="32">
        <f>'Jan.-June, 2025'!H8</f>
        <v>237</v>
      </c>
      <c r="G16" s="32">
        <f>'Jan.-June, 2025'!I8</f>
        <v>388</v>
      </c>
      <c r="H16" s="32">
        <f>'Jan.-June, 2025'!J8</f>
        <v>275</v>
      </c>
      <c r="I16" s="32">
        <f>'Jan.-June, 2025'!K8</f>
        <v>571</v>
      </c>
      <c r="J16" s="32">
        <f>'Jan.-June, 2025'!L8</f>
        <v>383</v>
      </c>
      <c r="K16" s="32">
        <f>'Jan.-June, 2025'!M8</f>
        <v>525</v>
      </c>
      <c r="L16" s="32">
        <f>'Jan.-June, 2025'!N8</f>
        <v>377</v>
      </c>
      <c r="M16" s="32">
        <f>'Jan.-June, 2025'!O8</f>
        <v>427</v>
      </c>
      <c r="N16" s="32">
        <f>'Jan.-June, 2025'!P8</f>
        <v>919</v>
      </c>
      <c r="O16" s="32">
        <f>'Jan.-June, 2025'!Q8</f>
        <v>194</v>
      </c>
      <c r="P16" s="32">
        <f>'Jan.-June, 2025'!R8</f>
        <v>740</v>
      </c>
    </row>
    <row r="17" spans="1:20" s="33" customFormat="1" ht="14.65" customHeight="1" x14ac:dyDescent="0.25">
      <c r="A17" s="135" t="s">
        <v>236</v>
      </c>
      <c r="B17" s="32">
        <f>'July-Dec., 2025'!D8</f>
        <v>4546</v>
      </c>
      <c r="C17" s="32">
        <f>'July-Dec., 2025'!E8</f>
        <v>2030</v>
      </c>
      <c r="D17" s="32">
        <f>'July-Dec., 2025'!F8</f>
        <v>2516</v>
      </c>
      <c r="E17" s="32">
        <f>'July-Dec., 2025'!G8</f>
        <v>328</v>
      </c>
      <c r="F17" s="32">
        <f>'July-Dec., 2025'!H8</f>
        <v>241</v>
      </c>
      <c r="G17" s="32">
        <f>'July-Dec., 2025'!I8</f>
        <v>381</v>
      </c>
      <c r="H17" s="32">
        <f>'July-Dec., 2025'!J8</f>
        <v>276</v>
      </c>
      <c r="I17" s="32">
        <f>'July-Dec., 2025'!K8</f>
        <v>445</v>
      </c>
      <c r="J17" s="32">
        <f>'July-Dec., 2025'!L8</f>
        <v>307</v>
      </c>
      <c r="K17" s="32">
        <f>'July-Dec., 2025'!M8</f>
        <v>436</v>
      </c>
      <c r="L17" s="32">
        <f>'July-Dec., 2025'!N8</f>
        <v>286</v>
      </c>
      <c r="M17" s="32">
        <f>'July-Dec., 2025'!O8</f>
        <v>311</v>
      </c>
      <c r="N17" s="32">
        <f>'July-Dec., 2025'!P8</f>
        <v>782</v>
      </c>
      <c r="O17" s="32">
        <f>'July-Dec., 2025'!Q8</f>
        <v>129</v>
      </c>
      <c r="P17" s="32">
        <f>'July-Dec., 2025'!R8</f>
        <v>624</v>
      </c>
    </row>
    <row r="18" spans="1:20" s="17" customFormat="1" ht="15" customHeight="1" x14ac:dyDescent="0.2">
      <c r="A18" s="54" t="s">
        <v>185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</row>
    <row r="19" spans="1:20" s="17" customFormat="1" ht="14.25" customHeight="1" x14ac:dyDescent="0.2">
      <c r="A19" s="23" t="s">
        <v>146</v>
      </c>
    </row>
    <row r="20" spans="1:20" s="17" customFormat="1" ht="15" customHeight="1" x14ac:dyDescent="0.2">
      <c r="A20" s="52" t="s">
        <v>234</v>
      </c>
    </row>
    <row r="21" spans="1:20" s="65" customFormat="1" ht="15" customHeight="1" x14ac:dyDescent="0.2">
      <c r="B21" s="71" t="str">
        <f>IF(B15=SUM(B16:B17),"","*")</f>
        <v/>
      </c>
      <c r="C21" s="71" t="str">
        <f t="shared" ref="C21:P21" si="0">IF(C15=SUM(C16:C17),"","*")</f>
        <v/>
      </c>
      <c r="D21" s="71" t="str">
        <f t="shared" si="0"/>
        <v/>
      </c>
      <c r="E21" s="71" t="str">
        <f t="shared" si="0"/>
        <v/>
      </c>
      <c r="F21" s="71" t="str">
        <f t="shared" si="0"/>
        <v/>
      </c>
      <c r="G21" s="71" t="str">
        <f t="shared" si="0"/>
        <v/>
      </c>
      <c r="H21" s="71" t="str">
        <f t="shared" si="0"/>
        <v/>
      </c>
      <c r="I21" s="71" t="str">
        <f t="shared" si="0"/>
        <v/>
      </c>
      <c r="J21" s="71" t="str">
        <f t="shared" si="0"/>
        <v/>
      </c>
      <c r="K21" s="71" t="str">
        <f t="shared" si="0"/>
        <v/>
      </c>
      <c r="L21" s="71" t="str">
        <f t="shared" si="0"/>
        <v/>
      </c>
      <c r="M21" s="71" t="str">
        <f t="shared" si="0"/>
        <v/>
      </c>
      <c r="N21" s="71" t="str">
        <f t="shared" si="0"/>
        <v/>
      </c>
      <c r="O21" s="71" t="str">
        <f t="shared" si="0"/>
        <v/>
      </c>
      <c r="P21" s="71" t="str">
        <f t="shared" si="0"/>
        <v/>
      </c>
      <c r="Q21" s="66"/>
      <c r="R21" s="66"/>
      <c r="S21" s="66"/>
      <c r="T21" s="66"/>
    </row>
    <row r="22" spans="1:20" ht="15" customHeight="1" x14ac:dyDescent="0.2">
      <c r="A22" s="17"/>
    </row>
    <row r="23" spans="1:20" ht="15" customHeight="1" x14ac:dyDescent="0.2"/>
    <row r="24" spans="1:20" ht="11.1" customHeight="1" x14ac:dyDescent="0.2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</sheetData>
  <mergeCells count="24">
    <mergeCell ref="O5:O6"/>
    <mergeCell ref="P5:P6"/>
    <mergeCell ref="I5:I6"/>
    <mergeCell ref="J5:J6"/>
    <mergeCell ref="K5:K6"/>
    <mergeCell ref="L5:L6"/>
    <mergeCell ref="M5:M6"/>
    <mergeCell ref="N5:N6"/>
    <mergeCell ref="H5:H6"/>
    <mergeCell ref="A3:A6"/>
    <mergeCell ref="B3:P3"/>
    <mergeCell ref="B4:D4"/>
    <mergeCell ref="E4:F4"/>
    <mergeCell ref="G4:H4"/>
    <mergeCell ref="I4:J4"/>
    <mergeCell ref="K4:L4"/>
    <mergeCell ref="M4:N4"/>
    <mergeCell ref="O4:P4"/>
    <mergeCell ref="B5:B6"/>
    <mergeCell ref="C5:C6"/>
    <mergeCell ref="D5:D6"/>
    <mergeCell ref="E5:E6"/>
    <mergeCell ref="F5:F6"/>
    <mergeCell ref="G5:G6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39" orientation="landscape" r:id="rId1"/>
  <headerFooter alignWithMargins="0">
    <oddHeader>&amp;L&amp;"微軟正黑體,標準"&amp;16兒童及少年保護執行概況&amp;C&amp;"微軟正黑體,標準"&amp;16
&amp;R&amp;"微軟正黑體,標準"本表共&amp;N頁，第&amp;P頁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0"/>
  <sheetViews>
    <sheetView zoomScaleNormal="100" zoomScaleSheetLayoutView="100" workbookViewId="0">
      <pane xSplit="4" ySplit="8" topLeftCell="E9" activePane="bottomRight" state="frozen"/>
      <selection activeCell="R76" sqref="D8:R76"/>
      <selection pane="topRight" activeCell="R76" sqref="D8:R76"/>
      <selection pane="bottomLeft" activeCell="R76" sqref="D8:R76"/>
      <selection pane="bottomRight" activeCell="A3" sqref="A3"/>
    </sheetView>
  </sheetViews>
  <sheetFormatPr defaultColWidth="5.5" defaultRowHeight="11.1" customHeight="1" x14ac:dyDescent="0.2"/>
  <cols>
    <col min="1" max="1" width="19.1640625" style="4" customWidth="1"/>
    <col min="2" max="2" width="10.33203125" style="4" customWidth="1"/>
    <col min="3" max="3" width="13.1640625" style="4" customWidth="1"/>
    <col min="4" max="18" width="11.5" style="4" customWidth="1"/>
    <col min="19" max="16384" width="5.5" style="4"/>
  </cols>
  <sheetData>
    <row r="1" spans="1:18" ht="20.25" customHeight="1" x14ac:dyDescent="0.2">
      <c r="A1" s="46" t="s">
        <v>174</v>
      </c>
      <c r="B1" s="1"/>
      <c r="C1" s="1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4.25" customHeight="1" x14ac:dyDescent="0.2">
      <c r="A2" s="17" t="s">
        <v>148</v>
      </c>
      <c r="B2"/>
      <c r="C2"/>
      <c r="D2" s="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</row>
    <row r="3" spans="1:18" s="17" customFormat="1" ht="12.75" customHeight="1" x14ac:dyDescent="0.2">
      <c r="A3" s="53" t="s">
        <v>235</v>
      </c>
      <c r="B3" s="16"/>
      <c r="C3" s="16"/>
      <c r="D3" s="4" t="str">
        <f>IF(D8=SUM(D11,D14,D17,D20,D23,D26,D29,D32,D35,D38,D41,D44,D47,D50,D53,D56,D59,D62,D65,D68,D71,D74,),"","*")</f>
        <v/>
      </c>
      <c r="E3" s="4" t="str">
        <f t="shared" ref="E3:R3" si="0">IF(E8=SUM(E11,E14,E17,E20,E23,E26,E29,E32,E35,E38,E41,E44,E47,E50,E53,E56,E59,E62,E65,E68,E71,E74,),"","*")</f>
        <v/>
      </c>
      <c r="F3" s="4" t="str">
        <f t="shared" si="0"/>
        <v/>
      </c>
      <c r="G3" s="4" t="str">
        <f t="shared" si="0"/>
        <v/>
      </c>
      <c r="H3" s="4" t="str">
        <f t="shared" si="0"/>
        <v/>
      </c>
      <c r="I3" s="4" t="str">
        <f t="shared" si="0"/>
        <v/>
      </c>
      <c r="J3" s="4" t="str">
        <f t="shared" si="0"/>
        <v/>
      </c>
      <c r="K3" s="4" t="str">
        <f t="shared" si="0"/>
        <v/>
      </c>
      <c r="L3" s="4" t="str">
        <f t="shared" si="0"/>
        <v/>
      </c>
      <c r="M3" s="4" t="str">
        <f t="shared" si="0"/>
        <v/>
      </c>
      <c r="N3" s="4" t="str">
        <f t="shared" si="0"/>
        <v/>
      </c>
      <c r="O3" s="4" t="str">
        <f t="shared" si="0"/>
        <v/>
      </c>
      <c r="P3" s="4" t="str">
        <f t="shared" si="0"/>
        <v/>
      </c>
      <c r="Q3" s="4" t="str">
        <f t="shared" si="0"/>
        <v/>
      </c>
      <c r="R3" s="4" t="str">
        <f t="shared" si="0"/>
        <v/>
      </c>
    </row>
    <row r="4" spans="1:18" s="18" customFormat="1" ht="15.6" customHeight="1" x14ac:dyDescent="0.2">
      <c r="A4" s="94" t="s">
        <v>42</v>
      </c>
      <c r="B4" s="95"/>
      <c r="C4" s="96"/>
      <c r="D4" s="76" t="s">
        <v>43</v>
      </c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</row>
    <row r="5" spans="1:18" s="18" customFormat="1" ht="28.9" customHeight="1" x14ac:dyDescent="0.2">
      <c r="A5" s="97"/>
      <c r="B5" s="98"/>
      <c r="C5" s="99"/>
      <c r="D5" s="78" t="s">
        <v>44</v>
      </c>
      <c r="E5" s="79"/>
      <c r="F5" s="80"/>
      <c r="G5" s="103" t="s">
        <v>45</v>
      </c>
      <c r="H5" s="104"/>
      <c r="I5" s="103" t="s">
        <v>46</v>
      </c>
      <c r="J5" s="104"/>
      <c r="K5" s="103" t="s">
        <v>47</v>
      </c>
      <c r="L5" s="104"/>
      <c r="M5" s="103" t="s">
        <v>48</v>
      </c>
      <c r="N5" s="104"/>
      <c r="O5" s="103" t="s">
        <v>49</v>
      </c>
      <c r="P5" s="104"/>
      <c r="Q5" s="103" t="s">
        <v>50</v>
      </c>
      <c r="R5" s="105"/>
    </row>
    <row r="6" spans="1:18" s="18" customFormat="1" ht="12.75" x14ac:dyDescent="0.2">
      <c r="A6" s="97"/>
      <c r="B6" s="98"/>
      <c r="C6" s="99"/>
      <c r="D6" s="72" t="s">
        <v>51</v>
      </c>
      <c r="E6" s="92" t="s">
        <v>52</v>
      </c>
      <c r="F6" s="90" t="s">
        <v>53</v>
      </c>
      <c r="G6" s="90" t="s">
        <v>52</v>
      </c>
      <c r="H6" s="90" t="s">
        <v>53</v>
      </c>
      <c r="I6" s="90" t="s">
        <v>52</v>
      </c>
      <c r="J6" s="90" t="s">
        <v>53</v>
      </c>
      <c r="K6" s="90" t="s">
        <v>52</v>
      </c>
      <c r="L6" s="90" t="s">
        <v>53</v>
      </c>
      <c r="M6" s="90" t="s">
        <v>52</v>
      </c>
      <c r="N6" s="90" t="s">
        <v>53</v>
      </c>
      <c r="O6" s="90" t="s">
        <v>52</v>
      </c>
      <c r="P6" s="90" t="s">
        <v>53</v>
      </c>
      <c r="Q6" s="90" t="s">
        <v>52</v>
      </c>
      <c r="R6" s="94" t="s">
        <v>53</v>
      </c>
    </row>
    <row r="7" spans="1:18" s="19" customFormat="1" ht="12.75" x14ac:dyDescent="0.2">
      <c r="A7" s="100"/>
      <c r="B7" s="101"/>
      <c r="C7" s="102"/>
      <c r="D7" s="75"/>
      <c r="E7" s="93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100"/>
    </row>
    <row r="8" spans="1:18" s="59" customFormat="1" ht="18" customHeight="1" x14ac:dyDescent="0.2">
      <c r="A8" s="63" t="s">
        <v>186</v>
      </c>
      <c r="B8" s="56" t="s">
        <v>187</v>
      </c>
      <c r="C8" s="57" t="s">
        <v>0</v>
      </c>
      <c r="D8" s="58">
        <v>9898</v>
      </c>
      <c r="E8" s="58">
        <v>4451</v>
      </c>
      <c r="F8" s="58">
        <v>5447</v>
      </c>
      <c r="G8" s="58">
        <v>644</v>
      </c>
      <c r="H8" s="58">
        <v>478</v>
      </c>
      <c r="I8" s="58">
        <v>769</v>
      </c>
      <c r="J8" s="58">
        <v>551</v>
      </c>
      <c r="K8" s="58">
        <v>1016</v>
      </c>
      <c r="L8" s="58">
        <v>690</v>
      </c>
      <c r="M8" s="58">
        <v>961</v>
      </c>
      <c r="N8" s="58">
        <v>663</v>
      </c>
      <c r="O8" s="58">
        <v>738</v>
      </c>
      <c r="P8" s="58">
        <v>1701</v>
      </c>
      <c r="Q8" s="58">
        <v>323</v>
      </c>
      <c r="R8" s="58">
        <v>1364</v>
      </c>
    </row>
    <row r="9" spans="1:18" s="59" customFormat="1" ht="14.25" customHeight="1" x14ac:dyDescent="0.2">
      <c r="A9" s="88" t="s">
        <v>1</v>
      </c>
      <c r="B9" s="60" t="s">
        <v>188</v>
      </c>
      <c r="C9" s="61" t="s">
        <v>2</v>
      </c>
      <c r="D9" s="62">
        <v>8952</v>
      </c>
      <c r="E9" s="62">
        <v>4080</v>
      </c>
      <c r="F9" s="62">
        <v>4872</v>
      </c>
      <c r="G9" s="62">
        <v>598</v>
      </c>
      <c r="H9" s="62">
        <v>420</v>
      </c>
      <c r="I9" s="62">
        <v>692</v>
      </c>
      <c r="J9" s="62">
        <v>493</v>
      </c>
      <c r="K9" s="62">
        <v>934</v>
      </c>
      <c r="L9" s="62">
        <v>618</v>
      </c>
      <c r="M9" s="62">
        <v>877</v>
      </c>
      <c r="N9" s="62">
        <v>600</v>
      </c>
      <c r="O9" s="62">
        <v>677</v>
      </c>
      <c r="P9" s="62">
        <v>1510</v>
      </c>
      <c r="Q9" s="62">
        <v>302</v>
      </c>
      <c r="R9" s="62">
        <v>1231</v>
      </c>
    </row>
    <row r="10" spans="1:18" s="59" customFormat="1" ht="14.25" customHeight="1" x14ac:dyDescent="0.2">
      <c r="A10" s="89"/>
      <c r="B10" s="60" t="s">
        <v>189</v>
      </c>
      <c r="C10" s="61" t="s">
        <v>225</v>
      </c>
      <c r="D10" s="62">
        <v>946</v>
      </c>
      <c r="E10" s="62">
        <v>371</v>
      </c>
      <c r="F10" s="62">
        <v>575</v>
      </c>
      <c r="G10" s="62">
        <v>46</v>
      </c>
      <c r="H10" s="62">
        <v>58</v>
      </c>
      <c r="I10" s="62">
        <v>77</v>
      </c>
      <c r="J10" s="62">
        <v>58</v>
      </c>
      <c r="K10" s="62">
        <v>82</v>
      </c>
      <c r="L10" s="62">
        <v>72</v>
      </c>
      <c r="M10" s="62">
        <v>84</v>
      </c>
      <c r="N10" s="62">
        <v>63</v>
      </c>
      <c r="O10" s="62">
        <v>61</v>
      </c>
      <c r="P10" s="62">
        <v>191</v>
      </c>
      <c r="Q10" s="62">
        <v>21</v>
      </c>
      <c r="R10" s="62">
        <v>133</v>
      </c>
    </row>
    <row r="11" spans="1:18" s="20" customFormat="1" ht="14.25" customHeight="1" x14ac:dyDescent="0.2">
      <c r="A11" s="64" t="s">
        <v>210</v>
      </c>
      <c r="B11" s="25" t="s">
        <v>55</v>
      </c>
      <c r="C11" s="26" t="s">
        <v>0</v>
      </c>
      <c r="D11" s="27">
        <v>2147</v>
      </c>
      <c r="E11" s="27">
        <v>951</v>
      </c>
      <c r="F11" s="27">
        <v>1196</v>
      </c>
      <c r="G11" s="27">
        <v>86</v>
      </c>
      <c r="H11" s="27">
        <v>50</v>
      </c>
      <c r="I11" s="27">
        <v>142</v>
      </c>
      <c r="J11" s="27">
        <v>80</v>
      </c>
      <c r="K11" s="27">
        <v>240</v>
      </c>
      <c r="L11" s="27">
        <v>166</v>
      </c>
      <c r="M11" s="27">
        <v>259</v>
      </c>
      <c r="N11" s="27">
        <v>176</v>
      </c>
      <c r="O11" s="27">
        <v>159</v>
      </c>
      <c r="P11" s="27">
        <v>383</v>
      </c>
      <c r="Q11" s="27">
        <v>65</v>
      </c>
      <c r="R11" s="27">
        <v>341</v>
      </c>
    </row>
    <row r="12" spans="1:18" s="20" customFormat="1" ht="14.25" customHeight="1" x14ac:dyDescent="0.2">
      <c r="A12" s="86" t="s">
        <v>3</v>
      </c>
      <c r="B12" s="28" t="s">
        <v>56</v>
      </c>
      <c r="C12" s="29" t="s">
        <v>2</v>
      </c>
      <c r="D12" s="21">
        <v>2009</v>
      </c>
      <c r="E12" s="21">
        <v>902</v>
      </c>
      <c r="F12" s="21">
        <v>1107</v>
      </c>
      <c r="G12" s="21">
        <v>83</v>
      </c>
      <c r="H12" s="21">
        <v>44</v>
      </c>
      <c r="I12" s="21">
        <v>135</v>
      </c>
      <c r="J12" s="21">
        <v>71</v>
      </c>
      <c r="K12" s="21">
        <v>230</v>
      </c>
      <c r="L12" s="21">
        <v>152</v>
      </c>
      <c r="M12" s="21">
        <v>242</v>
      </c>
      <c r="N12" s="21">
        <v>167</v>
      </c>
      <c r="O12" s="21">
        <v>149</v>
      </c>
      <c r="P12" s="21">
        <v>349</v>
      </c>
      <c r="Q12" s="21">
        <v>63</v>
      </c>
      <c r="R12" s="21">
        <v>324</v>
      </c>
    </row>
    <row r="13" spans="1:18" s="20" customFormat="1" ht="14.25" customHeight="1" x14ac:dyDescent="0.2">
      <c r="A13" s="87"/>
      <c r="B13" s="28" t="s">
        <v>57</v>
      </c>
      <c r="C13" s="29" t="s">
        <v>225</v>
      </c>
      <c r="D13" s="21">
        <v>138</v>
      </c>
      <c r="E13" s="21">
        <v>49</v>
      </c>
      <c r="F13" s="21">
        <v>89</v>
      </c>
      <c r="G13" s="21">
        <v>3</v>
      </c>
      <c r="H13" s="21">
        <v>6</v>
      </c>
      <c r="I13" s="21">
        <v>7</v>
      </c>
      <c r="J13" s="21">
        <v>9</v>
      </c>
      <c r="K13" s="21">
        <v>10</v>
      </c>
      <c r="L13" s="21">
        <v>14</v>
      </c>
      <c r="M13" s="21">
        <v>17</v>
      </c>
      <c r="N13" s="21">
        <v>9</v>
      </c>
      <c r="O13" s="21">
        <v>10</v>
      </c>
      <c r="P13" s="21">
        <v>34</v>
      </c>
      <c r="Q13" s="21">
        <v>2</v>
      </c>
      <c r="R13" s="21">
        <v>17</v>
      </c>
    </row>
    <row r="14" spans="1:18" s="20" customFormat="1" ht="14.25" customHeight="1" x14ac:dyDescent="0.2">
      <c r="A14" s="64" t="s">
        <v>211</v>
      </c>
      <c r="B14" s="25" t="s">
        <v>55</v>
      </c>
      <c r="C14" s="26" t="s">
        <v>0</v>
      </c>
      <c r="D14" s="27">
        <v>894</v>
      </c>
      <c r="E14" s="27">
        <v>424</v>
      </c>
      <c r="F14" s="27">
        <v>470</v>
      </c>
      <c r="G14" s="27">
        <v>59</v>
      </c>
      <c r="H14" s="27">
        <v>52</v>
      </c>
      <c r="I14" s="27">
        <v>83</v>
      </c>
      <c r="J14" s="27">
        <v>61</v>
      </c>
      <c r="K14" s="27">
        <v>95</v>
      </c>
      <c r="L14" s="27">
        <v>56</v>
      </c>
      <c r="M14" s="27">
        <v>86</v>
      </c>
      <c r="N14" s="27">
        <v>46</v>
      </c>
      <c r="O14" s="27">
        <v>68</v>
      </c>
      <c r="P14" s="27">
        <v>140</v>
      </c>
      <c r="Q14" s="27">
        <v>33</v>
      </c>
      <c r="R14" s="27">
        <v>115</v>
      </c>
    </row>
    <row r="15" spans="1:18" s="20" customFormat="1" ht="14.25" customHeight="1" x14ac:dyDescent="0.2">
      <c r="A15" s="86" t="s">
        <v>4</v>
      </c>
      <c r="B15" s="28" t="s">
        <v>56</v>
      </c>
      <c r="C15" s="29" t="s">
        <v>2</v>
      </c>
      <c r="D15" s="21">
        <v>874</v>
      </c>
      <c r="E15" s="21">
        <v>413</v>
      </c>
      <c r="F15" s="21">
        <v>461</v>
      </c>
      <c r="G15" s="21">
        <v>58</v>
      </c>
      <c r="H15" s="21">
        <v>52</v>
      </c>
      <c r="I15" s="21">
        <v>78</v>
      </c>
      <c r="J15" s="21">
        <v>60</v>
      </c>
      <c r="K15" s="21">
        <v>93</v>
      </c>
      <c r="L15" s="21">
        <v>53</v>
      </c>
      <c r="M15" s="21">
        <v>84</v>
      </c>
      <c r="N15" s="21">
        <v>46</v>
      </c>
      <c r="O15" s="21">
        <v>67</v>
      </c>
      <c r="P15" s="21">
        <v>138</v>
      </c>
      <c r="Q15" s="21">
        <v>33</v>
      </c>
      <c r="R15" s="21">
        <v>112</v>
      </c>
    </row>
    <row r="16" spans="1:18" s="20" customFormat="1" ht="14.25" customHeight="1" x14ac:dyDescent="0.2">
      <c r="A16" s="87"/>
      <c r="B16" s="30" t="s">
        <v>57</v>
      </c>
      <c r="C16" s="31" t="s">
        <v>225</v>
      </c>
      <c r="D16" s="21">
        <v>20</v>
      </c>
      <c r="E16" s="21">
        <v>11</v>
      </c>
      <c r="F16" s="21">
        <v>9</v>
      </c>
      <c r="G16" s="21">
        <v>1</v>
      </c>
      <c r="H16" s="21">
        <v>0</v>
      </c>
      <c r="I16" s="21">
        <v>5</v>
      </c>
      <c r="J16" s="21">
        <v>1</v>
      </c>
      <c r="K16" s="21">
        <v>2</v>
      </c>
      <c r="L16" s="21">
        <v>3</v>
      </c>
      <c r="M16" s="21">
        <v>2</v>
      </c>
      <c r="N16" s="21">
        <v>0</v>
      </c>
      <c r="O16" s="21">
        <v>1</v>
      </c>
      <c r="P16" s="21">
        <v>2</v>
      </c>
      <c r="Q16" s="21">
        <v>0</v>
      </c>
      <c r="R16" s="21">
        <v>3</v>
      </c>
    </row>
    <row r="17" spans="1:18" s="20" customFormat="1" ht="14.25" customHeight="1" x14ac:dyDescent="0.2">
      <c r="A17" s="64" t="s">
        <v>212</v>
      </c>
      <c r="B17" s="25" t="s">
        <v>55</v>
      </c>
      <c r="C17" s="26" t="s">
        <v>0</v>
      </c>
      <c r="D17" s="27">
        <v>777</v>
      </c>
      <c r="E17" s="27">
        <v>353</v>
      </c>
      <c r="F17" s="27">
        <v>424</v>
      </c>
      <c r="G17" s="27">
        <v>37</v>
      </c>
      <c r="H17" s="27">
        <v>30</v>
      </c>
      <c r="I17" s="27">
        <v>67</v>
      </c>
      <c r="J17" s="27">
        <v>38</v>
      </c>
      <c r="K17" s="27">
        <v>95</v>
      </c>
      <c r="L17" s="27">
        <v>58</v>
      </c>
      <c r="M17" s="27">
        <v>90</v>
      </c>
      <c r="N17" s="27">
        <v>57</v>
      </c>
      <c r="O17" s="27">
        <v>50</v>
      </c>
      <c r="P17" s="27">
        <v>127</v>
      </c>
      <c r="Q17" s="27">
        <v>14</v>
      </c>
      <c r="R17" s="27">
        <v>114</v>
      </c>
    </row>
    <row r="18" spans="1:18" s="20" customFormat="1" ht="14.25" customHeight="1" x14ac:dyDescent="0.2">
      <c r="A18" s="86" t="s">
        <v>25</v>
      </c>
      <c r="B18" s="28" t="s">
        <v>56</v>
      </c>
      <c r="C18" s="29" t="s">
        <v>2</v>
      </c>
      <c r="D18" s="21">
        <v>645</v>
      </c>
      <c r="E18" s="21">
        <v>296</v>
      </c>
      <c r="F18" s="21">
        <v>349</v>
      </c>
      <c r="G18" s="21">
        <v>28</v>
      </c>
      <c r="H18" s="21">
        <v>21</v>
      </c>
      <c r="I18" s="21">
        <v>49</v>
      </c>
      <c r="J18" s="21">
        <v>28</v>
      </c>
      <c r="K18" s="21">
        <v>79</v>
      </c>
      <c r="L18" s="21">
        <v>50</v>
      </c>
      <c r="M18" s="21">
        <v>79</v>
      </c>
      <c r="N18" s="21">
        <v>50</v>
      </c>
      <c r="O18" s="21">
        <v>47</v>
      </c>
      <c r="P18" s="21">
        <v>105</v>
      </c>
      <c r="Q18" s="21">
        <v>14</v>
      </c>
      <c r="R18" s="21">
        <v>95</v>
      </c>
    </row>
    <row r="19" spans="1:18" s="20" customFormat="1" ht="14.25" customHeight="1" x14ac:dyDescent="0.2">
      <c r="A19" s="87"/>
      <c r="B19" s="30" t="s">
        <v>57</v>
      </c>
      <c r="C19" s="31" t="s">
        <v>225</v>
      </c>
      <c r="D19" s="21">
        <v>132</v>
      </c>
      <c r="E19" s="21">
        <v>57</v>
      </c>
      <c r="F19" s="21">
        <v>75</v>
      </c>
      <c r="G19" s="21">
        <v>9</v>
      </c>
      <c r="H19" s="21">
        <v>9</v>
      </c>
      <c r="I19" s="21">
        <v>18</v>
      </c>
      <c r="J19" s="21">
        <v>10</v>
      </c>
      <c r="K19" s="21">
        <v>16</v>
      </c>
      <c r="L19" s="21">
        <v>8</v>
      </c>
      <c r="M19" s="21">
        <v>11</v>
      </c>
      <c r="N19" s="21">
        <v>7</v>
      </c>
      <c r="O19" s="21">
        <v>3</v>
      </c>
      <c r="P19" s="21">
        <v>22</v>
      </c>
      <c r="Q19" s="21">
        <v>0</v>
      </c>
      <c r="R19" s="21">
        <v>19</v>
      </c>
    </row>
    <row r="20" spans="1:18" s="20" customFormat="1" ht="14.25" customHeight="1" x14ac:dyDescent="0.2">
      <c r="A20" s="64" t="s">
        <v>213</v>
      </c>
      <c r="B20" s="25" t="s">
        <v>55</v>
      </c>
      <c r="C20" s="26" t="s">
        <v>0</v>
      </c>
      <c r="D20" s="27">
        <v>1327</v>
      </c>
      <c r="E20" s="27">
        <v>663</v>
      </c>
      <c r="F20" s="27">
        <v>664</v>
      </c>
      <c r="G20" s="27">
        <v>110</v>
      </c>
      <c r="H20" s="27">
        <v>72</v>
      </c>
      <c r="I20" s="27">
        <v>90</v>
      </c>
      <c r="J20" s="27">
        <v>75</v>
      </c>
      <c r="K20" s="27">
        <v>155</v>
      </c>
      <c r="L20" s="27">
        <v>84</v>
      </c>
      <c r="M20" s="27">
        <v>134</v>
      </c>
      <c r="N20" s="27">
        <v>78</v>
      </c>
      <c r="O20" s="27">
        <v>121</v>
      </c>
      <c r="P20" s="27">
        <v>207</v>
      </c>
      <c r="Q20" s="27">
        <v>53</v>
      </c>
      <c r="R20" s="27">
        <v>148</v>
      </c>
    </row>
    <row r="21" spans="1:18" s="20" customFormat="1" ht="14.25" customHeight="1" x14ac:dyDescent="0.2">
      <c r="A21" s="86" t="s">
        <v>21</v>
      </c>
      <c r="B21" s="28" t="s">
        <v>56</v>
      </c>
      <c r="C21" s="29" t="s">
        <v>2</v>
      </c>
      <c r="D21" s="21">
        <v>1250</v>
      </c>
      <c r="E21" s="21">
        <v>621</v>
      </c>
      <c r="F21" s="21">
        <v>629</v>
      </c>
      <c r="G21" s="21">
        <v>106</v>
      </c>
      <c r="H21" s="21">
        <v>68</v>
      </c>
      <c r="I21" s="21">
        <v>86</v>
      </c>
      <c r="J21" s="21">
        <v>69</v>
      </c>
      <c r="K21" s="21">
        <v>142</v>
      </c>
      <c r="L21" s="21">
        <v>77</v>
      </c>
      <c r="M21" s="21">
        <v>126</v>
      </c>
      <c r="N21" s="21">
        <v>75</v>
      </c>
      <c r="O21" s="21">
        <v>115</v>
      </c>
      <c r="P21" s="21">
        <v>198</v>
      </c>
      <c r="Q21" s="21">
        <v>46</v>
      </c>
      <c r="R21" s="21">
        <v>142</v>
      </c>
    </row>
    <row r="22" spans="1:18" s="20" customFormat="1" ht="14.25" customHeight="1" x14ac:dyDescent="0.2">
      <c r="A22" s="87"/>
      <c r="B22" s="30" t="s">
        <v>57</v>
      </c>
      <c r="C22" s="31" t="s">
        <v>225</v>
      </c>
      <c r="D22" s="21">
        <v>77</v>
      </c>
      <c r="E22" s="21">
        <v>42</v>
      </c>
      <c r="F22" s="21">
        <v>35</v>
      </c>
      <c r="G22" s="21">
        <v>4</v>
      </c>
      <c r="H22" s="21">
        <v>4</v>
      </c>
      <c r="I22" s="21">
        <v>4</v>
      </c>
      <c r="J22" s="21">
        <v>6</v>
      </c>
      <c r="K22" s="21">
        <v>13</v>
      </c>
      <c r="L22" s="21">
        <v>7</v>
      </c>
      <c r="M22" s="21">
        <v>8</v>
      </c>
      <c r="N22" s="21">
        <v>3</v>
      </c>
      <c r="O22" s="21">
        <v>6</v>
      </c>
      <c r="P22" s="21">
        <v>9</v>
      </c>
      <c r="Q22" s="21">
        <v>7</v>
      </c>
      <c r="R22" s="21">
        <v>6</v>
      </c>
    </row>
    <row r="23" spans="1:18" s="20" customFormat="1" ht="14.25" customHeight="1" x14ac:dyDescent="0.2">
      <c r="A23" s="64" t="s">
        <v>214</v>
      </c>
      <c r="B23" s="25" t="s">
        <v>55</v>
      </c>
      <c r="C23" s="26" t="s">
        <v>0</v>
      </c>
      <c r="D23" s="27">
        <v>532</v>
      </c>
      <c r="E23" s="27">
        <v>263</v>
      </c>
      <c r="F23" s="27">
        <v>269</v>
      </c>
      <c r="G23" s="27">
        <v>46</v>
      </c>
      <c r="H23" s="27">
        <v>32</v>
      </c>
      <c r="I23" s="27">
        <v>58</v>
      </c>
      <c r="J23" s="27">
        <v>31</v>
      </c>
      <c r="K23" s="27">
        <v>63</v>
      </c>
      <c r="L23" s="27">
        <v>37</v>
      </c>
      <c r="M23" s="27">
        <v>52</v>
      </c>
      <c r="N23" s="27">
        <v>36</v>
      </c>
      <c r="O23" s="27">
        <v>33</v>
      </c>
      <c r="P23" s="27">
        <v>90</v>
      </c>
      <c r="Q23" s="27">
        <v>11</v>
      </c>
      <c r="R23" s="27">
        <v>43</v>
      </c>
    </row>
    <row r="24" spans="1:18" s="20" customFormat="1" ht="14.25" customHeight="1" x14ac:dyDescent="0.2">
      <c r="A24" s="86" t="s">
        <v>22</v>
      </c>
      <c r="B24" s="28" t="s">
        <v>56</v>
      </c>
      <c r="C24" s="29" t="s">
        <v>2</v>
      </c>
      <c r="D24" s="21">
        <v>510</v>
      </c>
      <c r="E24" s="21">
        <v>249</v>
      </c>
      <c r="F24" s="21">
        <v>261</v>
      </c>
      <c r="G24" s="21">
        <v>44</v>
      </c>
      <c r="H24" s="21">
        <v>32</v>
      </c>
      <c r="I24" s="21">
        <v>54</v>
      </c>
      <c r="J24" s="21">
        <v>30</v>
      </c>
      <c r="K24" s="21">
        <v>61</v>
      </c>
      <c r="L24" s="21">
        <v>37</v>
      </c>
      <c r="M24" s="21">
        <v>47</v>
      </c>
      <c r="N24" s="21">
        <v>35</v>
      </c>
      <c r="O24" s="21">
        <v>32</v>
      </c>
      <c r="P24" s="21">
        <v>88</v>
      </c>
      <c r="Q24" s="21">
        <v>11</v>
      </c>
      <c r="R24" s="21">
        <v>39</v>
      </c>
    </row>
    <row r="25" spans="1:18" s="20" customFormat="1" ht="14.25" customHeight="1" x14ac:dyDescent="0.2">
      <c r="A25" s="87"/>
      <c r="B25" s="30" t="s">
        <v>57</v>
      </c>
      <c r="C25" s="31" t="s">
        <v>225</v>
      </c>
      <c r="D25" s="21">
        <v>22</v>
      </c>
      <c r="E25" s="21">
        <v>14</v>
      </c>
      <c r="F25" s="21">
        <v>8</v>
      </c>
      <c r="G25" s="21">
        <v>2</v>
      </c>
      <c r="H25" s="21">
        <v>0</v>
      </c>
      <c r="I25" s="21">
        <v>4</v>
      </c>
      <c r="J25" s="21">
        <v>1</v>
      </c>
      <c r="K25" s="21">
        <v>2</v>
      </c>
      <c r="L25" s="21">
        <v>0</v>
      </c>
      <c r="M25" s="21">
        <v>5</v>
      </c>
      <c r="N25" s="21">
        <v>1</v>
      </c>
      <c r="O25" s="21">
        <v>1</v>
      </c>
      <c r="P25" s="21">
        <v>2</v>
      </c>
      <c r="Q25" s="21">
        <v>0</v>
      </c>
      <c r="R25" s="21">
        <v>4</v>
      </c>
    </row>
    <row r="26" spans="1:18" s="20" customFormat="1" ht="14.25" customHeight="1" x14ac:dyDescent="0.2">
      <c r="A26" s="64" t="s">
        <v>215</v>
      </c>
      <c r="B26" s="25" t="s">
        <v>55</v>
      </c>
      <c r="C26" s="26" t="s">
        <v>0</v>
      </c>
      <c r="D26" s="27">
        <v>1283</v>
      </c>
      <c r="E26" s="27">
        <v>606</v>
      </c>
      <c r="F26" s="27">
        <v>677</v>
      </c>
      <c r="G26" s="27">
        <v>89</v>
      </c>
      <c r="H26" s="27">
        <v>76</v>
      </c>
      <c r="I26" s="27">
        <v>126</v>
      </c>
      <c r="J26" s="27">
        <v>78</v>
      </c>
      <c r="K26" s="27">
        <v>146</v>
      </c>
      <c r="L26" s="27">
        <v>85</v>
      </c>
      <c r="M26" s="27">
        <v>132</v>
      </c>
      <c r="N26" s="27">
        <v>86</v>
      </c>
      <c r="O26" s="27">
        <v>80</v>
      </c>
      <c r="P26" s="27">
        <v>216</v>
      </c>
      <c r="Q26" s="27">
        <v>33</v>
      </c>
      <c r="R26" s="27">
        <v>136</v>
      </c>
    </row>
    <row r="27" spans="1:18" s="20" customFormat="1" ht="14.25" customHeight="1" x14ac:dyDescent="0.2">
      <c r="A27" s="86" t="s">
        <v>23</v>
      </c>
      <c r="B27" s="28" t="s">
        <v>56</v>
      </c>
      <c r="C27" s="29" t="s">
        <v>2</v>
      </c>
      <c r="D27" s="21">
        <v>1191</v>
      </c>
      <c r="E27" s="21">
        <v>569</v>
      </c>
      <c r="F27" s="21">
        <v>622</v>
      </c>
      <c r="G27" s="21">
        <v>85</v>
      </c>
      <c r="H27" s="21">
        <v>67</v>
      </c>
      <c r="I27" s="21">
        <v>118</v>
      </c>
      <c r="J27" s="21">
        <v>73</v>
      </c>
      <c r="K27" s="21">
        <v>133</v>
      </c>
      <c r="L27" s="21">
        <v>82</v>
      </c>
      <c r="M27" s="21">
        <v>123</v>
      </c>
      <c r="N27" s="21">
        <v>79</v>
      </c>
      <c r="O27" s="21">
        <v>78</v>
      </c>
      <c r="P27" s="21">
        <v>198</v>
      </c>
      <c r="Q27" s="21">
        <v>32</v>
      </c>
      <c r="R27" s="21">
        <v>123</v>
      </c>
    </row>
    <row r="28" spans="1:18" s="20" customFormat="1" ht="14.25" customHeight="1" x14ac:dyDescent="0.2">
      <c r="A28" s="87"/>
      <c r="B28" s="30" t="s">
        <v>57</v>
      </c>
      <c r="C28" s="31" t="s">
        <v>225</v>
      </c>
      <c r="D28" s="21">
        <v>92</v>
      </c>
      <c r="E28" s="21">
        <v>37</v>
      </c>
      <c r="F28" s="21">
        <v>55</v>
      </c>
      <c r="G28" s="21">
        <v>4</v>
      </c>
      <c r="H28" s="21">
        <v>9</v>
      </c>
      <c r="I28" s="21">
        <v>8</v>
      </c>
      <c r="J28" s="21">
        <v>5</v>
      </c>
      <c r="K28" s="21">
        <v>13</v>
      </c>
      <c r="L28" s="21">
        <v>3</v>
      </c>
      <c r="M28" s="21">
        <v>9</v>
      </c>
      <c r="N28" s="21">
        <v>7</v>
      </c>
      <c r="O28" s="21">
        <v>2</v>
      </c>
      <c r="P28" s="21">
        <v>18</v>
      </c>
      <c r="Q28" s="21">
        <v>1</v>
      </c>
      <c r="R28" s="21">
        <v>13</v>
      </c>
    </row>
    <row r="29" spans="1:18" s="20" customFormat="1" ht="14.25" customHeight="1" x14ac:dyDescent="0.2">
      <c r="A29" s="64" t="s">
        <v>194</v>
      </c>
      <c r="B29" s="25" t="s">
        <v>55</v>
      </c>
      <c r="C29" s="26" t="s">
        <v>0</v>
      </c>
      <c r="D29" s="27">
        <v>65</v>
      </c>
      <c r="E29" s="27">
        <v>10</v>
      </c>
      <c r="F29" s="27">
        <v>55</v>
      </c>
      <c r="G29" s="27">
        <v>4</v>
      </c>
      <c r="H29" s="27">
        <v>10</v>
      </c>
      <c r="I29" s="27">
        <v>0</v>
      </c>
      <c r="J29" s="27">
        <v>1</v>
      </c>
      <c r="K29" s="27">
        <v>3</v>
      </c>
      <c r="L29" s="27">
        <v>5</v>
      </c>
      <c r="M29" s="27">
        <v>1</v>
      </c>
      <c r="N29" s="27">
        <v>2</v>
      </c>
      <c r="O29" s="27">
        <v>1</v>
      </c>
      <c r="P29" s="27">
        <v>26</v>
      </c>
      <c r="Q29" s="27">
        <v>1</v>
      </c>
      <c r="R29" s="27">
        <v>11</v>
      </c>
    </row>
    <row r="30" spans="1:18" s="20" customFormat="1" ht="14.25" customHeight="1" x14ac:dyDescent="0.2">
      <c r="A30" s="86" t="s">
        <v>5</v>
      </c>
      <c r="B30" s="28" t="s">
        <v>56</v>
      </c>
      <c r="C30" s="29" t="s">
        <v>2</v>
      </c>
      <c r="D30" s="21">
        <v>61</v>
      </c>
      <c r="E30" s="21">
        <v>10</v>
      </c>
      <c r="F30" s="21">
        <v>51</v>
      </c>
      <c r="G30" s="21">
        <v>4</v>
      </c>
      <c r="H30" s="21">
        <v>10</v>
      </c>
      <c r="I30" s="21">
        <v>0</v>
      </c>
      <c r="J30" s="21">
        <v>1</v>
      </c>
      <c r="K30" s="21">
        <v>3</v>
      </c>
      <c r="L30" s="21">
        <v>5</v>
      </c>
      <c r="M30" s="21">
        <v>1</v>
      </c>
      <c r="N30" s="21">
        <v>2</v>
      </c>
      <c r="O30" s="21">
        <v>1</v>
      </c>
      <c r="P30" s="21">
        <v>24</v>
      </c>
      <c r="Q30" s="21">
        <v>1</v>
      </c>
      <c r="R30" s="21">
        <v>9</v>
      </c>
    </row>
    <row r="31" spans="1:18" s="20" customFormat="1" ht="14.25" customHeight="1" x14ac:dyDescent="0.2">
      <c r="A31" s="87"/>
      <c r="B31" s="30" t="s">
        <v>57</v>
      </c>
      <c r="C31" s="31" t="s">
        <v>225</v>
      </c>
      <c r="D31" s="21">
        <v>4</v>
      </c>
      <c r="E31" s="21">
        <v>0</v>
      </c>
      <c r="F31" s="21">
        <v>4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2</v>
      </c>
      <c r="Q31" s="21">
        <v>0</v>
      </c>
      <c r="R31" s="21">
        <v>2</v>
      </c>
    </row>
    <row r="32" spans="1:18" s="20" customFormat="1" ht="14.25" customHeight="1" x14ac:dyDescent="0.2">
      <c r="A32" s="64" t="s">
        <v>195</v>
      </c>
      <c r="B32" s="25" t="s">
        <v>55</v>
      </c>
      <c r="C32" s="26" t="s">
        <v>0</v>
      </c>
      <c r="D32" s="27">
        <v>362</v>
      </c>
      <c r="E32" s="27">
        <v>163</v>
      </c>
      <c r="F32" s="27">
        <v>199</v>
      </c>
      <c r="G32" s="27">
        <v>34</v>
      </c>
      <c r="H32" s="27">
        <v>25</v>
      </c>
      <c r="I32" s="27">
        <v>35</v>
      </c>
      <c r="J32" s="27">
        <v>30</v>
      </c>
      <c r="K32" s="27">
        <v>40</v>
      </c>
      <c r="L32" s="27">
        <v>24</v>
      </c>
      <c r="M32" s="27">
        <v>22</v>
      </c>
      <c r="N32" s="27">
        <v>27</v>
      </c>
      <c r="O32" s="27">
        <v>25</v>
      </c>
      <c r="P32" s="27">
        <v>58</v>
      </c>
      <c r="Q32" s="27">
        <v>7</v>
      </c>
      <c r="R32" s="27">
        <v>35</v>
      </c>
    </row>
    <row r="33" spans="1:18" s="20" customFormat="1" ht="14.25" customHeight="1" x14ac:dyDescent="0.2">
      <c r="A33" s="86" t="s">
        <v>6</v>
      </c>
      <c r="B33" s="28" t="s">
        <v>56</v>
      </c>
      <c r="C33" s="29" t="s">
        <v>2</v>
      </c>
      <c r="D33" s="21">
        <v>303</v>
      </c>
      <c r="E33" s="21">
        <v>142</v>
      </c>
      <c r="F33" s="21">
        <v>161</v>
      </c>
      <c r="G33" s="21">
        <v>30</v>
      </c>
      <c r="H33" s="21">
        <v>16</v>
      </c>
      <c r="I33" s="21">
        <v>27</v>
      </c>
      <c r="J33" s="21">
        <v>27</v>
      </c>
      <c r="K33" s="21">
        <v>38</v>
      </c>
      <c r="L33" s="21">
        <v>20</v>
      </c>
      <c r="M33" s="21">
        <v>18</v>
      </c>
      <c r="N33" s="21">
        <v>19</v>
      </c>
      <c r="O33" s="21">
        <v>23</v>
      </c>
      <c r="P33" s="21">
        <v>49</v>
      </c>
      <c r="Q33" s="21">
        <v>6</v>
      </c>
      <c r="R33" s="21">
        <v>30</v>
      </c>
    </row>
    <row r="34" spans="1:18" s="20" customFormat="1" ht="14.25" customHeight="1" x14ac:dyDescent="0.2">
      <c r="A34" s="87"/>
      <c r="B34" s="30" t="s">
        <v>57</v>
      </c>
      <c r="C34" s="31" t="s">
        <v>225</v>
      </c>
      <c r="D34" s="21">
        <v>59</v>
      </c>
      <c r="E34" s="21">
        <v>21</v>
      </c>
      <c r="F34" s="21">
        <v>38</v>
      </c>
      <c r="G34" s="21">
        <v>4</v>
      </c>
      <c r="H34" s="21">
        <v>9</v>
      </c>
      <c r="I34" s="21">
        <v>8</v>
      </c>
      <c r="J34" s="21">
        <v>3</v>
      </c>
      <c r="K34" s="21">
        <v>2</v>
      </c>
      <c r="L34" s="21">
        <v>4</v>
      </c>
      <c r="M34" s="21">
        <v>4</v>
      </c>
      <c r="N34" s="21">
        <v>8</v>
      </c>
      <c r="O34" s="21">
        <v>2</v>
      </c>
      <c r="P34" s="21">
        <v>9</v>
      </c>
      <c r="Q34" s="21">
        <v>1</v>
      </c>
      <c r="R34" s="21">
        <v>5</v>
      </c>
    </row>
    <row r="35" spans="1:18" s="20" customFormat="1" ht="14.25" customHeight="1" x14ac:dyDescent="0.2">
      <c r="A35" s="64" t="s">
        <v>196</v>
      </c>
      <c r="B35" s="25" t="s">
        <v>55</v>
      </c>
      <c r="C35" s="26" t="s">
        <v>0</v>
      </c>
      <c r="D35" s="27">
        <v>182</v>
      </c>
      <c r="E35" s="27">
        <v>49</v>
      </c>
      <c r="F35" s="27">
        <v>133</v>
      </c>
      <c r="G35" s="27">
        <v>11</v>
      </c>
      <c r="H35" s="27">
        <v>9</v>
      </c>
      <c r="I35" s="27">
        <v>10</v>
      </c>
      <c r="J35" s="27">
        <v>12</v>
      </c>
      <c r="K35" s="27">
        <v>9</v>
      </c>
      <c r="L35" s="27">
        <v>10</v>
      </c>
      <c r="M35" s="27">
        <v>12</v>
      </c>
      <c r="N35" s="27">
        <v>17</v>
      </c>
      <c r="O35" s="27">
        <v>4</v>
      </c>
      <c r="P35" s="27">
        <v>39</v>
      </c>
      <c r="Q35" s="27">
        <v>3</v>
      </c>
      <c r="R35" s="27">
        <v>46</v>
      </c>
    </row>
    <row r="36" spans="1:18" s="20" customFormat="1" ht="14.25" customHeight="1" x14ac:dyDescent="0.2">
      <c r="A36" s="86" t="s">
        <v>7</v>
      </c>
      <c r="B36" s="28" t="s">
        <v>56</v>
      </c>
      <c r="C36" s="29" t="s">
        <v>2</v>
      </c>
      <c r="D36" s="21">
        <v>163</v>
      </c>
      <c r="E36" s="21">
        <v>45</v>
      </c>
      <c r="F36" s="21">
        <v>118</v>
      </c>
      <c r="G36" s="21">
        <v>11</v>
      </c>
      <c r="H36" s="21">
        <v>7</v>
      </c>
      <c r="I36" s="21">
        <v>8</v>
      </c>
      <c r="J36" s="21">
        <v>12</v>
      </c>
      <c r="K36" s="21">
        <v>8</v>
      </c>
      <c r="L36" s="21">
        <v>10</v>
      </c>
      <c r="M36" s="21">
        <v>11</v>
      </c>
      <c r="N36" s="21">
        <v>15</v>
      </c>
      <c r="O36" s="21">
        <v>4</v>
      </c>
      <c r="P36" s="21">
        <v>35</v>
      </c>
      <c r="Q36" s="21">
        <v>3</v>
      </c>
      <c r="R36" s="21">
        <v>39</v>
      </c>
    </row>
    <row r="37" spans="1:18" s="20" customFormat="1" ht="14.25" customHeight="1" x14ac:dyDescent="0.2">
      <c r="A37" s="87"/>
      <c r="B37" s="30" t="s">
        <v>57</v>
      </c>
      <c r="C37" s="31" t="s">
        <v>225</v>
      </c>
      <c r="D37" s="21">
        <v>19</v>
      </c>
      <c r="E37" s="21">
        <v>4</v>
      </c>
      <c r="F37" s="21">
        <v>15</v>
      </c>
      <c r="G37" s="21">
        <v>0</v>
      </c>
      <c r="H37" s="21">
        <v>2</v>
      </c>
      <c r="I37" s="21">
        <v>2</v>
      </c>
      <c r="J37" s="21">
        <v>0</v>
      </c>
      <c r="K37" s="21">
        <v>1</v>
      </c>
      <c r="L37" s="21">
        <v>0</v>
      </c>
      <c r="M37" s="21">
        <v>1</v>
      </c>
      <c r="N37" s="21">
        <v>2</v>
      </c>
      <c r="O37" s="21">
        <v>0</v>
      </c>
      <c r="P37" s="21">
        <v>4</v>
      </c>
      <c r="Q37" s="21">
        <v>0</v>
      </c>
      <c r="R37" s="21">
        <v>7</v>
      </c>
    </row>
    <row r="38" spans="1:18" s="20" customFormat="1" ht="14.25" customHeight="1" x14ac:dyDescent="0.2">
      <c r="A38" s="64" t="s">
        <v>197</v>
      </c>
      <c r="B38" s="25" t="s">
        <v>55</v>
      </c>
      <c r="C38" s="26" t="s">
        <v>0</v>
      </c>
      <c r="D38" s="27">
        <v>373</v>
      </c>
      <c r="E38" s="27">
        <v>161</v>
      </c>
      <c r="F38" s="27">
        <v>212</v>
      </c>
      <c r="G38" s="27">
        <v>34</v>
      </c>
      <c r="H38" s="27">
        <v>17</v>
      </c>
      <c r="I38" s="27">
        <v>20</v>
      </c>
      <c r="J38" s="27">
        <v>27</v>
      </c>
      <c r="K38" s="27">
        <v>29</v>
      </c>
      <c r="L38" s="27">
        <v>29</v>
      </c>
      <c r="M38" s="27">
        <v>29</v>
      </c>
      <c r="N38" s="27">
        <v>15</v>
      </c>
      <c r="O38" s="27">
        <v>27</v>
      </c>
      <c r="P38" s="27">
        <v>65</v>
      </c>
      <c r="Q38" s="27">
        <v>22</v>
      </c>
      <c r="R38" s="27">
        <v>59</v>
      </c>
    </row>
    <row r="39" spans="1:18" s="20" customFormat="1" ht="14.25" customHeight="1" x14ac:dyDescent="0.2">
      <c r="A39" s="86" t="s">
        <v>8</v>
      </c>
      <c r="B39" s="28" t="s">
        <v>56</v>
      </c>
      <c r="C39" s="29" t="s">
        <v>2</v>
      </c>
      <c r="D39" s="21">
        <v>357</v>
      </c>
      <c r="E39" s="21">
        <v>156</v>
      </c>
      <c r="F39" s="21">
        <v>201</v>
      </c>
      <c r="G39" s="21">
        <v>33</v>
      </c>
      <c r="H39" s="21">
        <v>16</v>
      </c>
      <c r="I39" s="21">
        <v>20</v>
      </c>
      <c r="J39" s="21">
        <v>26</v>
      </c>
      <c r="K39" s="21">
        <v>29</v>
      </c>
      <c r="L39" s="21">
        <v>29</v>
      </c>
      <c r="M39" s="21">
        <v>29</v>
      </c>
      <c r="N39" s="21">
        <v>15</v>
      </c>
      <c r="O39" s="21">
        <v>27</v>
      </c>
      <c r="P39" s="21">
        <v>59</v>
      </c>
      <c r="Q39" s="21">
        <v>18</v>
      </c>
      <c r="R39" s="21">
        <v>56</v>
      </c>
    </row>
    <row r="40" spans="1:18" s="20" customFormat="1" ht="14.25" customHeight="1" x14ac:dyDescent="0.2">
      <c r="A40" s="87"/>
      <c r="B40" s="30" t="s">
        <v>57</v>
      </c>
      <c r="C40" s="31" t="s">
        <v>225</v>
      </c>
      <c r="D40" s="21">
        <v>16</v>
      </c>
      <c r="E40" s="21">
        <v>5</v>
      </c>
      <c r="F40" s="21">
        <v>11</v>
      </c>
      <c r="G40" s="21">
        <v>1</v>
      </c>
      <c r="H40" s="21">
        <v>1</v>
      </c>
      <c r="I40" s="21">
        <v>0</v>
      </c>
      <c r="J40" s="21">
        <v>1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6</v>
      </c>
      <c r="Q40" s="21">
        <v>4</v>
      </c>
      <c r="R40" s="21">
        <v>3</v>
      </c>
    </row>
    <row r="41" spans="1:18" s="20" customFormat="1" ht="14.25" customHeight="1" x14ac:dyDescent="0.2">
      <c r="A41" s="64" t="s">
        <v>198</v>
      </c>
      <c r="B41" s="25" t="s">
        <v>55</v>
      </c>
      <c r="C41" s="26" t="s">
        <v>0</v>
      </c>
      <c r="D41" s="27">
        <v>195</v>
      </c>
      <c r="E41" s="27">
        <v>72</v>
      </c>
      <c r="F41" s="27">
        <v>123</v>
      </c>
      <c r="G41" s="27">
        <v>10</v>
      </c>
      <c r="H41" s="27">
        <v>11</v>
      </c>
      <c r="I41" s="27">
        <v>13</v>
      </c>
      <c r="J41" s="27">
        <v>9</v>
      </c>
      <c r="K41" s="27">
        <v>19</v>
      </c>
      <c r="L41" s="27">
        <v>17</v>
      </c>
      <c r="M41" s="27">
        <v>11</v>
      </c>
      <c r="N41" s="27">
        <v>20</v>
      </c>
      <c r="O41" s="27">
        <v>10</v>
      </c>
      <c r="P41" s="27">
        <v>31</v>
      </c>
      <c r="Q41" s="27">
        <v>9</v>
      </c>
      <c r="R41" s="27">
        <v>35</v>
      </c>
    </row>
    <row r="42" spans="1:18" s="20" customFormat="1" ht="14.25" customHeight="1" x14ac:dyDescent="0.2">
      <c r="A42" s="86" t="s">
        <v>9</v>
      </c>
      <c r="B42" s="28" t="s">
        <v>56</v>
      </c>
      <c r="C42" s="29" t="s">
        <v>2</v>
      </c>
      <c r="D42" s="21">
        <v>148</v>
      </c>
      <c r="E42" s="21">
        <v>59</v>
      </c>
      <c r="F42" s="21">
        <v>89</v>
      </c>
      <c r="G42" s="21">
        <v>9</v>
      </c>
      <c r="H42" s="21">
        <v>9</v>
      </c>
      <c r="I42" s="21">
        <v>11</v>
      </c>
      <c r="J42" s="21">
        <v>6</v>
      </c>
      <c r="K42" s="21">
        <v>15</v>
      </c>
      <c r="L42" s="21">
        <v>12</v>
      </c>
      <c r="M42" s="21">
        <v>5</v>
      </c>
      <c r="N42" s="21">
        <v>14</v>
      </c>
      <c r="O42" s="21">
        <v>10</v>
      </c>
      <c r="P42" s="21">
        <v>19</v>
      </c>
      <c r="Q42" s="21">
        <v>9</v>
      </c>
      <c r="R42" s="21">
        <v>29</v>
      </c>
    </row>
    <row r="43" spans="1:18" s="20" customFormat="1" ht="14.25" customHeight="1" x14ac:dyDescent="0.2">
      <c r="A43" s="87"/>
      <c r="B43" s="30" t="s">
        <v>57</v>
      </c>
      <c r="C43" s="31" t="s">
        <v>225</v>
      </c>
      <c r="D43" s="21">
        <v>47</v>
      </c>
      <c r="E43" s="21">
        <v>13</v>
      </c>
      <c r="F43" s="21">
        <v>34</v>
      </c>
      <c r="G43" s="21">
        <v>1</v>
      </c>
      <c r="H43" s="21">
        <v>2</v>
      </c>
      <c r="I43" s="21">
        <v>2</v>
      </c>
      <c r="J43" s="21">
        <v>3</v>
      </c>
      <c r="K43" s="21">
        <v>4</v>
      </c>
      <c r="L43" s="21">
        <v>5</v>
      </c>
      <c r="M43" s="21">
        <v>6</v>
      </c>
      <c r="N43" s="21">
        <v>6</v>
      </c>
      <c r="O43" s="21">
        <v>0</v>
      </c>
      <c r="P43" s="21">
        <v>12</v>
      </c>
      <c r="Q43" s="21">
        <v>0</v>
      </c>
      <c r="R43" s="21">
        <v>6</v>
      </c>
    </row>
    <row r="44" spans="1:18" s="20" customFormat="1" ht="14.25" customHeight="1" x14ac:dyDescent="0.2">
      <c r="A44" s="64" t="s">
        <v>199</v>
      </c>
      <c r="B44" s="25" t="s">
        <v>55</v>
      </c>
      <c r="C44" s="26" t="s">
        <v>0</v>
      </c>
      <c r="D44" s="27">
        <v>304</v>
      </c>
      <c r="E44" s="27">
        <v>124</v>
      </c>
      <c r="F44" s="27">
        <v>180</v>
      </c>
      <c r="G44" s="27">
        <v>30</v>
      </c>
      <c r="H44" s="27">
        <v>16</v>
      </c>
      <c r="I44" s="27">
        <v>29</v>
      </c>
      <c r="J44" s="27">
        <v>20</v>
      </c>
      <c r="K44" s="27">
        <v>21</v>
      </c>
      <c r="L44" s="27">
        <v>23</v>
      </c>
      <c r="M44" s="27">
        <v>11</v>
      </c>
      <c r="N44" s="27">
        <v>12</v>
      </c>
      <c r="O44" s="27">
        <v>15</v>
      </c>
      <c r="P44" s="27">
        <v>55</v>
      </c>
      <c r="Q44" s="27">
        <v>18</v>
      </c>
      <c r="R44" s="27">
        <v>54</v>
      </c>
    </row>
    <row r="45" spans="1:18" s="20" customFormat="1" ht="14.25" customHeight="1" x14ac:dyDescent="0.2">
      <c r="A45" s="86" t="s">
        <v>10</v>
      </c>
      <c r="B45" s="28" t="s">
        <v>56</v>
      </c>
      <c r="C45" s="29" t="s">
        <v>2</v>
      </c>
      <c r="D45" s="21">
        <v>298</v>
      </c>
      <c r="E45" s="21">
        <v>123</v>
      </c>
      <c r="F45" s="21">
        <v>175</v>
      </c>
      <c r="G45" s="21">
        <v>30</v>
      </c>
      <c r="H45" s="21">
        <v>15</v>
      </c>
      <c r="I45" s="21">
        <v>29</v>
      </c>
      <c r="J45" s="21">
        <v>20</v>
      </c>
      <c r="K45" s="21">
        <v>21</v>
      </c>
      <c r="L45" s="21">
        <v>23</v>
      </c>
      <c r="M45" s="21">
        <v>11</v>
      </c>
      <c r="N45" s="21">
        <v>12</v>
      </c>
      <c r="O45" s="21">
        <v>15</v>
      </c>
      <c r="P45" s="21">
        <v>51</v>
      </c>
      <c r="Q45" s="21">
        <v>17</v>
      </c>
      <c r="R45" s="21">
        <v>54</v>
      </c>
    </row>
    <row r="46" spans="1:18" s="20" customFormat="1" ht="14.25" customHeight="1" x14ac:dyDescent="0.2">
      <c r="A46" s="87"/>
      <c r="B46" s="30" t="s">
        <v>57</v>
      </c>
      <c r="C46" s="31" t="s">
        <v>225</v>
      </c>
      <c r="D46" s="21">
        <v>6</v>
      </c>
      <c r="E46" s="21">
        <v>1</v>
      </c>
      <c r="F46" s="21">
        <v>5</v>
      </c>
      <c r="G46" s="21">
        <v>0</v>
      </c>
      <c r="H46" s="21">
        <v>1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4</v>
      </c>
      <c r="Q46" s="21">
        <v>1</v>
      </c>
      <c r="R46" s="21">
        <v>0</v>
      </c>
    </row>
    <row r="47" spans="1:18" s="20" customFormat="1" ht="14.25" customHeight="1" x14ac:dyDescent="0.2">
      <c r="A47" s="64" t="s">
        <v>200</v>
      </c>
      <c r="B47" s="25" t="s">
        <v>55</v>
      </c>
      <c r="C47" s="26" t="s">
        <v>0</v>
      </c>
      <c r="D47" s="27">
        <v>178</v>
      </c>
      <c r="E47" s="27">
        <v>81</v>
      </c>
      <c r="F47" s="27">
        <v>97</v>
      </c>
      <c r="G47" s="27">
        <v>10</v>
      </c>
      <c r="H47" s="27">
        <v>17</v>
      </c>
      <c r="I47" s="27">
        <v>21</v>
      </c>
      <c r="J47" s="27">
        <v>9</v>
      </c>
      <c r="K47" s="27">
        <v>12</v>
      </c>
      <c r="L47" s="27">
        <v>8</v>
      </c>
      <c r="M47" s="27">
        <v>16</v>
      </c>
      <c r="N47" s="27">
        <v>14</v>
      </c>
      <c r="O47" s="27">
        <v>13</v>
      </c>
      <c r="P47" s="27">
        <v>25</v>
      </c>
      <c r="Q47" s="27">
        <v>9</v>
      </c>
      <c r="R47" s="27">
        <v>24</v>
      </c>
    </row>
    <row r="48" spans="1:18" s="20" customFormat="1" ht="14.25" customHeight="1" x14ac:dyDescent="0.2">
      <c r="A48" s="86" t="s">
        <v>11</v>
      </c>
      <c r="B48" s="28" t="s">
        <v>56</v>
      </c>
      <c r="C48" s="29" t="s">
        <v>2</v>
      </c>
      <c r="D48" s="21">
        <v>169</v>
      </c>
      <c r="E48" s="21">
        <v>74</v>
      </c>
      <c r="F48" s="21">
        <v>95</v>
      </c>
      <c r="G48" s="21">
        <v>9</v>
      </c>
      <c r="H48" s="21">
        <v>17</v>
      </c>
      <c r="I48" s="21">
        <v>21</v>
      </c>
      <c r="J48" s="21">
        <v>9</v>
      </c>
      <c r="K48" s="21">
        <v>12</v>
      </c>
      <c r="L48" s="21">
        <v>8</v>
      </c>
      <c r="M48" s="21">
        <v>15</v>
      </c>
      <c r="N48" s="21">
        <v>14</v>
      </c>
      <c r="O48" s="21">
        <v>9</v>
      </c>
      <c r="P48" s="21">
        <v>23</v>
      </c>
      <c r="Q48" s="21">
        <v>8</v>
      </c>
      <c r="R48" s="21">
        <v>24</v>
      </c>
    </row>
    <row r="49" spans="1:18" s="20" customFormat="1" ht="14.25" customHeight="1" x14ac:dyDescent="0.2">
      <c r="A49" s="87"/>
      <c r="B49" s="30" t="s">
        <v>57</v>
      </c>
      <c r="C49" s="31" t="s">
        <v>225</v>
      </c>
      <c r="D49" s="21">
        <v>9</v>
      </c>
      <c r="E49" s="21">
        <v>7</v>
      </c>
      <c r="F49" s="21">
        <v>2</v>
      </c>
      <c r="G49" s="21">
        <v>1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1</v>
      </c>
      <c r="N49" s="21">
        <v>0</v>
      </c>
      <c r="O49" s="21">
        <v>4</v>
      </c>
      <c r="P49" s="21">
        <v>2</v>
      </c>
      <c r="Q49" s="21">
        <v>1</v>
      </c>
      <c r="R49" s="21">
        <v>0</v>
      </c>
    </row>
    <row r="50" spans="1:18" s="20" customFormat="1" ht="14.25" customHeight="1" x14ac:dyDescent="0.2">
      <c r="A50" s="64" t="s">
        <v>201</v>
      </c>
      <c r="B50" s="25" t="s">
        <v>55</v>
      </c>
      <c r="C50" s="26" t="s">
        <v>0</v>
      </c>
      <c r="D50" s="27">
        <v>355</v>
      </c>
      <c r="E50" s="27">
        <v>148</v>
      </c>
      <c r="F50" s="27">
        <v>207</v>
      </c>
      <c r="G50" s="27">
        <v>24</v>
      </c>
      <c r="H50" s="27">
        <v>16</v>
      </c>
      <c r="I50" s="27">
        <v>21</v>
      </c>
      <c r="J50" s="27">
        <v>17</v>
      </c>
      <c r="K50" s="27">
        <v>30</v>
      </c>
      <c r="L50" s="27">
        <v>23</v>
      </c>
      <c r="M50" s="27">
        <v>34</v>
      </c>
      <c r="N50" s="27">
        <v>31</v>
      </c>
      <c r="O50" s="27">
        <v>31</v>
      </c>
      <c r="P50" s="27">
        <v>66</v>
      </c>
      <c r="Q50" s="27">
        <v>8</v>
      </c>
      <c r="R50" s="27">
        <v>54</v>
      </c>
    </row>
    <row r="51" spans="1:18" s="20" customFormat="1" ht="14.25" customHeight="1" x14ac:dyDescent="0.2">
      <c r="A51" s="86" t="s">
        <v>12</v>
      </c>
      <c r="B51" s="28" t="s">
        <v>56</v>
      </c>
      <c r="C51" s="29" t="s">
        <v>2</v>
      </c>
      <c r="D51" s="21">
        <v>299</v>
      </c>
      <c r="E51" s="21">
        <v>129</v>
      </c>
      <c r="F51" s="21">
        <v>170</v>
      </c>
      <c r="G51" s="21">
        <v>22</v>
      </c>
      <c r="H51" s="21">
        <v>15</v>
      </c>
      <c r="I51" s="21">
        <v>18</v>
      </c>
      <c r="J51" s="21">
        <v>17</v>
      </c>
      <c r="K51" s="21">
        <v>25</v>
      </c>
      <c r="L51" s="21">
        <v>17</v>
      </c>
      <c r="M51" s="21">
        <v>29</v>
      </c>
      <c r="N51" s="21">
        <v>25</v>
      </c>
      <c r="O51" s="21">
        <v>27</v>
      </c>
      <c r="P51" s="21">
        <v>57</v>
      </c>
      <c r="Q51" s="21">
        <v>8</v>
      </c>
      <c r="R51" s="21">
        <v>39</v>
      </c>
    </row>
    <row r="52" spans="1:18" s="20" customFormat="1" ht="14.25" customHeight="1" x14ac:dyDescent="0.2">
      <c r="A52" s="87"/>
      <c r="B52" s="30" t="s">
        <v>57</v>
      </c>
      <c r="C52" s="31" t="s">
        <v>225</v>
      </c>
      <c r="D52" s="21">
        <v>56</v>
      </c>
      <c r="E52" s="21">
        <v>19</v>
      </c>
      <c r="F52" s="21">
        <v>37</v>
      </c>
      <c r="G52" s="21">
        <v>2</v>
      </c>
      <c r="H52" s="21">
        <v>1</v>
      </c>
      <c r="I52" s="21">
        <v>3</v>
      </c>
      <c r="J52" s="21">
        <v>0</v>
      </c>
      <c r="K52" s="21">
        <v>5</v>
      </c>
      <c r="L52" s="21">
        <v>6</v>
      </c>
      <c r="M52" s="21">
        <v>5</v>
      </c>
      <c r="N52" s="21">
        <v>6</v>
      </c>
      <c r="O52" s="21">
        <v>4</v>
      </c>
      <c r="P52" s="21">
        <v>9</v>
      </c>
      <c r="Q52" s="21">
        <v>0</v>
      </c>
      <c r="R52" s="21">
        <v>15</v>
      </c>
    </row>
    <row r="53" spans="1:18" s="20" customFormat="1" ht="14.25" customHeight="1" x14ac:dyDescent="0.2">
      <c r="A53" s="64" t="s">
        <v>202</v>
      </c>
      <c r="B53" s="25" t="s">
        <v>55</v>
      </c>
      <c r="C53" s="26" t="s">
        <v>0</v>
      </c>
      <c r="D53" s="27">
        <v>76</v>
      </c>
      <c r="E53" s="27">
        <v>20</v>
      </c>
      <c r="F53" s="27">
        <v>56</v>
      </c>
      <c r="G53" s="27">
        <v>2</v>
      </c>
      <c r="H53" s="27">
        <v>5</v>
      </c>
      <c r="I53" s="27">
        <v>0</v>
      </c>
      <c r="J53" s="27">
        <v>4</v>
      </c>
      <c r="K53" s="27">
        <v>0</v>
      </c>
      <c r="L53" s="27">
        <v>4</v>
      </c>
      <c r="M53" s="27">
        <v>5</v>
      </c>
      <c r="N53" s="27">
        <v>7</v>
      </c>
      <c r="O53" s="27">
        <v>11</v>
      </c>
      <c r="P53" s="27">
        <v>20</v>
      </c>
      <c r="Q53" s="27">
        <v>2</v>
      </c>
      <c r="R53" s="27">
        <v>16</v>
      </c>
    </row>
    <row r="54" spans="1:18" s="20" customFormat="1" ht="14.25" customHeight="1" x14ac:dyDescent="0.2">
      <c r="A54" s="86" t="s">
        <v>13</v>
      </c>
      <c r="B54" s="28" t="s">
        <v>56</v>
      </c>
      <c r="C54" s="29" t="s">
        <v>2</v>
      </c>
      <c r="D54" s="21">
        <v>32</v>
      </c>
      <c r="E54" s="21">
        <v>11</v>
      </c>
      <c r="F54" s="21">
        <v>21</v>
      </c>
      <c r="G54" s="21">
        <v>2</v>
      </c>
      <c r="H54" s="21">
        <v>2</v>
      </c>
      <c r="I54" s="21">
        <v>0</v>
      </c>
      <c r="J54" s="21">
        <v>2</v>
      </c>
      <c r="K54" s="21">
        <v>0</v>
      </c>
      <c r="L54" s="21">
        <v>2</v>
      </c>
      <c r="M54" s="21">
        <v>1</v>
      </c>
      <c r="N54" s="21">
        <v>1</v>
      </c>
      <c r="O54" s="21">
        <v>7</v>
      </c>
      <c r="P54" s="21">
        <v>7</v>
      </c>
      <c r="Q54" s="21">
        <v>1</v>
      </c>
      <c r="R54" s="21">
        <v>7</v>
      </c>
    </row>
    <row r="55" spans="1:18" s="20" customFormat="1" ht="14.25" customHeight="1" x14ac:dyDescent="0.2">
      <c r="A55" s="87"/>
      <c r="B55" s="30" t="s">
        <v>57</v>
      </c>
      <c r="C55" s="31" t="s">
        <v>225</v>
      </c>
      <c r="D55" s="21">
        <v>44</v>
      </c>
      <c r="E55" s="21">
        <v>9</v>
      </c>
      <c r="F55" s="21">
        <v>35</v>
      </c>
      <c r="G55" s="21">
        <v>0</v>
      </c>
      <c r="H55" s="21">
        <v>3</v>
      </c>
      <c r="I55" s="21">
        <v>0</v>
      </c>
      <c r="J55" s="21">
        <v>2</v>
      </c>
      <c r="K55" s="21">
        <v>0</v>
      </c>
      <c r="L55" s="21">
        <v>2</v>
      </c>
      <c r="M55" s="21">
        <v>4</v>
      </c>
      <c r="N55" s="21">
        <v>6</v>
      </c>
      <c r="O55" s="21">
        <v>4</v>
      </c>
      <c r="P55" s="21">
        <v>13</v>
      </c>
      <c r="Q55" s="21">
        <v>1</v>
      </c>
      <c r="R55" s="21">
        <v>9</v>
      </c>
    </row>
    <row r="56" spans="1:18" s="20" customFormat="1" ht="14.25" customHeight="1" x14ac:dyDescent="0.2">
      <c r="A56" s="64" t="s">
        <v>203</v>
      </c>
      <c r="B56" s="25" t="s">
        <v>55</v>
      </c>
      <c r="C56" s="26" t="s">
        <v>0</v>
      </c>
      <c r="D56" s="27">
        <v>285</v>
      </c>
      <c r="E56" s="27">
        <v>123</v>
      </c>
      <c r="F56" s="27">
        <v>162</v>
      </c>
      <c r="G56" s="27">
        <v>18</v>
      </c>
      <c r="H56" s="27">
        <v>13</v>
      </c>
      <c r="I56" s="27">
        <v>31</v>
      </c>
      <c r="J56" s="27">
        <v>24</v>
      </c>
      <c r="K56" s="27">
        <v>14</v>
      </c>
      <c r="L56" s="27">
        <v>29</v>
      </c>
      <c r="M56" s="27">
        <v>21</v>
      </c>
      <c r="N56" s="27">
        <v>11</v>
      </c>
      <c r="O56" s="27">
        <v>33</v>
      </c>
      <c r="P56" s="27">
        <v>48</v>
      </c>
      <c r="Q56" s="27">
        <v>6</v>
      </c>
      <c r="R56" s="27">
        <v>37</v>
      </c>
    </row>
    <row r="57" spans="1:18" s="20" customFormat="1" ht="14.25" customHeight="1" x14ac:dyDescent="0.2">
      <c r="A57" s="86" t="s">
        <v>14</v>
      </c>
      <c r="B57" s="28" t="s">
        <v>56</v>
      </c>
      <c r="C57" s="29" t="s">
        <v>2</v>
      </c>
      <c r="D57" s="21">
        <v>119</v>
      </c>
      <c r="E57" s="21">
        <v>51</v>
      </c>
      <c r="F57" s="21">
        <v>68</v>
      </c>
      <c r="G57" s="21">
        <v>7</v>
      </c>
      <c r="H57" s="21">
        <v>6</v>
      </c>
      <c r="I57" s="21">
        <v>15</v>
      </c>
      <c r="J57" s="21">
        <v>10</v>
      </c>
      <c r="K57" s="21">
        <v>4</v>
      </c>
      <c r="L57" s="21">
        <v>13</v>
      </c>
      <c r="M57" s="21">
        <v>11</v>
      </c>
      <c r="N57" s="21">
        <v>4</v>
      </c>
      <c r="O57" s="21">
        <v>11</v>
      </c>
      <c r="P57" s="21">
        <v>17</v>
      </c>
      <c r="Q57" s="21">
        <v>3</v>
      </c>
      <c r="R57" s="21">
        <v>18</v>
      </c>
    </row>
    <row r="58" spans="1:18" s="20" customFormat="1" ht="14.25" customHeight="1" x14ac:dyDescent="0.2">
      <c r="A58" s="87"/>
      <c r="B58" s="30" t="s">
        <v>57</v>
      </c>
      <c r="C58" s="31" t="s">
        <v>225</v>
      </c>
      <c r="D58" s="21">
        <v>166</v>
      </c>
      <c r="E58" s="21">
        <v>72</v>
      </c>
      <c r="F58" s="21">
        <v>94</v>
      </c>
      <c r="G58" s="21">
        <v>11</v>
      </c>
      <c r="H58" s="21">
        <v>7</v>
      </c>
      <c r="I58" s="21">
        <v>16</v>
      </c>
      <c r="J58" s="21">
        <v>14</v>
      </c>
      <c r="K58" s="21">
        <v>10</v>
      </c>
      <c r="L58" s="21">
        <v>16</v>
      </c>
      <c r="M58" s="21">
        <v>10</v>
      </c>
      <c r="N58" s="21">
        <v>7</v>
      </c>
      <c r="O58" s="21">
        <v>22</v>
      </c>
      <c r="P58" s="21">
        <v>31</v>
      </c>
      <c r="Q58" s="21">
        <v>3</v>
      </c>
      <c r="R58" s="21">
        <v>19</v>
      </c>
    </row>
    <row r="59" spans="1:18" s="20" customFormat="1" ht="14.25" customHeight="1" x14ac:dyDescent="0.2">
      <c r="A59" s="64" t="s">
        <v>204</v>
      </c>
      <c r="B59" s="25" t="s">
        <v>55</v>
      </c>
      <c r="C59" s="26" t="s">
        <v>0</v>
      </c>
      <c r="D59" s="27">
        <v>17</v>
      </c>
      <c r="E59" s="27">
        <v>8</v>
      </c>
      <c r="F59" s="27">
        <v>9</v>
      </c>
      <c r="G59" s="27">
        <v>1</v>
      </c>
      <c r="H59" s="27">
        <v>0</v>
      </c>
      <c r="I59" s="27">
        <v>0</v>
      </c>
      <c r="J59" s="27">
        <v>0</v>
      </c>
      <c r="K59" s="27">
        <v>3</v>
      </c>
      <c r="L59" s="27">
        <v>0</v>
      </c>
      <c r="M59" s="27">
        <v>1</v>
      </c>
      <c r="N59" s="27">
        <v>2</v>
      </c>
      <c r="O59" s="27">
        <v>0</v>
      </c>
      <c r="P59" s="27">
        <v>5</v>
      </c>
      <c r="Q59" s="27">
        <v>3</v>
      </c>
      <c r="R59" s="27">
        <v>2</v>
      </c>
    </row>
    <row r="60" spans="1:18" s="20" customFormat="1" ht="14.25" customHeight="1" x14ac:dyDescent="0.2">
      <c r="A60" s="86" t="s">
        <v>15</v>
      </c>
      <c r="B60" s="28" t="s">
        <v>56</v>
      </c>
      <c r="C60" s="29" t="s">
        <v>2</v>
      </c>
      <c r="D60" s="21">
        <v>17</v>
      </c>
      <c r="E60" s="21">
        <v>8</v>
      </c>
      <c r="F60" s="21">
        <v>9</v>
      </c>
      <c r="G60" s="21">
        <v>1</v>
      </c>
      <c r="H60" s="21">
        <v>0</v>
      </c>
      <c r="I60" s="21">
        <v>0</v>
      </c>
      <c r="J60" s="21">
        <v>0</v>
      </c>
      <c r="K60" s="21">
        <v>3</v>
      </c>
      <c r="L60" s="21">
        <v>0</v>
      </c>
      <c r="M60" s="21">
        <v>1</v>
      </c>
      <c r="N60" s="21">
        <v>2</v>
      </c>
      <c r="O60" s="21">
        <v>0</v>
      </c>
      <c r="P60" s="21">
        <v>5</v>
      </c>
      <c r="Q60" s="21">
        <v>3</v>
      </c>
      <c r="R60" s="21">
        <v>2</v>
      </c>
    </row>
    <row r="61" spans="1:18" s="20" customFormat="1" ht="14.25" customHeight="1" x14ac:dyDescent="0.2">
      <c r="A61" s="87"/>
      <c r="B61" s="30" t="s">
        <v>57</v>
      </c>
      <c r="C61" s="31" t="s">
        <v>225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</row>
    <row r="62" spans="1:18" s="20" customFormat="1" ht="14.25" customHeight="1" x14ac:dyDescent="0.2">
      <c r="A62" s="64" t="s">
        <v>205</v>
      </c>
      <c r="B62" s="25" t="s">
        <v>55</v>
      </c>
      <c r="C62" s="26" t="s">
        <v>0</v>
      </c>
      <c r="D62" s="27">
        <v>208</v>
      </c>
      <c r="E62" s="27">
        <v>84</v>
      </c>
      <c r="F62" s="27">
        <v>124</v>
      </c>
      <c r="G62" s="27">
        <v>10</v>
      </c>
      <c r="H62" s="27">
        <v>9</v>
      </c>
      <c r="I62" s="27">
        <v>12</v>
      </c>
      <c r="J62" s="27">
        <v>8</v>
      </c>
      <c r="K62" s="27">
        <v>13</v>
      </c>
      <c r="L62" s="27">
        <v>6</v>
      </c>
      <c r="M62" s="27">
        <v>16</v>
      </c>
      <c r="N62" s="27">
        <v>8</v>
      </c>
      <c r="O62" s="27">
        <v>23</v>
      </c>
      <c r="P62" s="27">
        <v>48</v>
      </c>
      <c r="Q62" s="27">
        <v>10</v>
      </c>
      <c r="R62" s="27">
        <v>45</v>
      </c>
    </row>
    <row r="63" spans="1:18" s="20" customFormat="1" ht="14.25" customHeight="1" x14ac:dyDescent="0.2">
      <c r="A63" s="86" t="s">
        <v>16</v>
      </c>
      <c r="B63" s="28" t="s">
        <v>56</v>
      </c>
      <c r="C63" s="29" t="s">
        <v>2</v>
      </c>
      <c r="D63" s="21">
        <v>191</v>
      </c>
      <c r="E63" s="21">
        <v>78</v>
      </c>
      <c r="F63" s="21">
        <v>113</v>
      </c>
      <c r="G63" s="21">
        <v>9</v>
      </c>
      <c r="H63" s="21">
        <v>8</v>
      </c>
      <c r="I63" s="21">
        <v>12</v>
      </c>
      <c r="J63" s="21">
        <v>8</v>
      </c>
      <c r="K63" s="21">
        <v>11</v>
      </c>
      <c r="L63" s="21">
        <v>5</v>
      </c>
      <c r="M63" s="21">
        <v>15</v>
      </c>
      <c r="N63" s="21">
        <v>8</v>
      </c>
      <c r="O63" s="21">
        <v>21</v>
      </c>
      <c r="P63" s="21">
        <v>41</v>
      </c>
      <c r="Q63" s="21">
        <v>10</v>
      </c>
      <c r="R63" s="21">
        <v>43</v>
      </c>
    </row>
    <row r="64" spans="1:18" s="20" customFormat="1" ht="14.25" customHeight="1" x14ac:dyDescent="0.2">
      <c r="A64" s="87"/>
      <c r="B64" s="30" t="s">
        <v>57</v>
      </c>
      <c r="C64" s="31" t="s">
        <v>225</v>
      </c>
      <c r="D64" s="21">
        <v>17</v>
      </c>
      <c r="E64" s="21">
        <v>6</v>
      </c>
      <c r="F64" s="21">
        <v>11</v>
      </c>
      <c r="G64" s="21">
        <v>1</v>
      </c>
      <c r="H64" s="21">
        <v>1</v>
      </c>
      <c r="I64" s="21">
        <v>0</v>
      </c>
      <c r="J64" s="21">
        <v>0</v>
      </c>
      <c r="K64" s="21">
        <v>2</v>
      </c>
      <c r="L64" s="21">
        <v>1</v>
      </c>
      <c r="M64" s="21">
        <v>1</v>
      </c>
      <c r="N64" s="21">
        <v>0</v>
      </c>
      <c r="O64" s="21">
        <v>2</v>
      </c>
      <c r="P64" s="21">
        <v>7</v>
      </c>
      <c r="Q64" s="21">
        <v>0</v>
      </c>
      <c r="R64" s="21">
        <v>2</v>
      </c>
    </row>
    <row r="65" spans="1:18" s="20" customFormat="1" ht="14.25" customHeight="1" x14ac:dyDescent="0.2">
      <c r="A65" s="64" t="s">
        <v>206</v>
      </c>
      <c r="B65" s="25" t="s">
        <v>55</v>
      </c>
      <c r="C65" s="26" t="s">
        <v>0</v>
      </c>
      <c r="D65" s="27">
        <v>175</v>
      </c>
      <c r="E65" s="27">
        <v>70</v>
      </c>
      <c r="F65" s="27">
        <v>105</v>
      </c>
      <c r="G65" s="27">
        <v>10</v>
      </c>
      <c r="H65" s="27">
        <v>6</v>
      </c>
      <c r="I65" s="27">
        <v>6</v>
      </c>
      <c r="J65" s="27">
        <v>12</v>
      </c>
      <c r="K65" s="27">
        <v>15</v>
      </c>
      <c r="L65" s="27">
        <v>14</v>
      </c>
      <c r="M65" s="27">
        <v>13</v>
      </c>
      <c r="N65" s="27">
        <v>10</v>
      </c>
      <c r="O65" s="27">
        <v>15</v>
      </c>
      <c r="P65" s="27">
        <v>30</v>
      </c>
      <c r="Q65" s="27">
        <v>11</v>
      </c>
      <c r="R65" s="27">
        <v>33</v>
      </c>
    </row>
    <row r="66" spans="1:18" s="20" customFormat="1" ht="14.25" customHeight="1" x14ac:dyDescent="0.2">
      <c r="A66" s="86" t="s">
        <v>17</v>
      </c>
      <c r="B66" s="28" t="s">
        <v>56</v>
      </c>
      <c r="C66" s="29" t="s">
        <v>2</v>
      </c>
      <c r="D66" s="21">
        <v>157</v>
      </c>
      <c r="E66" s="21">
        <v>66</v>
      </c>
      <c r="F66" s="21">
        <v>91</v>
      </c>
      <c r="G66" s="21">
        <v>8</v>
      </c>
      <c r="H66" s="21">
        <v>5</v>
      </c>
      <c r="I66" s="21">
        <v>6</v>
      </c>
      <c r="J66" s="21">
        <v>9</v>
      </c>
      <c r="K66" s="21">
        <v>13</v>
      </c>
      <c r="L66" s="21">
        <v>12</v>
      </c>
      <c r="M66" s="21">
        <v>13</v>
      </c>
      <c r="N66" s="21">
        <v>9</v>
      </c>
      <c r="O66" s="21">
        <v>15</v>
      </c>
      <c r="P66" s="21">
        <v>26</v>
      </c>
      <c r="Q66" s="21">
        <v>11</v>
      </c>
      <c r="R66" s="21">
        <v>30</v>
      </c>
    </row>
    <row r="67" spans="1:18" s="20" customFormat="1" ht="14.25" customHeight="1" x14ac:dyDescent="0.2">
      <c r="A67" s="87"/>
      <c r="B67" s="30" t="s">
        <v>57</v>
      </c>
      <c r="C67" s="31" t="s">
        <v>225</v>
      </c>
      <c r="D67" s="21">
        <v>18</v>
      </c>
      <c r="E67" s="21">
        <v>4</v>
      </c>
      <c r="F67" s="21">
        <v>14</v>
      </c>
      <c r="G67" s="21">
        <v>2</v>
      </c>
      <c r="H67" s="21">
        <v>1</v>
      </c>
      <c r="I67" s="21">
        <v>0</v>
      </c>
      <c r="J67" s="21">
        <v>3</v>
      </c>
      <c r="K67" s="21">
        <v>2</v>
      </c>
      <c r="L67" s="21">
        <v>2</v>
      </c>
      <c r="M67" s="21">
        <v>0</v>
      </c>
      <c r="N67" s="21">
        <v>1</v>
      </c>
      <c r="O67" s="21">
        <v>0</v>
      </c>
      <c r="P67" s="21">
        <v>4</v>
      </c>
      <c r="Q67" s="21">
        <v>0</v>
      </c>
      <c r="R67" s="21">
        <v>3</v>
      </c>
    </row>
    <row r="68" spans="1:18" s="20" customFormat="1" ht="14.25" customHeight="1" x14ac:dyDescent="0.2">
      <c r="A68" s="64" t="s">
        <v>207</v>
      </c>
      <c r="B68" s="25" t="s">
        <v>55</v>
      </c>
      <c r="C68" s="26" t="s">
        <v>0</v>
      </c>
      <c r="D68" s="27">
        <v>123</v>
      </c>
      <c r="E68" s="27">
        <v>55</v>
      </c>
      <c r="F68" s="27">
        <v>68</v>
      </c>
      <c r="G68" s="27">
        <v>16</v>
      </c>
      <c r="H68" s="27">
        <v>10</v>
      </c>
      <c r="I68" s="27">
        <v>3</v>
      </c>
      <c r="J68" s="27">
        <v>13</v>
      </c>
      <c r="K68" s="27">
        <v>13</v>
      </c>
      <c r="L68" s="27">
        <v>10</v>
      </c>
      <c r="M68" s="27">
        <v>11</v>
      </c>
      <c r="N68" s="27">
        <v>5</v>
      </c>
      <c r="O68" s="27">
        <v>7</v>
      </c>
      <c r="P68" s="27">
        <v>15</v>
      </c>
      <c r="Q68" s="27">
        <v>5</v>
      </c>
      <c r="R68" s="27">
        <v>15</v>
      </c>
    </row>
    <row r="69" spans="1:18" s="20" customFormat="1" ht="14.25" customHeight="1" x14ac:dyDescent="0.2">
      <c r="A69" s="86" t="s">
        <v>18</v>
      </c>
      <c r="B69" s="28" t="s">
        <v>56</v>
      </c>
      <c r="C69" s="29" t="s">
        <v>2</v>
      </c>
      <c r="D69" s="21">
        <v>123</v>
      </c>
      <c r="E69" s="21">
        <v>55</v>
      </c>
      <c r="F69" s="21">
        <v>68</v>
      </c>
      <c r="G69" s="21">
        <v>16</v>
      </c>
      <c r="H69" s="21">
        <v>10</v>
      </c>
      <c r="I69" s="21">
        <v>3</v>
      </c>
      <c r="J69" s="21">
        <v>13</v>
      </c>
      <c r="K69" s="21">
        <v>13</v>
      </c>
      <c r="L69" s="21">
        <v>10</v>
      </c>
      <c r="M69" s="21">
        <v>11</v>
      </c>
      <c r="N69" s="21">
        <v>5</v>
      </c>
      <c r="O69" s="21">
        <v>7</v>
      </c>
      <c r="P69" s="21">
        <v>15</v>
      </c>
      <c r="Q69" s="21">
        <v>5</v>
      </c>
      <c r="R69" s="21">
        <v>15</v>
      </c>
    </row>
    <row r="70" spans="1:18" s="20" customFormat="1" ht="14.25" customHeight="1" x14ac:dyDescent="0.2">
      <c r="A70" s="87"/>
      <c r="B70" s="30" t="s">
        <v>57</v>
      </c>
      <c r="C70" s="31" t="s">
        <v>225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</row>
    <row r="71" spans="1:18" s="20" customFormat="1" ht="14.25" customHeight="1" x14ac:dyDescent="0.2">
      <c r="A71" s="64" t="s">
        <v>208</v>
      </c>
      <c r="B71" s="25" t="s">
        <v>55</v>
      </c>
      <c r="C71" s="26" t="s">
        <v>0</v>
      </c>
      <c r="D71" s="27">
        <v>36</v>
      </c>
      <c r="E71" s="27">
        <v>21</v>
      </c>
      <c r="F71" s="27">
        <v>15</v>
      </c>
      <c r="G71" s="27">
        <v>3</v>
      </c>
      <c r="H71" s="27">
        <v>2</v>
      </c>
      <c r="I71" s="27">
        <v>2</v>
      </c>
      <c r="J71" s="27">
        <v>2</v>
      </c>
      <c r="K71" s="27">
        <v>1</v>
      </c>
      <c r="L71" s="27">
        <v>2</v>
      </c>
      <c r="M71" s="27">
        <v>4</v>
      </c>
      <c r="N71" s="27">
        <v>2</v>
      </c>
      <c r="O71" s="27">
        <v>11</v>
      </c>
      <c r="P71" s="27">
        <v>6</v>
      </c>
      <c r="Q71" s="27">
        <v>0</v>
      </c>
      <c r="R71" s="27">
        <v>1</v>
      </c>
    </row>
    <row r="72" spans="1:18" s="20" customFormat="1" ht="14.25" customHeight="1" x14ac:dyDescent="0.2">
      <c r="A72" s="86" t="s">
        <v>19</v>
      </c>
      <c r="B72" s="28" t="s">
        <v>56</v>
      </c>
      <c r="C72" s="29" t="s">
        <v>2</v>
      </c>
      <c r="D72" s="21">
        <v>32</v>
      </c>
      <c r="E72" s="21">
        <v>21</v>
      </c>
      <c r="F72" s="21">
        <v>11</v>
      </c>
      <c r="G72" s="21">
        <v>3</v>
      </c>
      <c r="H72" s="21">
        <v>0</v>
      </c>
      <c r="I72" s="21">
        <v>2</v>
      </c>
      <c r="J72" s="21">
        <v>2</v>
      </c>
      <c r="K72" s="21">
        <v>1</v>
      </c>
      <c r="L72" s="21">
        <v>1</v>
      </c>
      <c r="M72" s="21">
        <v>4</v>
      </c>
      <c r="N72" s="21">
        <v>2</v>
      </c>
      <c r="O72" s="21">
        <v>11</v>
      </c>
      <c r="P72" s="21">
        <v>5</v>
      </c>
      <c r="Q72" s="21">
        <v>0</v>
      </c>
      <c r="R72" s="21">
        <v>1</v>
      </c>
    </row>
    <row r="73" spans="1:18" s="20" customFormat="1" ht="14.25" customHeight="1" x14ac:dyDescent="0.2">
      <c r="A73" s="87"/>
      <c r="B73" s="30" t="s">
        <v>57</v>
      </c>
      <c r="C73" s="31" t="s">
        <v>225</v>
      </c>
      <c r="D73" s="21">
        <v>4</v>
      </c>
      <c r="E73" s="21">
        <v>0</v>
      </c>
      <c r="F73" s="21">
        <v>4</v>
      </c>
      <c r="G73" s="21">
        <v>0</v>
      </c>
      <c r="H73" s="21">
        <v>2</v>
      </c>
      <c r="I73" s="21">
        <v>0</v>
      </c>
      <c r="J73" s="21">
        <v>0</v>
      </c>
      <c r="K73" s="21">
        <v>0</v>
      </c>
      <c r="L73" s="21">
        <v>1</v>
      </c>
      <c r="M73" s="21">
        <v>0</v>
      </c>
      <c r="N73" s="21">
        <v>0</v>
      </c>
      <c r="O73" s="21">
        <v>0</v>
      </c>
      <c r="P73" s="21">
        <v>1</v>
      </c>
      <c r="Q73" s="21">
        <v>0</v>
      </c>
      <c r="R73" s="21">
        <v>0</v>
      </c>
    </row>
    <row r="74" spans="1:18" s="20" customFormat="1" ht="14.25" customHeight="1" x14ac:dyDescent="0.2">
      <c r="A74" s="64" t="s">
        <v>209</v>
      </c>
      <c r="B74" s="25" t="s">
        <v>55</v>
      </c>
      <c r="C74" s="26" t="s">
        <v>0</v>
      </c>
      <c r="D74" s="27">
        <v>4</v>
      </c>
      <c r="E74" s="27">
        <v>2</v>
      </c>
      <c r="F74" s="27">
        <v>2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1</v>
      </c>
      <c r="N74" s="27">
        <v>1</v>
      </c>
      <c r="O74" s="27">
        <v>1</v>
      </c>
      <c r="P74" s="27">
        <v>1</v>
      </c>
      <c r="Q74" s="27">
        <v>0</v>
      </c>
      <c r="R74" s="27">
        <v>0</v>
      </c>
    </row>
    <row r="75" spans="1:18" s="20" customFormat="1" ht="14.25" customHeight="1" x14ac:dyDescent="0.2">
      <c r="A75" s="86" t="s">
        <v>20</v>
      </c>
      <c r="B75" s="28" t="s">
        <v>56</v>
      </c>
      <c r="C75" s="29" t="s">
        <v>2</v>
      </c>
      <c r="D75" s="21">
        <v>4</v>
      </c>
      <c r="E75" s="21">
        <v>2</v>
      </c>
      <c r="F75" s="21">
        <v>2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1</v>
      </c>
      <c r="N75" s="21">
        <v>1</v>
      </c>
      <c r="O75" s="21">
        <v>1</v>
      </c>
      <c r="P75" s="21">
        <v>1</v>
      </c>
      <c r="Q75" s="21">
        <v>0</v>
      </c>
      <c r="R75" s="21">
        <v>0</v>
      </c>
    </row>
    <row r="76" spans="1:18" s="20" customFormat="1" ht="14.25" customHeight="1" x14ac:dyDescent="0.2">
      <c r="A76" s="87"/>
      <c r="B76" s="30" t="s">
        <v>57</v>
      </c>
      <c r="C76" s="31" t="s">
        <v>225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</row>
    <row r="77" spans="1:18" s="17" customFormat="1" ht="14.25" customHeight="1" x14ac:dyDescent="0.2">
      <c r="A77" s="17" t="s">
        <v>80</v>
      </c>
    </row>
    <row r="78" spans="1:18" s="17" customFormat="1" ht="14.25" customHeight="1" x14ac:dyDescent="0.2">
      <c r="A78" s="23" t="s">
        <v>24</v>
      </c>
    </row>
    <row r="79" spans="1:18" s="17" customFormat="1" ht="14.25" customHeight="1" x14ac:dyDescent="0.2">
      <c r="A79" s="4"/>
    </row>
    <row r="80" spans="1:18" s="17" customFormat="1" ht="14.25" customHeight="1" x14ac:dyDescent="0.2">
      <c r="A80" s="52" t="s">
        <v>234</v>
      </c>
    </row>
  </sheetData>
  <mergeCells count="47">
    <mergeCell ref="K5:L5"/>
    <mergeCell ref="M5:N5"/>
    <mergeCell ref="O5:P5"/>
    <mergeCell ref="Q5:R5"/>
    <mergeCell ref="D6:D7"/>
    <mergeCell ref="Q6:Q7"/>
    <mergeCell ref="R6:R7"/>
    <mergeCell ref="A18:A19"/>
    <mergeCell ref="K6:K7"/>
    <mergeCell ref="L6:L7"/>
    <mergeCell ref="M6:M7"/>
    <mergeCell ref="N6:N7"/>
    <mergeCell ref="E6:E7"/>
    <mergeCell ref="F6:F7"/>
    <mergeCell ref="G6:G7"/>
    <mergeCell ref="H6:H7"/>
    <mergeCell ref="I6:I7"/>
    <mergeCell ref="J6:J7"/>
    <mergeCell ref="A4:C7"/>
    <mergeCell ref="D4:R4"/>
    <mergeCell ref="D5:F5"/>
    <mergeCell ref="G5:H5"/>
    <mergeCell ref="I5:J5"/>
    <mergeCell ref="A9:A10"/>
    <mergeCell ref="A12:A13"/>
    <mergeCell ref="A15:A16"/>
    <mergeCell ref="O6:O7"/>
    <mergeCell ref="P6:P7"/>
    <mergeCell ref="A54:A55"/>
    <mergeCell ref="A21:A22"/>
    <mergeCell ref="A24:A25"/>
    <mergeCell ref="A27:A28"/>
    <mergeCell ref="A30:A31"/>
    <mergeCell ref="A33:A34"/>
    <mergeCell ref="A36:A37"/>
    <mergeCell ref="A39:A40"/>
    <mergeCell ref="A42:A43"/>
    <mergeCell ref="A45:A46"/>
    <mergeCell ref="A48:A49"/>
    <mergeCell ref="A51:A52"/>
    <mergeCell ref="A75:A76"/>
    <mergeCell ref="A57:A58"/>
    <mergeCell ref="A60:A61"/>
    <mergeCell ref="A63:A64"/>
    <mergeCell ref="A66:A67"/>
    <mergeCell ref="A69:A70"/>
    <mergeCell ref="A72:A73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 alignWithMargins="0">
    <oddHeader>&amp;L&amp;"微軟正黑體,標準"&amp;16兒童及少年保護執行概況&amp;C&amp;"微軟正黑體,標準"&amp;16
&amp;R&amp;"微軟正黑體,標準"本表共&amp;N頁，第&amp;P頁</oddHeader>
  </headerFooter>
  <rowBreaks count="1" manualBreakCount="1">
    <brk id="43" max="17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0"/>
  <sheetViews>
    <sheetView zoomScaleNormal="100" zoomScaleSheetLayoutView="100" workbookViewId="0">
      <pane xSplit="4" ySplit="8" topLeftCell="E9" activePane="bottomRight" state="frozen"/>
      <selection activeCell="G64" sqref="G64"/>
      <selection pane="topRight" activeCell="G64" sqref="G64"/>
      <selection pane="bottomLeft" activeCell="G64" sqref="G64"/>
      <selection pane="bottomRight" activeCell="A3" sqref="A3"/>
    </sheetView>
  </sheetViews>
  <sheetFormatPr defaultColWidth="5.5" defaultRowHeight="11.1" customHeight="1" x14ac:dyDescent="0.2"/>
  <cols>
    <col min="1" max="1" width="19.1640625" style="4" customWidth="1"/>
    <col min="2" max="2" width="10.33203125" style="4" customWidth="1"/>
    <col min="3" max="3" width="13.1640625" style="4" customWidth="1"/>
    <col min="4" max="18" width="11.5" style="4" customWidth="1"/>
    <col min="19" max="16384" width="5.5" style="4"/>
  </cols>
  <sheetData>
    <row r="1" spans="1:18" ht="20.25" customHeight="1" x14ac:dyDescent="0.2">
      <c r="A1" s="46" t="s">
        <v>175</v>
      </c>
      <c r="B1" s="1"/>
      <c r="C1" s="1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4.25" customHeight="1" x14ac:dyDescent="0.2">
      <c r="A2" s="17" t="s">
        <v>148</v>
      </c>
      <c r="B2"/>
      <c r="C2"/>
      <c r="D2" s="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</row>
    <row r="3" spans="1:18" s="17" customFormat="1" ht="12.75" customHeight="1" x14ac:dyDescent="0.2">
      <c r="A3" s="53" t="s">
        <v>230</v>
      </c>
      <c r="B3" s="16"/>
      <c r="C3" s="16"/>
      <c r="D3" s="4" t="str">
        <f>IF(D8=SUM(D11,D14,D17,D20,D23,D26,D29,D32,D35,D38,D41,D44,D47,D50,D53,D56,D59,D62,D65,D68,D71,D74,),"","*")</f>
        <v/>
      </c>
      <c r="E3" s="4" t="str">
        <f t="shared" ref="E3:R3" si="0">IF(E8=SUM(E11,E14,E17,E20,E23,E26,E29,E32,E35,E38,E41,E44,E47,E50,E53,E56,E59,E62,E65,E68,E71,E74,),"","*")</f>
        <v/>
      </c>
      <c r="F3" s="4" t="str">
        <f t="shared" si="0"/>
        <v/>
      </c>
      <c r="G3" s="4" t="str">
        <f t="shared" si="0"/>
        <v/>
      </c>
      <c r="H3" s="4" t="str">
        <f t="shared" si="0"/>
        <v/>
      </c>
      <c r="I3" s="4" t="str">
        <f t="shared" si="0"/>
        <v/>
      </c>
      <c r="J3" s="4" t="str">
        <f t="shared" si="0"/>
        <v/>
      </c>
      <c r="K3" s="4" t="str">
        <f t="shared" si="0"/>
        <v/>
      </c>
      <c r="L3" s="4" t="str">
        <f t="shared" si="0"/>
        <v/>
      </c>
      <c r="M3" s="4" t="str">
        <f t="shared" si="0"/>
        <v/>
      </c>
      <c r="N3" s="4" t="str">
        <f t="shared" si="0"/>
        <v/>
      </c>
      <c r="O3" s="4" t="str">
        <f t="shared" si="0"/>
        <v/>
      </c>
      <c r="P3" s="4" t="str">
        <f t="shared" si="0"/>
        <v/>
      </c>
      <c r="Q3" s="4" t="str">
        <f t="shared" si="0"/>
        <v/>
      </c>
      <c r="R3" s="4" t="str">
        <f t="shared" si="0"/>
        <v/>
      </c>
    </row>
    <row r="4" spans="1:18" s="18" customFormat="1" ht="15.6" customHeight="1" x14ac:dyDescent="0.2">
      <c r="A4" s="94" t="s">
        <v>42</v>
      </c>
      <c r="B4" s="95"/>
      <c r="C4" s="96"/>
      <c r="D4" s="76" t="s">
        <v>43</v>
      </c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</row>
    <row r="5" spans="1:18" s="18" customFormat="1" ht="28.9" customHeight="1" x14ac:dyDescent="0.2">
      <c r="A5" s="97"/>
      <c r="B5" s="98"/>
      <c r="C5" s="99"/>
      <c r="D5" s="78" t="s">
        <v>44</v>
      </c>
      <c r="E5" s="79"/>
      <c r="F5" s="80"/>
      <c r="G5" s="103" t="s">
        <v>45</v>
      </c>
      <c r="H5" s="104"/>
      <c r="I5" s="103" t="s">
        <v>46</v>
      </c>
      <c r="J5" s="104"/>
      <c r="K5" s="103" t="s">
        <v>47</v>
      </c>
      <c r="L5" s="104"/>
      <c r="M5" s="103" t="s">
        <v>48</v>
      </c>
      <c r="N5" s="104"/>
      <c r="O5" s="103" t="s">
        <v>49</v>
      </c>
      <c r="P5" s="104"/>
      <c r="Q5" s="103" t="s">
        <v>50</v>
      </c>
      <c r="R5" s="105"/>
    </row>
    <row r="6" spans="1:18" s="18" customFormat="1" ht="12.75" x14ac:dyDescent="0.2">
      <c r="A6" s="97"/>
      <c r="B6" s="98"/>
      <c r="C6" s="99"/>
      <c r="D6" s="72" t="s">
        <v>51</v>
      </c>
      <c r="E6" s="92" t="s">
        <v>52</v>
      </c>
      <c r="F6" s="90" t="s">
        <v>53</v>
      </c>
      <c r="G6" s="90" t="s">
        <v>52</v>
      </c>
      <c r="H6" s="90" t="s">
        <v>53</v>
      </c>
      <c r="I6" s="90" t="s">
        <v>52</v>
      </c>
      <c r="J6" s="90" t="s">
        <v>53</v>
      </c>
      <c r="K6" s="90" t="s">
        <v>52</v>
      </c>
      <c r="L6" s="90" t="s">
        <v>53</v>
      </c>
      <c r="M6" s="90" t="s">
        <v>52</v>
      </c>
      <c r="N6" s="90" t="s">
        <v>53</v>
      </c>
      <c r="O6" s="90" t="s">
        <v>52</v>
      </c>
      <c r="P6" s="90" t="s">
        <v>53</v>
      </c>
      <c r="Q6" s="90" t="s">
        <v>52</v>
      </c>
      <c r="R6" s="94" t="s">
        <v>53</v>
      </c>
    </row>
    <row r="7" spans="1:18" s="19" customFormat="1" ht="12.75" x14ac:dyDescent="0.2">
      <c r="A7" s="100"/>
      <c r="B7" s="101"/>
      <c r="C7" s="102"/>
      <c r="D7" s="75"/>
      <c r="E7" s="93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100"/>
    </row>
    <row r="8" spans="1:18" s="59" customFormat="1" ht="18" customHeight="1" x14ac:dyDescent="0.2">
      <c r="A8" s="63" t="s">
        <v>186</v>
      </c>
      <c r="B8" s="56" t="s">
        <v>187</v>
      </c>
      <c r="C8" s="57" t="s">
        <v>0</v>
      </c>
      <c r="D8" s="58">
        <v>4546</v>
      </c>
      <c r="E8" s="58">
        <v>2030</v>
      </c>
      <c r="F8" s="58">
        <v>2516</v>
      </c>
      <c r="G8" s="58">
        <v>328</v>
      </c>
      <c r="H8" s="58">
        <v>241</v>
      </c>
      <c r="I8" s="58">
        <v>381</v>
      </c>
      <c r="J8" s="58">
        <v>276</v>
      </c>
      <c r="K8" s="58">
        <v>445</v>
      </c>
      <c r="L8" s="58">
        <v>307</v>
      </c>
      <c r="M8" s="58">
        <v>436</v>
      </c>
      <c r="N8" s="58">
        <v>286</v>
      </c>
      <c r="O8" s="58">
        <v>311</v>
      </c>
      <c r="P8" s="58">
        <v>782</v>
      </c>
      <c r="Q8" s="58">
        <v>129</v>
      </c>
      <c r="R8" s="58">
        <v>624</v>
      </c>
    </row>
    <row r="9" spans="1:18" s="59" customFormat="1" ht="14.25" customHeight="1" x14ac:dyDescent="0.2">
      <c r="A9" s="88" t="s">
        <v>1</v>
      </c>
      <c r="B9" s="60" t="s">
        <v>190</v>
      </c>
      <c r="C9" s="61" t="s">
        <v>2</v>
      </c>
      <c r="D9" s="62">
        <v>4085</v>
      </c>
      <c r="E9" s="62">
        <v>1858</v>
      </c>
      <c r="F9" s="62">
        <v>2227</v>
      </c>
      <c r="G9" s="62">
        <v>300</v>
      </c>
      <c r="H9" s="62">
        <v>200</v>
      </c>
      <c r="I9" s="62">
        <v>348</v>
      </c>
      <c r="J9" s="62">
        <v>244</v>
      </c>
      <c r="K9" s="62">
        <v>412</v>
      </c>
      <c r="L9" s="62">
        <v>268</v>
      </c>
      <c r="M9" s="62">
        <v>392</v>
      </c>
      <c r="N9" s="62">
        <v>256</v>
      </c>
      <c r="O9" s="62">
        <v>284</v>
      </c>
      <c r="P9" s="62">
        <v>690</v>
      </c>
      <c r="Q9" s="62">
        <v>122</v>
      </c>
      <c r="R9" s="62">
        <v>569</v>
      </c>
    </row>
    <row r="10" spans="1:18" s="59" customFormat="1" ht="14.25" customHeight="1" x14ac:dyDescent="0.2">
      <c r="A10" s="89"/>
      <c r="B10" s="60" t="s">
        <v>189</v>
      </c>
      <c r="C10" s="61" t="s">
        <v>225</v>
      </c>
      <c r="D10" s="62">
        <v>461</v>
      </c>
      <c r="E10" s="62">
        <v>172</v>
      </c>
      <c r="F10" s="62">
        <v>289</v>
      </c>
      <c r="G10" s="62">
        <v>28</v>
      </c>
      <c r="H10" s="62">
        <v>41</v>
      </c>
      <c r="I10" s="62">
        <v>33</v>
      </c>
      <c r="J10" s="62">
        <v>32</v>
      </c>
      <c r="K10" s="62">
        <v>33</v>
      </c>
      <c r="L10" s="62">
        <v>39</v>
      </c>
      <c r="M10" s="62">
        <v>44</v>
      </c>
      <c r="N10" s="62">
        <v>30</v>
      </c>
      <c r="O10" s="62">
        <v>27</v>
      </c>
      <c r="P10" s="62">
        <v>92</v>
      </c>
      <c r="Q10" s="62">
        <v>7</v>
      </c>
      <c r="R10" s="62">
        <v>55</v>
      </c>
    </row>
    <row r="11" spans="1:18" s="20" customFormat="1" ht="14.25" customHeight="1" x14ac:dyDescent="0.2">
      <c r="A11" s="64" t="s">
        <v>210</v>
      </c>
      <c r="B11" s="25" t="s">
        <v>55</v>
      </c>
      <c r="C11" s="26" t="s">
        <v>0</v>
      </c>
      <c r="D11" s="27">
        <v>996</v>
      </c>
      <c r="E11" s="27">
        <v>451</v>
      </c>
      <c r="F11" s="27">
        <v>545</v>
      </c>
      <c r="G11" s="27">
        <v>42</v>
      </c>
      <c r="H11" s="27">
        <v>32</v>
      </c>
      <c r="I11" s="27">
        <v>82</v>
      </c>
      <c r="J11" s="27">
        <v>43</v>
      </c>
      <c r="K11" s="27">
        <v>101</v>
      </c>
      <c r="L11" s="27">
        <v>72</v>
      </c>
      <c r="M11" s="27">
        <v>121</v>
      </c>
      <c r="N11" s="27">
        <v>68</v>
      </c>
      <c r="O11" s="27">
        <v>74</v>
      </c>
      <c r="P11" s="27">
        <v>169</v>
      </c>
      <c r="Q11" s="27">
        <v>31</v>
      </c>
      <c r="R11" s="27">
        <v>161</v>
      </c>
    </row>
    <row r="12" spans="1:18" s="20" customFormat="1" ht="14.25" customHeight="1" x14ac:dyDescent="0.2">
      <c r="A12" s="86" t="s">
        <v>3</v>
      </c>
      <c r="B12" s="28" t="s">
        <v>56</v>
      </c>
      <c r="C12" s="29" t="s">
        <v>2</v>
      </c>
      <c r="D12" s="21">
        <v>914</v>
      </c>
      <c r="E12" s="21">
        <v>422</v>
      </c>
      <c r="F12" s="21">
        <v>492</v>
      </c>
      <c r="G12" s="21">
        <v>39</v>
      </c>
      <c r="H12" s="21">
        <v>27</v>
      </c>
      <c r="I12" s="21">
        <v>79</v>
      </c>
      <c r="J12" s="21">
        <v>38</v>
      </c>
      <c r="K12" s="21">
        <v>95</v>
      </c>
      <c r="L12" s="21">
        <v>63</v>
      </c>
      <c r="M12" s="21">
        <v>113</v>
      </c>
      <c r="N12" s="21">
        <v>63</v>
      </c>
      <c r="O12" s="21">
        <v>66</v>
      </c>
      <c r="P12" s="21">
        <v>146</v>
      </c>
      <c r="Q12" s="21">
        <v>30</v>
      </c>
      <c r="R12" s="21">
        <v>155</v>
      </c>
    </row>
    <row r="13" spans="1:18" s="20" customFormat="1" ht="14.25" customHeight="1" x14ac:dyDescent="0.2">
      <c r="A13" s="87"/>
      <c r="B13" s="28" t="s">
        <v>57</v>
      </c>
      <c r="C13" s="29" t="s">
        <v>225</v>
      </c>
      <c r="D13" s="21">
        <v>82</v>
      </c>
      <c r="E13" s="21">
        <v>29</v>
      </c>
      <c r="F13" s="21">
        <v>53</v>
      </c>
      <c r="G13" s="21">
        <v>3</v>
      </c>
      <c r="H13" s="21">
        <v>5</v>
      </c>
      <c r="I13" s="21">
        <v>3</v>
      </c>
      <c r="J13" s="21">
        <v>5</v>
      </c>
      <c r="K13" s="21">
        <v>6</v>
      </c>
      <c r="L13" s="21">
        <v>9</v>
      </c>
      <c r="M13" s="21">
        <v>8</v>
      </c>
      <c r="N13" s="21">
        <v>5</v>
      </c>
      <c r="O13" s="21">
        <v>8</v>
      </c>
      <c r="P13" s="21">
        <v>23</v>
      </c>
      <c r="Q13" s="21">
        <v>1</v>
      </c>
      <c r="R13" s="21">
        <v>6</v>
      </c>
    </row>
    <row r="14" spans="1:18" s="20" customFormat="1" ht="14.25" customHeight="1" x14ac:dyDescent="0.2">
      <c r="A14" s="64" t="s">
        <v>211</v>
      </c>
      <c r="B14" s="25" t="s">
        <v>55</v>
      </c>
      <c r="C14" s="26" t="s">
        <v>0</v>
      </c>
      <c r="D14" s="27">
        <v>375</v>
      </c>
      <c r="E14" s="27">
        <v>161</v>
      </c>
      <c r="F14" s="27">
        <v>214</v>
      </c>
      <c r="G14" s="27">
        <v>21</v>
      </c>
      <c r="H14" s="27">
        <v>21</v>
      </c>
      <c r="I14" s="27">
        <v>31</v>
      </c>
      <c r="J14" s="27">
        <v>34</v>
      </c>
      <c r="K14" s="27">
        <v>42</v>
      </c>
      <c r="L14" s="27">
        <v>19</v>
      </c>
      <c r="M14" s="27">
        <v>31</v>
      </c>
      <c r="N14" s="27">
        <v>22</v>
      </c>
      <c r="O14" s="27">
        <v>21</v>
      </c>
      <c r="P14" s="27">
        <v>62</v>
      </c>
      <c r="Q14" s="27">
        <v>15</v>
      </c>
      <c r="R14" s="27">
        <v>56</v>
      </c>
    </row>
    <row r="15" spans="1:18" s="20" customFormat="1" ht="14.25" customHeight="1" x14ac:dyDescent="0.2">
      <c r="A15" s="86" t="s">
        <v>4</v>
      </c>
      <c r="B15" s="28" t="s">
        <v>56</v>
      </c>
      <c r="C15" s="29" t="s">
        <v>2</v>
      </c>
      <c r="D15" s="21">
        <v>364</v>
      </c>
      <c r="E15" s="21">
        <v>155</v>
      </c>
      <c r="F15" s="21">
        <v>209</v>
      </c>
      <c r="G15" s="21">
        <v>20</v>
      </c>
      <c r="H15" s="21">
        <v>21</v>
      </c>
      <c r="I15" s="21">
        <v>28</v>
      </c>
      <c r="J15" s="21">
        <v>33</v>
      </c>
      <c r="K15" s="21">
        <v>42</v>
      </c>
      <c r="L15" s="21">
        <v>18</v>
      </c>
      <c r="M15" s="21">
        <v>30</v>
      </c>
      <c r="N15" s="21">
        <v>22</v>
      </c>
      <c r="O15" s="21">
        <v>20</v>
      </c>
      <c r="P15" s="21">
        <v>61</v>
      </c>
      <c r="Q15" s="21">
        <v>15</v>
      </c>
      <c r="R15" s="21">
        <v>54</v>
      </c>
    </row>
    <row r="16" spans="1:18" s="20" customFormat="1" ht="14.25" customHeight="1" x14ac:dyDescent="0.2">
      <c r="A16" s="87"/>
      <c r="B16" s="30" t="s">
        <v>57</v>
      </c>
      <c r="C16" s="31" t="s">
        <v>225</v>
      </c>
      <c r="D16" s="21">
        <v>11</v>
      </c>
      <c r="E16" s="21">
        <v>6</v>
      </c>
      <c r="F16" s="21">
        <v>5</v>
      </c>
      <c r="G16" s="21">
        <v>1</v>
      </c>
      <c r="H16" s="21">
        <v>0</v>
      </c>
      <c r="I16" s="21">
        <v>3</v>
      </c>
      <c r="J16" s="21">
        <v>1</v>
      </c>
      <c r="K16" s="21">
        <v>0</v>
      </c>
      <c r="L16" s="21">
        <v>1</v>
      </c>
      <c r="M16" s="21">
        <v>1</v>
      </c>
      <c r="N16" s="21">
        <v>0</v>
      </c>
      <c r="O16" s="21">
        <v>1</v>
      </c>
      <c r="P16" s="21">
        <v>1</v>
      </c>
      <c r="Q16" s="21">
        <v>0</v>
      </c>
      <c r="R16" s="21">
        <v>2</v>
      </c>
    </row>
    <row r="17" spans="1:18" s="20" customFormat="1" ht="14.25" customHeight="1" x14ac:dyDescent="0.2">
      <c r="A17" s="64" t="s">
        <v>212</v>
      </c>
      <c r="B17" s="25" t="s">
        <v>55</v>
      </c>
      <c r="C17" s="26" t="s">
        <v>0</v>
      </c>
      <c r="D17" s="27">
        <v>353</v>
      </c>
      <c r="E17" s="27">
        <v>153</v>
      </c>
      <c r="F17" s="27">
        <v>200</v>
      </c>
      <c r="G17" s="27">
        <v>22</v>
      </c>
      <c r="H17" s="27">
        <v>22</v>
      </c>
      <c r="I17" s="27">
        <v>32</v>
      </c>
      <c r="J17" s="27">
        <v>20</v>
      </c>
      <c r="K17" s="27">
        <v>37</v>
      </c>
      <c r="L17" s="27">
        <v>25</v>
      </c>
      <c r="M17" s="27">
        <v>39</v>
      </c>
      <c r="N17" s="27">
        <v>19</v>
      </c>
      <c r="O17" s="27">
        <v>20</v>
      </c>
      <c r="P17" s="27">
        <v>61</v>
      </c>
      <c r="Q17" s="27">
        <v>3</v>
      </c>
      <c r="R17" s="27">
        <v>53</v>
      </c>
    </row>
    <row r="18" spans="1:18" s="20" customFormat="1" ht="14.25" customHeight="1" x14ac:dyDescent="0.2">
      <c r="A18" s="86" t="s">
        <v>25</v>
      </c>
      <c r="B18" s="28" t="s">
        <v>56</v>
      </c>
      <c r="C18" s="29" t="s">
        <v>2</v>
      </c>
      <c r="D18" s="21">
        <v>282</v>
      </c>
      <c r="E18" s="21">
        <v>124</v>
      </c>
      <c r="F18" s="21">
        <v>158</v>
      </c>
      <c r="G18" s="21">
        <v>16</v>
      </c>
      <c r="H18" s="21">
        <v>13</v>
      </c>
      <c r="I18" s="21">
        <v>22</v>
      </c>
      <c r="J18" s="21">
        <v>14</v>
      </c>
      <c r="K18" s="21">
        <v>32</v>
      </c>
      <c r="L18" s="21">
        <v>20</v>
      </c>
      <c r="M18" s="21">
        <v>32</v>
      </c>
      <c r="N18" s="21">
        <v>15</v>
      </c>
      <c r="O18" s="21">
        <v>19</v>
      </c>
      <c r="P18" s="21">
        <v>55</v>
      </c>
      <c r="Q18" s="21">
        <v>3</v>
      </c>
      <c r="R18" s="21">
        <v>41</v>
      </c>
    </row>
    <row r="19" spans="1:18" s="20" customFormat="1" ht="14.25" customHeight="1" x14ac:dyDescent="0.2">
      <c r="A19" s="87"/>
      <c r="B19" s="30" t="s">
        <v>57</v>
      </c>
      <c r="C19" s="31" t="s">
        <v>225</v>
      </c>
      <c r="D19" s="21">
        <v>71</v>
      </c>
      <c r="E19" s="21">
        <v>29</v>
      </c>
      <c r="F19" s="21">
        <v>42</v>
      </c>
      <c r="G19" s="21">
        <v>6</v>
      </c>
      <c r="H19" s="21">
        <v>9</v>
      </c>
      <c r="I19" s="21">
        <v>10</v>
      </c>
      <c r="J19" s="21">
        <v>6</v>
      </c>
      <c r="K19" s="21">
        <v>5</v>
      </c>
      <c r="L19" s="21">
        <v>5</v>
      </c>
      <c r="M19" s="21">
        <v>7</v>
      </c>
      <c r="N19" s="21">
        <v>4</v>
      </c>
      <c r="O19" s="21">
        <v>1</v>
      </c>
      <c r="P19" s="21">
        <v>6</v>
      </c>
      <c r="Q19" s="21">
        <v>0</v>
      </c>
      <c r="R19" s="21">
        <v>12</v>
      </c>
    </row>
    <row r="20" spans="1:18" s="20" customFormat="1" ht="14.25" customHeight="1" x14ac:dyDescent="0.2">
      <c r="A20" s="64" t="s">
        <v>213</v>
      </c>
      <c r="B20" s="25" t="s">
        <v>55</v>
      </c>
      <c r="C20" s="26" t="s">
        <v>0</v>
      </c>
      <c r="D20" s="27">
        <v>618</v>
      </c>
      <c r="E20" s="27">
        <v>305</v>
      </c>
      <c r="F20" s="27">
        <v>313</v>
      </c>
      <c r="G20" s="27">
        <v>53</v>
      </c>
      <c r="H20" s="27">
        <v>31</v>
      </c>
      <c r="I20" s="27">
        <v>43</v>
      </c>
      <c r="J20" s="27">
        <v>43</v>
      </c>
      <c r="K20" s="27">
        <v>78</v>
      </c>
      <c r="L20" s="27">
        <v>38</v>
      </c>
      <c r="M20" s="27">
        <v>58</v>
      </c>
      <c r="N20" s="27">
        <v>36</v>
      </c>
      <c r="O20" s="27">
        <v>55</v>
      </c>
      <c r="P20" s="27">
        <v>97</v>
      </c>
      <c r="Q20" s="27">
        <v>18</v>
      </c>
      <c r="R20" s="27">
        <v>68</v>
      </c>
    </row>
    <row r="21" spans="1:18" s="20" customFormat="1" ht="14.25" customHeight="1" x14ac:dyDescent="0.2">
      <c r="A21" s="86" t="s">
        <v>21</v>
      </c>
      <c r="B21" s="28" t="s">
        <v>56</v>
      </c>
      <c r="C21" s="29" t="s">
        <v>2</v>
      </c>
      <c r="D21" s="21">
        <v>592</v>
      </c>
      <c r="E21" s="21">
        <v>291</v>
      </c>
      <c r="F21" s="21">
        <v>301</v>
      </c>
      <c r="G21" s="21">
        <v>52</v>
      </c>
      <c r="H21" s="21">
        <v>29</v>
      </c>
      <c r="I21" s="21">
        <v>42</v>
      </c>
      <c r="J21" s="21">
        <v>42</v>
      </c>
      <c r="K21" s="21">
        <v>73</v>
      </c>
      <c r="L21" s="21">
        <v>36</v>
      </c>
      <c r="M21" s="21">
        <v>54</v>
      </c>
      <c r="N21" s="21">
        <v>36</v>
      </c>
      <c r="O21" s="21">
        <v>54</v>
      </c>
      <c r="P21" s="21">
        <v>92</v>
      </c>
      <c r="Q21" s="21">
        <v>16</v>
      </c>
      <c r="R21" s="21">
        <v>66</v>
      </c>
    </row>
    <row r="22" spans="1:18" s="20" customFormat="1" ht="14.25" customHeight="1" x14ac:dyDescent="0.2">
      <c r="A22" s="87"/>
      <c r="B22" s="30" t="s">
        <v>57</v>
      </c>
      <c r="C22" s="31" t="s">
        <v>225</v>
      </c>
      <c r="D22" s="21">
        <v>26</v>
      </c>
      <c r="E22" s="21">
        <v>14</v>
      </c>
      <c r="F22" s="21">
        <v>12</v>
      </c>
      <c r="G22" s="21">
        <v>1</v>
      </c>
      <c r="H22" s="21">
        <v>2</v>
      </c>
      <c r="I22" s="21">
        <v>1</v>
      </c>
      <c r="J22" s="21">
        <v>1</v>
      </c>
      <c r="K22" s="21">
        <v>5</v>
      </c>
      <c r="L22" s="21">
        <v>2</v>
      </c>
      <c r="M22" s="21">
        <v>4</v>
      </c>
      <c r="N22" s="21">
        <v>0</v>
      </c>
      <c r="O22" s="21">
        <v>1</v>
      </c>
      <c r="P22" s="21">
        <v>5</v>
      </c>
      <c r="Q22" s="21">
        <v>2</v>
      </c>
      <c r="R22" s="21">
        <v>2</v>
      </c>
    </row>
    <row r="23" spans="1:18" s="20" customFormat="1" ht="14.25" customHeight="1" x14ac:dyDescent="0.2">
      <c r="A23" s="64" t="s">
        <v>214</v>
      </c>
      <c r="B23" s="25" t="s">
        <v>55</v>
      </c>
      <c r="C23" s="26" t="s">
        <v>0</v>
      </c>
      <c r="D23" s="27">
        <v>213</v>
      </c>
      <c r="E23" s="27">
        <v>99</v>
      </c>
      <c r="F23" s="27">
        <v>114</v>
      </c>
      <c r="G23" s="27">
        <v>17</v>
      </c>
      <c r="H23" s="27">
        <v>13</v>
      </c>
      <c r="I23" s="27">
        <v>23</v>
      </c>
      <c r="J23" s="27">
        <v>12</v>
      </c>
      <c r="K23" s="27">
        <v>21</v>
      </c>
      <c r="L23" s="27">
        <v>11</v>
      </c>
      <c r="M23" s="27">
        <v>16</v>
      </c>
      <c r="N23" s="27">
        <v>21</v>
      </c>
      <c r="O23" s="27">
        <v>17</v>
      </c>
      <c r="P23" s="27">
        <v>38</v>
      </c>
      <c r="Q23" s="27">
        <v>5</v>
      </c>
      <c r="R23" s="27">
        <v>19</v>
      </c>
    </row>
    <row r="24" spans="1:18" s="20" customFormat="1" ht="14.25" customHeight="1" x14ac:dyDescent="0.2">
      <c r="A24" s="86" t="s">
        <v>22</v>
      </c>
      <c r="B24" s="28" t="s">
        <v>56</v>
      </c>
      <c r="C24" s="29" t="s">
        <v>2</v>
      </c>
      <c r="D24" s="21">
        <v>206</v>
      </c>
      <c r="E24" s="21">
        <v>96</v>
      </c>
      <c r="F24" s="21">
        <v>110</v>
      </c>
      <c r="G24" s="21">
        <v>17</v>
      </c>
      <c r="H24" s="21">
        <v>13</v>
      </c>
      <c r="I24" s="21">
        <v>22</v>
      </c>
      <c r="J24" s="21">
        <v>12</v>
      </c>
      <c r="K24" s="21">
        <v>21</v>
      </c>
      <c r="L24" s="21">
        <v>11</v>
      </c>
      <c r="M24" s="21">
        <v>15</v>
      </c>
      <c r="N24" s="21">
        <v>20</v>
      </c>
      <c r="O24" s="21">
        <v>16</v>
      </c>
      <c r="P24" s="21">
        <v>37</v>
      </c>
      <c r="Q24" s="21">
        <v>5</v>
      </c>
      <c r="R24" s="21">
        <v>17</v>
      </c>
    </row>
    <row r="25" spans="1:18" s="20" customFormat="1" ht="14.25" customHeight="1" x14ac:dyDescent="0.2">
      <c r="A25" s="87"/>
      <c r="B25" s="30" t="s">
        <v>57</v>
      </c>
      <c r="C25" s="31" t="s">
        <v>225</v>
      </c>
      <c r="D25" s="21">
        <v>7</v>
      </c>
      <c r="E25" s="21">
        <v>3</v>
      </c>
      <c r="F25" s="21">
        <v>4</v>
      </c>
      <c r="G25" s="21">
        <v>0</v>
      </c>
      <c r="H25" s="21">
        <v>0</v>
      </c>
      <c r="I25" s="21">
        <v>1</v>
      </c>
      <c r="J25" s="21">
        <v>0</v>
      </c>
      <c r="K25" s="21">
        <v>0</v>
      </c>
      <c r="L25" s="21">
        <v>0</v>
      </c>
      <c r="M25" s="21">
        <v>1</v>
      </c>
      <c r="N25" s="21">
        <v>1</v>
      </c>
      <c r="O25" s="21">
        <v>1</v>
      </c>
      <c r="P25" s="21">
        <v>1</v>
      </c>
      <c r="Q25" s="21">
        <v>0</v>
      </c>
      <c r="R25" s="21">
        <v>2</v>
      </c>
    </row>
    <row r="26" spans="1:18" s="20" customFormat="1" ht="14.25" customHeight="1" x14ac:dyDescent="0.2">
      <c r="A26" s="64" t="s">
        <v>215</v>
      </c>
      <c r="B26" s="25" t="s">
        <v>55</v>
      </c>
      <c r="C26" s="26" t="s">
        <v>0</v>
      </c>
      <c r="D26" s="27">
        <v>601</v>
      </c>
      <c r="E26" s="27">
        <v>290</v>
      </c>
      <c r="F26" s="27">
        <v>311</v>
      </c>
      <c r="G26" s="27">
        <v>57</v>
      </c>
      <c r="H26" s="27">
        <v>48</v>
      </c>
      <c r="I26" s="27">
        <v>61</v>
      </c>
      <c r="J26" s="27">
        <v>34</v>
      </c>
      <c r="K26" s="27">
        <v>61</v>
      </c>
      <c r="L26" s="27">
        <v>37</v>
      </c>
      <c r="M26" s="27">
        <v>72</v>
      </c>
      <c r="N26" s="27">
        <v>36</v>
      </c>
      <c r="O26" s="27">
        <v>28</v>
      </c>
      <c r="P26" s="27">
        <v>100</v>
      </c>
      <c r="Q26" s="27">
        <v>11</v>
      </c>
      <c r="R26" s="27">
        <v>56</v>
      </c>
    </row>
    <row r="27" spans="1:18" s="20" customFormat="1" ht="14.25" customHeight="1" x14ac:dyDescent="0.2">
      <c r="A27" s="86" t="s">
        <v>23</v>
      </c>
      <c r="B27" s="28" t="s">
        <v>56</v>
      </c>
      <c r="C27" s="29" t="s">
        <v>2</v>
      </c>
      <c r="D27" s="21">
        <v>555</v>
      </c>
      <c r="E27" s="21">
        <v>272</v>
      </c>
      <c r="F27" s="21">
        <v>283</v>
      </c>
      <c r="G27" s="21">
        <v>54</v>
      </c>
      <c r="H27" s="21">
        <v>41</v>
      </c>
      <c r="I27" s="21">
        <v>59</v>
      </c>
      <c r="J27" s="21">
        <v>33</v>
      </c>
      <c r="K27" s="21">
        <v>53</v>
      </c>
      <c r="L27" s="21">
        <v>35</v>
      </c>
      <c r="M27" s="21">
        <v>67</v>
      </c>
      <c r="N27" s="21">
        <v>31</v>
      </c>
      <c r="O27" s="21">
        <v>28</v>
      </c>
      <c r="P27" s="21">
        <v>92</v>
      </c>
      <c r="Q27" s="21">
        <v>11</v>
      </c>
      <c r="R27" s="21">
        <v>51</v>
      </c>
    </row>
    <row r="28" spans="1:18" s="20" customFormat="1" ht="14.25" customHeight="1" x14ac:dyDescent="0.2">
      <c r="A28" s="87"/>
      <c r="B28" s="30" t="s">
        <v>57</v>
      </c>
      <c r="C28" s="31" t="s">
        <v>225</v>
      </c>
      <c r="D28" s="21">
        <v>46</v>
      </c>
      <c r="E28" s="21">
        <v>18</v>
      </c>
      <c r="F28" s="21">
        <v>28</v>
      </c>
      <c r="G28" s="21">
        <v>3</v>
      </c>
      <c r="H28" s="21">
        <v>7</v>
      </c>
      <c r="I28" s="21">
        <v>2</v>
      </c>
      <c r="J28" s="21">
        <v>1</v>
      </c>
      <c r="K28" s="21">
        <v>8</v>
      </c>
      <c r="L28" s="21">
        <v>2</v>
      </c>
      <c r="M28" s="21">
        <v>5</v>
      </c>
      <c r="N28" s="21">
        <v>5</v>
      </c>
      <c r="O28" s="21">
        <v>0</v>
      </c>
      <c r="P28" s="21">
        <v>8</v>
      </c>
      <c r="Q28" s="21">
        <v>0</v>
      </c>
      <c r="R28" s="21">
        <v>5</v>
      </c>
    </row>
    <row r="29" spans="1:18" s="20" customFormat="1" ht="14.25" customHeight="1" x14ac:dyDescent="0.2">
      <c r="A29" s="64" t="s">
        <v>194</v>
      </c>
      <c r="B29" s="25" t="s">
        <v>55</v>
      </c>
      <c r="C29" s="26" t="s">
        <v>0</v>
      </c>
      <c r="D29" s="27">
        <v>30</v>
      </c>
      <c r="E29" s="27">
        <v>3</v>
      </c>
      <c r="F29" s="27">
        <v>27</v>
      </c>
      <c r="G29" s="27">
        <v>2</v>
      </c>
      <c r="H29" s="27">
        <v>3</v>
      </c>
      <c r="I29" s="27">
        <v>0</v>
      </c>
      <c r="J29" s="27">
        <v>1</v>
      </c>
      <c r="K29" s="27">
        <v>0</v>
      </c>
      <c r="L29" s="27">
        <v>2</v>
      </c>
      <c r="M29" s="27">
        <v>0</v>
      </c>
      <c r="N29" s="27">
        <v>1</v>
      </c>
      <c r="O29" s="27">
        <v>0</v>
      </c>
      <c r="P29" s="27">
        <v>17</v>
      </c>
      <c r="Q29" s="27">
        <v>1</v>
      </c>
      <c r="R29" s="27">
        <v>3</v>
      </c>
    </row>
    <row r="30" spans="1:18" s="20" customFormat="1" ht="14.25" customHeight="1" x14ac:dyDescent="0.2">
      <c r="A30" s="86" t="s">
        <v>5</v>
      </c>
      <c r="B30" s="28" t="s">
        <v>56</v>
      </c>
      <c r="C30" s="29" t="s">
        <v>2</v>
      </c>
      <c r="D30" s="21">
        <v>28</v>
      </c>
      <c r="E30" s="21">
        <v>3</v>
      </c>
      <c r="F30" s="21">
        <v>25</v>
      </c>
      <c r="G30" s="21">
        <v>2</v>
      </c>
      <c r="H30" s="21">
        <v>3</v>
      </c>
      <c r="I30" s="21">
        <v>0</v>
      </c>
      <c r="J30" s="21">
        <v>1</v>
      </c>
      <c r="K30" s="21">
        <v>0</v>
      </c>
      <c r="L30" s="21">
        <v>2</v>
      </c>
      <c r="M30" s="21">
        <v>0</v>
      </c>
      <c r="N30" s="21">
        <v>1</v>
      </c>
      <c r="O30" s="21">
        <v>0</v>
      </c>
      <c r="P30" s="21">
        <v>16</v>
      </c>
      <c r="Q30" s="21">
        <v>1</v>
      </c>
      <c r="R30" s="21">
        <v>2</v>
      </c>
    </row>
    <row r="31" spans="1:18" s="20" customFormat="1" ht="14.25" customHeight="1" x14ac:dyDescent="0.2">
      <c r="A31" s="87"/>
      <c r="B31" s="30" t="s">
        <v>57</v>
      </c>
      <c r="C31" s="31" t="s">
        <v>225</v>
      </c>
      <c r="D31" s="21">
        <v>2</v>
      </c>
      <c r="E31" s="21">
        <v>0</v>
      </c>
      <c r="F31" s="21">
        <v>2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1</v>
      </c>
      <c r="Q31" s="21">
        <v>0</v>
      </c>
      <c r="R31" s="21">
        <v>1</v>
      </c>
    </row>
    <row r="32" spans="1:18" s="20" customFormat="1" ht="14.25" customHeight="1" x14ac:dyDescent="0.2">
      <c r="A32" s="64" t="s">
        <v>195</v>
      </c>
      <c r="B32" s="25" t="s">
        <v>55</v>
      </c>
      <c r="C32" s="26" t="s">
        <v>0</v>
      </c>
      <c r="D32" s="27">
        <v>178</v>
      </c>
      <c r="E32" s="27">
        <v>83</v>
      </c>
      <c r="F32" s="27">
        <v>95</v>
      </c>
      <c r="G32" s="27">
        <v>16</v>
      </c>
      <c r="H32" s="27">
        <v>12</v>
      </c>
      <c r="I32" s="27">
        <v>21</v>
      </c>
      <c r="J32" s="27">
        <v>15</v>
      </c>
      <c r="K32" s="27">
        <v>21</v>
      </c>
      <c r="L32" s="27">
        <v>11</v>
      </c>
      <c r="M32" s="27">
        <v>11</v>
      </c>
      <c r="N32" s="27">
        <v>12</v>
      </c>
      <c r="O32" s="27">
        <v>10</v>
      </c>
      <c r="P32" s="27">
        <v>26</v>
      </c>
      <c r="Q32" s="27">
        <v>4</v>
      </c>
      <c r="R32" s="27">
        <v>19</v>
      </c>
    </row>
    <row r="33" spans="1:18" s="20" customFormat="1" ht="14.25" customHeight="1" x14ac:dyDescent="0.2">
      <c r="A33" s="86" t="s">
        <v>6</v>
      </c>
      <c r="B33" s="28" t="s">
        <v>56</v>
      </c>
      <c r="C33" s="29" t="s">
        <v>2</v>
      </c>
      <c r="D33" s="21">
        <v>155</v>
      </c>
      <c r="E33" s="21">
        <v>71</v>
      </c>
      <c r="F33" s="21">
        <v>84</v>
      </c>
      <c r="G33" s="21">
        <v>15</v>
      </c>
      <c r="H33" s="21">
        <v>8</v>
      </c>
      <c r="I33" s="21">
        <v>17</v>
      </c>
      <c r="J33" s="21">
        <v>14</v>
      </c>
      <c r="K33" s="21">
        <v>19</v>
      </c>
      <c r="L33" s="21">
        <v>11</v>
      </c>
      <c r="M33" s="21">
        <v>8</v>
      </c>
      <c r="N33" s="21">
        <v>10</v>
      </c>
      <c r="O33" s="21">
        <v>8</v>
      </c>
      <c r="P33" s="21">
        <v>24</v>
      </c>
      <c r="Q33" s="21">
        <v>4</v>
      </c>
      <c r="R33" s="21">
        <v>17</v>
      </c>
    </row>
    <row r="34" spans="1:18" s="20" customFormat="1" ht="14.25" customHeight="1" x14ac:dyDescent="0.2">
      <c r="A34" s="87"/>
      <c r="B34" s="30" t="s">
        <v>57</v>
      </c>
      <c r="C34" s="31" t="s">
        <v>225</v>
      </c>
      <c r="D34" s="21">
        <v>23</v>
      </c>
      <c r="E34" s="21">
        <v>12</v>
      </c>
      <c r="F34" s="21">
        <v>11</v>
      </c>
      <c r="G34" s="21">
        <v>1</v>
      </c>
      <c r="H34" s="21">
        <v>4</v>
      </c>
      <c r="I34" s="21">
        <v>4</v>
      </c>
      <c r="J34" s="21">
        <v>1</v>
      </c>
      <c r="K34" s="21">
        <v>2</v>
      </c>
      <c r="L34" s="21">
        <v>0</v>
      </c>
      <c r="M34" s="21">
        <v>3</v>
      </c>
      <c r="N34" s="21">
        <v>2</v>
      </c>
      <c r="O34" s="21">
        <v>2</v>
      </c>
      <c r="P34" s="21">
        <v>2</v>
      </c>
      <c r="Q34" s="21">
        <v>0</v>
      </c>
      <c r="R34" s="21">
        <v>2</v>
      </c>
    </row>
    <row r="35" spans="1:18" s="20" customFormat="1" ht="14.25" customHeight="1" x14ac:dyDescent="0.2">
      <c r="A35" s="64" t="s">
        <v>196</v>
      </c>
      <c r="B35" s="25" t="s">
        <v>55</v>
      </c>
      <c r="C35" s="26" t="s">
        <v>0</v>
      </c>
      <c r="D35" s="27">
        <v>91</v>
      </c>
      <c r="E35" s="27">
        <v>26</v>
      </c>
      <c r="F35" s="27">
        <v>65</v>
      </c>
      <c r="G35" s="27">
        <v>7</v>
      </c>
      <c r="H35" s="27">
        <v>6</v>
      </c>
      <c r="I35" s="27">
        <v>6</v>
      </c>
      <c r="J35" s="27">
        <v>7</v>
      </c>
      <c r="K35" s="27">
        <v>5</v>
      </c>
      <c r="L35" s="27">
        <v>3</v>
      </c>
      <c r="M35" s="27">
        <v>6</v>
      </c>
      <c r="N35" s="27">
        <v>10</v>
      </c>
      <c r="O35" s="27">
        <v>2</v>
      </c>
      <c r="P35" s="27">
        <v>19</v>
      </c>
      <c r="Q35" s="27">
        <v>0</v>
      </c>
      <c r="R35" s="27">
        <v>20</v>
      </c>
    </row>
    <row r="36" spans="1:18" s="20" customFormat="1" ht="14.25" customHeight="1" x14ac:dyDescent="0.2">
      <c r="A36" s="86" t="s">
        <v>7</v>
      </c>
      <c r="B36" s="28" t="s">
        <v>56</v>
      </c>
      <c r="C36" s="29" t="s">
        <v>2</v>
      </c>
      <c r="D36" s="21">
        <v>83</v>
      </c>
      <c r="E36" s="21">
        <v>24</v>
      </c>
      <c r="F36" s="21">
        <v>59</v>
      </c>
      <c r="G36" s="21">
        <v>7</v>
      </c>
      <c r="H36" s="21">
        <v>4</v>
      </c>
      <c r="I36" s="21">
        <v>5</v>
      </c>
      <c r="J36" s="21">
        <v>7</v>
      </c>
      <c r="K36" s="21">
        <v>5</v>
      </c>
      <c r="L36" s="21">
        <v>3</v>
      </c>
      <c r="M36" s="21">
        <v>5</v>
      </c>
      <c r="N36" s="21">
        <v>10</v>
      </c>
      <c r="O36" s="21">
        <v>2</v>
      </c>
      <c r="P36" s="21">
        <v>17</v>
      </c>
      <c r="Q36" s="21">
        <v>0</v>
      </c>
      <c r="R36" s="21">
        <v>18</v>
      </c>
    </row>
    <row r="37" spans="1:18" s="20" customFormat="1" ht="14.25" customHeight="1" x14ac:dyDescent="0.2">
      <c r="A37" s="87"/>
      <c r="B37" s="30" t="s">
        <v>57</v>
      </c>
      <c r="C37" s="31" t="s">
        <v>225</v>
      </c>
      <c r="D37" s="21">
        <v>8</v>
      </c>
      <c r="E37" s="21">
        <v>2</v>
      </c>
      <c r="F37" s="21">
        <v>6</v>
      </c>
      <c r="G37" s="21">
        <v>0</v>
      </c>
      <c r="H37" s="21">
        <v>2</v>
      </c>
      <c r="I37" s="21">
        <v>1</v>
      </c>
      <c r="J37" s="21">
        <v>0</v>
      </c>
      <c r="K37" s="21">
        <v>0</v>
      </c>
      <c r="L37" s="21">
        <v>0</v>
      </c>
      <c r="M37" s="21">
        <v>1</v>
      </c>
      <c r="N37" s="21">
        <v>0</v>
      </c>
      <c r="O37" s="21">
        <v>0</v>
      </c>
      <c r="P37" s="21">
        <v>2</v>
      </c>
      <c r="Q37" s="21">
        <v>0</v>
      </c>
      <c r="R37" s="21">
        <v>2</v>
      </c>
    </row>
    <row r="38" spans="1:18" s="20" customFormat="1" ht="14.25" customHeight="1" x14ac:dyDescent="0.2">
      <c r="A38" s="64" t="s">
        <v>197</v>
      </c>
      <c r="B38" s="25" t="s">
        <v>55</v>
      </c>
      <c r="C38" s="26" t="s">
        <v>0</v>
      </c>
      <c r="D38" s="27">
        <v>150</v>
      </c>
      <c r="E38" s="27">
        <v>61</v>
      </c>
      <c r="F38" s="27">
        <v>89</v>
      </c>
      <c r="G38" s="27">
        <v>17</v>
      </c>
      <c r="H38" s="27">
        <v>7</v>
      </c>
      <c r="I38" s="27">
        <v>11</v>
      </c>
      <c r="J38" s="27">
        <v>12</v>
      </c>
      <c r="K38" s="27">
        <v>11</v>
      </c>
      <c r="L38" s="27">
        <v>11</v>
      </c>
      <c r="M38" s="27">
        <v>10</v>
      </c>
      <c r="N38" s="27">
        <v>2</v>
      </c>
      <c r="O38" s="27">
        <v>4</v>
      </c>
      <c r="P38" s="27">
        <v>33</v>
      </c>
      <c r="Q38" s="27">
        <v>8</v>
      </c>
      <c r="R38" s="27">
        <v>24</v>
      </c>
    </row>
    <row r="39" spans="1:18" s="20" customFormat="1" ht="14.25" customHeight="1" x14ac:dyDescent="0.2">
      <c r="A39" s="86" t="s">
        <v>8</v>
      </c>
      <c r="B39" s="28" t="s">
        <v>56</v>
      </c>
      <c r="C39" s="29" t="s">
        <v>2</v>
      </c>
      <c r="D39" s="21">
        <v>140</v>
      </c>
      <c r="E39" s="21">
        <v>57</v>
      </c>
      <c r="F39" s="21">
        <v>83</v>
      </c>
      <c r="G39" s="21">
        <v>16</v>
      </c>
      <c r="H39" s="21">
        <v>7</v>
      </c>
      <c r="I39" s="21">
        <v>11</v>
      </c>
      <c r="J39" s="21">
        <v>11</v>
      </c>
      <c r="K39" s="21">
        <v>11</v>
      </c>
      <c r="L39" s="21">
        <v>11</v>
      </c>
      <c r="M39" s="21">
        <v>10</v>
      </c>
      <c r="N39" s="21">
        <v>2</v>
      </c>
      <c r="O39" s="21">
        <v>4</v>
      </c>
      <c r="P39" s="21">
        <v>31</v>
      </c>
      <c r="Q39" s="21">
        <v>5</v>
      </c>
      <c r="R39" s="21">
        <v>21</v>
      </c>
    </row>
    <row r="40" spans="1:18" s="20" customFormat="1" ht="14.25" customHeight="1" x14ac:dyDescent="0.2">
      <c r="A40" s="87"/>
      <c r="B40" s="30" t="s">
        <v>57</v>
      </c>
      <c r="C40" s="31" t="s">
        <v>225</v>
      </c>
      <c r="D40" s="21">
        <v>10</v>
      </c>
      <c r="E40" s="21">
        <v>4</v>
      </c>
      <c r="F40" s="21">
        <v>6</v>
      </c>
      <c r="G40" s="21">
        <v>1</v>
      </c>
      <c r="H40" s="21">
        <v>0</v>
      </c>
      <c r="I40" s="21">
        <v>0</v>
      </c>
      <c r="J40" s="21">
        <v>1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2</v>
      </c>
      <c r="Q40" s="21">
        <v>3</v>
      </c>
      <c r="R40" s="21">
        <v>3</v>
      </c>
    </row>
    <row r="41" spans="1:18" s="20" customFormat="1" ht="14.25" customHeight="1" x14ac:dyDescent="0.2">
      <c r="A41" s="64" t="s">
        <v>198</v>
      </c>
      <c r="B41" s="25" t="s">
        <v>55</v>
      </c>
      <c r="C41" s="26" t="s">
        <v>0</v>
      </c>
      <c r="D41" s="27">
        <v>83</v>
      </c>
      <c r="E41" s="27">
        <v>30</v>
      </c>
      <c r="F41" s="27">
        <v>53</v>
      </c>
      <c r="G41" s="27">
        <v>5</v>
      </c>
      <c r="H41" s="27">
        <v>1</v>
      </c>
      <c r="I41" s="27">
        <v>6</v>
      </c>
      <c r="J41" s="27">
        <v>4</v>
      </c>
      <c r="K41" s="27">
        <v>4</v>
      </c>
      <c r="L41" s="27">
        <v>8</v>
      </c>
      <c r="M41" s="27">
        <v>5</v>
      </c>
      <c r="N41" s="27">
        <v>9</v>
      </c>
      <c r="O41" s="27">
        <v>5</v>
      </c>
      <c r="P41" s="27">
        <v>18</v>
      </c>
      <c r="Q41" s="27">
        <v>5</v>
      </c>
      <c r="R41" s="27">
        <v>13</v>
      </c>
    </row>
    <row r="42" spans="1:18" s="20" customFormat="1" ht="14.25" customHeight="1" x14ac:dyDescent="0.2">
      <c r="A42" s="86" t="s">
        <v>9</v>
      </c>
      <c r="B42" s="28" t="s">
        <v>56</v>
      </c>
      <c r="C42" s="29" t="s">
        <v>2</v>
      </c>
      <c r="D42" s="21">
        <v>62</v>
      </c>
      <c r="E42" s="21">
        <v>24</v>
      </c>
      <c r="F42" s="21">
        <v>38</v>
      </c>
      <c r="G42" s="21">
        <v>4</v>
      </c>
      <c r="H42" s="21">
        <v>1</v>
      </c>
      <c r="I42" s="21">
        <v>5</v>
      </c>
      <c r="J42" s="21">
        <v>1</v>
      </c>
      <c r="K42" s="21">
        <v>3</v>
      </c>
      <c r="L42" s="21">
        <v>6</v>
      </c>
      <c r="M42" s="21">
        <v>2</v>
      </c>
      <c r="N42" s="21">
        <v>7</v>
      </c>
      <c r="O42" s="21">
        <v>5</v>
      </c>
      <c r="P42" s="21">
        <v>12</v>
      </c>
      <c r="Q42" s="21">
        <v>5</v>
      </c>
      <c r="R42" s="21">
        <v>11</v>
      </c>
    </row>
    <row r="43" spans="1:18" s="20" customFormat="1" ht="14.25" customHeight="1" x14ac:dyDescent="0.2">
      <c r="A43" s="87"/>
      <c r="B43" s="30" t="s">
        <v>57</v>
      </c>
      <c r="C43" s="31" t="s">
        <v>225</v>
      </c>
      <c r="D43" s="21">
        <v>21</v>
      </c>
      <c r="E43" s="21">
        <v>6</v>
      </c>
      <c r="F43" s="21">
        <v>15</v>
      </c>
      <c r="G43" s="21">
        <v>1</v>
      </c>
      <c r="H43" s="21">
        <v>0</v>
      </c>
      <c r="I43" s="21">
        <v>1</v>
      </c>
      <c r="J43" s="21">
        <v>3</v>
      </c>
      <c r="K43" s="21">
        <v>1</v>
      </c>
      <c r="L43" s="21">
        <v>2</v>
      </c>
      <c r="M43" s="21">
        <v>3</v>
      </c>
      <c r="N43" s="21">
        <v>2</v>
      </c>
      <c r="O43" s="21">
        <v>0</v>
      </c>
      <c r="P43" s="21">
        <v>6</v>
      </c>
      <c r="Q43" s="21">
        <v>0</v>
      </c>
      <c r="R43" s="21">
        <v>2</v>
      </c>
    </row>
    <row r="44" spans="1:18" s="20" customFormat="1" ht="14.25" customHeight="1" x14ac:dyDescent="0.2">
      <c r="A44" s="64" t="s">
        <v>199</v>
      </c>
      <c r="B44" s="25" t="s">
        <v>55</v>
      </c>
      <c r="C44" s="26" t="s">
        <v>0</v>
      </c>
      <c r="D44" s="27">
        <v>159</v>
      </c>
      <c r="E44" s="27">
        <v>68</v>
      </c>
      <c r="F44" s="27">
        <v>91</v>
      </c>
      <c r="G44" s="27">
        <v>18</v>
      </c>
      <c r="H44" s="27">
        <v>7</v>
      </c>
      <c r="I44" s="27">
        <v>15</v>
      </c>
      <c r="J44" s="27">
        <v>10</v>
      </c>
      <c r="K44" s="27">
        <v>14</v>
      </c>
      <c r="L44" s="27">
        <v>14</v>
      </c>
      <c r="M44" s="27">
        <v>7</v>
      </c>
      <c r="N44" s="27">
        <v>6</v>
      </c>
      <c r="O44" s="27">
        <v>10</v>
      </c>
      <c r="P44" s="27">
        <v>21</v>
      </c>
      <c r="Q44" s="27">
        <v>4</v>
      </c>
      <c r="R44" s="27">
        <v>33</v>
      </c>
    </row>
    <row r="45" spans="1:18" s="20" customFormat="1" ht="14.25" customHeight="1" x14ac:dyDescent="0.2">
      <c r="A45" s="86" t="s">
        <v>10</v>
      </c>
      <c r="B45" s="28" t="s">
        <v>56</v>
      </c>
      <c r="C45" s="29" t="s">
        <v>2</v>
      </c>
      <c r="D45" s="21">
        <v>157</v>
      </c>
      <c r="E45" s="21">
        <v>68</v>
      </c>
      <c r="F45" s="21">
        <v>89</v>
      </c>
      <c r="G45" s="21">
        <v>18</v>
      </c>
      <c r="H45" s="21">
        <v>6</v>
      </c>
      <c r="I45" s="21">
        <v>15</v>
      </c>
      <c r="J45" s="21">
        <v>10</v>
      </c>
      <c r="K45" s="21">
        <v>14</v>
      </c>
      <c r="L45" s="21">
        <v>14</v>
      </c>
      <c r="M45" s="21">
        <v>7</v>
      </c>
      <c r="N45" s="21">
        <v>6</v>
      </c>
      <c r="O45" s="21">
        <v>10</v>
      </c>
      <c r="P45" s="21">
        <v>20</v>
      </c>
      <c r="Q45" s="21">
        <v>4</v>
      </c>
      <c r="R45" s="21">
        <v>33</v>
      </c>
    </row>
    <row r="46" spans="1:18" s="20" customFormat="1" ht="14.25" customHeight="1" x14ac:dyDescent="0.2">
      <c r="A46" s="87"/>
      <c r="B46" s="30" t="s">
        <v>57</v>
      </c>
      <c r="C46" s="31" t="s">
        <v>225</v>
      </c>
      <c r="D46" s="21">
        <v>2</v>
      </c>
      <c r="E46" s="21">
        <v>0</v>
      </c>
      <c r="F46" s="21">
        <v>2</v>
      </c>
      <c r="G46" s="21">
        <v>0</v>
      </c>
      <c r="H46" s="21">
        <v>1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1</v>
      </c>
      <c r="Q46" s="21">
        <v>0</v>
      </c>
      <c r="R46" s="21">
        <v>0</v>
      </c>
    </row>
    <row r="47" spans="1:18" s="20" customFormat="1" ht="14.25" customHeight="1" x14ac:dyDescent="0.2">
      <c r="A47" s="64" t="s">
        <v>200</v>
      </c>
      <c r="B47" s="25" t="s">
        <v>55</v>
      </c>
      <c r="C47" s="26" t="s">
        <v>0</v>
      </c>
      <c r="D47" s="27">
        <v>88</v>
      </c>
      <c r="E47" s="27">
        <v>44</v>
      </c>
      <c r="F47" s="27">
        <v>44</v>
      </c>
      <c r="G47" s="27">
        <v>4</v>
      </c>
      <c r="H47" s="27">
        <v>9</v>
      </c>
      <c r="I47" s="27">
        <v>13</v>
      </c>
      <c r="J47" s="27">
        <v>2</v>
      </c>
      <c r="K47" s="27">
        <v>7</v>
      </c>
      <c r="L47" s="27">
        <v>5</v>
      </c>
      <c r="M47" s="27">
        <v>9</v>
      </c>
      <c r="N47" s="27">
        <v>7</v>
      </c>
      <c r="O47" s="27">
        <v>8</v>
      </c>
      <c r="P47" s="27">
        <v>12</v>
      </c>
      <c r="Q47" s="27">
        <v>3</v>
      </c>
      <c r="R47" s="27">
        <v>9</v>
      </c>
    </row>
    <row r="48" spans="1:18" s="20" customFormat="1" ht="14.25" customHeight="1" x14ac:dyDescent="0.2">
      <c r="A48" s="86" t="s">
        <v>11</v>
      </c>
      <c r="B48" s="28" t="s">
        <v>56</v>
      </c>
      <c r="C48" s="29" t="s">
        <v>2</v>
      </c>
      <c r="D48" s="21">
        <v>83</v>
      </c>
      <c r="E48" s="21">
        <v>41</v>
      </c>
      <c r="F48" s="21">
        <v>42</v>
      </c>
      <c r="G48" s="21">
        <v>3</v>
      </c>
      <c r="H48" s="21">
        <v>9</v>
      </c>
      <c r="I48" s="21">
        <v>13</v>
      </c>
      <c r="J48" s="21">
        <v>2</v>
      </c>
      <c r="K48" s="21">
        <v>7</v>
      </c>
      <c r="L48" s="21">
        <v>5</v>
      </c>
      <c r="M48" s="21">
        <v>9</v>
      </c>
      <c r="N48" s="21">
        <v>7</v>
      </c>
      <c r="O48" s="21">
        <v>6</v>
      </c>
      <c r="P48" s="21">
        <v>10</v>
      </c>
      <c r="Q48" s="21">
        <v>3</v>
      </c>
      <c r="R48" s="21">
        <v>9</v>
      </c>
    </row>
    <row r="49" spans="1:18" s="20" customFormat="1" ht="14.25" customHeight="1" x14ac:dyDescent="0.2">
      <c r="A49" s="87"/>
      <c r="B49" s="30" t="s">
        <v>57</v>
      </c>
      <c r="C49" s="31" t="s">
        <v>225</v>
      </c>
      <c r="D49" s="21">
        <v>5</v>
      </c>
      <c r="E49" s="21">
        <v>3</v>
      </c>
      <c r="F49" s="21">
        <v>2</v>
      </c>
      <c r="G49" s="21">
        <v>1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2</v>
      </c>
      <c r="P49" s="21">
        <v>2</v>
      </c>
      <c r="Q49" s="21">
        <v>0</v>
      </c>
      <c r="R49" s="21">
        <v>0</v>
      </c>
    </row>
    <row r="50" spans="1:18" s="20" customFormat="1" ht="14.25" customHeight="1" x14ac:dyDescent="0.2">
      <c r="A50" s="64" t="s">
        <v>201</v>
      </c>
      <c r="B50" s="25" t="s">
        <v>55</v>
      </c>
      <c r="C50" s="26" t="s">
        <v>0</v>
      </c>
      <c r="D50" s="27">
        <v>176</v>
      </c>
      <c r="E50" s="27">
        <v>90</v>
      </c>
      <c r="F50" s="27">
        <v>86</v>
      </c>
      <c r="G50" s="27">
        <v>16</v>
      </c>
      <c r="H50" s="27">
        <v>8</v>
      </c>
      <c r="I50" s="27">
        <v>14</v>
      </c>
      <c r="J50" s="27">
        <v>9</v>
      </c>
      <c r="K50" s="27">
        <v>18</v>
      </c>
      <c r="L50" s="27">
        <v>11</v>
      </c>
      <c r="M50" s="27">
        <v>17</v>
      </c>
      <c r="N50" s="27">
        <v>11</v>
      </c>
      <c r="O50" s="27">
        <v>22</v>
      </c>
      <c r="P50" s="27">
        <v>28</v>
      </c>
      <c r="Q50" s="27">
        <v>3</v>
      </c>
      <c r="R50" s="27">
        <v>19</v>
      </c>
    </row>
    <row r="51" spans="1:18" s="20" customFormat="1" ht="14.25" customHeight="1" x14ac:dyDescent="0.2">
      <c r="A51" s="86" t="s">
        <v>12</v>
      </c>
      <c r="B51" s="28" t="s">
        <v>56</v>
      </c>
      <c r="C51" s="29" t="s">
        <v>2</v>
      </c>
      <c r="D51" s="21">
        <v>155</v>
      </c>
      <c r="E51" s="21">
        <v>80</v>
      </c>
      <c r="F51" s="21">
        <v>75</v>
      </c>
      <c r="G51" s="21">
        <v>14</v>
      </c>
      <c r="H51" s="21">
        <v>7</v>
      </c>
      <c r="I51" s="21">
        <v>13</v>
      </c>
      <c r="J51" s="21">
        <v>9</v>
      </c>
      <c r="K51" s="21">
        <v>17</v>
      </c>
      <c r="L51" s="21">
        <v>9</v>
      </c>
      <c r="M51" s="21">
        <v>14</v>
      </c>
      <c r="N51" s="21">
        <v>9</v>
      </c>
      <c r="O51" s="21">
        <v>19</v>
      </c>
      <c r="P51" s="21">
        <v>26</v>
      </c>
      <c r="Q51" s="21">
        <v>3</v>
      </c>
      <c r="R51" s="21">
        <v>15</v>
      </c>
    </row>
    <row r="52" spans="1:18" s="20" customFormat="1" ht="14.25" customHeight="1" x14ac:dyDescent="0.2">
      <c r="A52" s="87"/>
      <c r="B52" s="30" t="s">
        <v>57</v>
      </c>
      <c r="C52" s="31" t="s">
        <v>225</v>
      </c>
      <c r="D52" s="21">
        <v>21</v>
      </c>
      <c r="E52" s="21">
        <v>10</v>
      </c>
      <c r="F52" s="21">
        <v>11</v>
      </c>
      <c r="G52" s="21">
        <v>2</v>
      </c>
      <c r="H52" s="21">
        <v>1</v>
      </c>
      <c r="I52" s="21">
        <v>1</v>
      </c>
      <c r="J52" s="21">
        <v>0</v>
      </c>
      <c r="K52" s="21">
        <v>1</v>
      </c>
      <c r="L52" s="21">
        <v>2</v>
      </c>
      <c r="M52" s="21">
        <v>3</v>
      </c>
      <c r="N52" s="21">
        <v>2</v>
      </c>
      <c r="O52" s="21">
        <v>3</v>
      </c>
      <c r="P52" s="21">
        <v>2</v>
      </c>
      <c r="Q52" s="21">
        <v>0</v>
      </c>
      <c r="R52" s="21">
        <v>4</v>
      </c>
    </row>
    <row r="53" spans="1:18" s="20" customFormat="1" ht="14.25" customHeight="1" x14ac:dyDescent="0.2">
      <c r="A53" s="64" t="s">
        <v>202</v>
      </c>
      <c r="B53" s="25" t="s">
        <v>55</v>
      </c>
      <c r="C53" s="26" t="s">
        <v>0</v>
      </c>
      <c r="D53" s="27">
        <v>42</v>
      </c>
      <c r="E53" s="27">
        <v>12</v>
      </c>
      <c r="F53" s="27">
        <v>30</v>
      </c>
      <c r="G53" s="27">
        <v>2</v>
      </c>
      <c r="H53" s="27">
        <v>4</v>
      </c>
      <c r="I53" s="27">
        <v>0</v>
      </c>
      <c r="J53" s="27">
        <v>3</v>
      </c>
      <c r="K53" s="27">
        <v>0</v>
      </c>
      <c r="L53" s="27">
        <v>2</v>
      </c>
      <c r="M53" s="27">
        <v>3</v>
      </c>
      <c r="N53" s="27">
        <v>4</v>
      </c>
      <c r="O53" s="27">
        <v>5</v>
      </c>
      <c r="P53" s="27">
        <v>11</v>
      </c>
      <c r="Q53" s="27">
        <v>2</v>
      </c>
      <c r="R53" s="27">
        <v>6</v>
      </c>
    </row>
    <row r="54" spans="1:18" s="20" customFormat="1" ht="14.25" customHeight="1" x14ac:dyDescent="0.2">
      <c r="A54" s="86" t="s">
        <v>13</v>
      </c>
      <c r="B54" s="28" t="s">
        <v>56</v>
      </c>
      <c r="C54" s="29" t="s">
        <v>2</v>
      </c>
      <c r="D54" s="21">
        <v>19</v>
      </c>
      <c r="E54" s="21">
        <v>8</v>
      </c>
      <c r="F54" s="21">
        <v>11</v>
      </c>
      <c r="G54" s="21">
        <v>2</v>
      </c>
      <c r="H54" s="21">
        <v>1</v>
      </c>
      <c r="I54" s="21">
        <v>0</v>
      </c>
      <c r="J54" s="21">
        <v>1</v>
      </c>
      <c r="K54" s="21">
        <v>0</v>
      </c>
      <c r="L54" s="21">
        <v>2</v>
      </c>
      <c r="M54" s="21">
        <v>1</v>
      </c>
      <c r="N54" s="21">
        <v>1</v>
      </c>
      <c r="O54" s="21">
        <v>4</v>
      </c>
      <c r="P54" s="21">
        <v>3</v>
      </c>
      <c r="Q54" s="21">
        <v>1</v>
      </c>
      <c r="R54" s="21">
        <v>3</v>
      </c>
    </row>
    <row r="55" spans="1:18" s="20" customFormat="1" ht="14.25" customHeight="1" x14ac:dyDescent="0.2">
      <c r="A55" s="87"/>
      <c r="B55" s="30" t="s">
        <v>57</v>
      </c>
      <c r="C55" s="31" t="s">
        <v>225</v>
      </c>
      <c r="D55" s="21">
        <v>23</v>
      </c>
      <c r="E55" s="21">
        <v>4</v>
      </c>
      <c r="F55" s="21">
        <v>19</v>
      </c>
      <c r="G55" s="21">
        <v>0</v>
      </c>
      <c r="H55" s="21">
        <v>3</v>
      </c>
      <c r="I55" s="21">
        <v>0</v>
      </c>
      <c r="J55" s="21">
        <v>2</v>
      </c>
      <c r="K55" s="21">
        <v>0</v>
      </c>
      <c r="L55" s="21">
        <v>0</v>
      </c>
      <c r="M55" s="21">
        <v>2</v>
      </c>
      <c r="N55" s="21">
        <v>3</v>
      </c>
      <c r="O55" s="21">
        <v>1</v>
      </c>
      <c r="P55" s="21">
        <v>8</v>
      </c>
      <c r="Q55" s="21">
        <v>1</v>
      </c>
      <c r="R55" s="21">
        <v>3</v>
      </c>
    </row>
    <row r="56" spans="1:18" s="20" customFormat="1" ht="14.25" customHeight="1" x14ac:dyDescent="0.2">
      <c r="A56" s="64" t="s">
        <v>203</v>
      </c>
      <c r="B56" s="25" t="s">
        <v>55</v>
      </c>
      <c r="C56" s="26" t="s">
        <v>0</v>
      </c>
      <c r="D56" s="27">
        <v>135</v>
      </c>
      <c r="E56" s="27">
        <v>49</v>
      </c>
      <c r="F56" s="27">
        <v>86</v>
      </c>
      <c r="G56" s="27">
        <v>8</v>
      </c>
      <c r="H56" s="27">
        <v>5</v>
      </c>
      <c r="I56" s="27">
        <v>11</v>
      </c>
      <c r="J56" s="27">
        <v>12</v>
      </c>
      <c r="K56" s="27">
        <v>7</v>
      </c>
      <c r="L56" s="27">
        <v>18</v>
      </c>
      <c r="M56" s="27">
        <v>14</v>
      </c>
      <c r="N56" s="27">
        <v>8</v>
      </c>
      <c r="O56" s="27">
        <v>8</v>
      </c>
      <c r="P56" s="27">
        <v>26</v>
      </c>
      <c r="Q56" s="27">
        <v>1</v>
      </c>
      <c r="R56" s="27">
        <v>17</v>
      </c>
    </row>
    <row r="57" spans="1:18" s="20" customFormat="1" ht="14.25" customHeight="1" x14ac:dyDescent="0.2">
      <c r="A57" s="86" t="s">
        <v>14</v>
      </c>
      <c r="B57" s="28" t="s">
        <v>56</v>
      </c>
      <c r="C57" s="29" t="s">
        <v>2</v>
      </c>
      <c r="D57" s="21">
        <v>50</v>
      </c>
      <c r="E57" s="21">
        <v>21</v>
      </c>
      <c r="F57" s="21">
        <v>29</v>
      </c>
      <c r="G57" s="21">
        <v>2</v>
      </c>
      <c r="H57" s="21">
        <v>1</v>
      </c>
      <c r="I57" s="21">
        <v>5</v>
      </c>
      <c r="J57" s="21">
        <v>3</v>
      </c>
      <c r="K57" s="21">
        <v>3</v>
      </c>
      <c r="L57" s="21">
        <v>6</v>
      </c>
      <c r="M57" s="21">
        <v>8</v>
      </c>
      <c r="N57" s="21">
        <v>2</v>
      </c>
      <c r="O57" s="21">
        <v>2</v>
      </c>
      <c r="P57" s="21">
        <v>8</v>
      </c>
      <c r="Q57" s="21">
        <v>1</v>
      </c>
      <c r="R57" s="21">
        <v>9</v>
      </c>
    </row>
    <row r="58" spans="1:18" s="20" customFormat="1" ht="14.25" customHeight="1" x14ac:dyDescent="0.2">
      <c r="A58" s="87"/>
      <c r="B58" s="30" t="s">
        <v>57</v>
      </c>
      <c r="C58" s="31" t="s">
        <v>225</v>
      </c>
      <c r="D58" s="21">
        <v>85</v>
      </c>
      <c r="E58" s="21">
        <v>28</v>
      </c>
      <c r="F58" s="21">
        <v>57</v>
      </c>
      <c r="G58" s="21">
        <v>6</v>
      </c>
      <c r="H58" s="21">
        <v>4</v>
      </c>
      <c r="I58" s="21">
        <v>6</v>
      </c>
      <c r="J58" s="21">
        <v>9</v>
      </c>
      <c r="K58" s="21">
        <v>4</v>
      </c>
      <c r="L58" s="21">
        <v>12</v>
      </c>
      <c r="M58" s="21">
        <v>6</v>
      </c>
      <c r="N58" s="21">
        <v>6</v>
      </c>
      <c r="O58" s="21">
        <v>6</v>
      </c>
      <c r="P58" s="21">
        <v>18</v>
      </c>
      <c r="Q58" s="21">
        <v>0</v>
      </c>
      <c r="R58" s="21">
        <v>8</v>
      </c>
    </row>
    <row r="59" spans="1:18" s="20" customFormat="1" ht="14.25" customHeight="1" x14ac:dyDescent="0.2">
      <c r="A59" s="64" t="s">
        <v>204</v>
      </c>
      <c r="B59" s="25" t="s">
        <v>55</v>
      </c>
      <c r="C59" s="26" t="s">
        <v>0</v>
      </c>
      <c r="D59" s="27">
        <v>7</v>
      </c>
      <c r="E59" s="27">
        <v>4</v>
      </c>
      <c r="F59" s="27">
        <v>3</v>
      </c>
      <c r="G59" s="27">
        <v>1</v>
      </c>
      <c r="H59" s="27">
        <v>0</v>
      </c>
      <c r="I59" s="27">
        <v>0</v>
      </c>
      <c r="J59" s="27">
        <v>0</v>
      </c>
      <c r="K59" s="27">
        <v>1</v>
      </c>
      <c r="L59" s="27">
        <v>0</v>
      </c>
      <c r="M59" s="27">
        <v>0</v>
      </c>
      <c r="N59" s="27">
        <v>1</v>
      </c>
      <c r="O59" s="27">
        <v>0</v>
      </c>
      <c r="P59" s="27">
        <v>1</v>
      </c>
      <c r="Q59" s="27">
        <v>2</v>
      </c>
      <c r="R59" s="27">
        <v>1</v>
      </c>
    </row>
    <row r="60" spans="1:18" s="20" customFormat="1" ht="14.25" customHeight="1" x14ac:dyDescent="0.2">
      <c r="A60" s="86" t="s">
        <v>15</v>
      </c>
      <c r="B60" s="28" t="s">
        <v>56</v>
      </c>
      <c r="C60" s="29" t="s">
        <v>2</v>
      </c>
      <c r="D60" s="21">
        <v>7</v>
      </c>
      <c r="E60" s="21">
        <v>4</v>
      </c>
      <c r="F60" s="21">
        <v>3</v>
      </c>
      <c r="G60" s="21">
        <v>1</v>
      </c>
      <c r="H60" s="21">
        <v>0</v>
      </c>
      <c r="I60" s="21">
        <v>0</v>
      </c>
      <c r="J60" s="21">
        <v>0</v>
      </c>
      <c r="K60" s="21">
        <v>1</v>
      </c>
      <c r="L60" s="21">
        <v>0</v>
      </c>
      <c r="M60" s="21">
        <v>0</v>
      </c>
      <c r="N60" s="21">
        <v>1</v>
      </c>
      <c r="O60" s="21">
        <v>0</v>
      </c>
      <c r="P60" s="21">
        <v>1</v>
      </c>
      <c r="Q60" s="21">
        <v>2</v>
      </c>
      <c r="R60" s="21">
        <v>1</v>
      </c>
    </row>
    <row r="61" spans="1:18" s="20" customFormat="1" ht="14.25" customHeight="1" x14ac:dyDescent="0.2">
      <c r="A61" s="87"/>
      <c r="B61" s="30" t="s">
        <v>57</v>
      </c>
      <c r="C61" s="31" t="s">
        <v>225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</row>
    <row r="62" spans="1:18" s="20" customFormat="1" ht="14.25" customHeight="1" x14ac:dyDescent="0.2">
      <c r="A62" s="64" t="s">
        <v>205</v>
      </c>
      <c r="B62" s="25" t="s">
        <v>55</v>
      </c>
      <c r="C62" s="26" t="s">
        <v>0</v>
      </c>
      <c r="D62" s="27">
        <v>96</v>
      </c>
      <c r="E62" s="27">
        <v>39</v>
      </c>
      <c r="F62" s="27">
        <v>57</v>
      </c>
      <c r="G62" s="27">
        <v>4</v>
      </c>
      <c r="H62" s="27">
        <v>4</v>
      </c>
      <c r="I62" s="27">
        <v>5</v>
      </c>
      <c r="J62" s="27">
        <v>2</v>
      </c>
      <c r="K62" s="27">
        <v>6</v>
      </c>
      <c r="L62" s="27">
        <v>3</v>
      </c>
      <c r="M62" s="27">
        <v>8</v>
      </c>
      <c r="N62" s="27">
        <v>6</v>
      </c>
      <c r="O62" s="27">
        <v>13</v>
      </c>
      <c r="P62" s="27">
        <v>19</v>
      </c>
      <c r="Q62" s="27">
        <v>3</v>
      </c>
      <c r="R62" s="27">
        <v>23</v>
      </c>
    </row>
    <row r="63" spans="1:18" s="20" customFormat="1" ht="14.25" customHeight="1" x14ac:dyDescent="0.2">
      <c r="A63" s="86" t="s">
        <v>16</v>
      </c>
      <c r="B63" s="28" t="s">
        <v>56</v>
      </c>
      <c r="C63" s="29" t="s">
        <v>2</v>
      </c>
      <c r="D63" s="21">
        <v>88</v>
      </c>
      <c r="E63" s="21">
        <v>36</v>
      </c>
      <c r="F63" s="21">
        <v>52</v>
      </c>
      <c r="G63" s="21">
        <v>3</v>
      </c>
      <c r="H63" s="21">
        <v>3</v>
      </c>
      <c r="I63" s="21">
        <v>5</v>
      </c>
      <c r="J63" s="21">
        <v>2</v>
      </c>
      <c r="K63" s="21">
        <v>5</v>
      </c>
      <c r="L63" s="21">
        <v>2</v>
      </c>
      <c r="M63" s="21">
        <v>8</v>
      </c>
      <c r="N63" s="21">
        <v>6</v>
      </c>
      <c r="O63" s="21">
        <v>12</v>
      </c>
      <c r="P63" s="21">
        <v>17</v>
      </c>
      <c r="Q63" s="21">
        <v>3</v>
      </c>
      <c r="R63" s="21">
        <v>22</v>
      </c>
    </row>
    <row r="64" spans="1:18" s="20" customFormat="1" ht="14.25" customHeight="1" x14ac:dyDescent="0.2">
      <c r="A64" s="87"/>
      <c r="B64" s="30" t="s">
        <v>57</v>
      </c>
      <c r="C64" s="31" t="s">
        <v>225</v>
      </c>
      <c r="D64" s="21">
        <v>8</v>
      </c>
      <c r="E64" s="21">
        <v>3</v>
      </c>
      <c r="F64" s="21">
        <v>5</v>
      </c>
      <c r="G64" s="21">
        <v>1</v>
      </c>
      <c r="H64" s="21">
        <v>1</v>
      </c>
      <c r="I64" s="21">
        <v>0</v>
      </c>
      <c r="J64" s="21">
        <v>0</v>
      </c>
      <c r="K64" s="21">
        <v>1</v>
      </c>
      <c r="L64" s="21">
        <v>1</v>
      </c>
      <c r="M64" s="21">
        <v>0</v>
      </c>
      <c r="N64" s="21">
        <v>0</v>
      </c>
      <c r="O64" s="21">
        <v>1</v>
      </c>
      <c r="P64" s="21">
        <v>2</v>
      </c>
      <c r="Q64" s="21">
        <v>0</v>
      </c>
      <c r="R64" s="21">
        <v>1</v>
      </c>
    </row>
    <row r="65" spans="1:18" s="20" customFormat="1" ht="14.25" customHeight="1" x14ac:dyDescent="0.2">
      <c r="A65" s="64" t="s">
        <v>206</v>
      </c>
      <c r="B65" s="25" t="s">
        <v>55</v>
      </c>
      <c r="C65" s="26" t="s">
        <v>0</v>
      </c>
      <c r="D65" s="27">
        <v>71</v>
      </c>
      <c r="E65" s="27">
        <v>25</v>
      </c>
      <c r="F65" s="27">
        <v>46</v>
      </c>
      <c r="G65" s="27">
        <v>4</v>
      </c>
      <c r="H65" s="27">
        <v>2</v>
      </c>
      <c r="I65" s="27">
        <v>2</v>
      </c>
      <c r="J65" s="27">
        <v>7</v>
      </c>
      <c r="K65" s="27">
        <v>3</v>
      </c>
      <c r="L65" s="27">
        <v>9</v>
      </c>
      <c r="M65" s="27">
        <v>4</v>
      </c>
      <c r="N65" s="27">
        <v>3</v>
      </c>
      <c r="O65" s="27">
        <v>5</v>
      </c>
      <c r="P65" s="27">
        <v>10</v>
      </c>
      <c r="Q65" s="27">
        <v>7</v>
      </c>
      <c r="R65" s="27">
        <v>15</v>
      </c>
    </row>
    <row r="66" spans="1:18" s="20" customFormat="1" ht="14.25" customHeight="1" x14ac:dyDescent="0.2">
      <c r="A66" s="86" t="s">
        <v>17</v>
      </c>
      <c r="B66" s="28" t="s">
        <v>56</v>
      </c>
      <c r="C66" s="29" t="s">
        <v>2</v>
      </c>
      <c r="D66" s="21">
        <v>65</v>
      </c>
      <c r="E66" s="21">
        <v>24</v>
      </c>
      <c r="F66" s="21">
        <v>41</v>
      </c>
      <c r="G66" s="21">
        <v>3</v>
      </c>
      <c r="H66" s="21">
        <v>2</v>
      </c>
      <c r="I66" s="21">
        <v>2</v>
      </c>
      <c r="J66" s="21">
        <v>5</v>
      </c>
      <c r="K66" s="21">
        <v>3</v>
      </c>
      <c r="L66" s="21">
        <v>7</v>
      </c>
      <c r="M66" s="21">
        <v>4</v>
      </c>
      <c r="N66" s="21">
        <v>3</v>
      </c>
      <c r="O66" s="21">
        <v>5</v>
      </c>
      <c r="P66" s="21">
        <v>9</v>
      </c>
      <c r="Q66" s="21">
        <v>7</v>
      </c>
      <c r="R66" s="21">
        <v>15</v>
      </c>
    </row>
    <row r="67" spans="1:18" s="20" customFormat="1" ht="14.25" customHeight="1" x14ac:dyDescent="0.2">
      <c r="A67" s="87"/>
      <c r="B67" s="30" t="s">
        <v>57</v>
      </c>
      <c r="C67" s="31" t="s">
        <v>225</v>
      </c>
      <c r="D67" s="21">
        <v>6</v>
      </c>
      <c r="E67" s="21">
        <v>1</v>
      </c>
      <c r="F67" s="21">
        <v>5</v>
      </c>
      <c r="G67" s="21">
        <v>1</v>
      </c>
      <c r="H67" s="21">
        <v>0</v>
      </c>
      <c r="I67" s="21">
        <v>0</v>
      </c>
      <c r="J67" s="21">
        <v>2</v>
      </c>
      <c r="K67" s="21">
        <v>0</v>
      </c>
      <c r="L67" s="21">
        <v>2</v>
      </c>
      <c r="M67" s="21">
        <v>0</v>
      </c>
      <c r="N67" s="21">
        <v>0</v>
      </c>
      <c r="O67" s="21">
        <v>0</v>
      </c>
      <c r="P67" s="21">
        <v>1</v>
      </c>
      <c r="Q67" s="21">
        <v>0</v>
      </c>
      <c r="R67" s="21">
        <v>0</v>
      </c>
    </row>
    <row r="68" spans="1:18" s="20" customFormat="1" ht="14.25" customHeight="1" x14ac:dyDescent="0.2">
      <c r="A68" s="64" t="s">
        <v>207</v>
      </c>
      <c r="B68" s="25" t="s">
        <v>55</v>
      </c>
      <c r="C68" s="26" t="s">
        <v>0</v>
      </c>
      <c r="D68" s="27">
        <v>65</v>
      </c>
      <c r="E68" s="27">
        <v>28</v>
      </c>
      <c r="F68" s="27">
        <v>37</v>
      </c>
      <c r="G68" s="27">
        <v>9</v>
      </c>
      <c r="H68" s="27">
        <v>4</v>
      </c>
      <c r="I68" s="27">
        <v>3</v>
      </c>
      <c r="J68" s="27">
        <v>4</v>
      </c>
      <c r="K68" s="27">
        <v>7</v>
      </c>
      <c r="L68" s="27">
        <v>7</v>
      </c>
      <c r="M68" s="27">
        <v>3</v>
      </c>
      <c r="N68" s="27">
        <v>4</v>
      </c>
      <c r="O68" s="27">
        <v>3</v>
      </c>
      <c r="P68" s="27">
        <v>10</v>
      </c>
      <c r="Q68" s="27">
        <v>3</v>
      </c>
      <c r="R68" s="27">
        <v>8</v>
      </c>
    </row>
    <row r="69" spans="1:18" s="20" customFormat="1" ht="14.25" customHeight="1" x14ac:dyDescent="0.2">
      <c r="A69" s="86" t="s">
        <v>18</v>
      </c>
      <c r="B69" s="28" t="s">
        <v>56</v>
      </c>
      <c r="C69" s="29" t="s">
        <v>2</v>
      </c>
      <c r="D69" s="21">
        <v>65</v>
      </c>
      <c r="E69" s="21">
        <v>28</v>
      </c>
      <c r="F69" s="21">
        <v>37</v>
      </c>
      <c r="G69" s="21">
        <v>9</v>
      </c>
      <c r="H69" s="21">
        <v>4</v>
      </c>
      <c r="I69" s="21">
        <v>3</v>
      </c>
      <c r="J69" s="21">
        <v>4</v>
      </c>
      <c r="K69" s="21">
        <v>7</v>
      </c>
      <c r="L69" s="21">
        <v>7</v>
      </c>
      <c r="M69" s="21">
        <v>3</v>
      </c>
      <c r="N69" s="21">
        <v>4</v>
      </c>
      <c r="O69" s="21">
        <v>3</v>
      </c>
      <c r="P69" s="21">
        <v>10</v>
      </c>
      <c r="Q69" s="21">
        <v>3</v>
      </c>
      <c r="R69" s="21">
        <v>8</v>
      </c>
    </row>
    <row r="70" spans="1:18" s="20" customFormat="1" ht="14.25" customHeight="1" x14ac:dyDescent="0.2">
      <c r="A70" s="87"/>
      <c r="B70" s="30" t="s">
        <v>57</v>
      </c>
      <c r="C70" s="31" t="s">
        <v>225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</row>
    <row r="71" spans="1:18" s="20" customFormat="1" ht="14.25" customHeight="1" x14ac:dyDescent="0.2">
      <c r="A71" s="64" t="s">
        <v>208</v>
      </c>
      <c r="B71" s="25" t="s">
        <v>55</v>
      </c>
      <c r="C71" s="26" t="s">
        <v>0</v>
      </c>
      <c r="D71" s="27">
        <v>18</v>
      </c>
      <c r="E71" s="27">
        <v>9</v>
      </c>
      <c r="F71" s="27">
        <v>9</v>
      </c>
      <c r="G71" s="27">
        <v>3</v>
      </c>
      <c r="H71" s="27">
        <v>2</v>
      </c>
      <c r="I71" s="27">
        <v>2</v>
      </c>
      <c r="J71" s="27">
        <v>2</v>
      </c>
      <c r="K71" s="27">
        <v>1</v>
      </c>
      <c r="L71" s="27">
        <v>1</v>
      </c>
      <c r="M71" s="27">
        <v>2</v>
      </c>
      <c r="N71" s="27">
        <v>0</v>
      </c>
      <c r="O71" s="27">
        <v>1</v>
      </c>
      <c r="P71" s="27">
        <v>3</v>
      </c>
      <c r="Q71" s="27">
        <v>0</v>
      </c>
      <c r="R71" s="27">
        <v>1</v>
      </c>
    </row>
    <row r="72" spans="1:18" s="20" customFormat="1" ht="14.25" customHeight="1" x14ac:dyDescent="0.2">
      <c r="A72" s="86" t="s">
        <v>19</v>
      </c>
      <c r="B72" s="28" t="s">
        <v>56</v>
      </c>
      <c r="C72" s="29" t="s">
        <v>2</v>
      </c>
      <c r="D72" s="21">
        <v>14</v>
      </c>
      <c r="E72" s="21">
        <v>9</v>
      </c>
      <c r="F72" s="21">
        <v>5</v>
      </c>
      <c r="G72" s="21">
        <v>3</v>
      </c>
      <c r="H72" s="21">
        <v>0</v>
      </c>
      <c r="I72" s="21">
        <v>2</v>
      </c>
      <c r="J72" s="21">
        <v>2</v>
      </c>
      <c r="K72" s="21">
        <v>1</v>
      </c>
      <c r="L72" s="21">
        <v>0</v>
      </c>
      <c r="M72" s="21">
        <v>2</v>
      </c>
      <c r="N72" s="21">
        <v>0</v>
      </c>
      <c r="O72" s="21">
        <v>1</v>
      </c>
      <c r="P72" s="21">
        <v>2</v>
      </c>
      <c r="Q72" s="21">
        <v>0</v>
      </c>
      <c r="R72" s="21">
        <v>1</v>
      </c>
    </row>
    <row r="73" spans="1:18" s="20" customFormat="1" ht="14.25" customHeight="1" x14ac:dyDescent="0.2">
      <c r="A73" s="87"/>
      <c r="B73" s="30" t="s">
        <v>57</v>
      </c>
      <c r="C73" s="31" t="s">
        <v>225</v>
      </c>
      <c r="D73" s="21">
        <v>4</v>
      </c>
      <c r="E73" s="21">
        <v>0</v>
      </c>
      <c r="F73" s="21">
        <v>4</v>
      </c>
      <c r="G73" s="21">
        <v>0</v>
      </c>
      <c r="H73" s="21">
        <v>2</v>
      </c>
      <c r="I73" s="21">
        <v>0</v>
      </c>
      <c r="J73" s="21">
        <v>0</v>
      </c>
      <c r="K73" s="21">
        <v>0</v>
      </c>
      <c r="L73" s="21">
        <v>1</v>
      </c>
      <c r="M73" s="21">
        <v>0</v>
      </c>
      <c r="N73" s="21">
        <v>0</v>
      </c>
      <c r="O73" s="21">
        <v>0</v>
      </c>
      <c r="P73" s="21">
        <v>1</v>
      </c>
      <c r="Q73" s="21">
        <v>0</v>
      </c>
      <c r="R73" s="21">
        <v>0</v>
      </c>
    </row>
    <row r="74" spans="1:18" s="20" customFormat="1" ht="14.25" customHeight="1" x14ac:dyDescent="0.2">
      <c r="A74" s="64" t="s">
        <v>209</v>
      </c>
      <c r="B74" s="25" t="s">
        <v>55</v>
      </c>
      <c r="C74" s="26" t="s">
        <v>0</v>
      </c>
      <c r="D74" s="27">
        <v>1</v>
      </c>
      <c r="E74" s="27">
        <v>0</v>
      </c>
      <c r="F74" s="27">
        <v>1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1</v>
      </c>
      <c r="Q74" s="27">
        <v>0</v>
      </c>
      <c r="R74" s="27">
        <v>0</v>
      </c>
    </row>
    <row r="75" spans="1:18" s="20" customFormat="1" ht="14.25" customHeight="1" x14ac:dyDescent="0.2">
      <c r="A75" s="86" t="s">
        <v>20</v>
      </c>
      <c r="B75" s="28" t="s">
        <v>56</v>
      </c>
      <c r="C75" s="29" t="s">
        <v>2</v>
      </c>
      <c r="D75" s="21">
        <v>1</v>
      </c>
      <c r="E75" s="21">
        <v>0</v>
      </c>
      <c r="F75" s="21">
        <v>1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1</v>
      </c>
      <c r="Q75" s="21">
        <v>0</v>
      </c>
      <c r="R75" s="21">
        <v>0</v>
      </c>
    </row>
    <row r="76" spans="1:18" s="20" customFormat="1" ht="14.25" customHeight="1" x14ac:dyDescent="0.2">
      <c r="A76" s="87"/>
      <c r="B76" s="30" t="s">
        <v>57</v>
      </c>
      <c r="C76" s="31" t="s">
        <v>225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</row>
    <row r="77" spans="1:18" s="17" customFormat="1" ht="14.25" customHeight="1" x14ac:dyDescent="0.2">
      <c r="A77" s="17" t="s">
        <v>145</v>
      </c>
    </row>
    <row r="78" spans="1:18" s="17" customFormat="1" ht="14.25" customHeight="1" x14ac:dyDescent="0.2">
      <c r="A78" s="23" t="s">
        <v>146</v>
      </c>
    </row>
    <row r="79" spans="1:18" s="17" customFormat="1" ht="14.25" customHeight="1" x14ac:dyDescent="0.2">
      <c r="A79" s="4"/>
    </row>
    <row r="80" spans="1:18" s="17" customFormat="1" ht="14.25" customHeight="1" x14ac:dyDescent="0.2">
      <c r="A80" s="52" t="s">
        <v>234</v>
      </c>
    </row>
  </sheetData>
  <mergeCells count="47">
    <mergeCell ref="P6:P7"/>
    <mergeCell ref="E6:E7"/>
    <mergeCell ref="F6:F7"/>
    <mergeCell ref="G6:G7"/>
    <mergeCell ref="H6:H7"/>
    <mergeCell ref="Q6:Q7"/>
    <mergeCell ref="R6:R7"/>
    <mergeCell ref="A9:A10"/>
    <mergeCell ref="M6:M7"/>
    <mergeCell ref="N6:N7"/>
    <mergeCell ref="A4:C7"/>
    <mergeCell ref="D4:R4"/>
    <mergeCell ref="D5:F5"/>
    <mergeCell ref="G5:H5"/>
    <mergeCell ref="I5:J5"/>
    <mergeCell ref="K5:L5"/>
    <mergeCell ref="M5:N5"/>
    <mergeCell ref="O5:P5"/>
    <mergeCell ref="Q5:R5"/>
    <mergeCell ref="D6:D7"/>
    <mergeCell ref="O6:O7"/>
    <mergeCell ref="A12:A13"/>
    <mergeCell ref="A15:A16"/>
    <mergeCell ref="A18:A19"/>
    <mergeCell ref="K6:K7"/>
    <mergeCell ref="L6:L7"/>
    <mergeCell ref="I6:I7"/>
    <mergeCell ref="J6:J7"/>
    <mergeCell ref="A21:A22"/>
    <mergeCell ref="A24:A25"/>
    <mergeCell ref="A27:A28"/>
    <mergeCell ref="A30:A31"/>
    <mergeCell ref="A33:A34"/>
    <mergeCell ref="A36:A37"/>
    <mergeCell ref="A39:A40"/>
    <mergeCell ref="A42:A43"/>
    <mergeCell ref="A45:A46"/>
    <mergeCell ref="A48:A49"/>
    <mergeCell ref="A51:A52"/>
    <mergeCell ref="A72:A73"/>
    <mergeCell ref="A75:A76"/>
    <mergeCell ref="A54:A55"/>
    <mergeCell ref="A57:A58"/>
    <mergeCell ref="A60:A61"/>
    <mergeCell ref="A63:A64"/>
    <mergeCell ref="A66:A67"/>
    <mergeCell ref="A69:A70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 alignWithMargins="0">
    <oddHeader>&amp;L&amp;"微軟正黑體,標準"&amp;16兒童及少年保護執行概況&amp;C&amp;"微軟正黑體,標準"&amp;16
&amp;R&amp;"微軟正黑體,標準"本表共&amp;N頁，第&amp;P頁</oddHeader>
  </headerFooter>
  <rowBreaks count="1" manualBreakCount="1">
    <brk id="43" max="17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20"/>
  <sheetViews>
    <sheetView zoomScaleNormal="100" zoomScaleSheetLayoutView="100" workbookViewId="0">
      <pane xSplit="4" ySplit="8" topLeftCell="E9" activePane="bottomRight" state="frozen"/>
      <selection activeCell="X59" sqref="X59"/>
      <selection pane="topRight" activeCell="X59" sqref="X59"/>
      <selection pane="bottomLeft" activeCell="X59" sqref="X59"/>
      <selection pane="bottomRight" activeCell="B220" sqref="A82:XFD220"/>
    </sheetView>
  </sheetViews>
  <sheetFormatPr defaultColWidth="5.5" defaultRowHeight="11.1" customHeight="1" x14ac:dyDescent="0.2"/>
  <cols>
    <col min="1" max="1" width="19.1640625" style="4" customWidth="1"/>
    <col min="2" max="2" width="10.33203125" style="4" customWidth="1"/>
    <col min="3" max="3" width="13.1640625" style="4" customWidth="1"/>
    <col min="4" max="18" width="11.5" style="4" customWidth="1"/>
    <col min="19" max="16384" width="5.5" style="4"/>
  </cols>
  <sheetData>
    <row r="1" spans="1:18" ht="20.25" customHeight="1" x14ac:dyDescent="0.2">
      <c r="A1" s="46" t="s">
        <v>175</v>
      </c>
      <c r="B1" s="1"/>
      <c r="C1" s="1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4.25" customHeight="1" x14ac:dyDescent="0.2">
      <c r="A2" s="17" t="s">
        <v>148</v>
      </c>
      <c r="B2"/>
      <c r="C2"/>
      <c r="D2" s="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</row>
    <row r="3" spans="1:18" s="17" customFormat="1" ht="12.75" customHeight="1" x14ac:dyDescent="0.2">
      <c r="A3" s="53" t="s">
        <v>231</v>
      </c>
      <c r="B3" s="16"/>
      <c r="C3" s="16"/>
      <c r="D3" s="4" t="str">
        <f>IF(D8=SUM(D11,D14,D17,D20,D23,D26,D29,D32,D35,D38,D41,D44,D47,D50,D53,D56,D59,D62,D65,D68,D71,D74,),"","*")</f>
        <v/>
      </c>
      <c r="E3" s="4" t="str">
        <f t="shared" ref="E3:R3" si="0">IF(E8=SUM(E11,E14,E17,E20,E23,E26,E29,E32,E35,E38,E41,E44,E47,E50,E53,E56,E59,E62,E65,E68,E71,E74,),"","*")</f>
        <v/>
      </c>
      <c r="F3" s="4" t="str">
        <f t="shared" si="0"/>
        <v/>
      </c>
      <c r="G3" s="4" t="str">
        <f t="shared" si="0"/>
        <v/>
      </c>
      <c r="H3" s="4" t="str">
        <f t="shared" si="0"/>
        <v/>
      </c>
      <c r="I3" s="4" t="str">
        <f t="shared" si="0"/>
        <v/>
      </c>
      <c r="J3" s="4" t="str">
        <f t="shared" si="0"/>
        <v/>
      </c>
      <c r="K3" s="4" t="str">
        <f t="shared" si="0"/>
        <v/>
      </c>
      <c r="L3" s="4" t="str">
        <f t="shared" si="0"/>
        <v/>
      </c>
      <c r="M3" s="4" t="str">
        <f t="shared" si="0"/>
        <v/>
      </c>
      <c r="N3" s="4" t="str">
        <f t="shared" si="0"/>
        <v/>
      </c>
      <c r="O3" s="4" t="str">
        <f t="shared" si="0"/>
        <v/>
      </c>
      <c r="P3" s="4" t="str">
        <f t="shared" si="0"/>
        <v/>
      </c>
      <c r="Q3" s="4" t="str">
        <f t="shared" si="0"/>
        <v/>
      </c>
      <c r="R3" s="4" t="str">
        <f t="shared" si="0"/>
        <v/>
      </c>
    </row>
    <row r="4" spans="1:18" s="18" customFormat="1" ht="15.6" customHeight="1" x14ac:dyDescent="0.2">
      <c r="A4" s="94" t="s">
        <v>42</v>
      </c>
      <c r="B4" s="95"/>
      <c r="C4" s="96"/>
      <c r="D4" s="76" t="s">
        <v>43</v>
      </c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</row>
    <row r="5" spans="1:18" s="18" customFormat="1" ht="28.9" customHeight="1" x14ac:dyDescent="0.2">
      <c r="A5" s="97"/>
      <c r="B5" s="98"/>
      <c r="C5" s="99"/>
      <c r="D5" s="78" t="s">
        <v>44</v>
      </c>
      <c r="E5" s="79"/>
      <c r="F5" s="80"/>
      <c r="G5" s="103" t="s">
        <v>45</v>
      </c>
      <c r="H5" s="104"/>
      <c r="I5" s="103" t="s">
        <v>46</v>
      </c>
      <c r="J5" s="104"/>
      <c r="K5" s="103" t="s">
        <v>47</v>
      </c>
      <c r="L5" s="104"/>
      <c r="M5" s="103" t="s">
        <v>48</v>
      </c>
      <c r="N5" s="104"/>
      <c r="O5" s="103" t="s">
        <v>49</v>
      </c>
      <c r="P5" s="104"/>
      <c r="Q5" s="103" t="s">
        <v>50</v>
      </c>
      <c r="R5" s="105"/>
    </row>
    <row r="6" spans="1:18" s="18" customFormat="1" ht="12.75" x14ac:dyDescent="0.2">
      <c r="A6" s="97"/>
      <c r="B6" s="98"/>
      <c r="C6" s="99"/>
      <c r="D6" s="72" t="s">
        <v>51</v>
      </c>
      <c r="E6" s="92" t="s">
        <v>52</v>
      </c>
      <c r="F6" s="90" t="s">
        <v>53</v>
      </c>
      <c r="G6" s="90" t="s">
        <v>52</v>
      </c>
      <c r="H6" s="90" t="s">
        <v>53</v>
      </c>
      <c r="I6" s="90" t="s">
        <v>52</v>
      </c>
      <c r="J6" s="90" t="s">
        <v>53</v>
      </c>
      <c r="K6" s="90" t="s">
        <v>52</v>
      </c>
      <c r="L6" s="90" t="s">
        <v>53</v>
      </c>
      <c r="M6" s="90" t="s">
        <v>52</v>
      </c>
      <c r="N6" s="90" t="s">
        <v>53</v>
      </c>
      <c r="O6" s="90" t="s">
        <v>52</v>
      </c>
      <c r="P6" s="90" t="s">
        <v>53</v>
      </c>
      <c r="Q6" s="90" t="s">
        <v>52</v>
      </c>
      <c r="R6" s="94" t="s">
        <v>53</v>
      </c>
    </row>
    <row r="7" spans="1:18" s="19" customFormat="1" ht="12.75" x14ac:dyDescent="0.2">
      <c r="A7" s="100"/>
      <c r="B7" s="101"/>
      <c r="C7" s="102"/>
      <c r="D7" s="75"/>
      <c r="E7" s="93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100"/>
    </row>
    <row r="8" spans="1:18" s="59" customFormat="1" ht="18" customHeight="1" x14ac:dyDescent="0.2">
      <c r="A8" s="63" t="s">
        <v>186</v>
      </c>
      <c r="B8" s="56" t="s">
        <v>187</v>
      </c>
      <c r="C8" s="57" t="s">
        <v>0</v>
      </c>
      <c r="D8" s="58">
        <v>5352</v>
      </c>
      <c r="E8" s="58">
        <v>2421</v>
      </c>
      <c r="F8" s="58">
        <v>2931</v>
      </c>
      <c r="G8" s="58">
        <v>316</v>
      </c>
      <c r="H8" s="58">
        <v>237</v>
      </c>
      <c r="I8" s="58">
        <v>388</v>
      </c>
      <c r="J8" s="58">
        <v>275</v>
      </c>
      <c r="K8" s="58">
        <v>571</v>
      </c>
      <c r="L8" s="58">
        <v>383</v>
      </c>
      <c r="M8" s="58">
        <v>525</v>
      </c>
      <c r="N8" s="58">
        <v>377</v>
      </c>
      <c r="O8" s="58">
        <v>427</v>
      </c>
      <c r="P8" s="58">
        <v>919</v>
      </c>
      <c r="Q8" s="58">
        <v>194</v>
      </c>
      <c r="R8" s="58">
        <v>740</v>
      </c>
    </row>
    <row r="9" spans="1:18" s="59" customFormat="1" ht="14.25" customHeight="1" x14ac:dyDescent="0.2">
      <c r="A9" s="88" t="s">
        <v>1</v>
      </c>
      <c r="B9" s="60" t="s">
        <v>188</v>
      </c>
      <c r="C9" s="61" t="s">
        <v>2</v>
      </c>
      <c r="D9" s="62">
        <v>4867</v>
      </c>
      <c r="E9" s="62">
        <v>2222</v>
      </c>
      <c r="F9" s="62">
        <v>2645</v>
      </c>
      <c r="G9" s="62">
        <v>298</v>
      </c>
      <c r="H9" s="62">
        <v>220</v>
      </c>
      <c r="I9" s="62">
        <v>344</v>
      </c>
      <c r="J9" s="62">
        <v>249</v>
      </c>
      <c r="K9" s="62">
        <v>522</v>
      </c>
      <c r="L9" s="62">
        <v>350</v>
      </c>
      <c r="M9" s="62">
        <v>485</v>
      </c>
      <c r="N9" s="62">
        <v>344</v>
      </c>
      <c r="O9" s="62">
        <v>393</v>
      </c>
      <c r="P9" s="62">
        <v>820</v>
      </c>
      <c r="Q9" s="62">
        <v>180</v>
      </c>
      <c r="R9" s="62">
        <v>662</v>
      </c>
    </row>
    <row r="10" spans="1:18" s="59" customFormat="1" ht="14.25" customHeight="1" x14ac:dyDescent="0.2">
      <c r="A10" s="89"/>
      <c r="B10" s="60" t="s">
        <v>189</v>
      </c>
      <c r="C10" s="61" t="s">
        <v>225</v>
      </c>
      <c r="D10" s="62">
        <v>485</v>
      </c>
      <c r="E10" s="62">
        <v>199</v>
      </c>
      <c r="F10" s="62">
        <v>286</v>
      </c>
      <c r="G10" s="62">
        <v>18</v>
      </c>
      <c r="H10" s="62">
        <v>17</v>
      </c>
      <c r="I10" s="62">
        <v>44</v>
      </c>
      <c r="J10" s="62">
        <v>26</v>
      </c>
      <c r="K10" s="62">
        <v>49</v>
      </c>
      <c r="L10" s="62">
        <v>33</v>
      </c>
      <c r="M10" s="62">
        <v>40</v>
      </c>
      <c r="N10" s="62">
        <v>33</v>
      </c>
      <c r="O10" s="62">
        <v>34</v>
      </c>
      <c r="P10" s="62">
        <v>99</v>
      </c>
      <c r="Q10" s="62">
        <v>14</v>
      </c>
      <c r="R10" s="62">
        <v>78</v>
      </c>
    </row>
    <row r="11" spans="1:18" s="20" customFormat="1" ht="14.25" customHeight="1" x14ac:dyDescent="0.2">
      <c r="A11" s="64" t="s">
        <v>210</v>
      </c>
      <c r="B11" s="25" t="s">
        <v>55</v>
      </c>
      <c r="C11" s="26" t="s">
        <v>0</v>
      </c>
      <c r="D11" s="27">
        <v>1151</v>
      </c>
      <c r="E11" s="27">
        <v>500</v>
      </c>
      <c r="F11" s="27">
        <v>651</v>
      </c>
      <c r="G11" s="27">
        <v>44</v>
      </c>
      <c r="H11" s="27">
        <v>18</v>
      </c>
      <c r="I11" s="27">
        <v>60</v>
      </c>
      <c r="J11" s="27">
        <v>37</v>
      </c>
      <c r="K11" s="27">
        <v>139</v>
      </c>
      <c r="L11" s="27">
        <v>94</v>
      </c>
      <c r="M11" s="27">
        <v>138</v>
      </c>
      <c r="N11" s="27">
        <v>108</v>
      </c>
      <c r="O11" s="27">
        <v>85</v>
      </c>
      <c r="P11" s="27">
        <v>214</v>
      </c>
      <c r="Q11" s="27">
        <v>34</v>
      </c>
      <c r="R11" s="27">
        <v>180</v>
      </c>
    </row>
    <row r="12" spans="1:18" s="20" customFormat="1" ht="14.25" customHeight="1" x14ac:dyDescent="0.2">
      <c r="A12" s="86" t="s">
        <v>3</v>
      </c>
      <c r="B12" s="28" t="s">
        <v>56</v>
      </c>
      <c r="C12" s="29" t="s">
        <v>2</v>
      </c>
      <c r="D12" s="21">
        <v>1095</v>
      </c>
      <c r="E12" s="21">
        <v>480</v>
      </c>
      <c r="F12" s="21">
        <v>615</v>
      </c>
      <c r="G12" s="21">
        <v>44</v>
      </c>
      <c r="H12" s="21">
        <v>17</v>
      </c>
      <c r="I12" s="21">
        <v>56</v>
      </c>
      <c r="J12" s="21">
        <v>33</v>
      </c>
      <c r="K12" s="21">
        <v>135</v>
      </c>
      <c r="L12" s="21">
        <v>89</v>
      </c>
      <c r="M12" s="21">
        <v>129</v>
      </c>
      <c r="N12" s="21">
        <v>104</v>
      </c>
      <c r="O12" s="21">
        <v>83</v>
      </c>
      <c r="P12" s="21">
        <v>203</v>
      </c>
      <c r="Q12" s="21">
        <v>33</v>
      </c>
      <c r="R12" s="21">
        <v>169</v>
      </c>
    </row>
    <row r="13" spans="1:18" s="20" customFormat="1" ht="14.25" customHeight="1" x14ac:dyDescent="0.2">
      <c r="A13" s="87"/>
      <c r="B13" s="28" t="s">
        <v>57</v>
      </c>
      <c r="C13" s="29" t="s">
        <v>225</v>
      </c>
      <c r="D13" s="21">
        <v>56</v>
      </c>
      <c r="E13" s="21">
        <v>20</v>
      </c>
      <c r="F13" s="21">
        <v>36</v>
      </c>
      <c r="G13" s="21">
        <v>0</v>
      </c>
      <c r="H13" s="21">
        <v>1</v>
      </c>
      <c r="I13" s="21">
        <v>4</v>
      </c>
      <c r="J13" s="21">
        <v>4</v>
      </c>
      <c r="K13" s="21">
        <v>4</v>
      </c>
      <c r="L13" s="21">
        <v>5</v>
      </c>
      <c r="M13" s="21">
        <v>9</v>
      </c>
      <c r="N13" s="21">
        <v>4</v>
      </c>
      <c r="O13" s="21">
        <v>2</v>
      </c>
      <c r="P13" s="21">
        <v>11</v>
      </c>
      <c r="Q13" s="21">
        <v>1</v>
      </c>
      <c r="R13" s="21">
        <v>11</v>
      </c>
    </row>
    <row r="14" spans="1:18" s="20" customFormat="1" ht="14.25" customHeight="1" x14ac:dyDescent="0.2">
      <c r="A14" s="64" t="s">
        <v>211</v>
      </c>
      <c r="B14" s="25" t="s">
        <v>55</v>
      </c>
      <c r="C14" s="26" t="s">
        <v>0</v>
      </c>
      <c r="D14" s="27">
        <v>519</v>
      </c>
      <c r="E14" s="27">
        <v>263</v>
      </c>
      <c r="F14" s="27">
        <v>256</v>
      </c>
      <c r="G14" s="27">
        <v>38</v>
      </c>
      <c r="H14" s="27">
        <v>31</v>
      </c>
      <c r="I14" s="27">
        <v>52</v>
      </c>
      <c r="J14" s="27">
        <v>27</v>
      </c>
      <c r="K14" s="27">
        <v>53</v>
      </c>
      <c r="L14" s="27">
        <v>37</v>
      </c>
      <c r="M14" s="27">
        <v>55</v>
      </c>
      <c r="N14" s="27">
        <v>24</v>
      </c>
      <c r="O14" s="27">
        <v>47</v>
      </c>
      <c r="P14" s="27">
        <v>78</v>
      </c>
      <c r="Q14" s="27">
        <v>18</v>
      </c>
      <c r="R14" s="27">
        <v>59</v>
      </c>
    </row>
    <row r="15" spans="1:18" s="20" customFormat="1" ht="14.25" customHeight="1" x14ac:dyDescent="0.2">
      <c r="A15" s="86" t="s">
        <v>4</v>
      </c>
      <c r="B15" s="28" t="s">
        <v>56</v>
      </c>
      <c r="C15" s="29" t="s">
        <v>2</v>
      </c>
      <c r="D15" s="21">
        <v>510</v>
      </c>
      <c r="E15" s="21">
        <v>258</v>
      </c>
      <c r="F15" s="21">
        <v>252</v>
      </c>
      <c r="G15" s="21">
        <v>38</v>
      </c>
      <c r="H15" s="21">
        <v>31</v>
      </c>
      <c r="I15" s="21">
        <v>50</v>
      </c>
      <c r="J15" s="21">
        <v>27</v>
      </c>
      <c r="K15" s="21">
        <v>51</v>
      </c>
      <c r="L15" s="21">
        <v>35</v>
      </c>
      <c r="M15" s="21">
        <v>54</v>
      </c>
      <c r="N15" s="21">
        <v>24</v>
      </c>
      <c r="O15" s="21">
        <v>47</v>
      </c>
      <c r="P15" s="21">
        <v>77</v>
      </c>
      <c r="Q15" s="21">
        <v>18</v>
      </c>
      <c r="R15" s="21">
        <v>58</v>
      </c>
    </row>
    <row r="16" spans="1:18" s="20" customFormat="1" ht="14.25" customHeight="1" x14ac:dyDescent="0.2">
      <c r="A16" s="87"/>
      <c r="B16" s="30" t="s">
        <v>57</v>
      </c>
      <c r="C16" s="31" t="s">
        <v>225</v>
      </c>
      <c r="D16" s="21">
        <v>9</v>
      </c>
      <c r="E16" s="21">
        <v>5</v>
      </c>
      <c r="F16" s="21">
        <v>4</v>
      </c>
      <c r="G16" s="21">
        <v>0</v>
      </c>
      <c r="H16" s="21">
        <v>0</v>
      </c>
      <c r="I16" s="21">
        <v>2</v>
      </c>
      <c r="J16" s="21">
        <v>0</v>
      </c>
      <c r="K16" s="21">
        <v>2</v>
      </c>
      <c r="L16" s="21">
        <v>2</v>
      </c>
      <c r="M16" s="21">
        <v>1</v>
      </c>
      <c r="N16" s="21">
        <v>0</v>
      </c>
      <c r="O16" s="21">
        <v>0</v>
      </c>
      <c r="P16" s="21">
        <v>1</v>
      </c>
      <c r="Q16" s="21">
        <v>0</v>
      </c>
      <c r="R16" s="21">
        <v>1</v>
      </c>
    </row>
    <row r="17" spans="1:18" s="20" customFormat="1" ht="14.25" customHeight="1" x14ac:dyDescent="0.2">
      <c r="A17" s="64" t="s">
        <v>212</v>
      </c>
      <c r="B17" s="25" t="s">
        <v>55</v>
      </c>
      <c r="C17" s="26" t="s">
        <v>0</v>
      </c>
      <c r="D17" s="27">
        <v>424</v>
      </c>
      <c r="E17" s="27">
        <v>200</v>
      </c>
      <c r="F17" s="27">
        <v>224</v>
      </c>
      <c r="G17" s="27">
        <v>15</v>
      </c>
      <c r="H17" s="27">
        <v>8</v>
      </c>
      <c r="I17" s="27">
        <v>35</v>
      </c>
      <c r="J17" s="27">
        <v>18</v>
      </c>
      <c r="K17" s="27">
        <v>58</v>
      </c>
      <c r="L17" s="27">
        <v>33</v>
      </c>
      <c r="M17" s="27">
        <v>51</v>
      </c>
      <c r="N17" s="27">
        <v>38</v>
      </c>
      <c r="O17" s="27">
        <v>30</v>
      </c>
      <c r="P17" s="27">
        <v>66</v>
      </c>
      <c r="Q17" s="27">
        <v>11</v>
      </c>
      <c r="R17" s="27">
        <v>61</v>
      </c>
    </row>
    <row r="18" spans="1:18" s="20" customFormat="1" ht="14.25" customHeight="1" x14ac:dyDescent="0.2">
      <c r="A18" s="86" t="s">
        <v>25</v>
      </c>
      <c r="B18" s="28" t="s">
        <v>56</v>
      </c>
      <c r="C18" s="29" t="s">
        <v>2</v>
      </c>
      <c r="D18" s="21">
        <v>363</v>
      </c>
      <c r="E18" s="21">
        <v>172</v>
      </c>
      <c r="F18" s="21">
        <v>191</v>
      </c>
      <c r="G18" s="21">
        <v>12</v>
      </c>
      <c r="H18" s="21">
        <v>8</v>
      </c>
      <c r="I18" s="21">
        <v>27</v>
      </c>
      <c r="J18" s="21">
        <v>14</v>
      </c>
      <c r="K18" s="21">
        <v>47</v>
      </c>
      <c r="L18" s="21">
        <v>30</v>
      </c>
      <c r="M18" s="21">
        <v>47</v>
      </c>
      <c r="N18" s="21">
        <v>35</v>
      </c>
      <c r="O18" s="21">
        <v>28</v>
      </c>
      <c r="P18" s="21">
        <v>50</v>
      </c>
      <c r="Q18" s="21">
        <v>11</v>
      </c>
      <c r="R18" s="21">
        <v>54</v>
      </c>
    </row>
    <row r="19" spans="1:18" s="20" customFormat="1" ht="14.25" customHeight="1" x14ac:dyDescent="0.2">
      <c r="A19" s="87"/>
      <c r="B19" s="30" t="s">
        <v>57</v>
      </c>
      <c r="C19" s="31" t="s">
        <v>225</v>
      </c>
      <c r="D19" s="21">
        <v>61</v>
      </c>
      <c r="E19" s="21">
        <v>28</v>
      </c>
      <c r="F19" s="21">
        <v>33</v>
      </c>
      <c r="G19" s="21">
        <v>3</v>
      </c>
      <c r="H19" s="21">
        <v>0</v>
      </c>
      <c r="I19" s="21">
        <v>8</v>
      </c>
      <c r="J19" s="21">
        <v>4</v>
      </c>
      <c r="K19" s="21">
        <v>11</v>
      </c>
      <c r="L19" s="21">
        <v>3</v>
      </c>
      <c r="M19" s="21">
        <v>4</v>
      </c>
      <c r="N19" s="21">
        <v>3</v>
      </c>
      <c r="O19" s="21">
        <v>2</v>
      </c>
      <c r="P19" s="21">
        <v>16</v>
      </c>
      <c r="Q19" s="21">
        <v>0</v>
      </c>
      <c r="R19" s="21">
        <v>7</v>
      </c>
    </row>
    <row r="20" spans="1:18" s="20" customFormat="1" ht="14.25" customHeight="1" x14ac:dyDescent="0.2">
      <c r="A20" s="64" t="s">
        <v>213</v>
      </c>
      <c r="B20" s="25" t="s">
        <v>55</v>
      </c>
      <c r="C20" s="26" t="s">
        <v>0</v>
      </c>
      <c r="D20" s="27">
        <v>709</v>
      </c>
      <c r="E20" s="27">
        <v>358</v>
      </c>
      <c r="F20" s="27">
        <v>351</v>
      </c>
      <c r="G20" s="27">
        <v>57</v>
      </c>
      <c r="H20" s="27">
        <v>41</v>
      </c>
      <c r="I20" s="27">
        <v>47</v>
      </c>
      <c r="J20" s="27">
        <v>32</v>
      </c>
      <c r="K20" s="27">
        <v>77</v>
      </c>
      <c r="L20" s="27">
        <v>46</v>
      </c>
      <c r="M20" s="27">
        <v>76</v>
      </c>
      <c r="N20" s="27">
        <v>42</v>
      </c>
      <c r="O20" s="27">
        <v>66</v>
      </c>
      <c r="P20" s="27">
        <v>110</v>
      </c>
      <c r="Q20" s="27">
        <v>35</v>
      </c>
      <c r="R20" s="27">
        <v>80</v>
      </c>
    </row>
    <row r="21" spans="1:18" s="20" customFormat="1" ht="14.25" customHeight="1" x14ac:dyDescent="0.2">
      <c r="A21" s="86" t="s">
        <v>21</v>
      </c>
      <c r="B21" s="28" t="s">
        <v>56</v>
      </c>
      <c r="C21" s="29" t="s">
        <v>2</v>
      </c>
      <c r="D21" s="21">
        <v>658</v>
      </c>
      <c r="E21" s="21">
        <v>330</v>
      </c>
      <c r="F21" s="21">
        <v>328</v>
      </c>
      <c r="G21" s="21">
        <v>54</v>
      </c>
      <c r="H21" s="21">
        <v>39</v>
      </c>
      <c r="I21" s="21">
        <v>44</v>
      </c>
      <c r="J21" s="21">
        <v>27</v>
      </c>
      <c r="K21" s="21">
        <v>69</v>
      </c>
      <c r="L21" s="21">
        <v>41</v>
      </c>
      <c r="M21" s="21">
        <v>72</v>
      </c>
      <c r="N21" s="21">
        <v>39</v>
      </c>
      <c r="O21" s="21">
        <v>61</v>
      </c>
      <c r="P21" s="21">
        <v>106</v>
      </c>
      <c r="Q21" s="21">
        <v>30</v>
      </c>
      <c r="R21" s="21">
        <v>76</v>
      </c>
    </row>
    <row r="22" spans="1:18" s="20" customFormat="1" ht="14.25" customHeight="1" x14ac:dyDescent="0.2">
      <c r="A22" s="87"/>
      <c r="B22" s="30" t="s">
        <v>57</v>
      </c>
      <c r="C22" s="31" t="s">
        <v>225</v>
      </c>
      <c r="D22" s="21">
        <v>51</v>
      </c>
      <c r="E22" s="21">
        <v>28</v>
      </c>
      <c r="F22" s="21">
        <v>23</v>
      </c>
      <c r="G22" s="21">
        <v>3</v>
      </c>
      <c r="H22" s="21">
        <v>2</v>
      </c>
      <c r="I22" s="21">
        <v>3</v>
      </c>
      <c r="J22" s="21">
        <v>5</v>
      </c>
      <c r="K22" s="21">
        <v>8</v>
      </c>
      <c r="L22" s="21">
        <v>5</v>
      </c>
      <c r="M22" s="21">
        <v>4</v>
      </c>
      <c r="N22" s="21">
        <v>3</v>
      </c>
      <c r="O22" s="21">
        <v>5</v>
      </c>
      <c r="P22" s="21">
        <v>4</v>
      </c>
      <c r="Q22" s="21">
        <v>5</v>
      </c>
      <c r="R22" s="21">
        <v>4</v>
      </c>
    </row>
    <row r="23" spans="1:18" s="20" customFormat="1" ht="14.25" customHeight="1" x14ac:dyDescent="0.2">
      <c r="A23" s="64" t="s">
        <v>214</v>
      </c>
      <c r="B23" s="25" t="s">
        <v>55</v>
      </c>
      <c r="C23" s="26" t="s">
        <v>0</v>
      </c>
      <c r="D23" s="27">
        <v>319</v>
      </c>
      <c r="E23" s="27">
        <v>164</v>
      </c>
      <c r="F23" s="27">
        <v>155</v>
      </c>
      <c r="G23" s="27">
        <v>29</v>
      </c>
      <c r="H23" s="27">
        <v>19</v>
      </c>
      <c r="I23" s="27">
        <v>35</v>
      </c>
      <c r="J23" s="27">
        <v>19</v>
      </c>
      <c r="K23" s="27">
        <v>42</v>
      </c>
      <c r="L23" s="27">
        <v>26</v>
      </c>
      <c r="M23" s="27">
        <v>36</v>
      </c>
      <c r="N23" s="27">
        <v>15</v>
      </c>
      <c r="O23" s="27">
        <v>16</v>
      </c>
      <c r="P23" s="27">
        <v>52</v>
      </c>
      <c r="Q23" s="27">
        <v>6</v>
      </c>
      <c r="R23" s="27">
        <v>24</v>
      </c>
    </row>
    <row r="24" spans="1:18" s="20" customFormat="1" ht="14.25" customHeight="1" x14ac:dyDescent="0.2">
      <c r="A24" s="86" t="s">
        <v>22</v>
      </c>
      <c r="B24" s="28" t="s">
        <v>56</v>
      </c>
      <c r="C24" s="29" t="s">
        <v>2</v>
      </c>
      <c r="D24" s="21">
        <v>304</v>
      </c>
      <c r="E24" s="21">
        <v>153</v>
      </c>
      <c r="F24" s="21">
        <v>151</v>
      </c>
      <c r="G24" s="21">
        <v>27</v>
      </c>
      <c r="H24" s="21">
        <v>19</v>
      </c>
      <c r="I24" s="21">
        <v>32</v>
      </c>
      <c r="J24" s="21">
        <v>18</v>
      </c>
      <c r="K24" s="21">
        <v>40</v>
      </c>
      <c r="L24" s="21">
        <v>26</v>
      </c>
      <c r="M24" s="21">
        <v>32</v>
      </c>
      <c r="N24" s="21">
        <v>15</v>
      </c>
      <c r="O24" s="21">
        <v>16</v>
      </c>
      <c r="P24" s="21">
        <v>51</v>
      </c>
      <c r="Q24" s="21">
        <v>6</v>
      </c>
      <c r="R24" s="21">
        <v>22</v>
      </c>
    </row>
    <row r="25" spans="1:18" s="20" customFormat="1" ht="14.25" customHeight="1" x14ac:dyDescent="0.2">
      <c r="A25" s="87"/>
      <c r="B25" s="30" t="s">
        <v>57</v>
      </c>
      <c r="C25" s="31" t="s">
        <v>225</v>
      </c>
      <c r="D25" s="21">
        <v>15</v>
      </c>
      <c r="E25" s="21">
        <v>11</v>
      </c>
      <c r="F25" s="21">
        <v>4</v>
      </c>
      <c r="G25" s="21">
        <v>2</v>
      </c>
      <c r="H25" s="21">
        <v>0</v>
      </c>
      <c r="I25" s="21">
        <v>3</v>
      </c>
      <c r="J25" s="21">
        <v>1</v>
      </c>
      <c r="K25" s="21">
        <v>2</v>
      </c>
      <c r="L25" s="21">
        <v>0</v>
      </c>
      <c r="M25" s="21">
        <v>4</v>
      </c>
      <c r="N25" s="21">
        <v>0</v>
      </c>
      <c r="O25" s="21">
        <v>0</v>
      </c>
      <c r="P25" s="21">
        <v>1</v>
      </c>
      <c r="Q25" s="21">
        <v>0</v>
      </c>
      <c r="R25" s="21">
        <v>2</v>
      </c>
    </row>
    <row r="26" spans="1:18" s="20" customFormat="1" ht="14.25" customHeight="1" x14ac:dyDescent="0.2">
      <c r="A26" s="64" t="s">
        <v>215</v>
      </c>
      <c r="B26" s="25" t="s">
        <v>55</v>
      </c>
      <c r="C26" s="26" t="s">
        <v>0</v>
      </c>
      <c r="D26" s="27">
        <v>682</v>
      </c>
      <c r="E26" s="27">
        <v>316</v>
      </c>
      <c r="F26" s="27">
        <v>366</v>
      </c>
      <c r="G26" s="27">
        <v>32</v>
      </c>
      <c r="H26" s="27">
        <v>28</v>
      </c>
      <c r="I26" s="27">
        <v>65</v>
      </c>
      <c r="J26" s="27">
        <v>44</v>
      </c>
      <c r="K26" s="27">
        <v>85</v>
      </c>
      <c r="L26" s="27">
        <v>48</v>
      </c>
      <c r="M26" s="27">
        <v>60</v>
      </c>
      <c r="N26" s="27">
        <v>50</v>
      </c>
      <c r="O26" s="27">
        <v>52</v>
      </c>
      <c r="P26" s="27">
        <v>116</v>
      </c>
      <c r="Q26" s="27">
        <v>22</v>
      </c>
      <c r="R26" s="27">
        <v>80</v>
      </c>
    </row>
    <row r="27" spans="1:18" s="20" customFormat="1" ht="14.25" customHeight="1" x14ac:dyDescent="0.2">
      <c r="A27" s="86" t="s">
        <v>23</v>
      </c>
      <c r="B27" s="28" t="s">
        <v>56</v>
      </c>
      <c r="C27" s="29" t="s">
        <v>2</v>
      </c>
      <c r="D27" s="21">
        <v>636</v>
      </c>
      <c r="E27" s="21">
        <v>297</v>
      </c>
      <c r="F27" s="21">
        <v>339</v>
      </c>
      <c r="G27" s="21">
        <v>31</v>
      </c>
      <c r="H27" s="21">
        <v>26</v>
      </c>
      <c r="I27" s="21">
        <v>59</v>
      </c>
      <c r="J27" s="21">
        <v>40</v>
      </c>
      <c r="K27" s="21">
        <v>80</v>
      </c>
      <c r="L27" s="21">
        <v>47</v>
      </c>
      <c r="M27" s="21">
        <v>56</v>
      </c>
      <c r="N27" s="21">
        <v>48</v>
      </c>
      <c r="O27" s="21">
        <v>50</v>
      </c>
      <c r="P27" s="21">
        <v>106</v>
      </c>
      <c r="Q27" s="21">
        <v>21</v>
      </c>
      <c r="R27" s="21">
        <v>72</v>
      </c>
    </row>
    <row r="28" spans="1:18" s="20" customFormat="1" ht="14.25" customHeight="1" x14ac:dyDescent="0.2">
      <c r="A28" s="87"/>
      <c r="B28" s="30" t="s">
        <v>57</v>
      </c>
      <c r="C28" s="31" t="s">
        <v>225</v>
      </c>
      <c r="D28" s="21">
        <v>46</v>
      </c>
      <c r="E28" s="21">
        <v>19</v>
      </c>
      <c r="F28" s="21">
        <v>27</v>
      </c>
      <c r="G28" s="21">
        <v>1</v>
      </c>
      <c r="H28" s="21">
        <v>2</v>
      </c>
      <c r="I28" s="21">
        <v>6</v>
      </c>
      <c r="J28" s="21">
        <v>4</v>
      </c>
      <c r="K28" s="21">
        <v>5</v>
      </c>
      <c r="L28" s="21">
        <v>1</v>
      </c>
      <c r="M28" s="21">
        <v>4</v>
      </c>
      <c r="N28" s="21">
        <v>2</v>
      </c>
      <c r="O28" s="21">
        <v>2</v>
      </c>
      <c r="P28" s="21">
        <v>10</v>
      </c>
      <c r="Q28" s="21">
        <v>1</v>
      </c>
      <c r="R28" s="21">
        <v>8</v>
      </c>
    </row>
    <row r="29" spans="1:18" s="20" customFormat="1" ht="14.25" customHeight="1" x14ac:dyDescent="0.2">
      <c r="A29" s="64" t="s">
        <v>194</v>
      </c>
      <c r="B29" s="25" t="s">
        <v>55</v>
      </c>
      <c r="C29" s="26" t="s">
        <v>0</v>
      </c>
      <c r="D29" s="27">
        <v>35</v>
      </c>
      <c r="E29" s="27">
        <v>7</v>
      </c>
      <c r="F29" s="27">
        <v>28</v>
      </c>
      <c r="G29" s="27">
        <v>2</v>
      </c>
      <c r="H29" s="27">
        <v>7</v>
      </c>
      <c r="I29" s="27">
        <v>0</v>
      </c>
      <c r="J29" s="27">
        <v>0</v>
      </c>
      <c r="K29" s="27">
        <v>3</v>
      </c>
      <c r="L29" s="27">
        <v>3</v>
      </c>
      <c r="M29" s="27">
        <v>1</v>
      </c>
      <c r="N29" s="27">
        <v>1</v>
      </c>
      <c r="O29" s="27">
        <v>1</v>
      </c>
      <c r="P29" s="27">
        <v>9</v>
      </c>
      <c r="Q29" s="27">
        <v>0</v>
      </c>
      <c r="R29" s="27">
        <v>8</v>
      </c>
    </row>
    <row r="30" spans="1:18" s="20" customFormat="1" ht="14.25" customHeight="1" x14ac:dyDescent="0.2">
      <c r="A30" s="86" t="s">
        <v>5</v>
      </c>
      <c r="B30" s="28" t="s">
        <v>56</v>
      </c>
      <c r="C30" s="29" t="s">
        <v>2</v>
      </c>
      <c r="D30" s="21">
        <v>33</v>
      </c>
      <c r="E30" s="21">
        <v>7</v>
      </c>
      <c r="F30" s="21">
        <v>26</v>
      </c>
      <c r="G30" s="21">
        <v>2</v>
      </c>
      <c r="H30" s="21">
        <v>7</v>
      </c>
      <c r="I30" s="21">
        <v>0</v>
      </c>
      <c r="J30" s="21">
        <v>0</v>
      </c>
      <c r="K30" s="21">
        <v>3</v>
      </c>
      <c r="L30" s="21">
        <v>3</v>
      </c>
      <c r="M30" s="21">
        <v>1</v>
      </c>
      <c r="N30" s="21">
        <v>1</v>
      </c>
      <c r="O30" s="21">
        <v>1</v>
      </c>
      <c r="P30" s="21">
        <v>8</v>
      </c>
      <c r="Q30" s="21">
        <v>0</v>
      </c>
      <c r="R30" s="21">
        <v>7</v>
      </c>
    </row>
    <row r="31" spans="1:18" s="20" customFormat="1" ht="14.25" customHeight="1" x14ac:dyDescent="0.2">
      <c r="A31" s="87"/>
      <c r="B31" s="30" t="s">
        <v>57</v>
      </c>
      <c r="C31" s="31" t="s">
        <v>225</v>
      </c>
      <c r="D31" s="21">
        <v>2</v>
      </c>
      <c r="E31" s="21">
        <v>0</v>
      </c>
      <c r="F31" s="21">
        <v>2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1</v>
      </c>
      <c r="Q31" s="21">
        <v>0</v>
      </c>
      <c r="R31" s="21">
        <v>1</v>
      </c>
    </row>
    <row r="32" spans="1:18" s="20" customFormat="1" ht="14.25" customHeight="1" x14ac:dyDescent="0.2">
      <c r="A32" s="64" t="s">
        <v>195</v>
      </c>
      <c r="B32" s="25" t="s">
        <v>55</v>
      </c>
      <c r="C32" s="26" t="s">
        <v>0</v>
      </c>
      <c r="D32" s="27">
        <v>184</v>
      </c>
      <c r="E32" s="27">
        <v>80</v>
      </c>
      <c r="F32" s="27">
        <v>104</v>
      </c>
      <c r="G32" s="27">
        <v>18</v>
      </c>
      <c r="H32" s="27">
        <v>13</v>
      </c>
      <c r="I32" s="27">
        <v>14</v>
      </c>
      <c r="J32" s="27">
        <v>15</v>
      </c>
      <c r="K32" s="27">
        <v>19</v>
      </c>
      <c r="L32" s="27">
        <v>13</v>
      </c>
      <c r="M32" s="27">
        <v>11</v>
      </c>
      <c r="N32" s="27">
        <v>15</v>
      </c>
      <c r="O32" s="27">
        <v>15</v>
      </c>
      <c r="P32" s="27">
        <v>32</v>
      </c>
      <c r="Q32" s="27">
        <v>3</v>
      </c>
      <c r="R32" s="27">
        <v>16</v>
      </c>
    </row>
    <row r="33" spans="1:18" s="20" customFormat="1" ht="14.25" customHeight="1" x14ac:dyDescent="0.2">
      <c r="A33" s="86" t="s">
        <v>6</v>
      </c>
      <c r="B33" s="28" t="s">
        <v>56</v>
      </c>
      <c r="C33" s="29" t="s">
        <v>2</v>
      </c>
      <c r="D33" s="21">
        <v>148</v>
      </c>
      <c r="E33" s="21">
        <v>71</v>
      </c>
      <c r="F33" s="21">
        <v>77</v>
      </c>
      <c r="G33" s="21">
        <v>15</v>
      </c>
      <c r="H33" s="21">
        <v>8</v>
      </c>
      <c r="I33" s="21">
        <v>10</v>
      </c>
      <c r="J33" s="21">
        <v>13</v>
      </c>
      <c r="K33" s="21">
        <v>19</v>
      </c>
      <c r="L33" s="21">
        <v>9</v>
      </c>
      <c r="M33" s="21">
        <v>10</v>
      </c>
      <c r="N33" s="21">
        <v>9</v>
      </c>
      <c r="O33" s="21">
        <v>15</v>
      </c>
      <c r="P33" s="21">
        <v>25</v>
      </c>
      <c r="Q33" s="21">
        <v>2</v>
      </c>
      <c r="R33" s="21">
        <v>13</v>
      </c>
    </row>
    <row r="34" spans="1:18" s="20" customFormat="1" ht="14.25" customHeight="1" x14ac:dyDescent="0.2">
      <c r="A34" s="87"/>
      <c r="B34" s="30" t="s">
        <v>57</v>
      </c>
      <c r="C34" s="31" t="s">
        <v>225</v>
      </c>
      <c r="D34" s="21">
        <v>36</v>
      </c>
      <c r="E34" s="21">
        <v>9</v>
      </c>
      <c r="F34" s="21">
        <v>27</v>
      </c>
      <c r="G34" s="21">
        <v>3</v>
      </c>
      <c r="H34" s="21">
        <v>5</v>
      </c>
      <c r="I34" s="21">
        <v>4</v>
      </c>
      <c r="J34" s="21">
        <v>2</v>
      </c>
      <c r="K34" s="21">
        <v>0</v>
      </c>
      <c r="L34" s="21">
        <v>4</v>
      </c>
      <c r="M34" s="21">
        <v>1</v>
      </c>
      <c r="N34" s="21">
        <v>6</v>
      </c>
      <c r="O34" s="21">
        <v>0</v>
      </c>
      <c r="P34" s="21">
        <v>7</v>
      </c>
      <c r="Q34" s="21">
        <v>1</v>
      </c>
      <c r="R34" s="21">
        <v>3</v>
      </c>
    </row>
    <row r="35" spans="1:18" s="20" customFormat="1" ht="14.25" customHeight="1" x14ac:dyDescent="0.2">
      <c r="A35" s="64" t="s">
        <v>196</v>
      </c>
      <c r="B35" s="25" t="s">
        <v>55</v>
      </c>
      <c r="C35" s="26" t="s">
        <v>0</v>
      </c>
      <c r="D35" s="27">
        <v>91</v>
      </c>
      <c r="E35" s="27">
        <v>23</v>
      </c>
      <c r="F35" s="27">
        <v>68</v>
      </c>
      <c r="G35" s="27">
        <v>4</v>
      </c>
      <c r="H35" s="27">
        <v>3</v>
      </c>
      <c r="I35" s="27">
        <v>4</v>
      </c>
      <c r="J35" s="27">
        <v>5</v>
      </c>
      <c r="K35" s="27">
        <v>4</v>
      </c>
      <c r="L35" s="27">
        <v>7</v>
      </c>
      <c r="M35" s="27">
        <v>6</v>
      </c>
      <c r="N35" s="27">
        <v>7</v>
      </c>
      <c r="O35" s="27">
        <v>2</v>
      </c>
      <c r="P35" s="27">
        <v>20</v>
      </c>
      <c r="Q35" s="27">
        <v>3</v>
      </c>
      <c r="R35" s="27">
        <v>26</v>
      </c>
    </row>
    <row r="36" spans="1:18" s="20" customFormat="1" ht="14.25" customHeight="1" x14ac:dyDescent="0.2">
      <c r="A36" s="86" t="s">
        <v>7</v>
      </c>
      <c r="B36" s="28" t="s">
        <v>56</v>
      </c>
      <c r="C36" s="29" t="s">
        <v>2</v>
      </c>
      <c r="D36" s="21">
        <v>80</v>
      </c>
      <c r="E36" s="21">
        <v>21</v>
      </c>
      <c r="F36" s="21">
        <v>59</v>
      </c>
      <c r="G36" s="21">
        <v>4</v>
      </c>
      <c r="H36" s="21">
        <v>3</v>
      </c>
      <c r="I36" s="21">
        <v>3</v>
      </c>
      <c r="J36" s="21">
        <v>5</v>
      </c>
      <c r="K36" s="21">
        <v>3</v>
      </c>
      <c r="L36" s="21">
        <v>7</v>
      </c>
      <c r="M36" s="21">
        <v>6</v>
      </c>
      <c r="N36" s="21">
        <v>5</v>
      </c>
      <c r="O36" s="21">
        <v>2</v>
      </c>
      <c r="P36" s="21">
        <v>18</v>
      </c>
      <c r="Q36" s="21">
        <v>3</v>
      </c>
      <c r="R36" s="21">
        <v>21</v>
      </c>
    </row>
    <row r="37" spans="1:18" s="20" customFormat="1" ht="14.25" customHeight="1" x14ac:dyDescent="0.2">
      <c r="A37" s="87"/>
      <c r="B37" s="30" t="s">
        <v>57</v>
      </c>
      <c r="C37" s="31" t="s">
        <v>225</v>
      </c>
      <c r="D37" s="21">
        <v>11</v>
      </c>
      <c r="E37" s="21">
        <v>2</v>
      </c>
      <c r="F37" s="21">
        <v>9</v>
      </c>
      <c r="G37" s="21">
        <v>0</v>
      </c>
      <c r="H37" s="21">
        <v>0</v>
      </c>
      <c r="I37" s="21">
        <v>1</v>
      </c>
      <c r="J37" s="21">
        <v>0</v>
      </c>
      <c r="K37" s="21">
        <v>1</v>
      </c>
      <c r="L37" s="21">
        <v>0</v>
      </c>
      <c r="M37" s="21">
        <v>0</v>
      </c>
      <c r="N37" s="21">
        <v>2</v>
      </c>
      <c r="O37" s="21">
        <v>0</v>
      </c>
      <c r="P37" s="21">
        <v>2</v>
      </c>
      <c r="Q37" s="21">
        <v>0</v>
      </c>
      <c r="R37" s="21">
        <v>5</v>
      </c>
    </row>
    <row r="38" spans="1:18" s="20" customFormat="1" ht="14.25" customHeight="1" x14ac:dyDescent="0.2">
      <c r="A38" s="64" t="s">
        <v>197</v>
      </c>
      <c r="B38" s="25" t="s">
        <v>55</v>
      </c>
      <c r="C38" s="26" t="s">
        <v>0</v>
      </c>
      <c r="D38" s="27">
        <v>223</v>
      </c>
      <c r="E38" s="27">
        <v>100</v>
      </c>
      <c r="F38" s="27">
        <v>123</v>
      </c>
      <c r="G38" s="27">
        <v>17</v>
      </c>
      <c r="H38" s="27">
        <v>10</v>
      </c>
      <c r="I38" s="27">
        <v>9</v>
      </c>
      <c r="J38" s="27">
        <v>15</v>
      </c>
      <c r="K38" s="27">
        <v>18</v>
      </c>
      <c r="L38" s="27">
        <v>18</v>
      </c>
      <c r="M38" s="27">
        <v>19</v>
      </c>
      <c r="N38" s="27">
        <v>13</v>
      </c>
      <c r="O38" s="27">
        <v>23</v>
      </c>
      <c r="P38" s="27">
        <v>32</v>
      </c>
      <c r="Q38" s="27">
        <v>14</v>
      </c>
      <c r="R38" s="27">
        <v>35</v>
      </c>
    </row>
    <row r="39" spans="1:18" s="20" customFormat="1" ht="14.25" customHeight="1" x14ac:dyDescent="0.2">
      <c r="A39" s="86" t="s">
        <v>8</v>
      </c>
      <c r="B39" s="28" t="s">
        <v>56</v>
      </c>
      <c r="C39" s="29" t="s">
        <v>2</v>
      </c>
      <c r="D39" s="21">
        <v>217</v>
      </c>
      <c r="E39" s="21">
        <v>99</v>
      </c>
      <c r="F39" s="21">
        <v>118</v>
      </c>
      <c r="G39" s="21">
        <v>17</v>
      </c>
      <c r="H39" s="21">
        <v>9</v>
      </c>
      <c r="I39" s="21">
        <v>9</v>
      </c>
      <c r="J39" s="21">
        <v>15</v>
      </c>
      <c r="K39" s="21">
        <v>18</v>
      </c>
      <c r="L39" s="21">
        <v>18</v>
      </c>
      <c r="M39" s="21">
        <v>19</v>
      </c>
      <c r="N39" s="21">
        <v>13</v>
      </c>
      <c r="O39" s="21">
        <v>23</v>
      </c>
      <c r="P39" s="21">
        <v>28</v>
      </c>
      <c r="Q39" s="21">
        <v>13</v>
      </c>
      <c r="R39" s="21">
        <v>35</v>
      </c>
    </row>
    <row r="40" spans="1:18" s="20" customFormat="1" ht="14.25" customHeight="1" x14ac:dyDescent="0.2">
      <c r="A40" s="87"/>
      <c r="B40" s="30" t="s">
        <v>57</v>
      </c>
      <c r="C40" s="31" t="s">
        <v>225</v>
      </c>
      <c r="D40" s="21">
        <v>6</v>
      </c>
      <c r="E40" s="21">
        <v>1</v>
      </c>
      <c r="F40" s="21">
        <v>5</v>
      </c>
      <c r="G40" s="21">
        <v>0</v>
      </c>
      <c r="H40" s="21">
        <v>1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4</v>
      </c>
      <c r="Q40" s="21">
        <v>1</v>
      </c>
      <c r="R40" s="21">
        <v>0</v>
      </c>
    </row>
    <row r="41" spans="1:18" s="20" customFormat="1" ht="14.25" customHeight="1" x14ac:dyDescent="0.2">
      <c r="A41" s="64" t="s">
        <v>198</v>
      </c>
      <c r="B41" s="25" t="s">
        <v>55</v>
      </c>
      <c r="C41" s="26" t="s">
        <v>0</v>
      </c>
      <c r="D41" s="27">
        <v>112</v>
      </c>
      <c r="E41" s="27">
        <v>42</v>
      </c>
      <c r="F41" s="27">
        <v>70</v>
      </c>
      <c r="G41" s="27">
        <v>5</v>
      </c>
      <c r="H41" s="27">
        <v>10</v>
      </c>
      <c r="I41" s="27">
        <v>7</v>
      </c>
      <c r="J41" s="27">
        <v>5</v>
      </c>
      <c r="K41" s="27">
        <v>15</v>
      </c>
      <c r="L41" s="27">
        <v>9</v>
      </c>
      <c r="M41" s="27">
        <v>6</v>
      </c>
      <c r="N41" s="27">
        <v>11</v>
      </c>
      <c r="O41" s="27">
        <v>5</v>
      </c>
      <c r="P41" s="27">
        <v>13</v>
      </c>
      <c r="Q41" s="27">
        <v>4</v>
      </c>
      <c r="R41" s="27">
        <v>22</v>
      </c>
    </row>
    <row r="42" spans="1:18" s="20" customFormat="1" ht="14.25" customHeight="1" x14ac:dyDescent="0.2">
      <c r="A42" s="86" t="s">
        <v>9</v>
      </c>
      <c r="B42" s="28" t="s">
        <v>56</v>
      </c>
      <c r="C42" s="29" t="s">
        <v>2</v>
      </c>
      <c r="D42" s="21">
        <v>86</v>
      </c>
      <c r="E42" s="21">
        <v>35</v>
      </c>
      <c r="F42" s="21">
        <v>51</v>
      </c>
      <c r="G42" s="21">
        <v>5</v>
      </c>
      <c r="H42" s="21">
        <v>8</v>
      </c>
      <c r="I42" s="21">
        <v>6</v>
      </c>
      <c r="J42" s="21">
        <v>5</v>
      </c>
      <c r="K42" s="21">
        <v>12</v>
      </c>
      <c r="L42" s="21">
        <v>6</v>
      </c>
      <c r="M42" s="21">
        <v>3</v>
      </c>
      <c r="N42" s="21">
        <v>7</v>
      </c>
      <c r="O42" s="21">
        <v>5</v>
      </c>
      <c r="P42" s="21">
        <v>7</v>
      </c>
      <c r="Q42" s="21">
        <v>4</v>
      </c>
      <c r="R42" s="21">
        <v>18</v>
      </c>
    </row>
    <row r="43" spans="1:18" s="20" customFormat="1" ht="14.25" customHeight="1" x14ac:dyDescent="0.2">
      <c r="A43" s="87"/>
      <c r="B43" s="30" t="s">
        <v>57</v>
      </c>
      <c r="C43" s="31" t="s">
        <v>225</v>
      </c>
      <c r="D43" s="21">
        <v>26</v>
      </c>
      <c r="E43" s="21">
        <v>7</v>
      </c>
      <c r="F43" s="21">
        <v>19</v>
      </c>
      <c r="G43" s="21">
        <v>0</v>
      </c>
      <c r="H43" s="21">
        <v>2</v>
      </c>
      <c r="I43" s="21">
        <v>1</v>
      </c>
      <c r="J43" s="21">
        <v>0</v>
      </c>
      <c r="K43" s="21">
        <v>3</v>
      </c>
      <c r="L43" s="21">
        <v>3</v>
      </c>
      <c r="M43" s="21">
        <v>3</v>
      </c>
      <c r="N43" s="21">
        <v>4</v>
      </c>
      <c r="O43" s="21">
        <v>0</v>
      </c>
      <c r="P43" s="21">
        <v>6</v>
      </c>
      <c r="Q43" s="21">
        <v>0</v>
      </c>
      <c r="R43" s="21">
        <v>4</v>
      </c>
    </row>
    <row r="44" spans="1:18" s="20" customFormat="1" ht="14.25" customHeight="1" x14ac:dyDescent="0.2">
      <c r="A44" s="64" t="s">
        <v>199</v>
      </c>
      <c r="B44" s="25" t="s">
        <v>55</v>
      </c>
      <c r="C44" s="26" t="s">
        <v>0</v>
      </c>
      <c r="D44" s="27">
        <v>145</v>
      </c>
      <c r="E44" s="27">
        <v>56</v>
      </c>
      <c r="F44" s="27">
        <v>89</v>
      </c>
      <c r="G44" s="27">
        <v>12</v>
      </c>
      <c r="H44" s="27">
        <v>9</v>
      </c>
      <c r="I44" s="27">
        <v>14</v>
      </c>
      <c r="J44" s="27">
        <v>10</v>
      </c>
      <c r="K44" s="27">
        <v>7</v>
      </c>
      <c r="L44" s="27">
        <v>9</v>
      </c>
      <c r="M44" s="27">
        <v>4</v>
      </c>
      <c r="N44" s="27">
        <v>6</v>
      </c>
      <c r="O44" s="27">
        <v>5</v>
      </c>
      <c r="P44" s="27">
        <v>34</v>
      </c>
      <c r="Q44" s="27">
        <v>14</v>
      </c>
      <c r="R44" s="27">
        <v>21</v>
      </c>
    </row>
    <row r="45" spans="1:18" s="20" customFormat="1" ht="14.25" customHeight="1" x14ac:dyDescent="0.2">
      <c r="A45" s="86" t="s">
        <v>10</v>
      </c>
      <c r="B45" s="28" t="s">
        <v>56</v>
      </c>
      <c r="C45" s="29" t="s">
        <v>2</v>
      </c>
      <c r="D45" s="21">
        <v>141</v>
      </c>
      <c r="E45" s="21">
        <v>55</v>
      </c>
      <c r="F45" s="21">
        <v>86</v>
      </c>
      <c r="G45" s="21">
        <v>12</v>
      </c>
      <c r="H45" s="21">
        <v>9</v>
      </c>
      <c r="I45" s="21">
        <v>14</v>
      </c>
      <c r="J45" s="21">
        <v>10</v>
      </c>
      <c r="K45" s="21">
        <v>7</v>
      </c>
      <c r="L45" s="21">
        <v>9</v>
      </c>
      <c r="M45" s="21">
        <v>4</v>
      </c>
      <c r="N45" s="21">
        <v>6</v>
      </c>
      <c r="O45" s="21">
        <v>5</v>
      </c>
      <c r="P45" s="21">
        <v>31</v>
      </c>
      <c r="Q45" s="21">
        <v>13</v>
      </c>
      <c r="R45" s="21">
        <v>21</v>
      </c>
    </row>
    <row r="46" spans="1:18" s="20" customFormat="1" ht="14.25" customHeight="1" x14ac:dyDescent="0.2">
      <c r="A46" s="87"/>
      <c r="B46" s="30" t="s">
        <v>57</v>
      </c>
      <c r="C46" s="31" t="s">
        <v>225</v>
      </c>
      <c r="D46" s="21">
        <v>4</v>
      </c>
      <c r="E46" s="21">
        <v>1</v>
      </c>
      <c r="F46" s="21">
        <v>3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3</v>
      </c>
      <c r="Q46" s="21">
        <v>1</v>
      </c>
      <c r="R46" s="21">
        <v>0</v>
      </c>
    </row>
    <row r="47" spans="1:18" s="20" customFormat="1" ht="14.25" customHeight="1" x14ac:dyDescent="0.2">
      <c r="A47" s="64" t="s">
        <v>200</v>
      </c>
      <c r="B47" s="25" t="s">
        <v>55</v>
      </c>
      <c r="C47" s="26" t="s">
        <v>0</v>
      </c>
      <c r="D47" s="27">
        <v>90</v>
      </c>
      <c r="E47" s="27">
        <v>37</v>
      </c>
      <c r="F47" s="27">
        <v>53</v>
      </c>
      <c r="G47" s="27">
        <v>6</v>
      </c>
      <c r="H47" s="27">
        <v>8</v>
      </c>
      <c r="I47" s="27">
        <v>8</v>
      </c>
      <c r="J47" s="27">
        <v>7</v>
      </c>
      <c r="K47" s="27">
        <v>5</v>
      </c>
      <c r="L47" s="27">
        <v>3</v>
      </c>
      <c r="M47" s="27">
        <v>7</v>
      </c>
      <c r="N47" s="27">
        <v>7</v>
      </c>
      <c r="O47" s="27">
        <v>5</v>
      </c>
      <c r="P47" s="27">
        <v>13</v>
      </c>
      <c r="Q47" s="27">
        <v>6</v>
      </c>
      <c r="R47" s="27">
        <v>15</v>
      </c>
    </row>
    <row r="48" spans="1:18" s="20" customFormat="1" ht="14.25" customHeight="1" x14ac:dyDescent="0.2">
      <c r="A48" s="86" t="s">
        <v>11</v>
      </c>
      <c r="B48" s="28" t="s">
        <v>56</v>
      </c>
      <c r="C48" s="29" t="s">
        <v>2</v>
      </c>
      <c r="D48" s="21">
        <v>86</v>
      </c>
      <c r="E48" s="21">
        <v>33</v>
      </c>
      <c r="F48" s="21">
        <v>53</v>
      </c>
      <c r="G48" s="21">
        <v>6</v>
      </c>
      <c r="H48" s="21">
        <v>8</v>
      </c>
      <c r="I48" s="21">
        <v>8</v>
      </c>
      <c r="J48" s="21">
        <v>7</v>
      </c>
      <c r="K48" s="21">
        <v>5</v>
      </c>
      <c r="L48" s="21">
        <v>3</v>
      </c>
      <c r="M48" s="21">
        <v>6</v>
      </c>
      <c r="N48" s="21">
        <v>7</v>
      </c>
      <c r="O48" s="21">
        <v>3</v>
      </c>
      <c r="P48" s="21">
        <v>13</v>
      </c>
      <c r="Q48" s="21">
        <v>5</v>
      </c>
      <c r="R48" s="21">
        <v>15</v>
      </c>
    </row>
    <row r="49" spans="1:18" s="20" customFormat="1" ht="14.25" customHeight="1" x14ac:dyDescent="0.2">
      <c r="A49" s="87"/>
      <c r="B49" s="30" t="s">
        <v>57</v>
      </c>
      <c r="C49" s="31" t="s">
        <v>225</v>
      </c>
      <c r="D49" s="21">
        <v>4</v>
      </c>
      <c r="E49" s="21">
        <v>4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1</v>
      </c>
      <c r="N49" s="21">
        <v>0</v>
      </c>
      <c r="O49" s="21">
        <v>2</v>
      </c>
      <c r="P49" s="21">
        <v>0</v>
      </c>
      <c r="Q49" s="21">
        <v>1</v>
      </c>
      <c r="R49" s="21">
        <v>0</v>
      </c>
    </row>
    <row r="50" spans="1:18" s="20" customFormat="1" ht="14.25" customHeight="1" x14ac:dyDescent="0.2">
      <c r="A50" s="64" t="s">
        <v>201</v>
      </c>
      <c r="B50" s="25" t="s">
        <v>55</v>
      </c>
      <c r="C50" s="26" t="s">
        <v>0</v>
      </c>
      <c r="D50" s="27">
        <v>179</v>
      </c>
      <c r="E50" s="27">
        <v>58</v>
      </c>
      <c r="F50" s="27">
        <v>121</v>
      </c>
      <c r="G50" s="27">
        <v>8</v>
      </c>
      <c r="H50" s="27">
        <v>8</v>
      </c>
      <c r="I50" s="27">
        <v>7</v>
      </c>
      <c r="J50" s="27">
        <v>8</v>
      </c>
      <c r="K50" s="27">
        <v>12</v>
      </c>
      <c r="L50" s="27">
        <v>12</v>
      </c>
      <c r="M50" s="27">
        <v>17</v>
      </c>
      <c r="N50" s="27">
        <v>20</v>
      </c>
      <c r="O50" s="27">
        <v>9</v>
      </c>
      <c r="P50" s="27">
        <v>38</v>
      </c>
      <c r="Q50" s="27">
        <v>5</v>
      </c>
      <c r="R50" s="27">
        <v>35</v>
      </c>
    </row>
    <row r="51" spans="1:18" s="20" customFormat="1" ht="14.25" customHeight="1" x14ac:dyDescent="0.2">
      <c r="A51" s="86" t="s">
        <v>12</v>
      </c>
      <c r="B51" s="28" t="s">
        <v>56</v>
      </c>
      <c r="C51" s="29" t="s">
        <v>2</v>
      </c>
      <c r="D51" s="21">
        <v>144</v>
      </c>
      <c r="E51" s="21">
        <v>49</v>
      </c>
      <c r="F51" s="21">
        <v>95</v>
      </c>
      <c r="G51" s="21">
        <v>8</v>
      </c>
      <c r="H51" s="21">
        <v>8</v>
      </c>
      <c r="I51" s="21">
        <v>5</v>
      </c>
      <c r="J51" s="21">
        <v>8</v>
      </c>
      <c r="K51" s="21">
        <v>8</v>
      </c>
      <c r="L51" s="21">
        <v>8</v>
      </c>
      <c r="M51" s="21">
        <v>15</v>
      </c>
      <c r="N51" s="21">
        <v>16</v>
      </c>
      <c r="O51" s="21">
        <v>8</v>
      </c>
      <c r="P51" s="21">
        <v>31</v>
      </c>
      <c r="Q51" s="21">
        <v>5</v>
      </c>
      <c r="R51" s="21">
        <v>24</v>
      </c>
    </row>
    <row r="52" spans="1:18" s="20" customFormat="1" ht="14.25" customHeight="1" x14ac:dyDescent="0.2">
      <c r="A52" s="87"/>
      <c r="B52" s="30" t="s">
        <v>57</v>
      </c>
      <c r="C52" s="31" t="s">
        <v>225</v>
      </c>
      <c r="D52" s="21">
        <v>35</v>
      </c>
      <c r="E52" s="21">
        <v>9</v>
      </c>
      <c r="F52" s="21">
        <v>26</v>
      </c>
      <c r="G52" s="21">
        <v>0</v>
      </c>
      <c r="H52" s="21">
        <v>0</v>
      </c>
      <c r="I52" s="21">
        <v>2</v>
      </c>
      <c r="J52" s="21">
        <v>0</v>
      </c>
      <c r="K52" s="21">
        <v>4</v>
      </c>
      <c r="L52" s="21">
        <v>4</v>
      </c>
      <c r="M52" s="21">
        <v>2</v>
      </c>
      <c r="N52" s="21">
        <v>4</v>
      </c>
      <c r="O52" s="21">
        <v>1</v>
      </c>
      <c r="P52" s="21">
        <v>7</v>
      </c>
      <c r="Q52" s="21">
        <v>0</v>
      </c>
      <c r="R52" s="21">
        <v>11</v>
      </c>
    </row>
    <row r="53" spans="1:18" s="20" customFormat="1" ht="14.25" customHeight="1" x14ac:dyDescent="0.2">
      <c r="A53" s="64" t="s">
        <v>202</v>
      </c>
      <c r="B53" s="25" t="s">
        <v>55</v>
      </c>
      <c r="C53" s="26" t="s">
        <v>0</v>
      </c>
      <c r="D53" s="27">
        <v>34</v>
      </c>
      <c r="E53" s="27">
        <v>8</v>
      </c>
      <c r="F53" s="27">
        <v>26</v>
      </c>
      <c r="G53" s="27">
        <v>0</v>
      </c>
      <c r="H53" s="27">
        <v>1</v>
      </c>
      <c r="I53" s="27">
        <v>0</v>
      </c>
      <c r="J53" s="27">
        <v>1</v>
      </c>
      <c r="K53" s="27">
        <v>0</v>
      </c>
      <c r="L53" s="27">
        <v>2</v>
      </c>
      <c r="M53" s="27">
        <v>2</v>
      </c>
      <c r="N53" s="27">
        <v>3</v>
      </c>
      <c r="O53" s="27">
        <v>6</v>
      </c>
      <c r="P53" s="27">
        <v>9</v>
      </c>
      <c r="Q53" s="27">
        <v>0</v>
      </c>
      <c r="R53" s="27">
        <v>10</v>
      </c>
    </row>
    <row r="54" spans="1:18" s="20" customFormat="1" ht="14.25" customHeight="1" x14ac:dyDescent="0.2">
      <c r="A54" s="86" t="s">
        <v>13</v>
      </c>
      <c r="B54" s="28" t="s">
        <v>56</v>
      </c>
      <c r="C54" s="29" t="s">
        <v>2</v>
      </c>
      <c r="D54" s="21">
        <v>13</v>
      </c>
      <c r="E54" s="21">
        <v>3</v>
      </c>
      <c r="F54" s="21">
        <v>10</v>
      </c>
      <c r="G54" s="21">
        <v>0</v>
      </c>
      <c r="H54" s="21">
        <v>1</v>
      </c>
      <c r="I54" s="21">
        <v>0</v>
      </c>
      <c r="J54" s="21">
        <v>1</v>
      </c>
      <c r="K54" s="21">
        <v>0</v>
      </c>
      <c r="L54" s="21">
        <v>0</v>
      </c>
      <c r="M54" s="21">
        <v>0</v>
      </c>
      <c r="N54" s="21">
        <v>0</v>
      </c>
      <c r="O54" s="21">
        <v>3</v>
      </c>
      <c r="P54" s="21">
        <v>4</v>
      </c>
      <c r="Q54" s="21">
        <v>0</v>
      </c>
      <c r="R54" s="21">
        <v>4</v>
      </c>
    </row>
    <row r="55" spans="1:18" s="20" customFormat="1" ht="14.25" customHeight="1" x14ac:dyDescent="0.2">
      <c r="A55" s="87"/>
      <c r="B55" s="30" t="s">
        <v>57</v>
      </c>
      <c r="C55" s="31" t="s">
        <v>225</v>
      </c>
      <c r="D55" s="21">
        <v>21</v>
      </c>
      <c r="E55" s="21">
        <v>5</v>
      </c>
      <c r="F55" s="21">
        <v>16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1">
        <v>2</v>
      </c>
      <c r="M55" s="21">
        <v>2</v>
      </c>
      <c r="N55" s="21">
        <v>3</v>
      </c>
      <c r="O55" s="21">
        <v>3</v>
      </c>
      <c r="P55" s="21">
        <v>5</v>
      </c>
      <c r="Q55" s="21">
        <v>0</v>
      </c>
      <c r="R55" s="21">
        <v>6</v>
      </c>
    </row>
    <row r="56" spans="1:18" s="20" customFormat="1" ht="14.25" customHeight="1" x14ac:dyDescent="0.2">
      <c r="A56" s="64" t="s">
        <v>203</v>
      </c>
      <c r="B56" s="25" t="s">
        <v>55</v>
      </c>
      <c r="C56" s="26" t="s">
        <v>0</v>
      </c>
      <c r="D56" s="27">
        <v>150</v>
      </c>
      <c r="E56" s="27">
        <v>74</v>
      </c>
      <c r="F56" s="27">
        <v>76</v>
      </c>
      <c r="G56" s="27">
        <v>10</v>
      </c>
      <c r="H56" s="27">
        <v>8</v>
      </c>
      <c r="I56" s="27">
        <v>20</v>
      </c>
      <c r="J56" s="27">
        <v>12</v>
      </c>
      <c r="K56" s="27">
        <v>7</v>
      </c>
      <c r="L56" s="27">
        <v>11</v>
      </c>
      <c r="M56" s="27">
        <v>7</v>
      </c>
      <c r="N56" s="27">
        <v>3</v>
      </c>
      <c r="O56" s="27">
        <v>25</v>
      </c>
      <c r="P56" s="27">
        <v>22</v>
      </c>
      <c r="Q56" s="27">
        <v>5</v>
      </c>
      <c r="R56" s="27">
        <v>20</v>
      </c>
    </row>
    <row r="57" spans="1:18" s="20" customFormat="1" ht="14.25" customHeight="1" x14ac:dyDescent="0.2">
      <c r="A57" s="86" t="s">
        <v>14</v>
      </c>
      <c r="B57" s="28" t="s">
        <v>56</v>
      </c>
      <c r="C57" s="29" t="s">
        <v>2</v>
      </c>
      <c r="D57" s="21">
        <v>69</v>
      </c>
      <c r="E57" s="21">
        <v>30</v>
      </c>
      <c r="F57" s="21">
        <v>39</v>
      </c>
      <c r="G57" s="21">
        <v>5</v>
      </c>
      <c r="H57" s="21">
        <v>5</v>
      </c>
      <c r="I57" s="21">
        <v>10</v>
      </c>
      <c r="J57" s="21">
        <v>7</v>
      </c>
      <c r="K57" s="21">
        <v>1</v>
      </c>
      <c r="L57" s="21">
        <v>7</v>
      </c>
      <c r="M57" s="21">
        <v>3</v>
      </c>
      <c r="N57" s="21">
        <v>2</v>
      </c>
      <c r="O57" s="21">
        <v>9</v>
      </c>
      <c r="P57" s="21">
        <v>9</v>
      </c>
      <c r="Q57" s="21">
        <v>2</v>
      </c>
      <c r="R57" s="21">
        <v>9</v>
      </c>
    </row>
    <row r="58" spans="1:18" s="20" customFormat="1" ht="14.25" customHeight="1" x14ac:dyDescent="0.2">
      <c r="A58" s="87"/>
      <c r="B58" s="30" t="s">
        <v>57</v>
      </c>
      <c r="C58" s="31" t="s">
        <v>225</v>
      </c>
      <c r="D58" s="21">
        <v>81</v>
      </c>
      <c r="E58" s="21">
        <v>44</v>
      </c>
      <c r="F58" s="21">
        <v>37</v>
      </c>
      <c r="G58" s="21">
        <v>5</v>
      </c>
      <c r="H58" s="21">
        <v>3</v>
      </c>
      <c r="I58" s="21">
        <v>10</v>
      </c>
      <c r="J58" s="21">
        <v>5</v>
      </c>
      <c r="K58" s="21">
        <v>6</v>
      </c>
      <c r="L58" s="21">
        <v>4</v>
      </c>
      <c r="M58" s="21">
        <v>4</v>
      </c>
      <c r="N58" s="21">
        <v>1</v>
      </c>
      <c r="O58" s="21">
        <v>16</v>
      </c>
      <c r="P58" s="21">
        <v>13</v>
      </c>
      <c r="Q58" s="21">
        <v>3</v>
      </c>
      <c r="R58" s="21">
        <v>11</v>
      </c>
    </row>
    <row r="59" spans="1:18" s="20" customFormat="1" ht="14.25" customHeight="1" x14ac:dyDescent="0.2">
      <c r="A59" s="64" t="s">
        <v>204</v>
      </c>
      <c r="B59" s="25" t="s">
        <v>55</v>
      </c>
      <c r="C59" s="26" t="s">
        <v>0</v>
      </c>
      <c r="D59" s="27">
        <v>10</v>
      </c>
      <c r="E59" s="27">
        <v>4</v>
      </c>
      <c r="F59" s="27">
        <v>6</v>
      </c>
      <c r="G59" s="27">
        <v>0</v>
      </c>
      <c r="H59" s="27">
        <v>0</v>
      </c>
      <c r="I59" s="27">
        <v>0</v>
      </c>
      <c r="J59" s="27">
        <v>0</v>
      </c>
      <c r="K59" s="27">
        <v>2</v>
      </c>
      <c r="L59" s="27">
        <v>0</v>
      </c>
      <c r="M59" s="27">
        <v>1</v>
      </c>
      <c r="N59" s="27">
        <v>1</v>
      </c>
      <c r="O59" s="27">
        <v>0</v>
      </c>
      <c r="P59" s="27">
        <v>4</v>
      </c>
      <c r="Q59" s="27">
        <v>1</v>
      </c>
      <c r="R59" s="27">
        <v>1</v>
      </c>
    </row>
    <row r="60" spans="1:18" s="20" customFormat="1" ht="14.25" customHeight="1" x14ac:dyDescent="0.2">
      <c r="A60" s="86" t="s">
        <v>15</v>
      </c>
      <c r="B60" s="28" t="s">
        <v>56</v>
      </c>
      <c r="C60" s="29" t="s">
        <v>2</v>
      </c>
      <c r="D60" s="21">
        <v>10</v>
      </c>
      <c r="E60" s="21">
        <v>4</v>
      </c>
      <c r="F60" s="21">
        <v>6</v>
      </c>
      <c r="G60" s="21">
        <v>0</v>
      </c>
      <c r="H60" s="21">
        <v>0</v>
      </c>
      <c r="I60" s="21">
        <v>0</v>
      </c>
      <c r="J60" s="21">
        <v>0</v>
      </c>
      <c r="K60" s="21">
        <v>2</v>
      </c>
      <c r="L60" s="21">
        <v>0</v>
      </c>
      <c r="M60" s="21">
        <v>1</v>
      </c>
      <c r="N60" s="21">
        <v>1</v>
      </c>
      <c r="O60" s="21">
        <v>0</v>
      </c>
      <c r="P60" s="21">
        <v>4</v>
      </c>
      <c r="Q60" s="21">
        <v>1</v>
      </c>
      <c r="R60" s="21">
        <v>1</v>
      </c>
    </row>
    <row r="61" spans="1:18" s="20" customFormat="1" ht="14.25" customHeight="1" x14ac:dyDescent="0.2">
      <c r="A61" s="87"/>
      <c r="B61" s="30" t="s">
        <v>57</v>
      </c>
      <c r="C61" s="31" t="s">
        <v>225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</row>
    <row r="62" spans="1:18" s="20" customFormat="1" ht="14.25" customHeight="1" x14ac:dyDescent="0.2">
      <c r="A62" s="64" t="s">
        <v>205</v>
      </c>
      <c r="B62" s="25" t="s">
        <v>55</v>
      </c>
      <c r="C62" s="26" t="s">
        <v>0</v>
      </c>
      <c r="D62" s="27">
        <v>112</v>
      </c>
      <c r="E62" s="27">
        <v>45</v>
      </c>
      <c r="F62" s="27">
        <v>67</v>
      </c>
      <c r="G62" s="27">
        <v>6</v>
      </c>
      <c r="H62" s="27">
        <v>5</v>
      </c>
      <c r="I62" s="27">
        <v>7</v>
      </c>
      <c r="J62" s="27">
        <v>6</v>
      </c>
      <c r="K62" s="27">
        <v>7</v>
      </c>
      <c r="L62" s="27">
        <v>3</v>
      </c>
      <c r="M62" s="27">
        <v>8</v>
      </c>
      <c r="N62" s="27">
        <v>2</v>
      </c>
      <c r="O62" s="27">
        <v>10</v>
      </c>
      <c r="P62" s="27">
        <v>29</v>
      </c>
      <c r="Q62" s="27">
        <v>7</v>
      </c>
      <c r="R62" s="27">
        <v>22</v>
      </c>
    </row>
    <row r="63" spans="1:18" s="20" customFormat="1" ht="14.25" customHeight="1" x14ac:dyDescent="0.2">
      <c r="A63" s="86" t="s">
        <v>16</v>
      </c>
      <c r="B63" s="28" t="s">
        <v>56</v>
      </c>
      <c r="C63" s="29" t="s">
        <v>2</v>
      </c>
      <c r="D63" s="21">
        <v>103</v>
      </c>
      <c r="E63" s="21">
        <v>42</v>
      </c>
      <c r="F63" s="21">
        <v>61</v>
      </c>
      <c r="G63" s="21">
        <v>6</v>
      </c>
      <c r="H63" s="21">
        <v>5</v>
      </c>
      <c r="I63" s="21">
        <v>7</v>
      </c>
      <c r="J63" s="21">
        <v>6</v>
      </c>
      <c r="K63" s="21">
        <v>6</v>
      </c>
      <c r="L63" s="21">
        <v>3</v>
      </c>
      <c r="M63" s="21">
        <v>7</v>
      </c>
      <c r="N63" s="21">
        <v>2</v>
      </c>
      <c r="O63" s="21">
        <v>9</v>
      </c>
      <c r="P63" s="21">
        <v>24</v>
      </c>
      <c r="Q63" s="21">
        <v>7</v>
      </c>
      <c r="R63" s="21">
        <v>21</v>
      </c>
    </row>
    <row r="64" spans="1:18" s="20" customFormat="1" ht="14.25" customHeight="1" x14ac:dyDescent="0.2">
      <c r="A64" s="87"/>
      <c r="B64" s="30" t="s">
        <v>57</v>
      </c>
      <c r="C64" s="31" t="s">
        <v>225</v>
      </c>
      <c r="D64" s="21">
        <v>9</v>
      </c>
      <c r="E64" s="21">
        <v>3</v>
      </c>
      <c r="F64" s="21">
        <v>6</v>
      </c>
      <c r="G64" s="21">
        <v>0</v>
      </c>
      <c r="H64" s="21">
        <v>0</v>
      </c>
      <c r="I64" s="21">
        <v>0</v>
      </c>
      <c r="J64" s="21">
        <v>0</v>
      </c>
      <c r="K64" s="21">
        <v>1</v>
      </c>
      <c r="L64" s="21">
        <v>0</v>
      </c>
      <c r="M64" s="21">
        <v>1</v>
      </c>
      <c r="N64" s="21">
        <v>0</v>
      </c>
      <c r="O64" s="21">
        <v>1</v>
      </c>
      <c r="P64" s="21">
        <v>5</v>
      </c>
      <c r="Q64" s="21">
        <v>0</v>
      </c>
      <c r="R64" s="21">
        <v>1</v>
      </c>
    </row>
    <row r="65" spans="1:18" s="20" customFormat="1" ht="14.25" customHeight="1" x14ac:dyDescent="0.2">
      <c r="A65" s="64" t="s">
        <v>206</v>
      </c>
      <c r="B65" s="25" t="s">
        <v>55</v>
      </c>
      <c r="C65" s="26" t="s">
        <v>0</v>
      </c>
      <c r="D65" s="27">
        <v>104</v>
      </c>
      <c r="E65" s="27">
        <v>45</v>
      </c>
      <c r="F65" s="27">
        <v>59</v>
      </c>
      <c r="G65" s="27">
        <v>6</v>
      </c>
      <c r="H65" s="27">
        <v>4</v>
      </c>
      <c r="I65" s="27">
        <v>4</v>
      </c>
      <c r="J65" s="27">
        <v>5</v>
      </c>
      <c r="K65" s="27">
        <v>12</v>
      </c>
      <c r="L65" s="27">
        <v>5</v>
      </c>
      <c r="M65" s="27">
        <v>9</v>
      </c>
      <c r="N65" s="27">
        <v>7</v>
      </c>
      <c r="O65" s="27">
        <v>10</v>
      </c>
      <c r="P65" s="27">
        <v>20</v>
      </c>
      <c r="Q65" s="27">
        <v>4</v>
      </c>
      <c r="R65" s="27">
        <v>18</v>
      </c>
    </row>
    <row r="66" spans="1:18" s="20" customFormat="1" ht="14.25" customHeight="1" x14ac:dyDescent="0.2">
      <c r="A66" s="86" t="s">
        <v>17</v>
      </c>
      <c r="B66" s="28" t="s">
        <v>56</v>
      </c>
      <c r="C66" s="29" t="s">
        <v>2</v>
      </c>
      <c r="D66" s="21">
        <v>92</v>
      </c>
      <c r="E66" s="21">
        <v>42</v>
      </c>
      <c r="F66" s="21">
        <v>50</v>
      </c>
      <c r="G66" s="21">
        <v>5</v>
      </c>
      <c r="H66" s="21">
        <v>3</v>
      </c>
      <c r="I66" s="21">
        <v>4</v>
      </c>
      <c r="J66" s="21">
        <v>4</v>
      </c>
      <c r="K66" s="21">
        <v>10</v>
      </c>
      <c r="L66" s="21">
        <v>5</v>
      </c>
      <c r="M66" s="21">
        <v>9</v>
      </c>
      <c r="N66" s="21">
        <v>6</v>
      </c>
      <c r="O66" s="21">
        <v>10</v>
      </c>
      <c r="P66" s="21">
        <v>17</v>
      </c>
      <c r="Q66" s="21">
        <v>4</v>
      </c>
      <c r="R66" s="21">
        <v>15</v>
      </c>
    </row>
    <row r="67" spans="1:18" s="20" customFormat="1" ht="14.25" customHeight="1" x14ac:dyDescent="0.2">
      <c r="A67" s="87"/>
      <c r="B67" s="30" t="s">
        <v>57</v>
      </c>
      <c r="C67" s="31" t="s">
        <v>225</v>
      </c>
      <c r="D67" s="21">
        <v>12</v>
      </c>
      <c r="E67" s="21">
        <v>3</v>
      </c>
      <c r="F67" s="21">
        <v>9</v>
      </c>
      <c r="G67" s="21">
        <v>1</v>
      </c>
      <c r="H67" s="21">
        <v>1</v>
      </c>
      <c r="I67" s="21">
        <v>0</v>
      </c>
      <c r="J67" s="21">
        <v>1</v>
      </c>
      <c r="K67" s="21">
        <v>2</v>
      </c>
      <c r="L67" s="21">
        <v>0</v>
      </c>
      <c r="M67" s="21">
        <v>0</v>
      </c>
      <c r="N67" s="21">
        <v>1</v>
      </c>
      <c r="O67" s="21">
        <v>0</v>
      </c>
      <c r="P67" s="21">
        <v>3</v>
      </c>
      <c r="Q67" s="21">
        <v>0</v>
      </c>
      <c r="R67" s="21">
        <v>3</v>
      </c>
    </row>
    <row r="68" spans="1:18" s="20" customFormat="1" ht="14.25" customHeight="1" x14ac:dyDescent="0.2">
      <c r="A68" s="64" t="s">
        <v>207</v>
      </c>
      <c r="B68" s="25" t="s">
        <v>55</v>
      </c>
      <c r="C68" s="26" t="s">
        <v>0</v>
      </c>
      <c r="D68" s="27">
        <v>58</v>
      </c>
      <c r="E68" s="27">
        <v>27</v>
      </c>
      <c r="F68" s="27">
        <v>31</v>
      </c>
      <c r="G68" s="27">
        <v>7</v>
      </c>
      <c r="H68" s="27">
        <v>6</v>
      </c>
      <c r="I68" s="27">
        <v>0</v>
      </c>
      <c r="J68" s="27">
        <v>9</v>
      </c>
      <c r="K68" s="27">
        <v>6</v>
      </c>
      <c r="L68" s="27">
        <v>3</v>
      </c>
      <c r="M68" s="27">
        <v>8</v>
      </c>
      <c r="N68" s="27">
        <v>1</v>
      </c>
      <c r="O68" s="27">
        <v>4</v>
      </c>
      <c r="P68" s="27">
        <v>5</v>
      </c>
      <c r="Q68" s="27">
        <v>2</v>
      </c>
      <c r="R68" s="27">
        <v>7</v>
      </c>
    </row>
    <row r="69" spans="1:18" s="20" customFormat="1" ht="14.25" customHeight="1" x14ac:dyDescent="0.2">
      <c r="A69" s="86" t="s">
        <v>18</v>
      </c>
      <c r="B69" s="28" t="s">
        <v>56</v>
      </c>
      <c r="C69" s="29" t="s">
        <v>2</v>
      </c>
      <c r="D69" s="21">
        <v>58</v>
      </c>
      <c r="E69" s="21">
        <v>27</v>
      </c>
      <c r="F69" s="21">
        <v>31</v>
      </c>
      <c r="G69" s="21">
        <v>7</v>
      </c>
      <c r="H69" s="21">
        <v>6</v>
      </c>
      <c r="I69" s="21">
        <v>0</v>
      </c>
      <c r="J69" s="21">
        <v>9</v>
      </c>
      <c r="K69" s="21">
        <v>6</v>
      </c>
      <c r="L69" s="21">
        <v>3</v>
      </c>
      <c r="M69" s="21">
        <v>8</v>
      </c>
      <c r="N69" s="21">
        <v>1</v>
      </c>
      <c r="O69" s="21">
        <v>4</v>
      </c>
      <c r="P69" s="21">
        <v>5</v>
      </c>
      <c r="Q69" s="21">
        <v>2</v>
      </c>
      <c r="R69" s="21">
        <v>7</v>
      </c>
    </row>
    <row r="70" spans="1:18" s="20" customFormat="1" ht="14.25" customHeight="1" x14ac:dyDescent="0.2">
      <c r="A70" s="87"/>
      <c r="B70" s="30" t="s">
        <v>57</v>
      </c>
      <c r="C70" s="31" t="s">
        <v>225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</row>
    <row r="71" spans="1:18" s="20" customFormat="1" ht="14.25" customHeight="1" x14ac:dyDescent="0.2">
      <c r="A71" s="64" t="s">
        <v>208</v>
      </c>
      <c r="B71" s="25" t="s">
        <v>55</v>
      </c>
      <c r="C71" s="26" t="s">
        <v>0</v>
      </c>
      <c r="D71" s="27">
        <v>18</v>
      </c>
      <c r="E71" s="27">
        <v>12</v>
      </c>
      <c r="F71" s="27">
        <v>6</v>
      </c>
      <c r="G71" s="27">
        <v>0</v>
      </c>
      <c r="H71" s="27">
        <v>0</v>
      </c>
      <c r="I71" s="27">
        <v>0</v>
      </c>
      <c r="J71" s="27">
        <v>0</v>
      </c>
      <c r="K71" s="27">
        <v>0</v>
      </c>
      <c r="L71" s="27">
        <v>1</v>
      </c>
      <c r="M71" s="27">
        <v>2</v>
      </c>
      <c r="N71" s="27">
        <v>2</v>
      </c>
      <c r="O71" s="27">
        <v>10</v>
      </c>
      <c r="P71" s="27">
        <v>3</v>
      </c>
      <c r="Q71" s="27">
        <v>0</v>
      </c>
      <c r="R71" s="27">
        <v>0</v>
      </c>
    </row>
    <row r="72" spans="1:18" s="20" customFormat="1" ht="14.25" customHeight="1" x14ac:dyDescent="0.2">
      <c r="A72" s="86" t="s">
        <v>19</v>
      </c>
      <c r="B72" s="28" t="s">
        <v>56</v>
      </c>
      <c r="C72" s="29" t="s">
        <v>2</v>
      </c>
      <c r="D72" s="21">
        <v>18</v>
      </c>
      <c r="E72" s="21">
        <v>12</v>
      </c>
      <c r="F72" s="21">
        <v>6</v>
      </c>
      <c r="G72" s="21">
        <v>0</v>
      </c>
      <c r="H72" s="21">
        <v>0</v>
      </c>
      <c r="I72" s="21">
        <v>0</v>
      </c>
      <c r="J72" s="21">
        <v>0</v>
      </c>
      <c r="K72" s="21">
        <v>0</v>
      </c>
      <c r="L72" s="21">
        <v>1</v>
      </c>
      <c r="M72" s="21">
        <v>2</v>
      </c>
      <c r="N72" s="21">
        <v>2</v>
      </c>
      <c r="O72" s="21">
        <v>10</v>
      </c>
      <c r="P72" s="21">
        <v>3</v>
      </c>
      <c r="Q72" s="21">
        <v>0</v>
      </c>
      <c r="R72" s="21">
        <v>0</v>
      </c>
    </row>
    <row r="73" spans="1:18" s="20" customFormat="1" ht="14.25" customHeight="1" x14ac:dyDescent="0.2">
      <c r="A73" s="87"/>
      <c r="B73" s="30" t="s">
        <v>57</v>
      </c>
      <c r="C73" s="31" t="s">
        <v>225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</row>
    <row r="74" spans="1:18" s="20" customFormat="1" ht="14.25" customHeight="1" x14ac:dyDescent="0.2">
      <c r="A74" s="64" t="s">
        <v>209</v>
      </c>
      <c r="B74" s="25" t="s">
        <v>55</v>
      </c>
      <c r="C74" s="26" t="s">
        <v>0</v>
      </c>
      <c r="D74" s="27">
        <v>3</v>
      </c>
      <c r="E74" s="27">
        <v>2</v>
      </c>
      <c r="F74" s="27">
        <v>1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1</v>
      </c>
      <c r="N74" s="27">
        <v>1</v>
      </c>
      <c r="O74" s="27">
        <v>1</v>
      </c>
      <c r="P74" s="27">
        <v>0</v>
      </c>
      <c r="Q74" s="27">
        <v>0</v>
      </c>
      <c r="R74" s="27">
        <v>0</v>
      </c>
    </row>
    <row r="75" spans="1:18" s="20" customFormat="1" ht="14.25" customHeight="1" x14ac:dyDescent="0.2">
      <c r="A75" s="86" t="s">
        <v>20</v>
      </c>
      <c r="B75" s="28" t="s">
        <v>56</v>
      </c>
      <c r="C75" s="29" t="s">
        <v>2</v>
      </c>
      <c r="D75" s="21">
        <v>3</v>
      </c>
      <c r="E75" s="21">
        <v>2</v>
      </c>
      <c r="F75" s="21">
        <v>1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1</v>
      </c>
      <c r="N75" s="21">
        <v>1</v>
      </c>
      <c r="O75" s="21">
        <v>1</v>
      </c>
      <c r="P75" s="21">
        <v>0</v>
      </c>
      <c r="Q75" s="21">
        <v>0</v>
      </c>
      <c r="R75" s="21">
        <v>0</v>
      </c>
    </row>
    <row r="76" spans="1:18" s="20" customFormat="1" ht="14.25" customHeight="1" x14ac:dyDescent="0.2">
      <c r="A76" s="87"/>
      <c r="B76" s="30" t="s">
        <v>57</v>
      </c>
      <c r="C76" s="31" t="s">
        <v>225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</row>
    <row r="77" spans="1:18" s="17" customFormat="1" ht="14.25" customHeight="1" x14ac:dyDescent="0.2">
      <c r="A77" s="17" t="s">
        <v>80</v>
      </c>
    </row>
    <row r="78" spans="1:18" s="17" customFormat="1" ht="14.25" customHeight="1" x14ac:dyDescent="0.2">
      <c r="A78" s="23" t="s">
        <v>24</v>
      </c>
    </row>
    <row r="79" spans="1:18" s="17" customFormat="1" ht="14.25" customHeight="1" x14ac:dyDescent="0.2"/>
    <row r="80" spans="1:18" s="17" customFormat="1" ht="14.25" customHeight="1" x14ac:dyDescent="0.2">
      <c r="A80" s="52" t="s">
        <v>232</v>
      </c>
    </row>
    <row r="82" spans="1:18" s="59" customFormat="1" ht="18" hidden="1" customHeight="1" x14ac:dyDescent="0.2">
      <c r="A82" s="63" t="s">
        <v>186</v>
      </c>
      <c r="B82" s="56" t="s">
        <v>187</v>
      </c>
      <c r="C82" s="57" t="s">
        <v>0</v>
      </c>
      <c r="D82" s="58">
        <v>5352</v>
      </c>
      <c r="E82" s="58">
        <v>2421</v>
      </c>
      <c r="F82" s="58">
        <v>2931</v>
      </c>
      <c r="G82" s="58">
        <v>316</v>
      </c>
      <c r="H82" s="58">
        <v>237</v>
      </c>
      <c r="I82" s="58">
        <v>388</v>
      </c>
      <c r="J82" s="58">
        <v>275</v>
      </c>
      <c r="K82" s="58">
        <v>571</v>
      </c>
      <c r="L82" s="58">
        <v>383</v>
      </c>
      <c r="M82" s="58">
        <v>525</v>
      </c>
      <c r="N82" s="58">
        <v>377</v>
      </c>
      <c r="O82" s="58">
        <v>427</v>
      </c>
      <c r="P82" s="58">
        <v>919</v>
      </c>
      <c r="Q82" s="58">
        <v>194</v>
      </c>
      <c r="R82" s="58">
        <v>740</v>
      </c>
    </row>
    <row r="83" spans="1:18" s="59" customFormat="1" ht="14.25" hidden="1" customHeight="1" x14ac:dyDescent="0.2">
      <c r="A83" s="88" t="s">
        <v>1</v>
      </c>
      <c r="B83" s="60" t="s">
        <v>188</v>
      </c>
      <c r="C83" s="61" t="s">
        <v>2</v>
      </c>
      <c r="D83" s="62">
        <v>4867</v>
      </c>
      <c r="E83" s="62">
        <v>2222</v>
      </c>
      <c r="F83" s="62">
        <v>2645</v>
      </c>
      <c r="G83" s="62">
        <v>298</v>
      </c>
      <c r="H83" s="62">
        <v>220</v>
      </c>
      <c r="I83" s="62">
        <v>344</v>
      </c>
      <c r="J83" s="62">
        <v>249</v>
      </c>
      <c r="K83" s="62">
        <v>522</v>
      </c>
      <c r="L83" s="62">
        <v>350</v>
      </c>
      <c r="M83" s="62">
        <v>485</v>
      </c>
      <c r="N83" s="62">
        <v>344</v>
      </c>
      <c r="O83" s="62">
        <v>393</v>
      </c>
      <c r="P83" s="62">
        <v>820</v>
      </c>
      <c r="Q83" s="62">
        <v>180</v>
      </c>
      <c r="R83" s="62">
        <v>662</v>
      </c>
    </row>
    <row r="84" spans="1:18" s="59" customFormat="1" ht="14.25" hidden="1" customHeight="1" x14ac:dyDescent="0.2">
      <c r="A84" s="89"/>
      <c r="B84" s="60" t="s">
        <v>189</v>
      </c>
      <c r="C84" s="61" t="s">
        <v>225</v>
      </c>
      <c r="D84" s="62">
        <v>485</v>
      </c>
      <c r="E84" s="62">
        <v>199</v>
      </c>
      <c r="F84" s="62">
        <v>286</v>
      </c>
      <c r="G84" s="62">
        <v>18</v>
      </c>
      <c r="H84" s="62">
        <v>17</v>
      </c>
      <c r="I84" s="62">
        <v>44</v>
      </c>
      <c r="J84" s="62">
        <v>26</v>
      </c>
      <c r="K84" s="62">
        <v>49</v>
      </c>
      <c r="L84" s="62">
        <v>33</v>
      </c>
      <c r="M84" s="62">
        <v>40</v>
      </c>
      <c r="N84" s="62">
        <v>33</v>
      </c>
      <c r="O84" s="62">
        <v>34</v>
      </c>
      <c r="P84" s="62">
        <v>99</v>
      </c>
      <c r="Q84" s="62">
        <v>14</v>
      </c>
      <c r="R84" s="62">
        <v>78</v>
      </c>
    </row>
    <row r="85" spans="1:18" s="20" customFormat="1" ht="14.25" hidden="1" customHeight="1" x14ac:dyDescent="0.2">
      <c r="A85" s="64" t="s">
        <v>210</v>
      </c>
      <c r="B85" s="25" t="s">
        <v>55</v>
      </c>
      <c r="C85" s="26" t="s">
        <v>0</v>
      </c>
      <c r="D85" s="27">
        <v>1151</v>
      </c>
      <c r="E85" s="27">
        <v>500</v>
      </c>
      <c r="F85" s="27">
        <v>651</v>
      </c>
      <c r="G85" s="27">
        <v>44</v>
      </c>
      <c r="H85" s="27">
        <v>18</v>
      </c>
      <c r="I85" s="27">
        <v>60</v>
      </c>
      <c r="J85" s="27">
        <v>37</v>
      </c>
      <c r="K85" s="27">
        <v>139</v>
      </c>
      <c r="L85" s="27">
        <v>94</v>
      </c>
      <c r="M85" s="27">
        <v>138</v>
      </c>
      <c r="N85" s="27">
        <v>108</v>
      </c>
      <c r="O85" s="27">
        <v>85</v>
      </c>
      <c r="P85" s="27">
        <v>214</v>
      </c>
      <c r="Q85" s="27">
        <v>34</v>
      </c>
      <c r="R85" s="27">
        <v>180</v>
      </c>
    </row>
    <row r="86" spans="1:18" s="20" customFormat="1" ht="14.25" hidden="1" customHeight="1" x14ac:dyDescent="0.2">
      <c r="A86" s="86" t="s">
        <v>3</v>
      </c>
      <c r="B86" s="28" t="s">
        <v>56</v>
      </c>
      <c r="C86" s="29" t="s">
        <v>2</v>
      </c>
      <c r="D86" s="21">
        <v>1095</v>
      </c>
      <c r="E86" s="21">
        <v>480</v>
      </c>
      <c r="F86" s="21">
        <v>615</v>
      </c>
      <c r="G86" s="21">
        <v>44</v>
      </c>
      <c r="H86" s="21">
        <v>17</v>
      </c>
      <c r="I86" s="21">
        <v>56</v>
      </c>
      <c r="J86" s="21">
        <v>33</v>
      </c>
      <c r="K86" s="21">
        <v>135</v>
      </c>
      <c r="L86" s="21">
        <v>89</v>
      </c>
      <c r="M86" s="21">
        <v>129</v>
      </c>
      <c r="N86" s="21">
        <v>104</v>
      </c>
      <c r="O86" s="21">
        <v>83</v>
      </c>
      <c r="P86" s="21">
        <v>203</v>
      </c>
      <c r="Q86" s="21">
        <v>33</v>
      </c>
      <c r="R86" s="21">
        <v>169</v>
      </c>
    </row>
    <row r="87" spans="1:18" s="20" customFormat="1" ht="14.25" hidden="1" customHeight="1" x14ac:dyDescent="0.2">
      <c r="A87" s="87"/>
      <c r="B87" s="28" t="s">
        <v>57</v>
      </c>
      <c r="C87" s="29" t="s">
        <v>225</v>
      </c>
      <c r="D87" s="21">
        <v>56</v>
      </c>
      <c r="E87" s="21">
        <v>20</v>
      </c>
      <c r="F87" s="21">
        <v>36</v>
      </c>
      <c r="G87" s="21">
        <v>0</v>
      </c>
      <c r="H87" s="21">
        <v>1</v>
      </c>
      <c r="I87" s="21">
        <v>4</v>
      </c>
      <c r="J87" s="21">
        <v>4</v>
      </c>
      <c r="K87" s="21">
        <v>4</v>
      </c>
      <c r="L87" s="21">
        <v>5</v>
      </c>
      <c r="M87" s="21">
        <v>9</v>
      </c>
      <c r="N87" s="21">
        <v>4</v>
      </c>
      <c r="O87" s="21">
        <v>2</v>
      </c>
      <c r="P87" s="21">
        <v>11</v>
      </c>
      <c r="Q87" s="21">
        <v>1</v>
      </c>
      <c r="R87" s="21">
        <v>11</v>
      </c>
    </row>
    <row r="88" spans="1:18" s="20" customFormat="1" ht="14.25" hidden="1" customHeight="1" x14ac:dyDescent="0.2">
      <c r="A88" s="64" t="s">
        <v>211</v>
      </c>
      <c r="B88" s="25" t="s">
        <v>55</v>
      </c>
      <c r="C88" s="26" t="s">
        <v>0</v>
      </c>
      <c r="D88" s="27">
        <v>519</v>
      </c>
      <c r="E88" s="27">
        <v>263</v>
      </c>
      <c r="F88" s="27">
        <v>256</v>
      </c>
      <c r="G88" s="27">
        <v>38</v>
      </c>
      <c r="H88" s="27">
        <v>31</v>
      </c>
      <c r="I88" s="27">
        <v>52</v>
      </c>
      <c r="J88" s="27">
        <v>27</v>
      </c>
      <c r="K88" s="27">
        <v>53</v>
      </c>
      <c r="L88" s="27">
        <v>37</v>
      </c>
      <c r="M88" s="27">
        <v>55</v>
      </c>
      <c r="N88" s="27">
        <v>24</v>
      </c>
      <c r="O88" s="27">
        <v>47</v>
      </c>
      <c r="P88" s="27">
        <v>78</v>
      </c>
      <c r="Q88" s="27">
        <v>18</v>
      </c>
      <c r="R88" s="27">
        <v>59</v>
      </c>
    </row>
    <row r="89" spans="1:18" s="20" customFormat="1" ht="14.25" hidden="1" customHeight="1" x14ac:dyDescent="0.2">
      <c r="A89" s="86" t="s">
        <v>4</v>
      </c>
      <c r="B89" s="28" t="s">
        <v>56</v>
      </c>
      <c r="C89" s="29" t="s">
        <v>2</v>
      </c>
      <c r="D89" s="21">
        <v>510</v>
      </c>
      <c r="E89" s="21">
        <v>258</v>
      </c>
      <c r="F89" s="21">
        <v>252</v>
      </c>
      <c r="G89" s="21">
        <v>38</v>
      </c>
      <c r="H89" s="21">
        <v>31</v>
      </c>
      <c r="I89" s="21">
        <v>50</v>
      </c>
      <c r="J89" s="21">
        <v>27</v>
      </c>
      <c r="K89" s="21">
        <v>51</v>
      </c>
      <c r="L89" s="21">
        <v>35</v>
      </c>
      <c r="M89" s="21">
        <v>54</v>
      </c>
      <c r="N89" s="21">
        <v>24</v>
      </c>
      <c r="O89" s="21">
        <v>47</v>
      </c>
      <c r="P89" s="21">
        <v>77</v>
      </c>
      <c r="Q89" s="21">
        <v>18</v>
      </c>
      <c r="R89" s="21">
        <v>58</v>
      </c>
    </row>
    <row r="90" spans="1:18" s="20" customFormat="1" ht="14.25" hidden="1" customHeight="1" x14ac:dyDescent="0.2">
      <c r="A90" s="87"/>
      <c r="B90" s="30" t="s">
        <v>57</v>
      </c>
      <c r="C90" s="31" t="s">
        <v>225</v>
      </c>
      <c r="D90" s="21">
        <v>9</v>
      </c>
      <c r="E90" s="21">
        <v>5</v>
      </c>
      <c r="F90" s="21">
        <v>4</v>
      </c>
      <c r="G90" s="21">
        <v>0</v>
      </c>
      <c r="H90" s="21">
        <v>0</v>
      </c>
      <c r="I90" s="21">
        <v>2</v>
      </c>
      <c r="J90" s="21">
        <v>0</v>
      </c>
      <c r="K90" s="21">
        <v>2</v>
      </c>
      <c r="L90" s="21">
        <v>2</v>
      </c>
      <c r="M90" s="21">
        <v>1</v>
      </c>
      <c r="N90" s="21">
        <v>0</v>
      </c>
      <c r="O90" s="21">
        <v>0</v>
      </c>
      <c r="P90" s="21">
        <v>1</v>
      </c>
      <c r="Q90" s="21">
        <v>0</v>
      </c>
      <c r="R90" s="21">
        <v>1</v>
      </c>
    </row>
    <row r="91" spans="1:18" s="20" customFormat="1" ht="14.25" hidden="1" customHeight="1" x14ac:dyDescent="0.2">
      <c r="A91" s="64" t="s">
        <v>212</v>
      </c>
      <c r="B91" s="25" t="s">
        <v>55</v>
      </c>
      <c r="C91" s="26" t="s">
        <v>0</v>
      </c>
      <c r="D91" s="27">
        <v>424</v>
      </c>
      <c r="E91" s="27">
        <v>200</v>
      </c>
      <c r="F91" s="27">
        <v>224</v>
      </c>
      <c r="G91" s="27">
        <v>15</v>
      </c>
      <c r="H91" s="27">
        <v>8</v>
      </c>
      <c r="I91" s="27">
        <v>35</v>
      </c>
      <c r="J91" s="27">
        <v>18</v>
      </c>
      <c r="K91" s="27">
        <v>58</v>
      </c>
      <c r="L91" s="27">
        <v>33</v>
      </c>
      <c r="M91" s="27">
        <v>51</v>
      </c>
      <c r="N91" s="27">
        <v>38</v>
      </c>
      <c r="O91" s="27">
        <v>30</v>
      </c>
      <c r="P91" s="27">
        <v>66</v>
      </c>
      <c r="Q91" s="27">
        <v>11</v>
      </c>
      <c r="R91" s="27">
        <v>61</v>
      </c>
    </row>
    <row r="92" spans="1:18" s="20" customFormat="1" ht="14.25" hidden="1" customHeight="1" x14ac:dyDescent="0.2">
      <c r="A92" s="86" t="s">
        <v>25</v>
      </c>
      <c r="B92" s="28" t="s">
        <v>56</v>
      </c>
      <c r="C92" s="29" t="s">
        <v>2</v>
      </c>
      <c r="D92" s="21">
        <v>363</v>
      </c>
      <c r="E92" s="21">
        <v>172</v>
      </c>
      <c r="F92" s="21">
        <v>191</v>
      </c>
      <c r="G92" s="21">
        <v>12</v>
      </c>
      <c r="H92" s="21">
        <v>8</v>
      </c>
      <c r="I92" s="21">
        <v>27</v>
      </c>
      <c r="J92" s="21">
        <v>14</v>
      </c>
      <c r="K92" s="21">
        <v>47</v>
      </c>
      <c r="L92" s="21">
        <v>30</v>
      </c>
      <c r="M92" s="21">
        <v>47</v>
      </c>
      <c r="N92" s="21">
        <v>35</v>
      </c>
      <c r="O92" s="21">
        <v>28</v>
      </c>
      <c r="P92" s="21">
        <v>50</v>
      </c>
      <c r="Q92" s="21">
        <v>11</v>
      </c>
      <c r="R92" s="21">
        <v>54</v>
      </c>
    </row>
    <row r="93" spans="1:18" s="20" customFormat="1" ht="14.25" hidden="1" customHeight="1" x14ac:dyDescent="0.2">
      <c r="A93" s="87"/>
      <c r="B93" s="30" t="s">
        <v>57</v>
      </c>
      <c r="C93" s="31" t="s">
        <v>225</v>
      </c>
      <c r="D93" s="21">
        <v>61</v>
      </c>
      <c r="E93" s="21">
        <v>28</v>
      </c>
      <c r="F93" s="21">
        <v>33</v>
      </c>
      <c r="G93" s="21">
        <v>3</v>
      </c>
      <c r="H93" s="21">
        <v>0</v>
      </c>
      <c r="I93" s="21">
        <v>8</v>
      </c>
      <c r="J93" s="21">
        <v>4</v>
      </c>
      <c r="K93" s="21">
        <v>11</v>
      </c>
      <c r="L93" s="21">
        <v>3</v>
      </c>
      <c r="M93" s="21">
        <v>4</v>
      </c>
      <c r="N93" s="21">
        <v>3</v>
      </c>
      <c r="O93" s="21">
        <v>2</v>
      </c>
      <c r="P93" s="21">
        <v>16</v>
      </c>
      <c r="Q93" s="21">
        <v>0</v>
      </c>
      <c r="R93" s="21">
        <v>7</v>
      </c>
    </row>
    <row r="94" spans="1:18" s="20" customFormat="1" ht="14.25" hidden="1" customHeight="1" x14ac:dyDescent="0.2">
      <c r="A94" s="64" t="s">
        <v>213</v>
      </c>
      <c r="B94" s="25" t="s">
        <v>55</v>
      </c>
      <c r="C94" s="26" t="s">
        <v>0</v>
      </c>
      <c r="D94" s="27">
        <v>709</v>
      </c>
      <c r="E94" s="27">
        <v>358</v>
      </c>
      <c r="F94" s="27">
        <v>351</v>
      </c>
      <c r="G94" s="27">
        <v>57</v>
      </c>
      <c r="H94" s="27">
        <v>41</v>
      </c>
      <c r="I94" s="27">
        <v>47</v>
      </c>
      <c r="J94" s="27">
        <v>32</v>
      </c>
      <c r="K94" s="27">
        <v>77</v>
      </c>
      <c r="L94" s="27">
        <v>46</v>
      </c>
      <c r="M94" s="27">
        <v>76</v>
      </c>
      <c r="N94" s="27">
        <v>42</v>
      </c>
      <c r="O94" s="27">
        <v>66</v>
      </c>
      <c r="P94" s="27">
        <v>110</v>
      </c>
      <c r="Q94" s="27">
        <v>35</v>
      </c>
      <c r="R94" s="27">
        <v>80</v>
      </c>
    </row>
    <row r="95" spans="1:18" s="20" customFormat="1" ht="14.25" hidden="1" customHeight="1" x14ac:dyDescent="0.2">
      <c r="A95" s="86" t="s">
        <v>21</v>
      </c>
      <c r="B95" s="28" t="s">
        <v>56</v>
      </c>
      <c r="C95" s="29" t="s">
        <v>2</v>
      </c>
      <c r="D95" s="21">
        <v>658</v>
      </c>
      <c r="E95" s="21">
        <v>330</v>
      </c>
      <c r="F95" s="21">
        <v>328</v>
      </c>
      <c r="G95" s="21">
        <v>54</v>
      </c>
      <c r="H95" s="21">
        <v>39</v>
      </c>
      <c r="I95" s="21">
        <v>44</v>
      </c>
      <c r="J95" s="21">
        <v>27</v>
      </c>
      <c r="K95" s="21">
        <v>69</v>
      </c>
      <c r="L95" s="21">
        <v>41</v>
      </c>
      <c r="M95" s="21">
        <v>72</v>
      </c>
      <c r="N95" s="21">
        <v>39</v>
      </c>
      <c r="O95" s="21">
        <v>61</v>
      </c>
      <c r="P95" s="21">
        <v>106</v>
      </c>
      <c r="Q95" s="21">
        <v>30</v>
      </c>
      <c r="R95" s="21">
        <v>76</v>
      </c>
    </row>
    <row r="96" spans="1:18" s="20" customFormat="1" ht="14.25" hidden="1" customHeight="1" x14ac:dyDescent="0.2">
      <c r="A96" s="87"/>
      <c r="B96" s="30" t="s">
        <v>57</v>
      </c>
      <c r="C96" s="31" t="s">
        <v>225</v>
      </c>
      <c r="D96" s="21">
        <v>51</v>
      </c>
      <c r="E96" s="21">
        <v>28</v>
      </c>
      <c r="F96" s="21">
        <v>23</v>
      </c>
      <c r="G96" s="21">
        <v>3</v>
      </c>
      <c r="H96" s="21">
        <v>2</v>
      </c>
      <c r="I96" s="21">
        <v>3</v>
      </c>
      <c r="J96" s="21">
        <v>5</v>
      </c>
      <c r="K96" s="21">
        <v>8</v>
      </c>
      <c r="L96" s="21">
        <v>5</v>
      </c>
      <c r="M96" s="21">
        <v>4</v>
      </c>
      <c r="N96" s="21">
        <v>3</v>
      </c>
      <c r="O96" s="21">
        <v>5</v>
      </c>
      <c r="P96" s="21">
        <v>4</v>
      </c>
      <c r="Q96" s="21">
        <v>5</v>
      </c>
      <c r="R96" s="21">
        <v>4</v>
      </c>
    </row>
    <row r="97" spans="1:18" s="20" customFormat="1" ht="14.25" hidden="1" customHeight="1" x14ac:dyDescent="0.2">
      <c r="A97" s="64" t="s">
        <v>214</v>
      </c>
      <c r="B97" s="25" t="s">
        <v>55</v>
      </c>
      <c r="C97" s="26" t="s">
        <v>0</v>
      </c>
      <c r="D97" s="27">
        <v>319</v>
      </c>
      <c r="E97" s="27">
        <v>164</v>
      </c>
      <c r="F97" s="27">
        <v>155</v>
      </c>
      <c r="G97" s="27">
        <v>29</v>
      </c>
      <c r="H97" s="27">
        <v>19</v>
      </c>
      <c r="I97" s="27">
        <v>35</v>
      </c>
      <c r="J97" s="27">
        <v>19</v>
      </c>
      <c r="K97" s="27">
        <v>42</v>
      </c>
      <c r="L97" s="27">
        <v>26</v>
      </c>
      <c r="M97" s="27">
        <v>36</v>
      </c>
      <c r="N97" s="27">
        <v>15</v>
      </c>
      <c r="O97" s="27">
        <v>16</v>
      </c>
      <c r="P97" s="27">
        <v>52</v>
      </c>
      <c r="Q97" s="27">
        <v>6</v>
      </c>
      <c r="R97" s="27">
        <v>24</v>
      </c>
    </row>
    <row r="98" spans="1:18" s="20" customFormat="1" ht="14.25" hidden="1" customHeight="1" x14ac:dyDescent="0.2">
      <c r="A98" s="86" t="s">
        <v>22</v>
      </c>
      <c r="B98" s="28" t="s">
        <v>56</v>
      </c>
      <c r="C98" s="29" t="s">
        <v>2</v>
      </c>
      <c r="D98" s="21">
        <v>304</v>
      </c>
      <c r="E98" s="21">
        <v>153</v>
      </c>
      <c r="F98" s="21">
        <v>151</v>
      </c>
      <c r="G98" s="21">
        <v>27</v>
      </c>
      <c r="H98" s="21">
        <v>19</v>
      </c>
      <c r="I98" s="21">
        <v>32</v>
      </c>
      <c r="J98" s="21">
        <v>18</v>
      </c>
      <c r="K98" s="21">
        <v>40</v>
      </c>
      <c r="L98" s="21">
        <v>26</v>
      </c>
      <c r="M98" s="21">
        <v>32</v>
      </c>
      <c r="N98" s="21">
        <v>15</v>
      </c>
      <c r="O98" s="21">
        <v>16</v>
      </c>
      <c r="P98" s="21">
        <v>51</v>
      </c>
      <c r="Q98" s="21">
        <v>6</v>
      </c>
      <c r="R98" s="21">
        <v>22</v>
      </c>
    </row>
    <row r="99" spans="1:18" s="20" customFormat="1" ht="14.25" hidden="1" customHeight="1" x14ac:dyDescent="0.2">
      <c r="A99" s="87"/>
      <c r="B99" s="30" t="s">
        <v>57</v>
      </c>
      <c r="C99" s="31" t="s">
        <v>225</v>
      </c>
      <c r="D99" s="21">
        <v>15</v>
      </c>
      <c r="E99" s="21">
        <v>11</v>
      </c>
      <c r="F99" s="21">
        <v>4</v>
      </c>
      <c r="G99" s="21">
        <v>2</v>
      </c>
      <c r="H99" s="21">
        <v>0</v>
      </c>
      <c r="I99" s="21">
        <v>3</v>
      </c>
      <c r="J99" s="21">
        <v>1</v>
      </c>
      <c r="K99" s="21">
        <v>2</v>
      </c>
      <c r="L99" s="21">
        <v>0</v>
      </c>
      <c r="M99" s="21">
        <v>4</v>
      </c>
      <c r="N99" s="21">
        <v>0</v>
      </c>
      <c r="O99" s="21">
        <v>0</v>
      </c>
      <c r="P99" s="21">
        <v>1</v>
      </c>
      <c r="Q99" s="21">
        <v>0</v>
      </c>
      <c r="R99" s="21">
        <v>2</v>
      </c>
    </row>
    <row r="100" spans="1:18" s="20" customFormat="1" ht="14.25" hidden="1" customHeight="1" x14ac:dyDescent="0.2">
      <c r="A100" s="64" t="s">
        <v>215</v>
      </c>
      <c r="B100" s="25" t="s">
        <v>55</v>
      </c>
      <c r="C100" s="26" t="s">
        <v>0</v>
      </c>
      <c r="D100" s="27">
        <v>682</v>
      </c>
      <c r="E100" s="27">
        <v>316</v>
      </c>
      <c r="F100" s="27">
        <v>366</v>
      </c>
      <c r="G100" s="27">
        <v>32</v>
      </c>
      <c r="H100" s="27">
        <v>28</v>
      </c>
      <c r="I100" s="27">
        <v>65</v>
      </c>
      <c r="J100" s="27">
        <v>44</v>
      </c>
      <c r="K100" s="27">
        <v>85</v>
      </c>
      <c r="L100" s="27">
        <v>48</v>
      </c>
      <c r="M100" s="27">
        <v>60</v>
      </c>
      <c r="N100" s="27">
        <v>50</v>
      </c>
      <c r="O100" s="27">
        <v>52</v>
      </c>
      <c r="P100" s="27">
        <v>116</v>
      </c>
      <c r="Q100" s="27">
        <v>22</v>
      </c>
      <c r="R100" s="27">
        <v>80</v>
      </c>
    </row>
    <row r="101" spans="1:18" s="20" customFormat="1" ht="14.25" hidden="1" customHeight="1" x14ac:dyDescent="0.2">
      <c r="A101" s="86" t="s">
        <v>23</v>
      </c>
      <c r="B101" s="28" t="s">
        <v>56</v>
      </c>
      <c r="C101" s="29" t="s">
        <v>2</v>
      </c>
      <c r="D101" s="21">
        <v>636</v>
      </c>
      <c r="E101" s="21">
        <v>297</v>
      </c>
      <c r="F101" s="21">
        <v>339</v>
      </c>
      <c r="G101" s="21">
        <v>31</v>
      </c>
      <c r="H101" s="21">
        <v>26</v>
      </c>
      <c r="I101" s="21">
        <v>59</v>
      </c>
      <c r="J101" s="21">
        <v>40</v>
      </c>
      <c r="K101" s="21">
        <v>80</v>
      </c>
      <c r="L101" s="21">
        <v>47</v>
      </c>
      <c r="M101" s="21">
        <v>56</v>
      </c>
      <c r="N101" s="21">
        <v>48</v>
      </c>
      <c r="O101" s="21">
        <v>50</v>
      </c>
      <c r="P101" s="21">
        <v>106</v>
      </c>
      <c r="Q101" s="21">
        <v>21</v>
      </c>
      <c r="R101" s="21">
        <v>72</v>
      </c>
    </row>
    <row r="102" spans="1:18" s="20" customFormat="1" ht="14.25" hidden="1" customHeight="1" x14ac:dyDescent="0.2">
      <c r="A102" s="87"/>
      <c r="B102" s="30" t="s">
        <v>57</v>
      </c>
      <c r="C102" s="31" t="s">
        <v>225</v>
      </c>
      <c r="D102" s="21">
        <v>46</v>
      </c>
      <c r="E102" s="21">
        <v>19</v>
      </c>
      <c r="F102" s="21">
        <v>27</v>
      </c>
      <c r="G102" s="21">
        <v>1</v>
      </c>
      <c r="H102" s="21">
        <v>2</v>
      </c>
      <c r="I102" s="21">
        <v>6</v>
      </c>
      <c r="J102" s="21">
        <v>4</v>
      </c>
      <c r="K102" s="21">
        <v>5</v>
      </c>
      <c r="L102" s="21">
        <v>1</v>
      </c>
      <c r="M102" s="21">
        <v>4</v>
      </c>
      <c r="N102" s="21">
        <v>2</v>
      </c>
      <c r="O102" s="21">
        <v>2</v>
      </c>
      <c r="P102" s="21">
        <v>10</v>
      </c>
      <c r="Q102" s="21">
        <v>1</v>
      </c>
      <c r="R102" s="21">
        <v>8</v>
      </c>
    </row>
    <row r="103" spans="1:18" s="20" customFormat="1" ht="14.25" hidden="1" customHeight="1" x14ac:dyDescent="0.2">
      <c r="A103" s="64" t="s">
        <v>194</v>
      </c>
      <c r="B103" s="25" t="s">
        <v>55</v>
      </c>
      <c r="C103" s="26" t="s">
        <v>0</v>
      </c>
      <c r="D103" s="27">
        <v>35</v>
      </c>
      <c r="E103" s="27">
        <v>7</v>
      </c>
      <c r="F103" s="27">
        <v>28</v>
      </c>
      <c r="G103" s="27">
        <v>2</v>
      </c>
      <c r="H103" s="27">
        <v>7</v>
      </c>
      <c r="I103" s="27">
        <v>0</v>
      </c>
      <c r="J103" s="27">
        <v>0</v>
      </c>
      <c r="K103" s="27">
        <v>3</v>
      </c>
      <c r="L103" s="27">
        <v>3</v>
      </c>
      <c r="M103" s="27">
        <v>1</v>
      </c>
      <c r="N103" s="27">
        <v>1</v>
      </c>
      <c r="O103" s="27">
        <v>1</v>
      </c>
      <c r="P103" s="27">
        <v>9</v>
      </c>
      <c r="Q103" s="27">
        <v>0</v>
      </c>
      <c r="R103" s="27">
        <v>8</v>
      </c>
    </row>
    <row r="104" spans="1:18" s="20" customFormat="1" ht="14.25" hidden="1" customHeight="1" x14ac:dyDescent="0.2">
      <c r="A104" s="86" t="s">
        <v>5</v>
      </c>
      <c r="B104" s="28" t="s">
        <v>56</v>
      </c>
      <c r="C104" s="29" t="s">
        <v>2</v>
      </c>
      <c r="D104" s="21">
        <v>33</v>
      </c>
      <c r="E104" s="21">
        <v>7</v>
      </c>
      <c r="F104" s="21">
        <v>26</v>
      </c>
      <c r="G104" s="21">
        <v>2</v>
      </c>
      <c r="H104" s="21">
        <v>7</v>
      </c>
      <c r="I104" s="21">
        <v>0</v>
      </c>
      <c r="J104" s="21">
        <v>0</v>
      </c>
      <c r="K104" s="21">
        <v>3</v>
      </c>
      <c r="L104" s="21">
        <v>3</v>
      </c>
      <c r="M104" s="21">
        <v>1</v>
      </c>
      <c r="N104" s="21">
        <v>1</v>
      </c>
      <c r="O104" s="21">
        <v>1</v>
      </c>
      <c r="P104" s="21">
        <v>8</v>
      </c>
      <c r="Q104" s="21">
        <v>0</v>
      </c>
      <c r="R104" s="21">
        <v>7</v>
      </c>
    </row>
    <row r="105" spans="1:18" s="20" customFormat="1" ht="14.25" hidden="1" customHeight="1" x14ac:dyDescent="0.2">
      <c r="A105" s="87"/>
      <c r="B105" s="30" t="s">
        <v>57</v>
      </c>
      <c r="C105" s="31" t="s">
        <v>225</v>
      </c>
      <c r="D105" s="21">
        <v>2</v>
      </c>
      <c r="E105" s="21">
        <v>0</v>
      </c>
      <c r="F105" s="21">
        <v>2</v>
      </c>
      <c r="G105" s="21">
        <v>0</v>
      </c>
      <c r="H105" s="21">
        <v>0</v>
      </c>
      <c r="I105" s="21">
        <v>0</v>
      </c>
      <c r="J105" s="21">
        <v>0</v>
      </c>
      <c r="K105" s="21">
        <v>0</v>
      </c>
      <c r="L105" s="21">
        <v>0</v>
      </c>
      <c r="M105" s="21">
        <v>0</v>
      </c>
      <c r="N105" s="21">
        <v>0</v>
      </c>
      <c r="O105" s="21">
        <v>0</v>
      </c>
      <c r="P105" s="21">
        <v>1</v>
      </c>
      <c r="Q105" s="21">
        <v>0</v>
      </c>
      <c r="R105" s="21">
        <v>1</v>
      </c>
    </row>
    <row r="106" spans="1:18" s="20" customFormat="1" ht="14.25" hidden="1" customHeight="1" x14ac:dyDescent="0.2">
      <c r="A106" s="64" t="s">
        <v>195</v>
      </c>
      <c r="B106" s="25" t="s">
        <v>55</v>
      </c>
      <c r="C106" s="26" t="s">
        <v>0</v>
      </c>
      <c r="D106" s="27">
        <v>184</v>
      </c>
      <c r="E106" s="27">
        <v>80</v>
      </c>
      <c r="F106" s="27">
        <v>104</v>
      </c>
      <c r="G106" s="27">
        <v>18</v>
      </c>
      <c r="H106" s="27">
        <v>13</v>
      </c>
      <c r="I106" s="27">
        <v>14</v>
      </c>
      <c r="J106" s="27">
        <v>15</v>
      </c>
      <c r="K106" s="27">
        <v>19</v>
      </c>
      <c r="L106" s="27">
        <v>13</v>
      </c>
      <c r="M106" s="27">
        <v>11</v>
      </c>
      <c r="N106" s="27">
        <v>15</v>
      </c>
      <c r="O106" s="27">
        <v>15</v>
      </c>
      <c r="P106" s="27">
        <v>32</v>
      </c>
      <c r="Q106" s="27">
        <v>3</v>
      </c>
      <c r="R106" s="27">
        <v>16</v>
      </c>
    </row>
    <row r="107" spans="1:18" s="20" customFormat="1" ht="14.25" hidden="1" customHeight="1" x14ac:dyDescent="0.2">
      <c r="A107" s="86" t="s">
        <v>6</v>
      </c>
      <c r="B107" s="28" t="s">
        <v>56</v>
      </c>
      <c r="C107" s="29" t="s">
        <v>2</v>
      </c>
      <c r="D107" s="21">
        <v>148</v>
      </c>
      <c r="E107" s="21">
        <v>71</v>
      </c>
      <c r="F107" s="21">
        <v>77</v>
      </c>
      <c r="G107" s="21">
        <v>15</v>
      </c>
      <c r="H107" s="21">
        <v>8</v>
      </c>
      <c r="I107" s="21">
        <v>10</v>
      </c>
      <c r="J107" s="21">
        <v>13</v>
      </c>
      <c r="K107" s="21">
        <v>19</v>
      </c>
      <c r="L107" s="21">
        <v>9</v>
      </c>
      <c r="M107" s="21">
        <v>10</v>
      </c>
      <c r="N107" s="21">
        <v>9</v>
      </c>
      <c r="O107" s="21">
        <v>15</v>
      </c>
      <c r="P107" s="21">
        <v>25</v>
      </c>
      <c r="Q107" s="21">
        <v>2</v>
      </c>
      <c r="R107" s="21">
        <v>13</v>
      </c>
    </row>
    <row r="108" spans="1:18" s="20" customFormat="1" ht="14.25" hidden="1" customHeight="1" x14ac:dyDescent="0.2">
      <c r="A108" s="87"/>
      <c r="B108" s="30" t="s">
        <v>57</v>
      </c>
      <c r="C108" s="31" t="s">
        <v>225</v>
      </c>
      <c r="D108" s="21">
        <v>36</v>
      </c>
      <c r="E108" s="21">
        <v>9</v>
      </c>
      <c r="F108" s="21">
        <v>27</v>
      </c>
      <c r="G108" s="21">
        <v>3</v>
      </c>
      <c r="H108" s="21">
        <v>5</v>
      </c>
      <c r="I108" s="21">
        <v>4</v>
      </c>
      <c r="J108" s="21">
        <v>2</v>
      </c>
      <c r="K108" s="21">
        <v>0</v>
      </c>
      <c r="L108" s="21">
        <v>4</v>
      </c>
      <c r="M108" s="21">
        <v>1</v>
      </c>
      <c r="N108" s="21">
        <v>6</v>
      </c>
      <c r="O108" s="21">
        <v>0</v>
      </c>
      <c r="P108" s="21">
        <v>7</v>
      </c>
      <c r="Q108" s="21">
        <v>1</v>
      </c>
      <c r="R108" s="21">
        <v>3</v>
      </c>
    </row>
    <row r="109" spans="1:18" s="20" customFormat="1" ht="14.25" hidden="1" customHeight="1" x14ac:dyDescent="0.2">
      <c r="A109" s="64" t="s">
        <v>196</v>
      </c>
      <c r="B109" s="25" t="s">
        <v>55</v>
      </c>
      <c r="C109" s="26" t="s">
        <v>0</v>
      </c>
      <c r="D109" s="27">
        <v>91</v>
      </c>
      <c r="E109" s="27">
        <v>23</v>
      </c>
      <c r="F109" s="27">
        <v>68</v>
      </c>
      <c r="G109" s="27">
        <v>4</v>
      </c>
      <c r="H109" s="27">
        <v>3</v>
      </c>
      <c r="I109" s="27">
        <v>4</v>
      </c>
      <c r="J109" s="27">
        <v>5</v>
      </c>
      <c r="K109" s="27">
        <v>4</v>
      </c>
      <c r="L109" s="27">
        <v>7</v>
      </c>
      <c r="M109" s="27">
        <v>6</v>
      </c>
      <c r="N109" s="27">
        <v>7</v>
      </c>
      <c r="O109" s="27">
        <v>2</v>
      </c>
      <c r="P109" s="27">
        <v>20</v>
      </c>
      <c r="Q109" s="27">
        <v>3</v>
      </c>
      <c r="R109" s="27">
        <v>26</v>
      </c>
    </row>
    <row r="110" spans="1:18" s="20" customFormat="1" ht="14.25" hidden="1" customHeight="1" x14ac:dyDescent="0.2">
      <c r="A110" s="86" t="s">
        <v>7</v>
      </c>
      <c r="B110" s="28" t="s">
        <v>56</v>
      </c>
      <c r="C110" s="29" t="s">
        <v>2</v>
      </c>
      <c r="D110" s="21">
        <v>80</v>
      </c>
      <c r="E110" s="21">
        <v>21</v>
      </c>
      <c r="F110" s="21">
        <v>59</v>
      </c>
      <c r="G110" s="21">
        <v>4</v>
      </c>
      <c r="H110" s="21">
        <v>3</v>
      </c>
      <c r="I110" s="21">
        <v>3</v>
      </c>
      <c r="J110" s="21">
        <v>5</v>
      </c>
      <c r="K110" s="21">
        <v>3</v>
      </c>
      <c r="L110" s="21">
        <v>7</v>
      </c>
      <c r="M110" s="21">
        <v>6</v>
      </c>
      <c r="N110" s="21">
        <v>5</v>
      </c>
      <c r="O110" s="21">
        <v>2</v>
      </c>
      <c r="P110" s="21">
        <v>18</v>
      </c>
      <c r="Q110" s="21">
        <v>3</v>
      </c>
      <c r="R110" s="21">
        <v>21</v>
      </c>
    </row>
    <row r="111" spans="1:18" s="20" customFormat="1" ht="14.25" hidden="1" customHeight="1" x14ac:dyDescent="0.2">
      <c r="A111" s="87"/>
      <c r="B111" s="30" t="s">
        <v>57</v>
      </c>
      <c r="C111" s="31" t="s">
        <v>225</v>
      </c>
      <c r="D111" s="21">
        <v>11</v>
      </c>
      <c r="E111" s="21">
        <v>2</v>
      </c>
      <c r="F111" s="21">
        <v>9</v>
      </c>
      <c r="G111" s="21">
        <v>0</v>
      </c>
      <c r="H111" s="21">
        <v>0</v>
      </c>
      <c r="I111" s="21">
        <v>1</v>
      </c>
      <c r="J111" s="21">
        <v>0</v>
      </c>
      <c r="K111" s="21">
        <v>1</v>
      </c>
      <c r="L111" s="21">
        <v>0</v>
      </c>
      <c r="M111" s="21">
        <v>0</v>
      </c>
      <c r="N111" s="21">
        <v>2</v>
      </c>
      <c r="O111" s="21">
        <v>0</v>
      </c>
      <c r="P111" s="21">
        <v>2</v>
      </c>
      <c r="Q111" s="21">
        <v>0</v>
      </c>
      <c r="R111" s="21">
        <v>5</v>
      </c>
    </row>
    <row r="112" spans="1:18" s="20" customFormat="1" ht="14.25" hidden="1" customHeight="1" x14ac:dyDescent="0.2">
      <c r="A112" s="64" t="s">
        <v>197</v>
      </c>
      <c r="B112" s="25" t="s">
        <v>55</v>
      </c>
      <c r="C112" s="26" t="s">
        <v>0</v>
      </c>
      <c r="D112" s="27">
        <v>223</v>
      </c>
      <c r="E112" s="27">
        <v>100</v>
      </c>
      <c r="F112" s="27">
        <v>123</v>
      </c>
      <c r="G112" s="27">
        <v>17</v>
      </c>
      <c r="H112" s="27">
        <v>10</v>
      </c>
      <c r="I112" s="27">
        <v>9</v>
      </c>
      <c r="J112" s="27">
        <v>15</v>
      </c>
      <c r="K112" s="27">
        <v>18</v>
      </c>
      <c r="L112" s="27">
        <v>18</v>
      </c>
      <c r="M112" s="27">
        <v>19</v>
      </c>
      <c r="N112" s="27">
        <v>13</v>
      </c>
      <c r="O112" s="27">
        <v>23</v>
      </c>
      <c r="P112" s="27">
        <v>32</v>
      </c>
      <c r="Q112" s="27">
        <v>14</v>
      </c>
      <c r="R112" s="27">
        <v>35</v>
      </c>
    </row>
    <row r="113" spans="1:18" s="20" customFormat="1" ht="14.25" hidden="1" customHeight="1" x14ac:dyDescent="0.2">
      <c r="A113" s="86" t="s">
        <v>8</v>
      </c>
      <c r="B113" s="28" t="s">
        <v>56</v>
      </c>
      <c r="C113" s="29" t="s">
        <v>2</v>
      </c>
      <c r="D113" s="21">
        <v>217</v>
      </c>
      <c r="E113" s="21">
        <v>99</v>
      </c>
      <c r="F113" s="21">
        <v>118</v>
      </c>
      <c r="G113" s="21">
        <v>17</v>
      </c>
      <c r="H113" s="21">
        <v>9</v>
      </c>
      <c r="I113" s="21">
        <v>9</v>
      </c>
      <c r="J113" s="21">
        <v>15</v>
      </c>
      <c r="K113" s="21">
        <v>18</v>
      </c>
      <c r="L113" s="21">
        <v>18</v>
      </c>
      <c r="M113" s="21">
        <v>19</v>
      </c>
      <c r="N113" s="21">
        <v>13</v>
      </c>
      <c r="O113" s="21">
        <v>23</v>
      </c>
      <c r="P113" s="21">
        <v>28</v>
      </c>
      <c r="Q113" s="21">
        <v>13</v>
      </c>
      <c r="R113" s="21">
        <v>35</v>
      </c>
    </row>
    <row r="114" spans="1:18" s="20" customFormat="1" ht="14.25" hidden="1" customHeight="1" x14ac:dyDescent="0.2">
      <c r="A114" s="87"/>
      <c r="B114" s="30" t="s">
        <v>57</v>
      </c>
      <c r="C114" s="31" t="s">
        <v>225</v>
      </c>
      <c r="D114" s="21">
        <v>6</v>
      </c>
      <c r="E114" s="21">
        <v>1</v>
      </c>
      <c r="F114" s="21">
        <v>5</v>
      </c>
      <c r="G114" s="21">
        <v>0</v>
      </c>
      <c r="H114" s="21">
        <v>1</v>
      </c>
      <c r="I114" s="21">
        <v>0</v>
      </c>
      <c r="J114" s="21">
        <v>0</v>
      </c>
      <c r="K114" s="21">
        <v>0</v>
      </c>
      <c r="L114" s="21">
        <v>0</v>
      </c>
      <c r="M114" s="21">
        <v>0</v>
      </c>
      <c r="N114" s="21">
        <v>0</v>
      </c>
      <c r="O114" s="21">
        <v>0</v>
      </c>
      <c r="P114" s="21">
        <v>4</v>
      </c>
      <c r="Q114" s="21">
        <v>1</v>
      </c>
      <c r="R114" s="21">
        <v>0</v>
      </c>
    </row>
    <row r="115" spans="1:18" s="20" customFormat="1" ht="14.25" hidden="1" customHeight="1" x14ac:dyDescent="0.2">
      <c r="A115" s="64" t="s">
        <v>198</v>
      </c>
      <c r="B115" s="25" t="s">
        <v>55</v>
      </c>
      <c r="C115" s="26" t="s">
        <v>0</v>
      </c>
      <c r="D115" s="27">
        <v>112</v>
      </c>
      <c r="E115" s="27">
        <v>42</v>
      </c>
      <c r="F115" s="27">
        <v>70</v>
      </c>
      <c r="G115" s="27">
        <v>5</v>
      </c>
      <c r="H115" s="27">
        <v>10</v>
      </c>
      <c r="I115" s="27">
        <v>7</v>
      </c>
      <c r="J115" s="27">
        <v>5</v>
      </c>
      <c r="K115" s="27">
        <v>15</v>
      </c>
      <c r="L115" s="27">
        <v>9</v>
      </c>
      <c r="M115" s="27">
        <v>6</v>
      </c>
      <c r="N115" s="27">
        <v>11</v>
      </c>
      <c r="O115" s="27">
        <v>5</v>
      </c>
      <c r="P115" s="27">
        <v>13</v>
      </c>
      <c r="Q115" s="27">
        <v>4</v>
      </c>
      <c r="R115" s="27">
        <v>22</v>
      </c>
    </row>
    <row r="116" spans="1:18" s="20" customFormat="1" ht="14.25" hidden="1" customHeight="1" x14ac:dyDescent="0.2">
      <c r="A116" s="86" t="s">
        <v>9</v>
      </c>
      <c r="B116" s="28" t="s">
        <v>56</v>
      </c>
      <c r="C116" s="29" t="s">
        <v>2</v>
      </c>
      <c r="D116" s="21">
        <v>86</v>
      </c>
      <c r="E116" s="21">
        <v>35</v>
      </c>
      <c r="F116" s="21">
        <v>51</v>
      </c>
      <c r="G116" s="21">
        <v>5</v>
      </c>
      <c r="H116" s="21">
        <v>8</v>
      </c>
      <c r="I116" s="21">
        <v>6</v>
      </c>
      <c r="J116" s="21">
        <v>5</v>
      </c>
      <c r="K116" s="21">
        <v>12</v>
      </c>
      <c r="L116" s="21">
        <v>6</v>
      </c>
      <c r="M116" s="21">
        <v>3</v>
      </c>
      <c r="N116" s="21">
        <v>7</v>
      </c>
      <c r="O116" s="21">
        <v>5</v>
      </c>
      <c r="P116" s="21">
        <v>7</v>
      </c>
      <c r="Q116" s="21">
        <v>4</v>
      </c>
      <c r="R116" s="21">
        <v>18</v>
      </c>
    </row>
    <row r="117" spans="1:18" s="20" customFormat="1" ht="14.25" hidden="1" customHeight="1" x14ac:dyDescent="0.2">
      <c r="A117" s="87"/>
      <c r="B117" s="30" t="s">
        <v>57</v>
      </c>
      <c r="C117" s="31" t="s">
        <v>225</v>
      </c>
      <c r="D117" s="21">
        <v>26</v>
      </c>
      <c r="E117" s="21">
        <v>7</v>
      </c>
      <c r="F117" s="21">
        <v>19</v>
      </c>
      <c r="G117" s="21">
        <v>0</v>
      </c>
      <c r="H117" s="21">
        <v>2</v>
      </c>
      <c r="I117" s="21">
        <v>1</v>
      </c>
      <c r="J117" s="21">
        <v>0</v>
      </c>
      <c r="K117" s="21">
        <v>3</v>
      </c>
      <c r="L117" s="21">
        <v>3</v>
      </c>
      <c r="M117" s="21">
        <v>3</v>
      </c>
      <c r="N117" s="21">
        <v>4</v>
      </c>
      <c r="O117" s="21">
        <v>0</v>
      </c>
      <c r="P117" s="21">
        <v>6</v>
      </c>
      <c r="Q117" s="21">
        <v>0</v>
      </c>
      <c r="R117" s="21">
        <v>4</v>
      </c>
    </row>
    <row r="118" spans="1:18" s="20" customFormat="1" ht="14.25" hidden="1" customHeight="1" x14ac:dyDescent="0.2">
      <c r="A118" s="64" t="s">
        <v>199</v>
      </c>
      <c r="B118" s="25" t="s">
        <v>55</v>
      </c>
      <c r="C118" s="26" t="s">
        <v>0</v>
      </c>
      <c r="D118" s="27">
        <v>145</v>
      </c>
      <c r="E118" s="27">
        <v>56</v>
      </c>
      <c r="F118" s="27">
        <v>89</v>
      </c>
      <c r="G118" s="27">
        <v>12</v>
      </c>
      <c r="H118" s="27">
        <v>9</v>
      </c>
      <c r="I118" s="27">
        <v>14</v>
      </c>
      <c r="J118" s="27">
        <v>10</v>
      </c>
      <c r="K118" s="27">
        <v>7</v>
      </c>
      <c r="L118" s="27">
        <v>9</v>
      </c>
      <c r="M118" s="27">
        <v>4</v>
      </c>
      <c r="N118" s="27">
        <v>6</v>
      </c>
      <c r="O118" s="27">
        <v>5</v>
      </c>
      <c r="P118" s="27">
        <v>34</v>
      </c>
      <c r="Q118" s="27">
        <v>14</v>
      </c>
      <c r="R118" s="27">
        <v>21</v>
      </c>
    </row>
    <row r="119" spans="1:18" s="20" customFormat="1" ht="14.25" hidden="1" customHeight="1" x14ac:dyDescent="0.2">
      <c r="A119" s="86" t="s">
        <v>10</v>
      </c>
      <c r="B119" s="28" t="s">
        <v>56</v>
      </c>
      <c r="C119" s="29" t="s">
        <v>2</v>
      </c>
      <c r="D119" s="21">
        <v>141</v>
      </c>
      <c r="E119" s="21">
        <v>55</v>
      </c>
      <c r="F119" s="21">
        <v>86</v>
      </c>
      <c r="G119" s="21">
        <v>12</v>
      </c>
      <c r="H119" s="21">
        <v>9</v>
      </c>
      <c r="I119" s="21">
        <v>14</v>
      </c>
      <c r="J119" s="21">
        <v>10</v>
      </c>
      <c r="K119" s="21">
        <v>7</v>
      </c>
      <c r="L119" s="21">
        <v>9</v>
      </c>
      <c r="M119" s="21">
        <v>4</v>
      </c>
      <c r="N119" s="21">
        <v>6</v>
      </c>
      <c r="O119" s="21">
        <v>5</v>
      </c>
      <c r="P119" s="21">
        <v>31</v>
      </c>
      <c r="Q119" s="21">
        <v>13</v>
      </c>
      <c r="R119" s="21">
        <v>21</v>
      </c>
    </row>
    <row r="120" spans="1:18" s="20" customFormat="1" ht="14.25" hidden="1" customHeight="1" x14ac:dyDescent="0.2">
      <c r="A120" s="87"/>
      <c r="B120" s="30" t="s">
        <v>57</v>
      </c>
      <c r="C120" s="31" t="s">
        <v>225</v>
      </c>
      <c r="D120" s="21">
        <v>4</v>
      </c>
      <c r="E120" s="21">
        <v>1</v>
      </c>
      <c r="F120" s="21">
        <v>3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3</v>
      </c>
      <c r="Q120" s="21">
        <v>1</v>
      </c>
      <c r="R120" s="21">
        <v>0</v>
      </c>
    </row>
    <row r="121" spans="1:18" s="20" customFormat="1" ht="14.25" hidden="1" customHeight="1" x14ac:dyDescent="0.2">
      <c r="A121" s="64" t="s">
        <v>200</v>
      </c>
      <c r="B121" s="25" t="s">
        <v>55</v>
      </c>
      <c r="C121" s="26" t="s">
        <v>0</v>
      </c>
      <c r="D121" s="27">
        <v>90</v>
      </c>
      <c r="E121" s="27">
        <v>37</v>
      </c>
      <c r="F121" s="27">
        <v>53</v>
      </c>
      <c r="G121" s="27">
        <v>6</v>
      </c>
      <c r="H121" s="27">
        <v>8</v>
      </c>
      <c r="I121" s="27">
        <v>8</v>
      </c>
      <c r="J121" s="27">
        <v>7</v>
      </c>
      <c r="K121" s="27">
        <v>5</v>
      </c>
      <c r="L121" s="27">
        <v>3</v>
      </c>
      <c r="M121" s="27">
        <v>7</v>
      </c>
      <c r="N121" s="27">
        <v>7</v>
      </c>
      <c r="O121" s="27">
        <v>5</v>
      </c>
      <c r="P121" s="27">
        <v>13</v>
      </c>
      <c r="Q121" s="27">
        <v>6</v>
      </c>
      <c r="R121" s="27">
        <v>15</v>
      </c>
    </row>
    <row r="122" spans="1:18" s="20" customFormat="1" ht="14.25" hidden="1" customHeight="1" x14ac:dyDescent="0.2">
      <c r="A122" s="86" t="s">
        <v>11</v>
      </c>
      <c r="B122" s="28" t="s">
        <v>56</v>
      </c>
      <c r="C122" s="29" t="s">
        <v>2</v>
      </c>
      <c r="D122" s="21">
        <v>86</v>
      </c>
      <c r="E122" s="21">
        <v>33</v>
      </c>
      <c r="F122" s="21">
        <v>53</v>
      </c>
      <c r="G122" s="21">
        <v>6</v>
      </c>
      <c r="H122" s="21">
        <v>8</v>
      </c>
      <c r="I122" s="21">
        <v>8</v>
      </c>
      <c r="J122" s="21">
        <v>7</v>
      </c>
      <c r="K122" s="21">
        <v>5</v>
      </c>
      <c r="L122" s="21">
        <v>3</v>
      </c>
      <c r="M122" s="21">
        <v>6</v>
      </c>
      <c r="N122" s="21">
        <v>7</v>
      </c>
      <c r="O122" s="21">
        <v>3</v>
      </c>
      <c r="P122" s="21">
        <v>13</v>
      </c>
      <c r="Q122" s="21">
        <v>5</v>
      </c>
      <c r="R122" s="21">
        <v>15</v>
      </c>
    </row>
    <row r="123" spans="1:18" s="20" customFormat="1" ht="14.25" hidden="1" customHeight="1" x14ac:dyDescent="0.2">
      <c r="A123" s="87"/>
      <c r="B123" s="30" t="s">
        <v>57</v>
      </c>
      <c r="C123" s="31" t="s">
        <v>225</v>
      </c>
      <c r="D123" s="21">
        <v>4</v>
      </c>
      <c r="E123" s="21">
        <v>4</v>
      </c>
      <c r="F123" s="21">
        <v>0</v>
      </c>
      <c r="G123" s="21">
        <v>0</v>
      </c>
      <c r="H123" s="21">
        <v>0</v>
      </c>
      <c r="I123" s="21">
        <v>0</v>
      </c>
      <c r="J123" s="21">
        <v>0</v>
      </c>
      <c r="K123" s="21">
        <v>0</v>
      </c>
      <c r="L123" s="21">
        <v>0</v>
      </c>
      <c r="M123" s="21">
        <v>1</v>
      </c>
      <c r="N123" s="21">
        <v>0</v>
      </c>
      <c r="O123" s="21">
        <v>2</v>
      </c>
      <c r="P123" s="21">
        <v>0</v>
      </c>
      <c r="Q123" s="21">
        <v>1</v>
      </c>
      <c r="R123" s="21">
        <v>0</v>
      </c>
    </row>
    <row r="124" spans="1:18" s="20" customFormat="1" ht="14.25" hidden="1" customHeight="1" x14ac:dyDescent="0.2">
      <c r="A124" s="64" t="s">
        <v>201</v>
      </c>
      <c r="B124" s="25" t="s">
        <v>55</v>
      </c>
      <c r="C124" s="26" t="s">
        <v>0</v>
      </c>
      <c r="D124" s="27">
        <v>179</v>
      </c>
      <c r="E124" s="27">
        <v>58</v>
      </c>
      <c r="F124" s="27">
        <v>121</v>
      </c>
      <c r="G124" s="27">
        <v>8</v>
      </c>
      <c r="H124" s="27">
        <v>8</v>
      </c>
      <c r="I124" s="27">
        <v>7</v>
      </c>
      <c r="J124" s="27">
        <v>8</v>
      </c>
      <c r="K124" s="27">
        <v>12</v>
      </c>
      <c r="L124" s="27">
        <v>12</v>
      </c>
      <c r="M124" s="27">
        <v>17</v>
      </c>
      <c r="N124" s="27">
        <v>20</v>
      </c>
      <c r="O124" s="27">
        <v>9</v>
      </c>
      <c r="P124" s="27">
        <v>38</v>
      </c>
      <c r="Q124" s="27">
        <v>5</v>
      </c>
      <c r="R124" s="27">
        <v>35</v>
      </c>
    </row>
    <row r="125" spans="1:18" s="20" customFormat="1" ht="14.25" hidden="1" customHeight="1" x14ac:dyDescent="0.2">
      <c r="A125" s="86" t="s">
        <v>12</v>
      </c>
      <c r="B125" s="28" t="s">
        <v>56</v>
      </c>
      <c r="C125" s="29" t="s">
        <v>2</v>
      </c>
      <c r="D125" s="21">
        <v>144</v>
      </c>
      <c r="E125" s="21">
        <v>49</v>
      </c>
      <c r="F125" s="21">
        <v>95</v>
      </c>
      <c r="G125" s="21">
        <v>8</v>
      </c>
      <c r="H125" s="21">
        <v>8</v>
      </c>
      <c r="I125" s="21">
        <v>5</v>
      </c>
      <c r="J125" s="21">
        <v>8</v>
      </c>
      <c r="K125" s="21">
        <v>8</v>
      </c>
      <c r="L125" s="21">
        <v>8</v>
      </c>
      <c r="M125" s="21">
        <v>15</v>
      </c>
      <c r="N125" s="21">
        <v>16</v>
      </c>
      <c r="O125" s="21">
        <v>8</v>
      </c>
      <c r="P125" s="21">
        <v>31</v>
      </c>
      <c r="Q125" s="21">
        <v>5</v>
      </c>
      <c r="R125" s="21">
        <v>24</v>
      </c>
    </row>
    <row r="126" spans="1:18" s="20" customFormat="1" ht="14.25" hidden="1" customHeight="1" x14ac:dyDescent="0.2">
      <c r="A126" s="87"/>
      <c r="B126" s="30" t="s">
        <v>57</v>
      </c>
      <c r="C126" s="31" t="s">
        <v>225</v>
      </c>
      <c r="D126" s="21">
        <v>35</v>
      </c>
      <c r="E126" s="21">
        <v>9</v>
      </c>
      <c r="F126" s="21">
        <v>26</v>
      </c>
      <c r="G126" s="21">
        <v>0</v>
      </c>
      <c r="H126" s="21">
        <v>0</v>
      </c>
      <c r="I126" s="21">
        <v>2</v>
      </c>
      <c r="J126" s="21">
        <v>0</v>
      </c>
      <c r="K126" s="21">
        <v>4</v>
      </c>
      <c r="L126" s="21">
        <v>4</v>
      </c>
      <c r="M126" s="21">
        <v>2</v>
      </c>
      <c r="N126" s="21">
        <v>4</v>
      </c>
      <c r="O126" s="21">
        <v>1</v>
      </c>
      <c r="P126" s="21">
        <v>7</v>
      </c>
      <c r="Q126" s="21">
        <v>0</v>
      </c>
      <c r="R126" s="21">
        <v>11</v>
      </c>
    </row>
    <row r="127" spans="1:18" s="20" customFormat="1" ht="14.25" hidden="1" customHeight="1" x14ac:dyDescent="0.2">
      <c r="A127" s="64" t="s">
        <v>202</v>
      </c>
      <c r="B127" s="25" t="s">
        <v>55</v>
      </c>
      <c r="C127" s="26" t="s">
        <v>0</v>
      </c>
      <c r="D127" s="27">
        <v>34</v>
      </c>
      <c r="E127" s="27">
        <v>8</v>
      </c>
      <c r="F127" s="27">
        <v>26</v>
      </c>
      <c r="G127" s="27">
        <v>0</v>
      </c>
      <c r="H127" s="27">
        <v>1</v>
      </c>
      <c r="I127" s="27">
        <v>0</v>
      </c>
      <c r="J127" s="27">
        <v>1</v>
      </c>
      <c r="K127" s="27">
        <v>0</v>
      </c>
      <c r="L127" s="27">
        <v>2</v>
      </c>
      <c r="M127" s="27">
        <v>2</v>
      </c>
      <c r="N127" s="27">
        <v>3</v>
      </c>
      <c r="O127" s="27">
        <v>6</v>
      </c>
      <c r="P127" s="27">
        <v>9</v>
      </c>
      <c r="Q127" s="27">
        <v>0</v>
      </c>
      <c r="R127" s="27">
        <v>10</v>
      </c>
    </row>
    <row r="128" spans="1:18" s="20" customFormat="1" ht="14.25" hidden="1" customHeight="1" x14ac:dyDescent="0.2">
      <c r="A128" s="86" t="s">
        <v>13</v>
      </c>
      <c r="B128" s="28" t="s">
        <v>56</v>
      </c>
      <c r="C128" s="29" t="s">
        <v>2</v>
      </c>
      <c r="D128" s="21">
        <v>13</v>
      </c>
      <c r="E128" s="21">
        <v>3</v>
      </c>
      <c r="F128" s="21">
        <v>10</v>
      </c>
      <c r="G128" s="21">
        <v>0</v>
      </c>
      <c r="H128" s="21">
        <v>1</v>
      </c>
      <c r="I128" s="21">
        <v>0</v>
      </c>
      <c r="J128" s="21">
        <v>1</v>
      </c>
      <c r="K128" s="21">
        <v>0</v>
      </c>
      <c r="L128" s="21">
        <v>0</v>
      </c>
      <c r="M128" s="21">
        <v>0</v>
      </c>
      <c r="N128" s="21">
        <v>0</v>
      </c>
      <c r="O128" s="21">
        <v>3</v>
      </c>
      <c r="P128" s="21">
        <v>4</v>
      </c>
      <c r="Q128" s="21">
        <v>0</v>
      </c>
      <c r="R128" s="21">
        <v>4</v>
      </c>
    </row>
    <row r="129" spans="1:18" s="20" customFormat="1" ht="14.25" hidden="1" customHeight="1" x14ac:dyDescent="0.2">
      <c r="A129" s="87"/>
      <c r="B129" s="30" t="s">
        <v>57</v>
      </c>
      <c r="C129" s="31" t="s">
        <v>225</v>
      </c>
      <c r="D129" s="21">
        <v>21</v>
      </c>
      <c r="E129" s="21">
        <v>5</v>
      </c>
      <c r="F129" s="21">
        <v>16</v>
      </c>
      <c r="G129" s="21">
        <v>0</v>
      </c>
      <c r="H129" s="21">
        <v>0</v>
      </c>
      <c r="I129" s="21">
        <v>0</v>
      </c>
      <c r="J129" s="21">
        <v>0</v>
      </c>
      <c r="K129" s="21">
        <v>0</v>
      </c>
      <c r="L129" s="21">
        <v>2</v>
      </c>
      <c r="M129" s="21">
        <v>2</v>
      </c>
      <c r="N129" s="21">
        <v>3</v>
      </c>
      <c r="O129" s="21">
        <v>3</v>
      </c>
      <c r="P129" s="21">
        <v>5</v>
      </c>
      <c r="Q129" s="21">
        <v>0</v>
      </c>
      <c r="R129" s="21">
        <v>6</v>
      </c>
    </row>
    <row r="130" spans="1:18" s="20" customFormat="1" ht="14.25" hidden="1" customHeight="1" x14ac:dyDescent="0.2">
      <c r="A130" s="64" t="s">
        <v>203</v>
      </c>
      <c r="B130" s="25" t="s">
        <v>55</v>
      </c>
      <c r="C130" s="26" t="s">
        <v>0</v>
      </c>
      <c r="D130" s="27">
        <v>150</v>
      </c>
      <c r="E130" s="27">
        <v>74</v>
      </c>
      <c r="F130" s="27">
        <v>76</v>
      </c>
      <c r="G130" s="27">
        <v>10</v>
      </c>
      <c r="H130" s="27">
        <v>8</v>
      </c>
      <c r="I130" s="27">
        <v>20</v>
      </c>
      <c r="J130" s="27">
        <v>12</v>
      </c>
      <c r="K130" s="27">
        <v>7</v>
      </c>
      <c r="L130" s="27">
        <v>11</v>
      </c>
      <c r="M130" s="27">
        <v>7</v>
      </c>
      <c r="N130" s="27">
        <v>3</v>
      </c>
      <c r="O130" s="27">
        <v>25</v>
      </c>
      <c r="P130" s="27">
        <v>22</v>
      </c>
      <c r="Q130" s="27">
        <v>5</v>
      </c>
      <c r="R130" s="27">
        <v>20</v>
      </c>
    </row>
    <row r="131" spans="1:18" s="20" customFormat="1" ht="14.25" hidden="1" customHeight="1" x14ac:dyDescent="0.2">
      <c r="A131" s="86" t="s">
        <v>14</v>
      </c>
      <c r="B131" s="28" t="s">
        <v>56</v>
      </c>
      <c r="C131" s="29" t="s">
        <v>2</v>
      </c>
      <c r="D131" s="21">
        <v>69</v>
      </c>
      <c r="E131" s="21">
        <v>30</v>
      </c>
      <c r="F131" s="21">
        <v>39</v>
      </c>
      <c r="G131" s="21">
        <v>5</v>
      </c>
      <c r="H131" s="21">
        <v>5</v>
      </c>
      <c r="I131" s="21">
        <v>10</v>
      </c>
      <c r="J131" s="21">
        <v>7</v>
      </c>
      <c r="K131" s="21">
        <v>1</v>
      </c>
      <c r="L131" s="21">
        <v>7</v>
      </c>
      <c r="M131" s="21">
        <v>3</v>
      </c>
      <c r="N131" s="21">
        <v>2</v>
      </c>
      <c r="O131" s="21">
        <v>9</v>
      </c>
      <c r="P131" s="21">
        <v>9</v>
      </c>
      <c r="Q131" s="21">
        <v>2</v>
      </c>
      <c r="R131" s="21">
        <v>9</v>
      </c>
    </row>
    <row r="132" spans="1:18" s="20" customFormat="1" ht="14.25" hidden="1" customHeight="1" x14ac:dyDescent="0.2">
      <c r="A132" s="87"/>
      <c r="B132" s="30" t="s">
        <v>57</v>
      </c>
      <c r="C132" s="31" t="s">
        <v>225</v>
      </c>
      <c r="D132" s="21">
        <v>81</v>
      </c>
      <c r="E132" s="21">
        <v>44</v>
      </c>
      <c r="F132" s="21">
        <v>37</v>
      </c>
      <c r="G132" s="21">
        <v>5</v>
      </c>
      <c r="H132" s="21">
        <v>3</v>
      </c>
      <c r="I132" s="21">
        <v>10</v>
      </c>
      <c r="J132" s="21">
        <v>5</v>
      </c>
      <c r="K132" s="21">
        <v>6</v>
      </c>
      <c r="L132" s="21">
        <v>4</v>
      </c>
      <c r="M132" s="21">
        <v>4</v>
      </c>
      <c r="N132" s="21">
        <v>1</v>
      </c>
      <c r="O132" s="21">
        <v>16</v>
      </c>
      <c r="P132" s="21">
        <v>13</v>
      </c>
      <c r="Q132" s="21">
        <v>3</v>
      </c>
      <c r="R132" s="21">
        <v>11</v>
      </c>
    </row>
    <row r="133" spans="1:18" s="20" customFormat="1" ht="14.25" hidden="1" customHeight="1" x14ac:dyDescent="0.2">
      <c r="A133" s="64" t="s">
        <v>204</v>
      </c>
      <c r="B133" s="25" t="s">
        <v>55</v>
      </c>
      <c r="C133" s="26" t="s">
        <v>0</v>
      </c>
      <c r="D133" s="27">
        <v>10</v>
      </c>
      <c r="E133" s="27">
        <v>4</v>
      </c>
      <c r="F133" s="27">
        <v>6</v>
      </c>
      <c r="G133" s="27">
        <v>0</v>
      </c>
      <c r="H133" s="27">
        <v>0</v>
      </c>
      <c r="I133" s="27">
        <v>0</v>
      </c>
      <c r="J133" s="27">
        <v>0</v>
      </c>
      <c r="K133" s="27">
        <v>2</v>
      </c>
      <c r="L133" s="27">
        <v>0</v>
      </c>
      <c r="M133" s="27">
        <v>1</v>
      </c>
      <c r="N133" s="27">
        <v>1</v>
      </c>
      <c r="O133" s="27">
        <v>0</v>
      </c>
      <c r="P133" s="27">
        <v>4</v>
      </c>
      <c r="Q133" s="27">
        <v>1</v>
      </c>
      <c r="R133" s="27">
        <v>1</v>
      </c>
    </row>
    <row r="134" spans="1:18" s="20" customFormat="1" ht="14.25" hidden="1" customHeight="1" x14ac:dyDescent="0.2">
      <c r="A134" s="86" t="s">
        <v>15</v>
      </c>
      <c r="B134" s="28" t="s">
        <v>56</v>
      </c>
      <c r="C134" s="29" t="s">
        <v>2</v>
      </c>
      <c r="D134" s="21">
        <v>10</v>
      </c>
      <c r="E134" s="21">
        <v>4</v>
      </c>
      <c r="F134" s="21">
        <v>6</v>
      </c>
      <c r="G134" s="21">
        <v>0</v>
      </c>
      <c r="H134" s="21">
        <v>0</v>
      </c>
      <c r="I134" s="21">
        <v>0</v>
      </c>
      <c r="J134" s="21">
        <v>0</v>
      </c>
      <c r="K134" s="21">
        <v>2</v>
      </c>
      <c r="L134" s="21">
        <v>0</v>
      </c>
      <c r="M134" s="21">
        <v>1</v>
      </c>
      <c r="N134" s="21">
        <v>1</v>
      </c>
      <c r="O134" s="21">
        <v>0</v>
      </c>
      <c r="P134" s="21">
        <v>4</v>
      </c>
      <c r="Q134" s="21">
        <v>1</v>
      </c>
      <c r="R134" s="21">
        <v>1</v>
      </c>
    </row>
    <row r="135" spans="1:18" s="20" customFormat="1" ht="14.25" hidden="1" customHeight="1" x14ac:dyDescent="0.2">
      <c r="A135" s="87"/>
      <c r="B135" s="30" t="s">
        <v>57</v>
      </c>
      <c r="C135" s="31" t="s">
        <v>225</v>
      </c>
      <c r="D135" s="21">
        <v>0</v>
      </c>
      <c r="E135" s="21">
        <v>0</v>
      </c>
      <c r="F135" s="21">
        <v>0</v>
      </c>
      <c r="G135" s="21">
        <v>0</v>
      </c>
      <c r="H135" s="21">
        <v>0</v>
      </c>
      <c r="I135" s="21">
        <v>0</v>
      </c>
      <c r="J135" s="21">
        <v>0</v>
      </c>
      <c r="K135" s="21">
        <v>0</v>
      </c>
      <c r="L135" s="21">
        <v>0</v>
      </c>
      <c r="M135" s="21">
        <v>0</v>
      </c>
      <c r="N135" s="21">
        <v>0</v>
      </c>
      <c r="O135" s="21">
        <v>0</v>
      </c>
      <c r="P135" s="21">
        <v>0</v>
      </c>
      <c r="Q135" s="21">
        <v>0</v>
      </c>
      <c r="R135" s="21">
        <v>0</v>
      </c>
    </row>
    <row r="136" spans="1:18" s="20" customFormat="1" ht="14.25" hidden="1" customHeight="1" x14ac:dyDescent="0.2">
      <c r="A136" s="64" t="s">
        <v>205</v>
      </c>
      <c r="B136" s="25" t="s">
        <v>55</v>
      </c>
      <c r="C136" s="26" t="s">
        <v>0</v>
      </c>
      <c r="D136" s="27">
        <v>112</v>
      </c>
      <c r="E136" s="27">
        <v>45</v>
      </c>
      <c r="F136" s="27">
        <v>67</v>
      </c>
      <c r="G136" s="27">
        <v>6</v>
      </c>
      <c r="H136" s="27">
        <v>5</v>
      </c>
      <c r="I136" s="27">
        <v>7</v>
      </c>
      <c r="J136" s="27">
        <v>6</v>
      </c>
      <c r="K136" s="27">
        <v>7</v>
      </c>
      <c r="L136" s="27">
        <v>3</v>
      </c>
      <c r="M136" s="27">
        <v>8</v>
      </c>
      <c r="N136" s="27">
        <v>2</v>
      </c>
      <c r="O136" s="27">
        <v>10</v>
      </c>
      <c r="P136" s="27">
        <v>29</v>
      </c>
      <c r="Q136" s="27">
        <v>7</v>
      </c>
      <c r="R136" s="27">
        <v>22</v>
      </c>
    </row>
    <row r="137" spans="1:18" s="20" customFormat="1" ht="14.25" hidden="1" customHeight="1" x14ac:dyDescent="0.2">
      <c r="A137" s="86" t="s">
        <v>16</v>
      </c>
      <c r="B137" s="28" t="s">
        <v>56</v>
      </c>
      <c r="C137" s="29" t="s">
        <v>2</v>
      </c>
      <c r="D137" s="21">
        <v>103</v>
      </c>
      <c r="E137" s="21">
        <v>42</v>
      </c>
      <c r="F137" s="21">
        <v>61</v>
      </c>
      <c r="G137" s="21">
        <v>6</v>
      </c>
      <c r="H137" s="21">
        <v>5</v>
      </c>
      <c r="I137" s="21">
        <v>7</v>
      </c>
      <c r="J137" s="21">
        <v>6</v>
      </c>
      <c r="K137" s="21">
        <v>6</v>
      </c>
      <c r="L137" s="21">
        <v>3</v>
      </c>
      <c r="M137" s="21">
        <v>7</v>
      </c>
      <c r="N137" s="21">
        <v>2</v>
      </c>
      <c r="O137" s="21">
        <v>9</v>
      </c>
      <c r="P137" s="21">
        <v>24</v>
      </c>
      <c r="Q137" s="21">
        <v>7</v>
      </c>
      <c r="R137" s="21">
        <v>21</v>
      </c>
    </row>
    <row r="138" spans="1:18" s="20" customFormat="1" ht="14.25" hidden="1" customHeight="1" x14ac:dyDescent="0.2">
      <c r="A138" s="87"/>
      <c r="B138" s="30" t="s">
        <v>57</v>
      </c>
      <c r="C138" s="31" t="s">
        <v>225</v>
      </c>
      <c r="D138" s="21">
        <v>9</v>
      </c>
      <c r="E138" s="21">
        <v>3</v>
      </c>
      <c r="F138" s="21">
        <v>6</v>
      </c>
      <c r="G138" s="21">
        <v>0</v>
      </c>
      <c r="H138" s="21">
        <v>0</v>
      </c>
      <c r="I138" s="21">
        <v>0</v>
      </c>
      <c r="J138" s="21">
        <v>0</v>
      </c>
      <c r="K138" s="21">
        <v>1</v>
      </c>
      <c r="L138" s="21">
        <v>0</v>
      </c>
      <c r="M138" s="21">
        <v>1</v>
      </c>
      <c r="N138" s="21">
        <v>0</v>
      </c>
      <c r="O138" s="21">
        <v>1</v>
      </c>
      <c r="P138" s="21">
        <v>5</v>
      </c>
      <c r="Q138" s="21">
        <v>0</v>
      </c>
      <c r="R138" s="21">
        <v>1</v>
      </c>
    </row>
    <row r="139" spans="1:18" s="20" customFormat="1" ht="14.25" hidden="1" customHeight="1" x14ac:dyDescent="0.2">
      <c r="A139" s="64" t="s">
        <v>206</v>
      </c>
      <c r="B139" s="25" t="s">
        <v>55</v>
      </c>
      <c r="C139" s="26" t="s">
        <v>0</v>
      </c>
      <c r="D139" s="27">
        <v>104</v>
      </c>
      <c r="E139" s="27">
        <v>45</v>
      </c>
      <c r="F139" s="27">
        <v>59</v>
      </c>
      <c r="G139" s="27">
        <v>6</v>
      </c>
      <c r="H139" s="27">
        <v>4</v>
      </c>
      <c r="I139" s="27">
        <v>4</v>
      </c>
      <c r="J139" s="27">
        <v>5</v>
      </c>
      <c r="K139" s="27">
        <v>12</v>
      </c>
      <c r="L139" s="27">
        <v>5</v>
      </c>
      <c r="M139" s="27">
        <v>9</v>
      </c>
      <c r="N139" s="27">
        <v>7</v>
      </c>
      <c r="O139" s="27">
        <v>10</v>
      </c>
      <c r="P139" s="27">
        <v>20</v>
      </c>
      <c r="Q139" s="27">
        <v>4</v>
      </c>
      <c r="R139" s="27">
        <v>18</v>
      </c>
    </row>
    <row r="140" spans="1:18" s="20" customFormat="1" ht="14.25" hidden="1" customHeight="1" x14ac:dyDescent="0.2">
      <c r="A140" s="86" t="s">
        <v>17</v>
      </c>
      <c r="B140" s="28" t="s">
        <v>56</v>
      </c>
      <c r="C140" s="29" t="s">
        <v>2</v>
      </c>
      <c r="D140" s="21">
        <v>92</v>
      </c>
      <c r="E140" s="21">
        <v>42</v>
      </c>
      <c r="F140" s="21">
        <v>50</v>
      </c>
      <c r="G140" s="21">
        <v>5</v>
      </c>
      <c r="H140" s="21">
        <v>3</v>
      </c>
      <c r="I140" s="21">
        <v>4</v>
      </c>
      <c r="J140" s="21">
        <v>4</v>
      </c>
      <c r="K140" s="21">
        <v>10</v>
      </c>
      <c r="L140" s="21">
        <v>5</v>
      </c>
      <c r="M140" s="21">
        <v>9</v>
      </c>
      <c r="N140" s="21">
        <v>6</v>
      </c>
      <c r="O140" s="21">
        <v>10</v>
      </c>
      <c r="P140" s="21">
        <v>17</v>
      </c>
      <c r="Q140" s="21">
        <v>4</v>
      </c>
      <c r="R140" s="21">
        <v>15</v>
      </c>
    </row>
    <row r="141" spans="1:18" s="20" customFormat="1" ht="14.25" hidden="1" customHeight="1" x14ac:dyDescent="0.2">
      <c r="A141" s="87"/>
      <c r="B141" s="30" t="s">
        <v>57</v>
      </c>
      <c r="C141" s="31" t="s">
        <v>225</v>
      </c>
      <c r="D141" s="21">
        <v>12</v>
      </c>
      <c r="E141" s="21">
        <v>3</v>
      </c>
      <c r="F141" s="21">
        <v>9</v>
      </c>
      <c r="G141" s="21">
        <v>1</v>
      </c>
      <c r="H141" s="21">
        <v>1</v>
      </c>
      <c r="I141" s="21">
        <v>0</v>
      </c>
      <c r="J141" s="21">
        <v>1</v>
      </c>
      <c r="K141" s="21">
        <v>2</v>
      </c>
      <c r="L141" s="21">
        <v>0</v>
      </c>
      <c r="M141" s="21">
        <v>0</v>
      </c>
      <c r="N141" s="21">
        <v>1</v>
      </c>
      <c r="O141" s="21">
        <v>0</v>
      </c>
      <c r="P141" s="21">
        <v>3</v>
      </c>
      <c r="Q141" s="21">
        <v>0</v>
      </c>
      <c r="R141" s="21">
        <v>3</v>
      </c>
    </row>
    <row r="142" spans="1:18" s="20" customFormat="1" ht="14.25" hidden="1" customHeight="1" x14ac:dyDescent="0.2">
      <c r="A142" s="64" t="s">
        <v>207</v>
      </c>
      <c r="B142" s="25" t="s">
        <v>55</v>
      </c>
      <c r="C142" s="26" t="s">
        <v>0</v>
      </c>
      <c r="D142" s="27">
        <v>58</v>
      </c>
      <c r="E142" s="27">
        <v>27</v>
      </c>
      <c r="F142" s="27">
        <v>31</v>
      </c>
      <c r="G142" s="27">
        <v>7</v>
      </c>
      <c r="H142" s="27">
        <v>6</v>
      </c>
      <c r="I142" s="27">
        <v>0</v>
      </c>
      <c r="J142" s="27">
        <v>9</v>
      </c>
      <c r="K142" s="27">
        <v>6</v>
      </c>
      <c r="L142" s="27">
        <v>3</v>
      </c>
      <c r="M142" s="27">
        <v>8</v>
      </c>
      <c r="N142" s="27">
        <v>1</v>
      </c>
      <c r="O142" s="27">
        <v>4</v>
      </c>
      <c r="P142" s="27">
        <v>5</v>
      </c>
      <c r="Q142" s="27">
        <v>2</v>
      </c>
      <c r="R142" s="27">
        <v>7</v>
      </c>
    </row>
    <row r="143" spans="1:18" s="20" customFormat="1" ht="14.25" hidden="1" customHeight="1" x14ac:dyDescent="0.2">
      <c r="A143" s="86" t="s">
        <v>18</v>
      </c>
      <c r="B143" s="28" t="s">
        <v>56</v>
      </c>
      <c r="C143" s="29" t="s">
        <v>2</v>
      </c>
      <c r="D143" s="21">
        <v>58</v>
      </c>
      <c r="E143" s="21">
        <v>27</v>
      </c>
      <c r="F143" s="21">
        <v>31</v>
      </c>
      <c r="G143" s="21">
        <v>7</v>
      </c>
      <c r="H143" s="21">
        <v>6</v>
      </c>
      <c r="I143" s="21">
        <v>0</v>
      </c>
      <c r="J143" s="21">
        <v>9</v>
      </c>
      <c r="K143" s="21">
        <v>6</v>
      </c>
      <c r="L143" s="21">
        <v>3</v>
      </c>
      <c r="M143" s="21">
        <v>8</v>
      </c>
      <c r="N143" s="21">
        <v>1</v>
      </c>
      <c r="O143" s="21">
        <v>4</v>
      </c>
      <c r="P143" s="21">
        <v>5</v>
      </c>
      <c r="Q143" s="21">
        <v>2</v>
      </c>
      <c r="R143" s="21">
        <v>7</v>
      </c>
    </row>
    <row r="144" spans="1:18" s="20" customFormat="1" ht="14.25" hidden="1" customHeight="1" x14ac:dyDescent="0.2">
      <c r="A144" s="87"/>
      <c r="B144" s="30" t="s">
        <v>57</v>
      </c>
      <c r="C144" s="31" t="s">
        <v>225</v>
      </c>
      <c r="D144" s="21">
        <v>0</v>
      </c>
      <c r="E144" s="21">
        <v>0</v>
      </c>
      <c r="F144" s="21">
        <v>0</v>
      </c>
      <c r="G144" s="21">
        <v>0</v>
      </c>
      <c r="H144" s="21">
        <v>0</v>
      </c>
      <c r="I144" s="21">
        <v>0</v>
      </c>
      <c r="J144" s="21">
        <v>0</v>
      </c>
      <c r="K144" s="21">
        <v>0</v>
      </c>
      <c r="L144" s="21">
        <v>0</v>
      </c>
      <c r="M144" s="21">
        <v>0</v>
      </c>
      <c r="N144" s="21">
        <v>0</v>
      </c>
      <c r="O144" s="21">
        <v>0</v>
      </c>
      <c r="P144" s="21">
        <v>0</v>
      </c>
      <c r="Q144" s="21">
        <v>0</v>
      </c>
      <c r="R144" s="21">
        <v>0</v>
      </c>
    </row>
    <row r="145" spans="1:18" s="20" customFormat="1" ht="14.25" hidden="1" customHeight="1" x14ac:dyDescent="0.2">
      <c r="A145" s="64" t="s">
        <v>208</v>
      </c>
      <c r="B145" s="25" t="s">
        <v>55</v>
      </c>
      <c r="C145" s="26" t="s">
        <v>0</v>
      </c>
      <c r="D145" s="27">
        <v>18</v>
      </c>
      <c r="E145" s="27">
        <v>12</v>
      </c>
      <c r="F145" s="27">
        <v>6</v>
      </c>
      <c r="G145" s="27">
        <v>0</v>
      </c>
      <c r="H145" s="27">
        <v>0</v>
      </c>
      <c r="I145" s="27">
        <v>0</v>
      </c>
      <c r="J145" s="27">
        <v>0</v>
      </c>
      <c r="K145" s="27">
        <v>0</v>
      </c>
      <c r="L145" s="27">
        <v>1</v>
      </c>
      <c r="M145" s="27">
        <v>2</v>
      </c>
      <c r="N145" s="27">
        <v>2</v>
      </c>
      <c r="O145" s="27">
        <v>10</v>
      </c>
      <c r="P145" s="27">
        <v>3</v>
      </c>
      <c r="Q145" s="27">
        <v>0</v>
      </c>
      <c r="R145" s="27">
        <v>0</v>
      </c>
    </row>
    <row r="146" spans="1:18" s="20" customFormat="1" ht="14.25" hidden="1" customHeight="1" x14ac:dyDescent="0.2">
      <c r="A146" s="86" t="s">
        <v>19</v>
      </c>
      <c r="B146" s="28" t="s">
        <v>56</v>
      </c>
      <c r="C146" s="29" t="s">
        <v>2</v>
      </c>
      <c r="D146" s="21">
        <v>18</v>
      </c>
      <c r="E146" s="21">
        <v>12</v>
      </c>
      <c r="F146" s="21">
        <v>6</v>
      </c>
      <c r="G146" s="21">
        <v>0</v>
      </c>
      <c r="H146" s="21">
        <v>0</v>
      </c>
      <c r="I146" s="21">
        <v>0</v>
      </c>
      <c r="J146" s="21">
        <v>0</v>
      </c>
      <c r="K146" s="21">
        <v>0</v>
      </c>
      <c r="L146" s="21">
        <v>1</v>
      </c>
      <c r="M146" s="21">
        <v>2</v>
      </c>
      <c r="N146" s="21">
        <v>2</v>
      </c>
      <c r="O146" s="21">
        <v>10</v>
      </c>
      <c r="P146" s="21">
        <v>3</v>
      </c>
      <c r="Q146" s="21">
        <v>0</v>
      </c>
      <c r="R146" s="21">
        <v>0</v>
      </c>
    </row>
    <row r="147" spans="1:18" s="20" customFormat="1" ht="14.25" hidden="1" customHeight="1" x14ac:dyDescent="0.2">
      <c r="A147" s="87"/>
      <c r="B147" s="30" t="s">
        <v>57</v>
      </c>
      <c r="C147" s="31" t="s">
        <v>225</v>
      </c>
      <c r="D147" s="21">
        <v>0</v>
      </c>
      <c r="E147" s="21">
        <v>0</v>
      </c>
      <c r="F147" s="21">
        <v>0</v>
      </c>
      <c r="G147" s="21">
        <v>0</v>
      </c>
      <c r="H147" s="21">
        <v>0</v>
      </c>
      <c r="I147" s="21">
        <v>0</v>
      </c>
      <c r="J147" s="21">
        <v>0</v>
      </c>
      <c r="K147" s="21">
        <v>0</v>
      </c>
      <c r="L147" s="21">
        <v>0</v>
      </c>
      <c r="M147" s="21">
        <v>0</v>
      </c>
      <c r="N147" s="21">
        <v>0</v>
      </c>
      <c r="O147" s="21">
        <v>0</v>
      </c>
      <c r="P147" s="21">
        <v>0</v>
      </c>
      <c r="Q147" s="21">
        <v>0</v>
      </c>
      <c r="R147" s="21">
        <v>0</v>
      </c>
    </row>
    <row r="148" spans="1:18" s="20" customFormat="1" ht="14.25" hidden="1" customHeight="1" x14ac:dyDescent="0.2">
      <c r="A148" s="64" t="s">
        <v>209</v>
      </c>
      <c r="B148" s="25" t="s">
        <v>55</v>
      </c>
      <c r="C148" s="26" t="s">
        <v>0</v>
      </c>
      <c r="D148" s="27">
        <v>3</v>
      </c>
      <c r="E148" s="27">
        <v>2</v>
      </c>
      <c r="F148" s="27">
        <v>1</v>
      </c>
      <c r="G148" s="27">
        <v>0</v>
      </c>
      <c r="H148" s="27">
        <v>0</v>
      </c>
      <c r="I148" s="27">
        <v>0</v>
      </c>
      <c r="J148" s="27">
        <v>0</v>
      </c>
      <c r="K148" s="27">
        <v>0</v>
      </c>
      <c r="L148" s="27">
        <v>0</v>
      </c>
      <c r="M148" s="27">
        <v>1</v>
      </c>
      <c r="N148" s="27">
        <v>1</v>
      </c>
      <c r="O148" s="27">
        <v>1</v>
      </c>
      <c r="P148" s="27">
        <v>0</v>
      </c>
      <c r="Q148" s="27">
        <v>0</v>
      </c>
      <c r="R148" s="27">
        <v>0</v>
      </c>
    </row>
    <row r="149" spans="1:18" s="20" customFormat="1" ht="14.25" hidden="1" customHeight="1" x14ac:dyDescent="0.2">
      <c r="A149" s="86" t="s">
        <v>20</v>
      </c>
      <c r="B149" s="28" t="s">
        <v>56</v>
      </c>
      <c r="C149" s="29" t="s">
        <v>2</v>
      </c>
      <c r="D149" s="21">
        <v>3</v>
      </c>
      <c r="E149" s="21">
        <v>2</v>
      </c>
      <c r="F149" s="21">
        <v>1</v>
      </c>
      <c r="G149" s="21">
        <v>0</v>
      </c>
      <c r="H149" s="21">
        <v>0</v>
      </c>
      <c r="I149" s="21">
        <v>0</v>
      </c>
      <c r="J149" s="21">
        <v>0</v>
      </c>
      <c r="K149" s="21">
        <v>0</v>
      </c>
      <c r="L149" s="21">
        <v>0</v>
      </c>
      <c r="M149" s="21">
        <v>1</v>
      </c>
      <c r="N149" s="21">
        <v>1</v>
      </c>
      <c r="O149" s="21">
        <v>1</v>
      </c>
      <c r="P149" s="21">
        <v>0</v>
      </c>
      <c r="Q149" s="21">
        <v>0</v>
      </c>
      <c r="R149" s="21">
        <v>0</v>
      </c>
    </row>
    <row r="150" spans="1:18" s="20" customFormat="1" ht="14.25" hidden="1" customHeight="1" x14ac:dyDescent="0.2">
      <c r="A150" s="87"/>
      <c r="B150" s="30" t="s">
        <v>57</v>
      </c>
      <c r="C150" s="31" t="s">
        <v>225</v>
      </c>
      <c r="D150" s="22">
        <v>0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  <c r="N150" s="22">
        <v>0</v>
      </c>
      <c r="O150" s="22">
        <v>0</v>
      </c>
      <c r="P150" s="22">
        <v>0</v>
      </c>
      <c r="Q150" s="22">
        <v>0</v>
      </c>
      <c r="R150" s="22">
        <v>0</v>
      </c>
    </row>
    <row r="151" spans="1:18" ht="11.1" hidden="1" customHeight="1" x14ac:dyDescent="0.2"/>
    <row r="152" spans="1:18" s="59" customFormat="1" ht="18" hidden="1" customHeight="1" x14ac:dyDescent="0.2">
      <c r="A152" s="63" t="s">
        <v>186</v>
      </c>
      <c r="B152" s="56" t="s">
        <v>187</v>
      </c>
      <c r="C152" s="57" t="s">
        <v>0</v>
      </c>
      <c r="D152" s="58" t="str">
        <f>IF(D82=D8,"","*")</f>
        <v/>
      </c>
      <c r="E152" s="58" t="str">
        <f t="shared" ref="E152:R167" si="1">IF(E82=E8,"","*")</f>
        <v/>
      </c>
      <c r="F152" s="58" t="str">
        <f t="shared" si="1"/>
        <v/>
      </c>
      <c r="G152" s="58" t="str">
        <f t="shared" si="1"/>
        <v/>
      </c>
      <c r="H152" s="58" t="str">
        <f t="shared" si="1"/>
        <v/>
      </c>
      <c r="I152" s="58" t="str">
        <f t="shared" si="1"/>
        <v/>
      </c>
      <c r="J152" s="58" t="str">
        <f t="shared" si="1"/>
        <v/>
      </c>
      <c r="K152" s="58" t="str">
        <f t="shared" si="1"/>
        <v/>
      </c>
      <c r="L152" s="58" t="str">
        <f t="shared" si="1"/>
        <v/>
      </c>
      <c r="M152" s="58" t="str">
        <f t="shared" si="1"/>
        <v/>
      </c>
      <c r="N152" s="58" t="str">
        <f t="shared" si="1"/>
        <v/>
      </c>
      <c r="O152" s="58" t="str">
        <f t="shared" si="1"/>
        <v/>
      </c>
      <c r="P152" s="58" t="str">
        <f t="shared" si="1"/>
        <v/>
      </c>
      <c r="Q152" s="58" t="str">
        <f t="shared" si="1"/>
        <v/>
      </c>
      <c r="R152" s="58" t="str">
        <f t="shared" si="1"/>
        <v/>
      </c>
    </row>
    <row r="153" spans="1:18" s="59" customFormat="1" ht="14.25" hidden="1" customHeight="1" x14ac:dyDescent="0.2">
      <c r="A153" s="88" t="s">
        <v>1</v>
      </c>
      <c r="B153" s="60" t="s">
        <v>188</v>
      </c>
      <c r="C153" s="61" t="s">
        <v>2</v>
      </c>
      <c r="D153" s="62" t="str">
        <f t="shared" ref="D153:D216" si="2">IF(D83=D9,"","*")</f>
        <v/>
      </c>
      <c r="E153" s="62" t="str">
        <f t="shared" si="1"/>
        <v/>
      </c>
      <c r="F153" s="62" t="str">
        <f t="shared" si="1"/>
        <v/>
      </c>
      <c r="G153" s="62" t="str">
        <f t="shared" si="1"/>
        <v/>
      </c>
      <c r="H153" s="62" t="str">
        <f t="shared" si="1"/>
        <v/>
      </c>
      <c r="I153" s="62" t="str">
        <f t="shared" si="1"/>
        <v/>
      </c>
      <c r="J153" s="62" t="str">
        <f t="shared" si="1"/>
        <v/>
      </c>
      <c r="K153" s="62" t="str">
        <f t="shared" si="1"/>
        <v/>
      </c>
      <c r="L153" s="62" t="str">
        <f t="shared" si="1"/>
        <v/>
      </c>
      <c r="M153" s="62" t="str">
        <f t="shared" si="1"/>
        <v/>
      </c>
      <c r="N153" s="62" t="str">
        <f t="shared" si="1"/>
        <v/>
      </c>
      <c r="O153" s="62" t="str">
        <f t="shared" si="1"/>
        <v/>
      </c>
      <c r="P153" s="62" t="str">
        <f t="shared" si="1"/>
        <v/>
      </c>
      <c r="Q153" s="62" t="str">
        <f t="shared" si="1"/>
        <v/>
      </c>
      <c r="R153" s="62" t="str">
        <f t="shared" si="1"/>
        <v/>
      </c>
    </row>
    <row r="154" spans="1:18" s="59" customFormat="1" ht="14.25" hidden="1" customHeight="1" x14ac:dyDescent="0.2">
      <c r="A154" s="89"/>
      <c r="B154" s="60" t="s">
        <v>189</v>
      </c>
      <c r="C154" s="61" t="s">
        <v>225</v>
      </c>
      <c r="D154" s="62" t="str">
        <f t="shared" si="2"/>
        <v/>
      </c>
      <c r="E154" s="62" t="str">
        <f t="shared" si="1"/>
        <v/>
      </c>
      <c r="F154" s="62" t="str">
        <f t="shared" si="1"/>
        <v/>
      </c>
      <c r="G154" s="62" t="str">
        <f t="shared" si="1"/>
        <v/>
      </c>
      <c r="H154" s="62" t="str">
        <f t="shared" si="1"/>
        <v/>
      </c>
      <c r="I154" s="62" t="str">
        <f t="shared" si="1"/>
        <v/>
      </c>
      <c r="J154" s="62" t="str">
        <f t="shared" si="1"/>
        <v/>
      </c>
      <c r="K154" s="62" t="str">
        <f t="shared" si="1"/>
        <v/>
      </c>
      <c r="L154" s="62" t="str">
        <f t="shared" si="1"/>
        <v/>
      </c>
      <c r="M154" s="62" t="str">
        <f t="shared" si="1"/>
        <v/>
      </c>
      <c r="N154" s="62" t="str">
        <f t="shared" si="1"/>
        <v/>
      </c>
      <c r="O154" s="62" t="str">
        <f t="shared" si="1"/>
        <v/>
      </c>
      <c r="P154" s="62" t="str">
        <f t="shared" si="1"/>
        <v/>
      </c>
      <c r="Q154" s="62" t="str">
        <f t="shared" si="1"/>
        <v/>
      </c>
      <c r="R154" s="62" t="str">
        <f t="shared" si="1"/>
        <v/>
      </c>
    </row>
    <row r="155" spans="1:18" s="20" customFormat="1" ht="14.25" hidden="1" customHeight="1" x14ac:dyDescent="0.2">
      <c r="A155" s="64" t="s">
        <v>210</v>
      </c>
      <c r="B155" s="25" t="s">
        <v>55</v>
      </c>
      <c r="C155" s="26" t="s">
        <v>0</v>
      </c>
      <c r="D155" s="27" t="str">
        <f t="shared" si="2"/>
        <v/>
      </c>
      <c r="E155" s="27" t="str">
        <f t="shared" si="1"/>
        <v/>
      </c>
      <c r="F155" s="27" t="str">
        <f t="shared" si="1"/>
        <v/>
      </c>
      <c r="G155" s="27" t="str">
        <f t="shared" si="1"/>
        <v/>
      </c>
      <c r="H155" s="27" t="str">
        <f t="shared" si="1"/>
        <v/>
      </c>
      <c r="I155" s="27" t="str">
        <f t="shared" si="1"/>
        <v/>
      </c>
      <c r="J155" s="27" t="str">
        <f t="shared" si="1"/>
        <v/>
      </c>
      <c r="K155" s="27" t="str">
        <f t="shared" si="1"/>
        <v/>
      </c>
      <c r="L155" s="27" t="str">
        <f t="shared" si="1"/>
        <v/>
      </c>
      <c r="M155" s="27" t="str">
        <f t="shared" si="1"/>
        <v/>
      </c>
      <c r="N155" s="27" t="str">
        <f t="shared" si="1"/>
        <v/>
      </c>
      <c r="O155" s="27" t="str">
        <f t="shared" si="1"/>
        <v/>
      </c>
      <c r="P155" s="27" t="str">
        <f t="shared" si="1"/>
        <v/>
      </c>
      <c r="Q155" s="27" t="str">
        <f t="shared" si="1"/>
        <v/>
      </c>
      <c r="R155" s="27" t="str">
        <f t="shared" si="1"/>
        <v/>
      </c>
    </row>
    <row r="156" spans="1:18" s="20" customFormat="1" ht="14.25" hidden="1" customHeight="1" x14ac:dyDescent="0.2">
      <c r="A156" s="86" t="s">
        <v>3</v>
      </c>
      <c r="B156" s="28" t="s">
        <v>56</v>
      </c>
      <c r="C156" s="29" t="s">
        <v>2</v>
      </c>
      <c r="D156" s="21" t="str">
        <f t="shared" si="2"/>
        <v/>
      </c>
      <c r="E156" s="21" t="str">
        <f t="shared" si="1"/>
        <v/>
      </c>
      <c r="F156" s="21" t="str">
        <f t="shared" si="1"/>
        <v/>
      </c>
      <c r="G156" s="21" t="str">
        <f t="shared" si="1"/>
        <v/>
      </c>
      <c r="H156" s="21" t="str">
        <f t="shared" si="1"/>
        <v/>
      </c>
      <c r="I156" s="21" t="str">
        <f t="shared" si="1"/>
        <v/>
      </c>
      <c r="J156" s="21" t="str">
        <f t="shared" si="1"/>
        <v/>
      </c>
      <c r="K156" s="21" t="str">
        <f t="shared" si="1"/>
        <v/>
      </c>
      <c r="L156" s="21" t="str">
        <f t="shared" si="1"/>
        <v/>
      </c>
      <c r="M156" s="21" t="str">
        <f t="shared" si="1"/>
        <v/>
      </c>
      <c r="N156" s="21" t="str">
        <f t="shared" si="1"/>
        <v/>
      </c>
      <c r="O156" s="21" t="str">
        <f t="shared" si="1"/>
        <v/>
      </c>
      <c r="P156" s="21" t="str">
        <f t="shared" si="1"/>
        <v/>
      </c>
      <c r="Q156" s="21" t="str">
        <f t="shared" si="1"/>
        <v/>
      </c>
      <c r="R156" s="21" t="str">
        <f t="shared" si="1"/>
        <v/>
      </c>
    </row>
    <row r="157" spans="1:18" s="20" customFormat="1" ht="14.25" hidden="1" customHeight="1" x14ac:dyDescent="0.2">
      <c r="A157" s="87"/>
      <c r="B157" s="28" t="s">
        <v>57</v>
      </c>
      <c r="C157" s="29" t="s">
        <v>225</v>
      </c>
      <c r="D157" s="21" t="str">
        <f t="shared" si="2"/>
        <v/>
      </c>
      <c r="E157" s="21" t="str">
        <f t="shared" si="1"/>
        <v/>
      </c>
      <c r="F157" s="21" t="str">
        <f t="shared" si="1"/>
        <v/>
      </c>
      <c r="G157" s="21" t="str">
        <f t="shared" si="1"/>
        <v/>
      </c>
      <c r="H157" s="21" t="str">
        <f t="shared" si="1"/>
        <v/>
      </c>
      <c r="I157" s="21" t="str">
        <f t="shared" si="1"/>
        <v/>
      </c>
      <c r="J157" s="21" t="str">
        <f t="shared" si="1"/>
        <v/>
      </c>
      <c r="K157" s="21" t="str">
        <f t="shared" si="1"/>
        <v/>
      </c>
      <c r="L157" s="21" t="str">
        <f t="shared" si="1"/>
        <v/>
      </c>
      <c r="M157" s="21" t="str">
        <f t="shared" si="1"/>
        <v/>
      </c>
      <c r="N157" s="21" t="str">
        <f t="shared" si="1"/>
        <v/>
      </c>
      <c r="O157" s="21" t="str">
        <f t="shared" si="1"/>
        <v/>
      </c>
      <c r="P157" s="21" t="str">
        <f t="shared" si="1"/>
        <v/>
      </c>
      <c r="Q157" s="21" t="str">
        <f t="shared" si="1"/>
        <v/>
      </c>
      <c r="R157" s="21" t="str">
        <f t="shared" si="1"/>
        <v/>
      </c>
    </row>
    <row r="158" spans="1:18" s="20" customFormat="1" ht="14.25" hidden="1" customHeight="1" x14ac:dyDescent="0.2">
      <c r="A158" s="64" t="s">
        <v>211</v>
      </c>
      <c r="B158" s="25" t="s">
        <v>55</v>
      </c>
      <c r="C158" s="26" t="s">
        <v>0</v>
      </c>
      <c r="D158" s="27" t="str">
        <f t="shared" si="2"/>
        <v/>
      </c>
      <c r="E158" s="27" t="str">
        <f t="shared" si="1"/>
        <v/>
      </c>
      <c r="F158" s="27" t="str">
        <f t="shared" si="1"/>
        <v/>
      </c>
      <c r="G158" s="27" t="str">
        <f t="shared" si="1"/>
        <v/>
      </c>
      <c r="H158" s="27" t="str">
        <f t="shared" si="1"/>
        <v/>
      </c>
      <c r="I158" s="27" t="str">
        <f t="shared" si="1"/>
        <v/>
      </c>
      <c r="J158" s="27" t="str">
        <f t="shared" si="1"/>
        <v/>
      </c>
      <c r="K158" s="27" t="str">
        <f t="shared" si="1"/>
        <v/>
      </c>
      <c r="L158" s="27" t="str">
        <f t="shared" si="1"/>
        <v/>
      </c>
      <c r="M158" s="27" t="str">
        <f t="shared" si="1"/>
        <v/>
      </c>
      <c r="N158" s="27" t="str">
        <f t="shared" si="1"/>
        <v/>
      </c>
      <c r="O158" s="27" t="str">
        <f t="shared" si="1"/>
        <v/>
      </c>
      <c r="P158" s="27" t="str">
        <f t="shared" si="1"/>
        <v/>
      </c>
      <c r="Q158" s="27" t="str">
        <f t="shared" si="1"/>
        <v/>
      </c>
      <c r="R158" s="27" t="str">
        <f t="shared" si="1"/>
        <v/>
      </c>
    </row>
    <row r="159" spans="1:18" s="20" customFormat="1" ht="14.25" hidden="1" customHeight="1" x14ac:dyDescent="0.2">
      <c r="A159" s="86" t="s">
        <v>4</v>
      </c>
      <c r="B159" s="28" t="s">
        <v>56</v>
      </c>
      <c r="C159" s="29" t="s">
        <v>2</v>
      </c>
      <c r="D159" s="21" t="str">
        <f t="shared" si="2"/>
        <v/>
      </c>
      <c r="E159" s="21" t="str">
        <f t="shared" si="1"/>
        <v/>
      </c>
      <c r="F159" s="21" t="str">
        <f t="shared" si="1"/>
        <v/>
      </c>
      <c r="G159" s="21" t="str">
        <f t="shared" si="1"/>
        <v/>
      </c>
      <c r="H159" s="21" t="str">
        <f t="shared" si="1"/>
        <v/>
      </c>
      <c r="I159" s="21" t="str">
        <f t="shared" si="1"/>
        <v/>
      </c>
      <c r="J159" s="21" t="str">
        <f t="shared" si="1"/>
        <v/>
      </c>
      <c r="K159" s="21" t="str">
        <f t="shared" si="1"/>
        <v/>
      </c>
      <c r="L159" s="21" t="str">
        <f t="shared" si="1"/>
        <v/>
      </c>
      <c r="M159" s="21" t="str">
        <f t="shared" si="1"/>
        <v/>
      </c>
      <c r="N159" s="21" t="str">
        <f t="shared" si="1"/>
        <v/>
      </c>
      <c r="O159" s="21" t="str">
        <f t="shared" si="1"/>
        <v/>
      </c>
      <c r="P159" s="21" t="str">
        <f t="shared" si="1"/>
        <v/>
      </c>
      <c r="Q159" s="21" t="str">
        <f t="shared" si="1"/>
        <v/>
      </c>
      <c r="R159" s="21" t="str">
        <f t="shared" si="1"/>
        <v/>
      </c>
    </row>
    <row r="160" spans="1:18" s="20" customFormat="1" ht="14.25" hidden="1" customHeight="1" x14ac:dyDescent="0.2">
      <c r="A160" s="87"/>
      <c r="B160" s="30" t="s">
        <v>57</v>
      </c>
      <c r="C160" s="31" t="s">
        <v>225</v>
      </c>
      <c r="D160" s="21" t="str">
        <f t="shared" si="2"/>
        <v/>
      </c>
      <c r="E160" s="21" t="str">
        <f t="shared" si="1"/>
        <v/>
      </c>
      <c r="F160" s="21" t="str">
        <f t="shared" si="1"/>
        <v/>
      </c>
      <c r="G160" s="21" t="str">
        <f t="shared" si="1"/>
        <v/>
      </c>
      <c r="H160" s="21" t="str">
        <f t="shared" si="1"/>
        <v/>
      </c>
      <c r="I160" s="21" t="str">
        <f t="shared" si="1"/>
        <v/>
      </c>
      <c r="J160" s="21" t="str">
        <f t="shared" si="1"/>
        <v/>
      </c>
      <c r="K160" s="21" t="str">
        <f t="shared" si="1"/>
        <v/>
      </c>
      <c r="L160" s="21" t="str">
        <f t="shared" si="1"/>
        <v/>
      </c>
      <c r="M160" s="21" t="str">
        <f t="shared" si="1"/>
        <v/>
      </c>
      <c r="N160" s="21" t="str">
        <f t="shared" si="1"/>
        <v/>
      </c>
      <c r="O160" s="21" t="str">
        <f t="shared" si="1"/>
        <v/>
      </c>
      <c r="P160" s="21" t="str">
        <f t="shared" si="1"/>
        <v/>
      </c>
      <c r="Q160" s="21" t="str">
        <f t="shared" si="1"/>
        <v/>
      </c>
      <c r="R160" s="21" t="str">
        <f t="shared" si="1"/>
        <v/>
      </c>
    </row>
    <row r="161" spans="1:18" s="20" customFormat="1" ht="14.25" hidden="1" customHeight="1" x14ac:dyDescent="0.2">
      <c r="A161" s="64" t="s">
        <v>212</v>
      </c>
      <c r="B161" s="25" t="s">
        <v>55</v>
      </c>
      <c r="C161" s="26" t="s">
        <v>0</v>
      </c>
      <c r="D161" s="27" t="str">
        <f t="shared" si="2"/>
        <v/>
      </c>
      <c r="E161" s="27" t="str">
        <f t="shared" si="1"/>
        <v/>
      </c>
      <c r="F161" s="27" t="str">
        <f t="shared" si="1"/>
        <v/>
      </c>
      <c r="G161" s="27" t="str">
        <f t="shared" si="1"/>
        <v/>
      </c>
      <c r="H161" s="27" t="str">
        <f t="shared" si="1"/>
        <v/>
      </c>
      <c r="I161" s="27" t="str">
        <f t="shared" si="1"/>
        <v/>
      </c>
      <c r="J161" s="27" t="str">
        <f t="shared" si="1"/>
        <v/>
      </c>
      <c r="K161" s="27" t="str">
        <f t="shared" si="1"/>
        <v/>
      </c>
      <c r="L161" s="27" t="str">
        <f t="shared" si="1"/>
        <v/>
      </c>
      <c r="M161" s="27" t="str">
        <f t="shared" si="1"/>
        <v/>
      </c>
      <c r="N161" s="27" t="str">
        <f t="shared" si="1"/>
        <v/>
      </c>
      <c r="O161" s="27" t="str">
        <f t="shared" si="1"/>
        <v/>
      </c>
      <c r="P161" s="27" t="str">
        <f t="shared" si="1"/>
        <v/>
      </c>
      <c r="Q161" s="27" t="str">
        <f t="shared" si="1"/>
        <v/>
      </c>
      <c r="R161" s="27" t="str">
        <f t="shared" si="1"/>
        <v/>
      </c>
    </row>
    <row r="162" spans="1:18" s="20" customFormat="1" ht="14.25" hidden="1" customHeight="1" x14ac:dyDescent="0.2">
      <c r="A162" s="86" t="s">
        <v>25</v>
      </c>
      <c r="B162" s="28" t="s">
        <v>56</v>
      </c>
      <c r="C162" s="29" t="s">
        <v>2</v>
      </c>
      <c r="D162" s="21" t="str">
        <f t="shared" si="2"/>
        <v/>
      </c>
      <c r="E162" s="21" t="str">
        <f t="shared" si="1"/>
        <v/>
      </c>
      <c r="F162" s="21" t="str">
        <f t="shared" si="1"/>
        <v/>
      </c>
      <c r="G162" s="21" t="str">
        <f t="shared" si="1"/>
        <v/>
      </c>
      <c r="H162" s="21" t="str">
        <f t="shared" si="1"/>
        <v/>
      </c>
      <c r="I162" s="21" t="str">
        <f t="shared" si="1"/>
        <v/>
      </c>
      <c r="J162" s="21" t="str">
        <f t="shared" si="1"/>
        <v/>
      </c>
      <c r="K162" s="21" t="str">
        <f t="shared" si="1"/>
        <v/>
      </c>
      <c r="L162" s="21" t="str">
        <f t="shared" si="1"/>
        <v/>
      </c>
      <c r="M162" s="21" t="str">
        <f t="shared" si="1"/>
        <v/>
      </c>
      <c r="N162" s="21" t="str">
        <f t="shared" si="1"/>
        <v/>
      </c>
      <c r="O162" s="21" t="str">
        <f t="shared" si="1"/>
        <v/>
      </c>
      <c r="P162" s="21" t="str">
        <f t="shared" si="1"/>
        <v/>
      </c>
      <c r="Q162" s="21" t="str">
        <f t="shared" si="1"/>
        <v/>
      </c>
      <c r="R162" s="21" t="str">
        <f t="shared" si="1"/>
        <v/>
      </c>
    </row>
    <row r="163" spans="1:18" s="20" customFormat="1" ht="14.25" hidden="1" customHeight="1" x14ac:dyDescent="0.2">
      <c r="A163" s="87"/>
      <c r="B163" s="30" t="s">
        <v>57</v>
      </c>
      <c r="C163" s="31" t="s">
        <v>225</v>
      </c>
      <c r="D163" s="21" t="str">
        <f t="shared" si="2"/>
        <v/>
      </c>
      <c r="E163" s="21" t="str">
        <f t="shared" si="1"/>
        <v/>
      </c>
      <c r="F163" s="21" t="str">
        <f t="shared" si="1"/>
        <v/>
      </c>
      <c r="G163" s="21" t="str">
        <f t="shared" si="1"/>
        <v/>
      </c>
      <c r="H163" s="21" t="str">
        <f t="shared" si="1"/>
        <v/>
      </c>
      <c r="I163" s="21" t="str">
        <f t="shared" si="1"/>
        <v/>
      </c>
      <c r="J163" s="21" t="str">
        <f t="shared" si="1"/>
        <v/>
      </c>
      <c r="K163" s="21" t="str">
        <f t="shared" si="1"/>
        <v/>
      </c>
      <c r="L163" s="21" t="str">
        <f t="shared" si="1"/>
        <v/>
      </c>
      <c r="M163" s="21" t="str">
        <f t="shared" si="1"/>
        <v/>
      </c>
      <c r="N163" s="21" t="str">
        <f t="shared" si="1"/>
        <v/>
      </c>
      <c r="O163" s="21" t="str">
        <f t="shared" si="1"/>
        <v/>
      </c>
      <c r="P163" s="21" t="str">
        <f t="shared" si="1"/>
        <v/>
      </c>
      <c r="Q163" s="21" t="str">
        <f t="shared" si="1"/>
        <v/>
      </c>
      <c r="R163" s="21" t="str">
        <f t="shared" si="1"/>
        <v/>
      </c>
    </row>
    <row r="164" spans="1:18" s="20" customFormat="1" ht="14.25" hidden="1" customHeight="1" x14ac:dyDescent="0.2">
      <c r="A164" s="64" t="s">
        <v>213</v>
      </c>
      <c r="B164" s="25" t="s">
        <v>55</v>
      </c>
      <c r="C164" s="26" t="s">
        <v>0</v>
      </c>
      <c r="D164" s="27" t="str">
        <f t="shared" si="2"/>
        <v/>
      </c>
      <c r="E164" s="27" t="str">
        <f t="shared" si="1"/>
        <v/>
      </c>
      <c r="F164" s="27" t="str">
        <f t="shared" si="1"/>
        <v/>
      </c>
      <c r="G164" s="27" t="str">
        <f t="shared" si="1"/>
        <v/>
      </c>
      <c r="H164" s="27" t="str">
        <f t="shared" si="1"/>
        <v/>
      </c>
      <c r="I164" s="27" t="str">
        <f t="shared" si="1"/>
        <v/>
      </c>
      <c r="J164" s="27" t="str">
        <f t="shared" si="1"/>
        <v/>
      </c>
      <c r="K164" s="27" t="str">
        <f t="shared" si="1"/>
        <v/>
      </c>
      <c r="L164" s="27" t="str">
        <f t="shared" si="1"/>
        <v/>
      </c>
      <c r="M164" s="27" t="str">
        <f t="shared" si="1"/>
        <v/>
      </c>
      <c r="N164" s="27" t="str">
        <f t="shared" si="1"/>
        <v/>
      </c>
      <c r="O164" s="27" t="str">
        <f t="shared" si="1"/>
        <v/>
      </c>
      <c r="P164" s="27" t="str">
        <f t="shared" si="1"/>
        <v/>
      </c>
      <c r="Q164" s="27" t="str">
        <f t="shared" si="1"/>
        <v/>
      </c>
      <c r="R164" s="27" t="str">
        <f t="shared" si="1"/>
        <v/>
      </c>
    </row>
    <row r="165" spans="1:18" s="20" customFormat="1" ht="14.25" hidden="1" customHeight="1" x14ac:dyDescent="0.2">
      <c r="A165" s="86" t="s">
        <v>21</v>
      </c>
      <c r="B165" s="28" t="s">
        <v>56</v>
      </c>
      <c r="C165" s="29" t="s">
        <v>2</v>
      </c>
      <c r="D165" s="21" t="str">
        <f t="shared" si="2"/>
        <v/>
      </c>
      <c r="E165" s="21" t="str">
        <f t="shared" si="1"/>
        <v/>
      </c>
      <c r="F165" s="21" t="str">
        <f t="shared" si="1"/>
        <v/>
      </c>
      <c r="G165" s="21" t="str">
        <f t="shared" si="1"/>
        <v/>
      </c>
      <c r="H165" s="21" t="str">
        <f t="shared" si="1"/>
        <v/>
      </c>
      <c r="I165" s="21" t="str">
        <f t="shared" si="1"/>
        <v/>
      </c>
      <c r="J165" s="21" t="str">
        <f t="shared" si="1"/>
        <v/>
      </c>
      <c r="K165" s="21" t="str">
        <f t="shared" si="1"/>
        <v/>
      </c>
      <c r="L165" s="21" t="str">
        <f t="shared" si="1"/>
        <v/>
      </c>
      <c r="M165" s="21" t="str">
        <f t="shared" si="1"/>
        <v/>
      </c>
      <c r="N165" s="21" t="str">
        <f t="shared" si="1"/>
        <v/>
      </c>
      <c r="O165" s="21" t="str">
        <f t="shared" si="1"/>
        <v/>
      </c>
      <c r="P165" s="21" t="str">
        <f t="shared" si="1"/>
        <v/>
      </c>
      <c r="Q165" s="21" t="str">
        <f t="shared" si="1"/>
        <v/>
      </c>
      <c r="R165" s="21" t="str">
        <f t="shared" si="1"/>
        <v/>
      </c>
    </row>
    <row r="166" spans="1:18" s="20" customFormat="1" ht="14.25" hidden="1" customHeight="1" x14ac:dyDescent="0.2">
      <c r="A166" s="87"/>
      <c r="B166" s="30" t="s">
        <v>57</v>
      </c>
      <c r="C166" s="31" t="s">
        <v>225</v>
      </c>
      <c r="D166" s="21" t="str">
        <f t="shared" si="2"/>
        <v/>
      </c>
      <c r="E166" s="21" t="str">
        <f t="shared" si="1"/>
        <v/>
      </c>
      <c r="F166" s="21" t="str">
        <f t="shared" si="1"/>
        <v/>
      </c>
      <c r="G166" s="21" t="str">
        <f t="shared" si="1"/>
        <v/>
      </c>
      <c r="H166" s="21" t="str">
        <f t="shared" si="1"/>
        <v/>
      </c>
      <c r="I166" s="21" t="str">
        <f t="shared" si="1"/>
        <v/>
      </c>
      <c r="J166" s="21" t="str">
        <f t="shared" si="1"/>
        <v/>
      </c>
      <c r="K166" s="21" t="str">
        <f t="shared" si="1"/>
        <v/>
      </c>
      <c r="L166" s="21" t="str">
        <f t="shared" si="1"/>
        <v/>
      </c>
      <c r="M166" s="21" t="str">
        <f t="shared" si="1"/>
        <v/>
      </c>
      <c r="N166" s="21" t="str">
        <f t="shared" si="1"/>
        <v/>
      </c>
      <c r="O166" s="21" t="str">
        <f t="shared" si="1"/>
        <v/>
      </c>
      <c r="P166" s="21" t="str">
        <f t="shared" si="1"/>
        <v/>
      </c>
      <c r="Q166" s="21" t="str">
        <f t="shared" si="1"/>
        <v/>
      </c>
      <c r="R166" s="21" t="str">
        <f t="shared" si="1"/>
        <v/>
      </c>
    </row>
    <row r="167" spans="1:18" s="20" customFormat="1" ht="14.25" hidden="1" customHeight="1" x14ac:dyDescent="0.2">
      <c r="A167" s="64" t="s">
        <v>214</v>
      </c>
      <c r="B167" s="25" t="s">
        <v>55</v>
      </c>
      <c r="C167" s="26" t="s">
        <v>0</v>
      </c>
      <c r="D167" s="27" t="str">
        <f t="shared" si="2"/>
        <v/>
      </c>
      <c r="E167" s="27" t="str">
        <f t="shared" si="1"/>
        <v/>
      </c>
      <c r="F167" s="27" t="str">
        <f t="shared" si="1"/>
        <v/>
      </c>
      <c r="G167" s="27" t="str">
        <f t="shared" si="1"/>
        <v/>
      </c>
      <c r="H167" s="27" t="str">
        <f t="shared" si="1"/>
        <v/>
      </c>
      <c r="I167" s="27" t="str">
        <f t="shared" si="1"/>
        <v/>
      </c>
      <c r="J167" s="27" t="str">
        <f t="shared" si="1"/>
        <v/>
      </c>
      <c r="K167" s="27" t="str">
        <f t="shared" si="1"/>
        <v/>
      </c>
      <c r="L167" s="27" t="str">
        <f t="shared" si="1"/>
        <v/>
      </c>
      <c r="M167" s="27" t="str">
        <f t="shared" si="1"/>
        <v/>
      </c>
      <c r="N167" s="27" t="str">
        <f t="shared" si="1"/>
        <v/>
      </c>
      <c r="O167" s="27" t="str">
        <f t="shared" si="1"/>
        <v/>
      </c>
      <c r="P167" s="27" t="str">
        <f t="shared" si="1"/>
        <v/>
      </c>
      <c r="Q167" s="27" t="str">
        <f t="shared" si="1"/>
        <v/>
      </c>
      <c r="R167" s="27" t="str">
        <f t="shared" si="1"/>
        <v/>
      </c>
    </row>
    <row r="168" spans="1:18" s="20" customFormat="1" ht="14.25" hidden="1" customHeight="1" x14ac:dyDescent="0.2">
      <c r="A168" s="86" t="s">
        <v>22</v>
      </c>
      <c r="B168" s="28" t="s">
        <v>56</v>
      </c>
      <c r="C168" s="29" t="s">
        <v>2</v>
      </c>
      <c r="D168" s="21" t="str">
        <f t="shared" si="2"/>
        <v/>
      </c>
      <c r="E168" s="21" t="str">
        <f t="shared" ref="E168:R183" si="3">IF(E98=E24,"","*")</f>
        <v/>
      </c>
      <c r="F168" s="21" t="str">
        <f t="shared" si="3"/>
        <v/>
      </c>
      <c r="G168" s="21" t="str">
        <f t="shared" si="3"/>
        <v/>
      </c>
      <c r="H168" s="21" t="str">
        <f t="shared" si="3"/>
        <v/>
      </c>
      <c r="I168" s="21" t="str">
        <f t="shared" si="3"/>
        <v/>
      </c>
      <c r="J168" s="21" t="str">
        <f t="shared" si="3"/>
        <v/>
      </c>
      <c r="K168" s="21" t="str">
        <f t="shared" si="3"/>
        <v/>
      </c>
      <c r="L168" s="21" t="str">
        <f t="shared" si="3"/>
        <v/>
      </c>
      <c r="M168" s="21" t="str">
        <f t="shared" si="3"/>
        <v/>
      </c>
      <c r="N168" s="21" t="str">
        <f t="shared" si="3"/>
        <v/>
      </c>
      <c r="O168" s="21" t="str">
        <f t="shared" si="3"/>
        <v/>
      </c>
      <c r="P168" s="21" t="str">
        <f t="shared" si="3"/>
        <v/>
      </c>
      <c r="Q168" s="21" t="str">
        <f t="shared" si="3"/>
        <v/>
      </c>
      <c r="R168" s="21" t="str">
        <f t="shared" si="3"/>
        <v/>
      </c>
    </row>
    <row r="169" spans="1:18" s="20" customFormat="1" ht="14.25" hidden="1" customHeight="1" x14ac:dyDescent="0.2">
      <c r="A169" s="87"/>
      <c r="B169" s="30" t="s">
        <v>57</v>
      </c>
      <c r="C169" s="31" t="s">
        <v>225</v>
      </c>
      <c r="D169" s="21" t="str">
        <f t="shared" si="2"/>
        <v/>
      </c>
      <c r="E169" s="21" t="str">
        <f t="shared" si="3"/>
        <v/>
      </c>
      <c r="F169" s="21" t="str">
        <f t="shared" si="3"/>
        <v/>
      </c>
      <c r="G169" s="21" t="str">
        <f t="shared" si="3"/>
        <v/>
      </c>
      <c r="H169" s="21" t="str">
        <f t="shared" si="3"/>
        <v/>
      </c>
      <c r="I169" s="21" t="str">
        <f t="shared" si="3"/>
        <v/>
      </c>
      <c r="J169" s="21" t="str">
        <f t="shared" si="3"/>
        <v/>
      </c>
      <c r="K169" s="21" t="str">
        <f t="shared" si="3"/>
        <v/>
      </c>
      <c r="L169" s="21" t="str">
        <f t="shared" si="3"/>
        <v/>
      </c>
      <c r="M169" s="21" t="str">
        <f t="shared" si="3"/>
        <v/>
      </c>
      <c r="N169" s="21" t="str">
        <f t="shared" si="3"/>
        <v/>
      </c>
      <c r="O169" s="21" t="str">
        <f t="shared" si="3"/>
        <v/>
      </c>
      <c r="P169" s="21" t="str">
        <f t="shared" si="3"/>
        <v/>
      </c>
      <c r="Q169" s="21" t="str">
        <f t="shared" si="3"/>
        <v/>
      </c>
      <c r="R169" s="21" t="str">
        <f t="shared" si="3"/>
        <v/>
      </c>
    </row>
    <row r="170" spans="1:18" s="20" customFormat="1" ht="14.25" hidden="1" customHeight="1" x14ac:dyDescent="0.2">
      <c r="A170" s="64" t="s">
        <v>215</v>
      </c>
      <c r="B170" s="25" t="s">
        <v>55</v>
      </c>
      <c r="C170" s="26" t="s">
        <v>0</v>
      </c>
      <c r="D170" s="27" t="str">
        <f t="shared" si="2"/>
        <v/>
      </c>
      <c r="E170" s="27" t="str">
        <f t="shared" si="3"/>
        <v/>
      </c>
      <c r="F170" s="27" t="str">
        <f t="shared" si="3"/>
        <v/>
      </c>
      <c r="G170" s="27" t="str">
        <f t="shared" si="3"/>
        <v/>
      </c>
      <c r="H170" s="27" t="str">
        <f t="shared" si="3"/>
        <v/>
      </c>
      <c r="I170" s="27" t="str">
        <f t="shared" si="3"/>
        <v/>
      </c>
      <c r="J170" s="27" t="str">
        <f t="shared" si="3"/>
        <v/>
      </c>
      <c r="K170" s="27" t="str">
        <f t="shared" si="3"/>
        <v/>
      </c>
      <c r="L170" s="27" t="str">
        <f t="shared" si="3"/>
        <v/>
      </c>
      <c r="M170" s="27" t="str">
        <f t="shared" si="3"/>
        <v/>
      </c>
      <c r="N170" s="27" t="str">
        <f t="shared" si="3"/>
        <v/>
      </c>
      <c r="O170" s="27" t="str">
        <f t="shared" si="3"/>
        <v/>
      </c>
      <c r="P170" s="27" t="str">
        <f t="shared" si="3"/>
        <v/>
      </c>
      <c r="Q170" s="27" t="str">
        <f t="shared" si="3"/>
        <v/>
      </c>
      <c r="R170" s="27" t="str">
        <f t="shared" si="3"/>
        <v/>
      </c>
    </row>
    <row r="171" spans="1:18" s="20" customFormat="1" ht="14.25" hidden="1" customHeight="1" x14ac:dyDescent="0.2">
      <c r="A171" s="86" t="s">
        <v>23</v>
      </c>
      <c r="B171" s="28" t="s">
        <v>56</v>
      </c>
      <c r="C171" s="29" t="s">
        <v>2</v>
      </c>
      <c r="D171" s="21" t="str">
        <f t="shared" si="2"/>
        <v/>
      </c>
      <c r="E171" s="21" t="str">
        <f t="shared" si="3"/>
        <v/>
      </c>
      <c r="F171" s="21" t="str">
        <f t="shared" si="3"/>
        <v/>
      </c>
      <c r="G171" s="21" t="str">
        <f t="shared" si="3"/>
        <v/>
      </c>
      <c r="H171" s="21" t="str">
        <f t="shared" si="3"/>
        <v/>
      </c>
      <c r="I171" s="21" t="str">
        <f t="shared" si="3"/>
        <v/>
      </c>
      <c r="J171" s="21" t="str">
        <f t="shared" si="3"/>
        <v/>
      </c>
      <c r="K171" s="21" t="str">
        <f t="shared" si="3"/>
        <v/>
      </c>
      <c r="L171" s="21" t="str">
        <f t="shared" si="3"/>
        <v/>
      </c>
      <c r="M171" s="21" t="str">
        <f t="shared" si="3"/>
        <v/>
      </c>
      <c r="N171" s="21" t="str">
        <f t="shared" si="3"/>
        <v/>
      </c>
      <c r="O171" s="21" t="str">
        <f t="shared" si="3"/>
        <v/>
      </c>
      <c r="P171" s="21" t="str">
        <f t="shared" si="3"/>
        <v/>
      </c>
      <c r="Q171" s="21" t="str">
        <f t="shared" si="3"/>
        <v/>
      </c>
      <c r="R171" s="21" t="str">
        <f t="shared" si="3"/>
        <v/>
      </c>
    </row>
    <row r="172" spans="1:18" s="20" customFormat="1" ht="14.25" hidden="1" customHeight="1" x14ac:dyDescent="0.2">
      <c r="A172" s="87"/>
      <c r="B172" s="30" t="s">
        <v>57</v>
      </c>
      <c r="C172" s="31" t="s">
        <v>225</v>
      </c>
      <c r="D172" s="21" t="str">
        <f t="shared" si="2"/>
        <v/>
      </c>
      <c r="E172" s="21" t="str">
        <f t="shared" si="3"/>
        <v/>
      </c>
      <c r="F172" s="21" t="str">
        <f t="shared" si="3"/>
        <v/>
      </c>
      <c r="G172" s="21" t="str">
        <f t="shared" si="3"/>
        <v/>
      </c>
      <c r="H172" s="21" t="str">
        <f t="shared" si="3"/>
        <v/>
      </c>
      <c r="I172" s="21" t="str">
        <f t="shared" si="3"/>
        <v/>
      </c>
      <c r="J172" s="21" t="str">
        <f t="shared" si="3"/>
        <v/>
      </c>
      <c r="K172" s="21" t="str">
        <f t="shared" si="3"/>
        <v/>
      </c>
      <c r="L172" s="21" t="str">
        <f t="shared" si="3"/>
        <v/>
      </c>
      <c r="M172" s="21" t="str">
        <f t="shared" si="3"/>
        <v/>
      </c>
      <c r="N172" s="21" t="str">
        <f t="shared" si="3"/>
        <v/>
      </c>
      <c r="O172" s="21" t="str">
        <f t="shared" si="3"/>
        <v/>
      </c>
      <c r="P172" s="21" t="str">
        <f t="shared" si="3"/>
        <v/>
      </c>
      <c r="Q172" s="21" t="str">
        <f t="shared" si="3"/>
        <v/>
      </c>
      <c r="R172" s="21" t="str">
        <f t="shared" si="3"/>
        <v/>
      </c>
    </row>
    <row r="173" spans="1:18" s="20" customFormat="1" ht="14.25" hidden="1" customHeight="1" x14ac:dyDescent="0.2">
      <c r="A173" s="64" t="s">
        <v>194</v>
      </c>
      <c r="B173" s="25" t="s">
        <v>55</v>
      </c>
      <c r="C173" s="26" t="s">
        <v>0</v>
      </c>
      <c r="D173" s="27" t="str">
        <f t="shared" si="2"/>
        <v/>
      </c>
      <c r="E173" s="27" t="str">
        <f t="shared" si="3"/>
        <v/>
      </c>
      <c r="F173" s="27" t="str">
        <f t="shared" si="3"/>
        <v/>
      </c>
      <c r="G173" s="27" t="str">
        <f t="shared" si="3"/>
        <v/>
      </c>
      <c r="H173" s="27" t="str">
        <f t="shared" si="3"/>
        <v/>
      </c>
      <c r="I173" s="27" t="str">
        <f t="shared" si="3"/>
        <v/>
      </c>
      <c r="J173" s="27" t="str">
        <f t="shared" si="3"/>
        <v/>
      </c>
      <c r="K173" s="27" t="str">
        <f t="shared" si="3"/>
        <v/>
      </c>
      <c r="L173" s="27" t="str">
        <f t="shared" si="3"/>
        <v/>
      </c>
      <c r="M173" s="27" t="str">
        <f t="shared" si="3"/>
        <v/>
      </c>
      <c r="N173" s="27" t="str">
        <f t="shared" si="3"/>
        <v/>
      </c>
      <c r="O173" s="27" t="str">
        <f t="shared" si="3"/>
        <v/>
      </c>
      <c r="P173" s="27" t="str">
        <f t="shared" si="3"/>
        <v/>
      </c>
      <c r="Q173" s="27" t="str">
        <f t="shared" si="3"/>
        <v/>
      </c>
      <c r="R173" s="27" t="str">
        <f t="shared" si="3"/>
        <v/>
      </c>
    </row>
    <row r="174" spans="1:18" s="20" customFormat="1" ht="14.25" hidden="1" customHeight="1" x14ac:dyDescent="0.2">
      <c r="A174" s="86" t="s">
        <v>5</v>
      </c>
      <c r="B174" s="28" t="s">
        <v>56</v>
      </c>
      <c r="C174" s="29" t="s">
        <v>2</v>
      </c>
      <c r="D174" s="21" t="str">
        <f t="shared" si="2"/>
        <v/>
      </c>
      <c r="E174" s="21" t="str">
        <f t="shared" si="3"/>
        <v/>
      </c>
      <c r="F174" s="21" t="str">
        <f t="shared" si="3"/>
        <v/>
      </c>
      <c r="G174" s="21" t="str">
        <f t="shared" si="3"/>
        <v/>
      </c>
      <c r="H174" s="21" t="str">
        <f t="shared" si="3"/>
        <v/>
      </c>
      <c r="I174" s="21" t="str">
        <f t="shared" si="3"/>
        <v/>
      </c>
      <c r="J174" s="21" t="str">
        <f t="shared" si="3"/>
        <v/>
      </c>
      <c r="K174" s="21" t="str">
        <f t="shared" si="3"/>
        <v/>
      </c>
      <c r="L174" s="21" t="str">
        <f t="shared" si="3"/>
        <v/>
      </c>
      <c r="M174" s="21" t="str">
        <f t="shared" si="3"/>
        <v/>
      </c>
      <c r="N174" s="21" t="str">
        <f t="shared" si="3"/>
        <v/>
      </c>
      <c r="O174" s="21" t="str">
        <f t="shared" si="3"/>
        <v/>
      </c>
      <c r="P174" s="21" t="str">
        <f t="shared" si="3"/>
        <v/>
      </c>
      <c r="Q174" s="21" t="str">
        <f t="shared" si="3"/>
        <v/>
      </c>
      <c r="R174" s="21" t="str">
        <f t="shared" si="3"/>
        <v/>
      </c>
    </row>
    <row r="175" spans="1:18" s="20" customFormat="1" ht="14.25" hidden="1" customHeight="1" x14ac:dyDescent="0.2">
      <c r="A175" s="87"/>
      <c r="B175" s="30" t="s">
        <v>57</v>
      </c>
      <c r="C175" s="31" t="s">
        <v>225</v>
      </c>
      <c r="D175" s="21" t="str">
        <f t="shared" si="2"/>
        <v/>
      </c>
      <c r="E175" s="21" t="str">
        <f t="shared" si="3"/>
        <v/>
      </c>
      <c r="F175" s="21" t="str">
        <f t="shared" si="3"/>
        <v/>
      </c>
      <c r="G175" s="21" t="str">
        <f t="shared" si="3"/>
        <v/>
      </c>
      <c r="H175" s="21" t="str">
        <f t="shared" si="3"/>
        <v/>
      </c>
      <c r="I175" s="21" t="str">
        <f t="shared" si="3"/>
        <v/>
      </c>
      <c r="J175" s="21" t="str">
        <f t="shared" si="3"/>
        <v/>
      </c>
      <c r="K175" s="21" t="str">
        <f t="shared" si="3"/>
        <v/>
      </c>
      <c r="L175" s="21" t="str">
        <f t="shared" si="3"/>
        <v/>
      </c>
      <c r="M175" s="21" t="str">
        <f t="shared" si="3"/>
        <v/>
      </c>
      <c r="N175" s="21" t="str">
        <f t="shared" si="3"/>
        <v/>
      </c>
      <c r="O175" s="21" t="str">
        <f t="shared" si="3"/>
        <v/>
      </c>
      <c r="P175" s="21" t="str">
        <f t="shared" si="3"/>
        <v/>
      </c>
      <c r="Q175" s="21" t="str">
        <f t="shared" si="3"/>
        <v/>
      </c>
      <c r="R175" s="21" t="str">
        <f t="shared" si="3"/>
        <v/>
      </c>
    </row>
    <row r="176" spans="1:18" s="20" customFormat="1" ht="14.25" hidden="1" customHeight="1" x14ac:dyDescent="0.2">
      <c r="A176" s="64" t="s">
        <v>195</v>
      </c>
      <c r="B176" s="25" t="s">
        <v>55</v>
      </c>
      <c r="C176" s="26" t="s">
        <v>0</v>
      </c>
      <c r="D176" s="27" t="str">
        <f t="shared" si="2"/>
        <v/>
      </c>
      <c r="E176" s="27" t="str">
        <f t="shared" si="3"/>
        <v/>
      </c>
      <c r="F176" s="27" t="str">
        <f t="shared" si="3"/>
        <v/>
      </c>
      <c r="G176" s="27" t="str">
        <f t="shared" si="3"/>
        <v/>
      </c>
      <c r="H176" s="27" t="str">
        <f t="shared" si="3"/>
        <v/>
      </c>
      <c r="I176" s="27" t="str">
        <f t="shared" si="3"/>
        <v/>
      </c>
      <c r="J176" s="27" t="str">
        <f t="shared" si="3"/>
        <v/>
      </c>
      <c r="K176" s="27" t="str">
        <f t="shared" si="3"/>
        <v/>
      </c>
      <c r="L176" s="27" t="str">
        <f t="shared" si="3"/>
        <v/>
      </c>
      <c r="M176" s="27" t="str">
        <f t="shared" si="3"/>
        <v/>
      </c>
      <c r="N176" s="27" t="str">
        <f t="shared" si="3"/>
        <v/>
      </c>
      <c r="O176" s="27" t="str">
        <f t="shared" si="3"/>
        <v/>
      </c>
      <c r="P176" s="27" t="str">
        <f t="shared" si="3"/>
        <v/>
      </c>
      <c r="Q176" s="27" t="str">
        <f t="shared" si="3"/>
        <v/>
      </c>
      <c r="R176" s="27" t="str">
        <f t="shared" si="3"/>
        <v/>
      </c>
    </row>
    <row r="177" spans="1:18" s="20" customFormat="1" ht="14.25" hidden="1" customHeight="1" x14ac:dyDescent="0.2">
      <c r="A177" s="86" t="s">
        <v>6</v>
      </c>
      <c r="B177" s="28" t="s">
        <v>56</v>
      </c>
      <c r="C177" s="29" t="s">
        <v>2</v>
      </c>
      <c r="D177" s="21" t="str">
        <f t="shared" si="2"/>
        <v/>
      </c>
      <c r="E177" s="21" t="str">
        <f t="shared" si="3"/>
        <v/>
      </c>
      <c r="F177" s="21" t="str">
        <f t="shared" si="3"/>
        <v/>
      </c>
      <c r="G177" s="21" t="str">
        <f t="shared" si="3"/>
        <v/>
      </c>
      <c r="H177" s="21" t="str">
        <f t="shared" si="3"/>
        <v/>
      </c>
      <c r="I177" s="21" t="str">
        <f t="shared" si="3"/>
        <v/>
      </c>
      <c r="J177" s="21" t="str">
        <f t="shared" si="3"/>
        <v/>
      </c>
      <c r="K177" s="21" t="str">
        <f t="shared" si="3"/>
        <v/>
      </c>
      <c r="L177" s="21" t="str">
        <f t="shared" si="3"/>
        <v/>
      </c>
      <c r="M177" s="21" t="str">
        <f t="shared" si="3"/>
        <v/>
      </c>
      <c r="N177" s="21" t="str">
        <f t="shared" si="3"/>
        <v/>
      </c>
      <c r="O177" s="21" t="str">
        <f t="shared" si="3"/>
        <v/>
      </c>
      <c r="P177" s="21" t="str">
        <f t="shared" si="3"/>
        <v/>
      </c>
      <c r="Q177" s="21" t="str">
        <f t="shared" si="3"/>
        <v/>
      </c>
      <c r="R177" s="21" t="str">
        <f t="shared" si="3"/>
        <v/>
      </c>
    </row>
    <row r="178" spans="1:18" s="20" customFormat="1" ht="14.25" hidden="1" customHeight="1" x14ac:dyDescent="0.2">
      <c r="A178" s="87"/>
      <c r="B178" s="30" t="s">
        <v>57</v>
      </c>
      <c r="C178" s="31" t="s">
        <v>225</v>
      </c>
      <c r="D178" s="21" t="str">
        <f t="shared" si="2"/>
        <v/>
      </c>
      <c r="E178" s="21" t="str">
        <f t="shared" si="3"/>
        <v/>
      </c>
      <c r="F178" s="21" t="str">
        <f t="shared" si="3"/>
        <v/>
      </c>
      <c r="G178" s="21" t="str">
        <f t="shared" si="3"/>
        <v/>
      </c>
      <c r="H178" s="21" t="str">
        <f t="shared" si="3"/>
        <v/>
      </c>
      <c r="I178" s="21" t="str">
        <f t="shared" si="3"/>
        <v/>
      </c>
      <c r="J178" s="21" t="str">
        <f t="shared" si="3"/>
        <v/>
      </c>
      <c r="K178" s="21" t="str">
        <f t="shared" si="3"/>
        <v/>
      </c>
      <c r="L178" s="21" t="str">
        <f t="shared" si="3"/>
        <v/>
      </c>
      <c r="M178" s="21" t="str">
        <f t="shared" si="3"/>
        <v/>
      </c>
      <c r="N178" s="21" t="str">
        <f t="shared" si="3"/>
        <v/>
      </c>
      <c r="O178" s="21" t="str">
        <f t="shared" si="3"/>
        <v/>
      </c>
      <c r="P178" s="21" t="str">
        <f t="shared" si="3"/>
        <v/>
      </c>
      <c r="Q178" s="21" t="str">
        <f t="shared" si="3"/>
        <v/>
      </c>
      <c r="R178" s="21" t="str">
        <f t="shared" si="3"/>
        <v/>
      </c>
    </row>
    <row r="179" spans="1:18" s="20" customFormat="1" ht="14.25" hidden="1" customHeight="1" x14ac:dyDescent="0.2">
      <c r="A179" s="64" t="s">
        <v>196</v>
      </c>
      <c r="B179" s="25" t="s">
        <v>55</v>
      </c>
      <c r="C179" s="26" t="s">
        <v>0</v>
      </c>
      <c r="D179" s="27" t="str">
        <f t="shared" si="2"/>
        <v/>
      </c>
      <c r="E179" s="27" t="str">
        <f t="shared" si="3"/>
        <v/>
      </c>
      <c r="F179" s="27" t="str">
        <f t="shared" si="3"/>
        <v/>
      </c>
      <c r="G179" s="27" t="str">
        <f t="shared" si="3"/>
        <v/>
      </c>
      <c r="H179" s="27" t="str">
        <f t="shared" si="3"/>
        <v/>
      </c>
      <c r="I179" s="27" t="str">
        <f t="shared" si="3"/>
        <v/>
      </c>
      <c r="J179" s="27" t="str">
        <f t="shared" si="3"/>
        <v/>
      </c>
      <c r="K179" s="27" t="str">
        <f t="shared" si="3"/>
        <v/>
      </c>
      <c r="L179" s="27" t="str">
        <f t="shared" si="3"/>
        <v/>
      </c>
      <c r="M179" s="27" t="str">
        <f t="shared" si="3"/>
        <v/>
      </c>
      <c r="N179" s="27" t="str">
        <f t="shared" si="3"/>
        <v/>
      </c>
      <c r="O179" s="27" t="str">
        <f t="shared" si="3"/>
        <v/>
      </c>
      <c r="P179" s="27" t="str">
        <f t="shared" si="3"/>
        <v/>
      </c>
      <c r="Q179" s="27" t="str">
        <f t="shared" si="3"/>
        <v/>
      </c>
      <c r="R179" s="27" t="str">
        <f t="shared" si="3"/>
        <v/>
      </c>
    </row>
    <row r="180" spans="1:18" s="20" customFormat="1" ht="14.25" hidden="1" customHeight="1" x14ac:dyDescent="0.2">
      <c r="A180" s="86" t="s">
        <v>7</v>
      </c>
      <c r="B180" s="28" t="s">
        <v>56</v>
      </c>
      <c r="C180" s="29" t="s">
        <v>2</v>
      </c>
      <c r="D180" s="21" t="str">
        <f t="shared" si="2"/>
        <v/>
      </c>
      <c r="E180" s="21" t="str">
        <f t="shared" si="3"/>
        <v/>
      </c>
      <c r="F180" s="21" t="str">
        <f t="shared" si="3"/>
        <v/>
      </c>
      <c r="G180" s="21" t="str">
        <f t="shared" si="3"/>
        <v/>
      </c>
      <c r="H180" s="21" t="str">
        <f t="shared" si="3"/>
        <v/>
      </c>
      <c r="I180" s="21" t="str">
        <f t="shared" si="3"/>
        <v/>
      </c>
      <c r="J180" s="21" t="str">
        <f t="shared" si="3"/>
        <v/>
      </c>
      <c r="K180" s="21" t="str">
        <f t="shared" si="3"/>
        <v/>
      </c>
      <c r="L180" s="21" t="str">
        <f t="shared" si="3"/>
        <v/>
      </c>
      <c r="M180" s="21" t="str">
        <f t="shared" si="3"/>
        <v/>
      </c>
      <c r="N180" s="21" t="str">
        <f t="shared" si="3"/>
        <v/>
      </c>
      <c r="O180" s="21" t="str">
        <f t="shared" si="3"/>
        <v/>
      </c>
      <c r="P180" s="21" t="str">
        <f t="shared" si="3"/>
        <v/>
      </c>
      <c r="Q180" s="21" t="str">
        <f t="shared" si="3"/>
        <v/>
      </c>
      <c r="R180" s="21" t="str">
        <f t="shared" si="3"/>
        <v/>
      </c>
    </row>
    <row r="181" spans="1:18" s="20" customFormat="1" ht="14.25" hidden="1" customHeight="1" x14ac:dyDescent="0.2">
      <c r="A181" s="87"/>
      <c r="B181" s="30" t="s">
        <v>57</v>
      </c>
      <c r="C181" s="31" t="s">
        <v>225</v>
      </c>
      <c r="D181" s="21" t="str">
        <f t="shared" si="2"/>
        <v/>
      </c>
      <c r="E181" s="21" t="str">
        <f t="shared" si="3"/>
        <v/>
      </c>
      <c r="F181" s="21" t="str">
        <f t="shared" si="3"/>
        <v/>
      </c>
      <c r="G181" s="21" t="str">
        <f t="shared" si="3"/>
        <v/>
      </c>
      <c r="H181" s="21" t="str">
        <f t="shared" si="3"/>
        <v/>
      </c>
      <c r="I181" s="21" t="str">
        <f t="shared" si="3"/>
        <v/>
      </c>
      <c r="J181" s="21" t="str">
        <f t="shared" si="3"/>
        <v/>
      </c>
      <c r="K181" s="21" t="str">
        <f t="shared" si="3"/>
        <v/>
      </c>
      <c r="L181" s="21" t="str">
        <f t="shared" si="3"/>
        <v/>
      </c>
      <c r="M181" s="21" t="str">
        <f t="shared" si="3"/>
        <v/>
      </c>
      <c r="N181" s="21" t="str">
        <f t="shared" si="3"/>
        <v/>
      </c>
      <c r="O181" s="21" t="str">
        <f t="shared" si="3"/>
        <v/>
      </c>
      <c r="P181" s="21" t="str">
        <f t="shared" si="3"/>
        <v/>
      </c>
      <c r="Q181" s="21" t="str">
        <f t="shared" si="3"/>
        <v/>
      </c>
      <c r="R181" s="21" t="str">
        <f t="shared" si="3"/>
        <v/>
      </c>
    </row>
    <row r="182" spans="1:18" s="20" customFormat="1" ht="14.25" hidden="1" customHeight="1" x14ac:dyDescent="0.2">
      <c r="A182" s="64" t="s">
        <v>197</v>
      </c>
      <c r="B182" s="25" t="s">
        <v>55</v>
      </c>
      <c r="C182" s="26" t="s">
        <v>0</v>
      </c>
      <c r="D182" s="27" t="str">
        <f t="shared" si="2"/>
        <v/>
      </c>
      <c r="E182" s="27" t="str">
        <f t="shared" si="3"/>
        <v/>
      </c>
      <c r="F182" s="27" t="str">
        <f t="shared" si="3"/>
        <v/>
      </c>
      <c r="G182" s="27" t="str">
        <f t="shared" si="3"/>
        <v/>
      </c>
      <c r="H182" s="27" t="str">
        <f t="shared" si="3"/>
        <v/>
      </c>
      <c r="I182" s="27" t="str">
        <f t="shared" si="3"/>
        <v/>
      </c>
      <c r="J182" s="27" t="str">
        <f t="shared" si="3"/>
        <v/>
      </c>
      <c r="K182" s="27" t="str">
        <f t="shared" si="3"/>
        <v/>
      </c>
      <c r="L182" s="27" t="str">
        <f t="shared" si="3"/>
        <v/>
      </c>
      <c r="M182" s="27" t="str">
        <f t="shared" si="3"/>
        <v/>
      </c>
      <c r="N182" s="27" t="str">
        <f t="shared" si="3"/>
        <v/>
      </c>
      <c r="O182" s="27" t="str">
        <f t="shared" si="3"/>
        <v/>
      </c>
      <c r="P182" s="27" t="str">
        <f t="shared" si="3"/>
        <v/>
      </c>
      <c r="Q182" s="27" t="str">
        <f t="shared" si="3"/>
        <v/>
      </c>
      <c r="R182" s="27" t="str">
        <f t="shared" si="3"/>
        <v/>
      </c>
    </row>
    <row r="183" spans="1:18" s="20" customFormat="1" ht="14.25" hidden="1" customHeight="1" x14ac:dyDescent="0.2">
      <c r="A183" s="86" t="s">
        <v>8</v>
      </c>
      <c r="B183" s="28" t="s">
        <v>56</v>
      </c>
      <c r="C183" s="29" t="s">
        <v>2</v>
      </c>
      <c r="D183" s="21" t="str">
        <f t="shared" si="2"/>
        <v/>
      </c>
      <c r="E183" s="21" t="str">
        <f t="shared" si="3"/>
        <v/>
      </c>
      <c r="F183" s="21" t="str">
        <f t="shared" si="3"/>
        <v/>
      </c>
      <c r="G183" s="21" t="str">
        <f t="shared" si="3"/>
        <v/>
      </c>
      <c r="H183" s="21" t="str">
        <f t="shared" si="3"/>
        <v/>
      </c>
      <c r="I183" s="21" t="str">
        <f t="shared" si="3"/>
        <v/>
      </c>
      <c r="J183" s="21" t="str">
        <f t="shared" si="3"/>
        <v/>
      </c>
      <c r="K183" s="21" t="str">
        <f t="shared" si="3"/>
        <v/>
      </c>
      <c r="L183" s="21" t="str">
        <f t="shared" si="3"/>
        <v/>
      </c>
      <c r="M183" s="21" t="str">
        <f t="shared" si="3"/>
        <v/>
      </c>
      <c r="N183" s="21" t="str">
        <f t="shared" si="3"/>
        <v/>
      </c>
      <c r="O183" s="21" t="str">
        <f t="shared" si="3"/>
        <v/>
      </c>
      <c r="P183" s="21" t="str">
        <f t="shared" si="3"/>
        <v/>
      </c>
      <c r="Q183" s="21" t="str">
        <f t="shared" si="3"/>
        <v/>
      </c>
      <c r="R183" s="21" t="str">
        <f t="shared" si="3"/>
        <v/>
      </c>
    </row>
    <row r="184" spans="1:18" s="20" customFormat="1" ht="14.25" hidden="1" customHeight="1" x14ac:dyDescent="0.2">
      <c r="A184" s="87"/>
      <c r="B184" s="30" t="s">
        <v>57</v>
      </c>
      <c r="C184" s="31" t="s">
        <v>225</v>
      </c>
      <c r="D184" s="21" t="str">
        <f t="shared" si="2"/>
        <v/>
      </c>
      <c r="E184" s="21" t="str">
        <f t="shared" ref="E184:R199" si="4">IF(E114=E40,"","*")</f>
        <v/>
      </c>
      <c r="F184" s="21" t="str">
        <f t="shared" si="4"/>
        <v/>
      </c>
      <c r="G184" s="21" t="str">
        <f t="shared" si="4"/>
        <v/>
      </c>
      <c r="H184" s="21" t="str">
        <f t="shared" si="4"/>
        <v/>
      </c>
      <c r="I184" s="21" t="str">
        <f t="shared" si="4"/>
        <v/>
      </c>
      <c r="J184" s="21" t="str">
        <f t="shared" si="4"/>
        <v/>
      </c>
      <c r="K184" s="21" t="str">
        <f t="shared" si="4"/>
        <v/>
      </c>
      <c r="L184" s="21" t="str">
        <f t="shared" si="4"/>
        <v/>
      </c>
      <c r="M184" s="21" t="str">
        <f t="shared" si="4"/>
        <v/>
      </c>
      <c r="N184" s="21" t="str">
        <f t="shared" si="4"/>
        <v/>
      </c>
      <c r="O184" s="21" t="str">
        <f t="shared" si="4"/>
        <v/>
      </c>
      <c r="P184" s="21" t="str">
        <f t="shared" si="4"/>
        <v/>
      </c>
      <c r="Q184" s="21" t="str">
        <f t="shared" si="4"/>
        <v/>
      </c>
      <c r="R184" s="21" t="str">
        <f t="shared" si="4"/>
        <v/>
      </c>
    </row>
    <row r="185" spans="1:18" s="20" customFormat="1" ht="14.25" hidden="1" customHeight="1" x14ac:dyDescent="0.2">
      <c r="A185" s="64" t="s">
        <v>198</v>
      </c>
      <c r="B185" s="25" t="s">
        <v>55</v>
      </c>
      <c r="C185" s="26" t="s">
        <v>0</v>
      </c>
      <c r="D185" s="27" t="str">
        <f t="shared" si="2"/>
        <v/>
      </c>
      <c r="E185" s="27" t="str">
        <f t="shared" si="4"/>
        <v/>
      </c>
      <c r="F185" s="27" t="str">
        <f t="shared" si="4"/>
        <v/>
      </c>
      <c r="G185" s="27" t="str">
        <f t="shared" si="4"/>
        <v/>
      </c>
      <c r="H185" s="27" t="str">
        <f t="shared" si="4"/>
        <v/>
      </c>
      <c r="I185" s="27" t="str">
        <f t="shared" si="4"/>
        <v/>
      </c>
      <c r="J185" s="27" t="str">
        <f t="shared" si="4"/>
        <v/>
      </c>
      <c r="K185" s="27" t="str">
        <f t="shared" si="4"/>
        <v/>
      </c>
      <c r="L185" s="27" t="str">
        <f t="shared" si="4"/>
        <v/>
      </c>
      <c r="M185" s="27" t="str">
        <f t="shared" si="4"/>
        <v/>
      </c>
      <c r="N185" s="27" t="str">
        <f t="shared" si="4"/>
        <v/>
      </c>
      <c r="O185" s="27" t="str">
        <f t="shared" si="4"/>
        <v/>
      </c>
      <c r="P185" s="27" t="str">
        <f t="shared" si="4"/>
        <v/>
      </c>
      <c r="Q185" s="27" t="str">
        <f t="shared" si="4"/>
        <v/>
      </c>
      <c r="R185" s="27" t="str">
        <f t="shared" si="4"/>
        <v/>
      </c>
    </row>
    <row r="186" spans="1:18" s="20" customFormat="1" ht="14.25" hidden="1" customHeight="1" x14ac:dyDescent="0.2">
      <c r="A186" s="86" t="s">
        <v>9</v>
      </c>
      <c r="B186" s="28" t="s">
        <v>56</v>
      </c>
      <c r="C186" s="29" t="s">
        <v>2</v>
      </c>
      <c r="D186" s="21" t="str">
        <f t="shared" si="2"/>
        <v/>
      </c>
      <c r="E186" s="21" t="str">
        <f t="shared" si="4"/>
        <v/>
      </c>
      <c r="F186" s="21" t="str">
        <f t="shared" si="4"/>
        <v/>
      </c>
      <c r="G186" s="21" t="str">
        <f t="shared" si="4"/>
        <v/>
      </c>
      <c r="H186" s="21" t="str">
        <f t="shared" si="4"/>
        <v/>
      </c>
      <c r="I186" s="21" t="str">
        <f t="shared" si="4"/>
        <v/>
      </c>
      <c r="J186" s="21" t="str">
        <f t="shared" si="4"/>
        <v/>
      </c>
      <c r="K186" s="21" t="str">
        <f t="shared" si="4"/>
        <v/>
      </c>
      <c r="L186" s="21" t="str">
        <f t="shared" si="4"/>
        <v/>
      </c>
      <c r="M186" s="21" t="str">
        <f t="shared" si="4"/>
        <v/>
      </c>
      <c r="N186" s="21" t="str">
        <f t="shared" si="4"/>
        <v/>
      </c>
      <c r="O186" s="21" t="str">
        <f t="shared" si="4"/>
        <v/>
      </c>
      <c r="P186" s="21" t="str">
        <f t="shared" si="4"/>
        <v/>
      </c>
      <c r="Q186" s="21" t="str">
        <f t="shared" si="4"/>
        <v/>
      </c>
      <c r="R186" s="21" t="str">
        <f t="shared" si="4"/>
        <v/>
      </c>
    </row>
    <row r="187" spans="1:18" s="20" customFormat="1" ht="14.25" hidden="1" customHeight="1" x14ac:dyDescent="0.2">
      <c r="A187" s="87"/>
      <c r="B187" s="30" t="s">
        <v>57</v>
      </c>
      <c r="C187" s="31" t="s">
        <v>225</v>
      </c>
      <c r="D187" s="21" t="str">
        <f t="shared" si="2"/>
        <v/>
      </c>
      <c r="E187" s="21" t="str">
        <f t="shared" si="4"/>
        <v/>
      </c>
      <c r="F187" s="21" t="str">
        <f t="shared" si="4"/>
        <v/>
      </c>
      <c r="G187" s="21" t="str">
        <f t="shared" si="4"/>
        <v/>
      </c>
      <c r="H187" s="21" t="str">
        <f t="shared" si="4"/>
        <v/>
      </c>
      <c r="I187" s="21" t="str">
        <f t="shared" si="4"/>
        <v/>
      </c>
      <c r="J187" s="21" t="str">
        <f t="shared" si="4"/>
        <v/>
      </c>
      <c r="K187" s="21" t="str">
        <f t="shared" si="4"/>
        <v/>
      </c>
      <c r="L187" s="21" t="str">
        <f t="shared" si="4"/>
        <v/>
      </c>
      <c r="M187" s="21" t="str">
        <f t="shared" si="4"/>
        <v/>
      </c>
      <c r="N187" s="21" t="str">
        <f t="shared" si="4"/>
        <v/>
      </c>
      <c r="O187" s="21" t="str">
        <f t="shared" si="4"/>
        <v/>
      </c>
      <c r="P187" s="21" t="str">
        <f t="shared" si="4"/>
        <v/>
      </c>
      <c r="Q187" s="21" t="str">
        <f t="shared" si="4"/>
        <v/>
      </c>
      <c r="R187" s="21" t="str">
        <f t="shared" si="4"/>
        <v/>
      </c>
    </row>
    <row r="188" spans="1:18" s="20" customFormat="1" ht="14.25" hidden="1" customHeight="1" x14ac:dyDescent="0.2">
      <c r="A188" s="64" t="s">
        <v>199</v>
      </c>
      <c r="B188" s="25" t="s">
        <v>55</v>
      </c>
      <c r="C188" s="26" t="s">
        <v>0</v>
      </c>
      <c r="D188" s="27" t="str">
        <f t="shared" si="2"/>
        <v/>
      </c>
      <c r="E188" s="27" t="str">
        <f t="shared" si="4"/>
        <v/>
      </c>
      <c r="F188" s="27" t="str">
        <f t="shared" si="4"/>
        <v/>
      </c>
      <c r="G188" s="27" t="str">
        <f t="shared" si="4"/>
        <v/>
      </c>
      <c r="H188" s="27" t="str">
        <f t="shared" si="4"/>
        <v/>
      </c>
      <c r="I188" s="27" t="str">
        <f t="shared" si="4"/>
        <v/>
      </c>
      <c r="J188" s="27" t="str">
        <f t="shared" si="4"/>
        <v/>
      </c>
      <c r="K188" s="27" t="str">
        <f t="shared" si="4"/>
        <v/>
      </c>
      <c r="L188" s="27" t="str">
        <f t="shared" si="4"/>
        <v/>
      </c>
      <c r="M188" s="27" t="str">
        <f t="shared" si="4"/>
        <v/>
      </c>
      <c r="N188" s="27" t="str">
        <f t="shared" si="4"/>
        <v/>
      </c>
      <c r="O188" s="27" t="str">
        <f t="shared" si="4"/>
        <v/>
      </c>
      <c r="P188" s="27" t="str">
        <f t="shared" si="4"/>
        <v/>
      </c>
      <c r="Q188" s="27" t="str">
        <f t="shared" si="4"/>
        <v/>
      </c>
      <c r="R188" s="27" t="str">
        <f t="shared" si="4"/>
        <v/>
      </c>
    </row>
    <row r="189" spans="1:18" s="20" customFormat="1" ht="14.25" hidden="1" customHeight="1" x14ac:dyDescent="0.2">
      <c r="A189" s="86" t="s">
        <v>10</v>
      </c>
      <c r="B189" s="28" t="s">
        <v>56</v>
      </c>
      <c r="C189" s="29" t="s">
        <v>2</v>
      </c>
      <c r="D189" s="21" t="str">
        <f t="shared" si="2"/>
        <v/>
      </c>
      <c r="E189" s="21" t="str">
        <f t="shared" si="4"/>
        <v/>
      </c>
      <c r="F189" s="21" t="str">
        <f t="shared" si="4"/>
        <v/>
      </c>
      <c r="G189" s="21" t="str">
        <f t="shared" si="4"/>
        <v/>
      </c>
      <c r="H189" s="21" t="str">
        <f t="shared" si="4"/>
        <v/>
      </c>
      <c r="I189" s="21" t="str">
        <f t="shared" si="4"/>
        <v/>
      </c>
      <c r="J189" s="21" t="str">
        <f t="shared" si="4"/>
        <v/>
      </c>
      <c r="K189" s="21" t="str">
        <f t="shared" si="4"/>
        <v/>
      </c>
      <c r="L189" s="21" t="str">
        <f t="shared" si="4"/>
        <v/>
      </c>
      <c r="M189" s="21" t="str">
        <f t="shared" si="4"/>
        <v/>
      </c>
      <c r="N189" s="21" t="str">
        <f t="shared" si="4"/>
        <v/>
      </c>
      <c r="O189" s="21" t="str">
        <f t="shared" si="4"/>
        <v/>
      </c>
      <c r="P189" s="21" t="str">
        <f t="shared" si="4"/>
        <v/>
      </c>
      <c r="Q189" s="21" t="str">
        <f t="shared" si="4"/>
        <v/>
      </c>
      <c r="R189" s="21" t="str">
        <f t="shared" si="4"/>
        <v/>
      </c>
    </row>
    <row r="190" spans="1:18" s="20" customFormat="1" ht="14.25" hidden="1" customHeight="1" x14ac:dyDescent="0.2">
      <c r="A190" s="87"/>
      <c r="B190" s="30" t="s">
        <v>57</v>
      </c>
      <c r="C190" s="31" t="s">
        <v>225</v>
      </c>
      <c r="D190" s="21" t="str">
        <f t="shared" si="2"/>
        <v/>
      </c>
      <c r="E190" s="21" t="str">
        <f t="shared" si="4"/>
        <v/>
      </c>
      <c r="F190" s="21" t="str">
        <f t="shared" si="4"/>
        <v/>
      </c>
      <c r="G190" s="21" t="str">
        <f t="shared" si="4"/>
        <v/>
      </c>
      <c r="H190" s="21" t="str">
        <f t="shared" si="4"/>
        <v/>
      </c>
      <c r="I190" s="21" t="str">
        <f t="shared" si="4"/>
        <v/>
      </c>
      <c r="J190" s="21" t="str">
        <f t="shared" si="4"/>
        <v/>
      </c>
      <c r="K190" s="21" t="str">
        <f t="shared" si="4"/>
        <v/>
      </c>
      <c r="L190" s="21" t="str">
        <f t="shared" si="4"/>
        <v/>
      </c>
      <c r="M190" s="21" t="str">
        <f t="shared" si="4"/>
        <v/>
      </c>
      <c r="N190" s="21" t="str">
        <f t="shared" si="4"/>
        <v/>
      </c>
      <c r="O190" s="21" t="str">
        <f t="shared" si="4"/>
        <v/>
      </c>
      <c r="P190" s="21" t="str">
        <f t="shared" si="4"/>
        <v/>
      </c>
      <c r="Q190" s="21" t="str">
        <f t="shared" si="4"/>
        <v/>
      </c>
      <c r="R190" s="21" t="str">
        <f t="shared" si="4"/>
        <v/>
      </c>
    </row>
    <row r="191" spans="1:18" s="20" customFormat="1" ht="14.25" hidden="1" customHeight="1" x14ac:dyDescent="0.2">
      <c r="A191" s="64" t="s">
        <v>200</v>
      </c>
      <c r="B191" s="25" t="s">
        <v>55</v>
      </c>
      <c r="C191" s="26" t="s">
        <v>0</v>
      </c>
      <c r="D191" s="27" t="str">
        <f t="shared" si="2"/>
        <v/>
      </c>
      <c r="E191" s="27" t="str">
        <f t="shared" si="4"/>
        <v/>
      </c>
      <c r="F191" s="27" t="str">
        <f t="shared" si="4"/>
        <v/>
      </c>
      <c r="G191" s="27" t="str">
        <f t="shared" si="4"/>
        <v/>
      </c>
      <c r="H191" s="27" t="str">
        <f t="shared" si="4"/>
        <v/>
      </c>
      <c r="I191" s="27" t="str">
        <f t="shared" si="4"/>
        <v/>
      </c>
      <c r="J191" s="27" t="str">
        <f t="shared" si="4"/>
        <v/>
      </c>
      <c r="K191" s="27" t="str">
        <f t="shared" si="4"/>
        <v/>
      </c>
      <c r="L191" s="27" t="str">
        <f t="shared" si="4"/>
        <v/>
      </c>
      <c r="M191" s="27" t="str">
        <f t="shared" si="4"/>
        <v/>
      </c>
      <c r="N191" s="27" t="str">
        <f t="shared" si="4"/>
        <v/>
      </c>
      <c r="O191" s="27" t="str">
        <f t="shared" si="4"/>
        <v/>
      </c>
      <c r="P191" s="27" t="str">
        <f t="shared" si="4"/>
        <v/>
      </c>
      <c r="Q191" s="27" t="str">
        <f t="shared" si="4"/>
        <v/>
      </c>
      <c r="R191" s="27" t="str">
        <f t="shared" si="4"/>
        <v/>
      </c>
    </row>
    <row r="192" spans="1:18" s="20" customFormat="1" ht="14.25" hidden="1" customHeight="1" x14ac:dyDescent="0.2">
      <c r="A192" s="86" t="s">
        <v>11</v>
      </c>
      <c r="B192" s="28" t="s">
        <v>56</v>
      </c>
      <c r="C192" s="29" t="s">
        <v>2</v>
      </c>
      <c r="D192" s="21" t="str">
        <f t="shared" si="2"/>
        <v/>
      </c>
      <c r="E192" s="21" t="str">
        <f t="shared" si="4"/>
        <v/>
      </c>
      <c r="F192" s="21" t="str">
        <f t="shared" si="4"/>
        <v/>
      </c>
      <c r="G192" s="21" t="str">
        <f t="shared" si="4"/>
        <v/>
      </c>
      <c r="H192" s="21" t="str">
        <f t="shared" si="4"/>
        <v/>
      </c>
      <c r="I192" s="21" t="str">
        <f t="shared" si="4"/>
        <v/>
      </c>
      <c r="J192" s="21" t="str">
        <f t="shared" si="4"/>
        <v/>
      </c>
      <c r="K192" s="21" t="str">
        <f t="shared" si="4"/>
        <v/>
      </c>
      <c r="L192" s="21" t="str">
        <f t="shared" si="4"/>
        <v/>
      </c>
      <c r="M192" s="21" t="str">
        <f t="shared" si="4"/>
        <v/>
      </c>
      <c r="N192" s="21" t="str">
        <f t="shared" si="4"/>
        <v/>
      </c>
      <c r="O192" s="21" t="str">
        <f t="shared" si="4"/>
        <v/>
      </c>
      <c r="P192" s="21" t="str">
        <f t="shared" si="4"/>
        <v/>
      </c>
      <c r="Q192" s="21" t="str">
        <f t="shared" si="4"/>
        <v/>
      </c>
      <c r="R192" s="21" t="str">
        <f t="shared" si="4"/>
        <v/>
      </c>
    </row>
    <row r="193" spans="1:18" s="20" customFormat="1" ht="14.25" hidden="1" customHeight="1" x14ac:dyDescent="0.2">
      <c r="A193" s="87"/>
      <c r="B193" s="30" t="s">
        <v>57</v>
      </c>
      <c r="C193" s="31" t="s">
        <v>225</v>
      </c>
      <c r="D193" s="21" t="str">
        <f t="shared" si="2"/>
        <v/>
      </c>
      <c r="E193" s="21" t="str">
        <f t="shared" si="4"/>
        <v/>
      </c>
      <c r="F193" s="21" t="str">
        <f t="shared" si="4"/>
        <v/>
      </c>
      <c r="G193" s="21" t="str">
        <f t="shared" si="4"/>
        <v/>
      </c>
      <c r="H193" s="21" t="str">
        <f t="shared" si="4"/>
        <v/>
      </c>
      <c r="I193" s="21" t="str">
        <f t="shared" si="4"/>
        <v/>
      </c>
      <c r="J193" s="21" t="str">
        <f t="shared" si="4"/>
        <v/>
      </c>
      <c r="K193" s="21" t="str">
        <f t="shared" si="4"/>
        <v/>
      </c>
      <c r="L193" s="21" t="str">
        <f t="shared" si="4"/>
        <v/>
      </c>
      <c r="M193" s="21" t="str">
        <f t="shared" si="4"/>
        <v/>
      </c>
      <c r="N193" s="21" t="str">
        <f t="shared" si="4"/>
        <v/>
      </c>
      <c r="O193" s="21" t="str">
        <f t="shared" si="4"/>
        <v/>
      </c>
      <c r="P193" s="21" t="str">
        <f t="shared" si="4"/>
        <v/>
      </c>
      <c r="Q193" s="21" t="str">
        <f t="shared" si="4"/>
        <v/>
      </c>
      <c r="R193" s="21" t="str">
        <f t="shared" si="4"/>
        <v/>
      </c>
    </row>
    <row r="194" spans="1:18" s="20" customFormat="1" ht="14.25" hidden="1" customHeight="1" x14ac:dyDescent="0.2">
      <c r="A194" s="64" t="s">
        <v>201</v>
      </c>
      <c r="B194" s="25" t="s">
        <v>55</v>
      </c>
      <c r="C194" s="26" t="s">
        <v>0</v>
      </c>
      <c r="D194" s="27" t="str">
        <f t="shared" si="2"/>
        <v/>
      </c>
      <c r="E194" s="27" t="str">
        <f t="shared" si="4"/>
        <v/>
      </c>
      <c r="F194" s="27" t="str">
        <f t="shared" si="4"/>
        <v/>
      </c>
      <c r="G194" s="27" t="str">
        <f t="shared" si="4"/>
        <v/>
      </c>
      <c r="H194" s="27" t="str">
        <f t="shared" si="4"/>
        <v/>
      </c>
      <c r="I194" s="27" t="str">
        <f t="shared" si="4"/>
        <v/>
      </c>
      <c r="J194" s="27" t="str">
        <f t="shared" si="4"/>
        <v/>
      </c>
      <c r="K194" s="27" t="str">
        <f t="shared" si="4"/>
        <v/>
      </c>
      <c r="L194" s="27" t="str">
        <f t="shared" si="4"/>
        <v/>
      </c>
      <c r="M194" s="27" t="str">
        <f t="shared" si="4"/>
        <v/>
      </c>
      <c r="N194" s="27" t="str">
        <f t="shared" si="4"/>
        <v/>
      </c>
      <c r="O194" s="27" t="str">
        <f t="shared" si="4"/>
        <v/>
      </c>
      <c r="P194" s="27" t="str">
        <f t="shared" si="4"/>
        <v/>
      </c>
      <c r="Q194" s="27" t="str">
        <f t="shared" si="4"/>
        <v/>
      </c>
      <c r="R194" s="27" t="str">
        <f t="shared" si="4"/>
        <v/>
      </c>
    </row>
    <row r="195" spans="1:18" s="20" customFormat="1" ht="14.25" hidden="1" customHeight="1" x14ac:dyDescent="0.2">
      <c r="A195" s="86" t="s">
        <v>12</v>
      </c>
      <c r="B195" s="28" t="s">
        <v>56</v>
      </c>
      <c r="C195" s="29" t="s">
        <v>2</v>
      </c>
      <c r="D195" s="21" t="str">
        <f t="shared" si="2"/>
        <v/>
      </c>
      <c r="E195" s="21" t="str">
        <f t="shared" si="4"/>
        <v/>
      </c>
      <c r="F195" s="21" t="str">
        <f t="shared" si="4"/>
        <v/>
      </c>
      <c r="G195" s="21" t="str">
        <f t="shared" si="4"/>
        <v/>
      </c>
      <c r="H195" s="21" t="str">
        <f t="shared" si="4"/>
        <v/>
      </c>
      <c r="I195" s="21" t="str">
        <f t="shared" si="4"/>
        <v/>
      </c>
      <c r="J195" s="21" t="str">
        <f t="shared" si="4"/>
        <v/>
      </c>
      <c r="K195" s="21" t="str">
        <f t="shared" si="4"/>
        <v/>
      </c>
      <c r="L195" s="21" t="str">
        <f t="shared" si="4"/>
        <v/>
      </c>
      <c r="M195" s="21" t="str">
        <f t="shared" si="4"/>
        <v/>
      </c>
      <c r="N195" s="21" t="str">
        <f t="shared" si="4"/>
        <v/>
      </c>
      <c r="O195" s="21" t="str">
        <f t="shared" si="4"/>
        <v/>
      </c>
      <c r="P195" s="21" t="str">
        <f t="shared" si="4"/>
        <v/>
      </c>
      <c r="Q195" s="21" t="str">
        <f t="shared" si="4"/>
        <v/>
      </c>
      <c r="R195" s="21" t="str">
        <f t="shared" si="4"/>
        <v/>
      </c>
    </row>
    <row r="196" spans="1:18" s="20" customFormat="1" ht="14.25" hidden="1" customHeight="1" x14ac:dyDescent="0.2">
      <c r="A196" s="87"/>
      <c r="B196" s="30" t="s">
        <v>57</v>
      </c>
      <c r="C196" s="31" t="s">
        <v>225</v>
      </c>
      <c r="D196" s="21" t="str">
        <f t="shared" si="2"/>
        <v/>
      </c>
      <c r="E196" s="21" t="str">
        <f t="shared" si="4"/>
        <v/>
      </c>
      <c r="F196" s="21" t="str">
        <f t="shared" si="4"/>
        <v/>
      </c>
      <c r="G196" s="21" t="str">
        <f t="shared" si="4"/>
        <v/>
      </c>
      <c r="H196" s="21" t="str">
        <f t="shared" si="4"/>
        <v/>
      </c>
      <c r="I196" s="21" t="str">
        <f t="shared" si="4"/>
        <v/>
      </c>
      <c r="J196" s="21" t="str">
        <f t="shared" si="4"/>
        <v/>
      </c>
      <c r="K196" s="21" t="str">
        <f t="shared" si="4"/>
        <v/>
      </c>
      <c r="L196" s="21" t="str">
        <f t="shared" si="4"/>
        <v/>
      </c>
      <c r="M196" s="21" t="str">
        <f t="shared" si="4"/>
        <v/>
      </c>
      <c r="N196" s="21" t="str">
        <f t="shared" si="4"/>
        <v/>
      </c>
      <c r="O196" s="21" t="str">
        <f t="shared" si="4"/>
        <v/>
      </c>
      <c r="P196" s="21" t="str">
        <f t="shared" si="4"/>
        <v/>
      </c>
      <c r="Q196" s="21" t="str">
        <f t="shared" si="4"/>
        <v/>
      </c>
      <c r="R196" s="21" t="str">
        <f t="shared" si="4"/>
        <v/>
      </c>
    </row>
    <row r="197" spans="1:18" s="20" customFormat="1" ht="14.25" hidden="1" customHeight="1" x14ac:dyDescent="0.2">
      <c r="A197" s="64" t="s">
        <v>202</v>
      </c>
      <c r="B197" s="25" t="s">
        <v>55</v>
      </c>
      <c r="C197" s="26" t="s">
        <v>0</v>
      </c>
      <c r="D197" s="27" t="str">
        <f t="shared" si="2"/>
        <v/>
      </c>
      <c r="E197" s="27" t="str">
        <f t="shared" si="4"/>
        <v/>
      </c>
      <c r="F197" s="27" t="str">
        <f t="shared" si="4"/>
        <v/>
      </c>
      <c r="G197" s="27" t="str">
        <f t="shared" si="4"/>
        <v/>
      </c>
      <c r="H197" s="27" t="str">
        <f t="shared" si="4"/>
        <v/>
      </c>
      <c r="I197" s="27" t="str">
        <f t="shared" si="4"/>
        <v/>
      </c>
      <c r="J197" s="27" t="str">
        <f t="shared" si="4"/>
        <v/>
      </c>
      <c r="K197" s="27" t="str">
        <f t="shared" si="4"/>
        <v/>
      </c>
      <c r="L197" s="27" t="str">
        <f t="shared" si="4"/>
        <v/>
      </c>
      <c r="M197" s="27" t="str">
        <f t="shared" si="4"/>
        <v/>
      </c>
      <c r="N197" s="27" t="str">
        <f t="shared" si="4"/>
        <v/>
      </c>
      <c r="O197" s="27" t="str">
        <f t="shared" si="4"/>
        <v/>
      </c>
      <c r="P197" s="27" t="str">
        <f t="shared" si="4"/>
        <v/>
      </c>
      <c r="Q197" s="27" t="str">
        <f t="shared" si="4"/>
        <v/>
      </c>
      <c r="R197" s="27" t="str">
        <f t="shared" si="4"/>
        <v/>
      </c>
    </row>
    <row r="198" spans="1:18" s="20" customFormat="1" ht="14.25" hidden="1" customHeight="1" x14ac:dyDescent="0.2">
      <c r="A198" s="86" t="s">
        <v>13</v>
      </c>
      <c r="B198" s="28" t="s">
        <v>56</v>
      </c>
      <c r="C198" s="29" t="s">
        <v>2</v>
      </c>
      <c r="D198" s="21" t="str">
        <f t="shared" si="2"/>
        <v/>
      </c>
      <c r="E198" s="21" t="str">
        <f t="shared" si="4"/>
        <v/>
      </c>
      <c r="F198" s="21" t="str">
        <f t="shared" si="4"/>
        <v/>
      </c>
      <c r="G198" s="21" t="str">
        <f t="shared" si="4"/>
        <v/>
      </c>
      <c r="H198" s="21" t="str">
        <f t="shared" si="4"/>
        <v/>
      </c>
      <c r="I198" s="21" t="str">
        <f t="shared" si="4"/>
        <v/>
      </c>
      <c r="J198" s="21" t="str">
        <f t="shared" si="4"/>
        <v/>
      </c>
      <c r="K198" s="21" t="str">
        <f t="shared" si="4"/>
        <v/>
      </c>
      <c r="L198" s="21" t="str">
        <f t="shared" si="4"/>
        <v/>
      </c>
      <c r="M198" s="21" t="str">
        <f t="shared" si="4"/>
        <v/>
      </c>
      <c r="N198" s="21" t="str">
        <f t="shared" si="4"/>
        <v/>
      </c>
      <c r="O198" s="21" t="str">
        <f t="shared" si="4"/>
        <v/>
      </c>
      <c r="P198" s="21" t="str">
        <f t="shared" si="4"/>
        <v/>
      </c>
      <c r="Q198" s="21" t="str">
        <f t="shared" si="4"/>
        <v/>
      </c>
      <c r="R198" s="21" t="str">
        <f t="shared" si="4"/>
        <v/>
      </c>
    </row>
    <row r="199" spans="1:18" s="20" customFormat="1" ht="14.25" hidden="1" customHeight="1" x14ac:dyDescent="0.2">
      <c r="A199" s="87"/>
      <c r="B199" s="30" t="s">
        <v>57</v>
      </c>
      <c r="C199" s="31" t="s">
        <v>225</v>
      </c>
      <c r="D199" s="21" t="str">
        <f t="shared" si="2"/>
        <v/>
      </c>
      <c r="E199" s="21" t="str">
        <f t="shared" si="4"/>
        <v/>
      </c>
      <c r="F199" s="21" t="str">
        <f t="shared" si="4"/>
        <v/>
      </c>
      <c r="G199" s="21" t="str">
        <f t="shared" si="4"/>
        <v/>
      </c>
      <c r="H199" s="21" t="str">
        <f t="shared" si="4"/>
        <v/>
      </c>
      <c r="I199" s="21" t="str">
        <f t="shared" si="4"/>
        <v/>
      </c>
      <c r="J199" s="21" t="str">
        <f t="shared" si="4"/>
        <v/>
      </c>
      <c r="K199" s="21" t="str">
        <f t="shared" si="4"/>
        <v/>
      </c>
      <c r="L199" s="21" t="str">
        <f t="shared" si="4"/>
        <v/>
      </c>
      <c r="M199" s="21" t="str">
        <f t="shared" si="4"/>
        <v/>
      </c>
      <c r="N199" s="21" t="str">
        <f t="shared" si="4"/>
        <v/>
      </c>
      <c r="O199" s="21" t="str">
        <f t="shared" si="4"/>
        <v/>
      </c>
      <c r="P199" s="21" t="str">
        <f t="shared" si="4"/>
        <v/>
      </c>
      <c r="Q199" s="21" t="str">
        <f t="shared" si="4"/>
        <v/>
      </c>
      <c r="R199" s="21" t="str">
        <f t="shared" si="4"/>
        <v/>
      </c>
    </row>
    <row r="200" spans="1:18" s="20" customFormat="1" ht="14.25" hidden="1" customHeight="1" x14ac:dyDescent="0.2">
      <c r="A200" s="64" t="s">
        <v>203</v>
      </c>
      <c r="B200" s="25" t="s">
        <v>55</v>
      </c>
      <c r="C200" s="26" t="s">
        <v>0</v>
      </c>
      <c r="D200" s="27" t="str">
        <f t="shared" si="2"/>
        <v/>
      </c>
      <c r="E200" s="27" t="str">
        <f t="shared" ref="E200:R215" si="5">IF(E130=E56,"","*")</f>
        <v/>
      </c>
      <c r="F200" s="27" t="str">
        <f t="shared" si="5"/>
        <v/>
      </c>
      <c r="G200" s="27" t="str">
        <f t="shared" si="5"/>
        <v/>
      </c>
      <c r="H200" s="27" t="str">
        <f t="shared" si="5"/>
        <v/>
      </c>
      <c r="I200" s="27" t="str">
        <f t="shared" si="5"/>
        <v/>
      </c>
      <c r="J200" s="27" t="str">
        <f t="shared" si="5"/>
        <v/>
      </c>
      <c r="K200" s="27" t="str">
        <f t="shared" si="5"/>
        <v/>
      </c>
      <c r="L200" s="27" t="str">
        <f t="shared" si="5"/>
        <v/>
      </c>
      <c r="M200" s="27" t="str">
        <f t="shared" si="5"/>
        <v/>
      </c>
      <c r="N200" s="27" t="str">
        <f t="shared" si="5"/>
        <v/>
      </c>
      <c r="O200" s="27" t="str">
        <f t="shared" si="5"/>
        <v/>
      </c>
      <c r="P200" s="27" t="str">
        <f t="shared" si="5"/>
        <v/>
      </c>
      <c r="Q200" s="27" t="str">
        <f t="shared" si="5"/>
        <v/>
      </c>
      <c r="R200" s="27" t="str">
        <f t="shared" si="5"/>
        <v/>
      </c>
    </row>
    <row r="201" spans="1:18" s="20" customFormat="1" ht="14.25" hidden="1" customHeight="1" x14ac:dyDescent="0.2">
      <c r="A201" s="86" t="s">
        <v>14</v>
      </c>
      <c r="B201" s="28" t="s">
        <v>56</v>
      </c>
      <c r="C201" s="29" t="s">
        <v>2</v>
      </c>
      <c r="D201" s="21" t="str">
        <f t="shared" si="2"/>
        <v/>
      </c>
      <c r="E201" s="21" t="str">
        <f t="shared" si="5"/>
        <v/>
      </c>
      <c r="F201" s="21" t="str">
        <f t="shared" si="5"/>
        <v/>
      </c>
      <c r="G201" s="21" t="str">
        <f t="shared" si="5"/>
        <v/>
      </c>
      <c r="H201" s="21" t="str">
        <f t="shared" si="5"/>
        <v/>
      </c>
      <c r="I201" s="21" t="str">
        <f t="shared" si="5"/>
        <v/>
      </c>
      <c r="J201" s="21" t="str">
        <f t="shared" si="5"/>
        <v/>
      </c>
      <c r="K201" s="21" t="str">
        <f t="shared" si="5"/>
        <v/>
      </c>
      <c r="L201" s="21" t="str">
        <f t="shared" si="5"/>
        <v/>
      </c>
      <c r="M201" s="21" t="str">
        <f t="shared" si="5"/>
        <v/>
      </c>
      <c r="N201" s="21" t="str">
        <f t="shared" si="5"/>
        <v/>
      </c>
      <c r="O201" s="21" t="str">
        <f t="shared" si="5"/>
        <v/>
      </c>
      <c r="P201" s="21" t="str">
        <f t="shared" si="5"/>
        <v/>
      </c>
      <c r="Q201" s="21" t="str">
        <f t="shared" si="5"/>
        <v/>
      </c>
      <c r="R201" s="21" t="str">
        <f t="shared" si="5"/>
        <v/>
      </c>
    </row>
    <row r="202" spans="1:18" s="20" customFormat="1" ht="14.25" hidden="1" customHeight="1" x14ac:dyDescent="0.2">
      <c r="A202" s="87"/>
      <c r="B202" s="30" t="s">
        <v>57</v>
      </c>
      <c r="C202" s="31" t="s">
        <v>225</v>
      </c>
      <c r="D202" s="21" t="str">
        <f t="shared" si="2"/>
        <v/>
      </c>
      <c r="E202" s="21" t="str">
        <f t="shared" si="5"/>
        <v/>
      </c>
      <c r="F202" s="21" t="str">
        <f t="shared" si="5"/>
        <v/>
      </c>
      <c r="G202" s="21" t="str">
        <f t="shared" si="5"/>
        <v/>
      </c>
      <c r="H202" s="21" t="str">
        <f t="shared" si="5"/>
        <v/>
      </c>
      <c r="I202" s="21" t="str">
        <f t="shared" si="5"/>
        <v/>
      </c>
      <c r="J202" s="21" t="str">
        <f t="shared" si="5"/>
        <v/>
      </c>
      <c r="K202" s="21" t="str">
        <f t="shared" si="5"/>
        <v/>
      </c>
      <c r="L202" s="21" t="str">
        <f t="shared" si="5"/>
        <v/>
      </c>
      <c r="M202" s="21" t="str">
        <f t="shared" si="5"/>
        <v/>
      </c>
      <c r="N202" s="21" t="str">
        <f t="shared" si="5"/>
        <v/>
      </c>
      <c r="O202" s="21" t="str">
        <f t="shared" si="5"/>
        <v/>
      </c>
      <c r="P202" s="21" t="str">
        <f t="shared" si="5"/>
        <v/>
      </c>
      <c r="Q202" s="21" t="str">
        <f t="shared" si="5"/>
        <v/>
      </c>
      <c r="R202" s="21" t="str">
        <f t="shared" si="5"/>
        <v/>
      </c>
    </row>
    <row r="203" spans="1:18" s="20" customFormat="1" ht="14.25" hidden="1" customHeight="1" x14ac:dyDescent="0.2">
      <c r="A203" s="64" t="s">
        <v>204</v>
      </c>
      <c r="B203" s="25" t="s">
        <v>55</v>
      </c>
      <c r="C203" s="26" t="s">
        <v>0</v>
      </c>
      <c r="D203" s="27" t="str">
        <f t="shared" si="2"/>
        <v/>
      </c>
      <c r="E203" s="27" t="str">
        <f t="shared" si="5"/>
        <v/>
      </c>
      <c r="F203" s="27" t="str">
        <f t="shared" si="5"/>
        <v/>
      </c>
      <c r="G203" s="27" t="str">
        <f t="shared" si="5"/>
        <v/>
      </c>
      <c r="H203" s="27" t="str">
        <f t="shared" si="5"/>
        <v/>
      </c>
      <c r="I203" s="27" t="str">
        <f t="shared" si="5"/>
        <v/>
      </c>
      <c r="J203" s="27" t="str">
        <f t="shared" si="5"/>
        <v/>
      </c>
      <c r="K203" s="27" t="str">
        <f t="shared" si="5"/>
        <v/>
      </c>
      <c r="L203" s="27" t="str">
        <f t="shared" si="5"/>
        <v/>
      </c>
      <c r="M203" s="27" t="str">
        <f t="shared" si="5"/>
        <v/>
      </c>
      <c r="N203" s="27" t="str">
        <f t="shared" si="5"/>
        <v/>
      </c>
      <c r="O203" s="27" t="str">
        <f t="shared" si="5"/>
        <v/>
      </c>
      <c r="P203" s="27" t="str">
        <f t="shared" si="5"/>
        <v/>
      </c>
      <c r="Q203" s="27" t="str">
        <f t="shared" si="5"/>
        <v/>
      </c>
      <c r="R203" s="27" t="str">
        <f t="shared" si="5"/>
        <v/>
      </c>
    </row>
    <row r="204" spans="1:18" s="20" customFormat="1" ht="14.25" hidden="1" customHeight="1" x14ac:dyDescent="0.2">
      <c r="A204" s="86" t="s">
        <v>15</v>
      </c>
      <c r="B204" s="28" t="s">
        <v>56</v>
      </c>
      <c r="C204" s="29" t="s">
        <v>2</v>
      </c>
      <c r="D204" s="21" t="str">
        <f t="shared" si="2"/>
        <v/>
      </c>
      <c r="E204" s="21" t="str">
        <f t="shared" si="5"/>
        <v/>
      </c>
      <c r="F204" s="21" t="str">
        <f t="shared" si="5"/>
        <v/>
      </c>
      <c r="G204" s="21" t="str">
        <f t="shared" si="5"/>
        <v/>
      </c>
      <c r="H204" s="21" t="str">
        <f t="shared" si="5"/>
        <v/>
      </c>
      <c r="I204" s="21" t="str">
        <f t="shared" si="5"/>
        <v/>
      </c>
      <c r="J204" s="21" t="str">
        <f t="shared" si="5"/>
        <v/>
      </c>
      <c r="K204" s="21" t="str">
        <f t="shared" si="5"/>
        <v/>
      </c>
      <c r="L204" s="21" t="str">
        <f t="shared" si="5"/>
        <v/>
      </c>
      <c r="M204" s="21" t="str">
        <f t="shared" si="5"/>
        <v/>
      </c>
      <c r="N204" s="21" t="str">
        <f t="shared" si="5"/>
        <v/>
      </c>
      <c r="O204" s="21" t="str">
        <f t="shared" si="5"/>
        <v/>
      </c>
      <c r="P204" s="21" t="str">
        <f t="shared" si="5"/>
        <v/>
      </c>
      <c r="Q204" s="21" t="str">
        <f t="shared" si="5"/>
        <v/>
      </c>
      <c r="R204" s="21" t="str">
        <f t="shared" si="5"/>
        <v/>
      </c>
    </row>
    <row r="205" spans="1:18" s="20" customFormat="1" ht="14.25" hidden="1" customHeight="1" x14ac:dyDescent="0.2">
      <c r="A205" s="87"/>
      <c r="B205" s="30" t="s">
        <v>57</v>
      </c>
      <c r="C205" s="31" t="s">
        <v>225</v>
      </c>
      <c r="D205" s="21" t="str">
        <f t="shared" si="2"/>
        <v/>
      </c>
      <c r="E205" s="21" t="str">
        <f t="shared" si="5"/>
        <v/>
      </c>
      <c r="F205" s="21" t="str">
        <f t="shared" si="5"/>
        <v/>
      </c>
      <c r="G205" s="21" t="str">
        <f t="shared" si="5"/>
        <v/>
      </c>
      <c r="H205" s="21" t="str">
        <f t="shared" si="5"/>
        <v/>
      </c>
      <c r="I205" s="21" t="str">
        <f t="shared" si="5"/>
        <v/>
      </c>
      <c r="J205" s="21" t="str">
        <f t="shared" si="5"/>
        <v/>
      </c>
      <c r="K205" s="21" t="str">
        <f t="shared" si="5"/>
        <v/>
      </c>
      <c r="L205" s="21" t="str">
        <f t="shared" si="5"/>
        <v/>
      </c>
      <c r="M205" s="21" t="str">
        <f t="shared" si="5"/>
        <v/>
      </c>
      <c r="N205" s="21" t="str">
        <f t="shared" si="5"/>
        <v/>
      </c>
      <c r="O205" s="21" t="str">
        <f t="shared" si="5"/>
        <v/>
      </c>
      <c r="P205" s="21" t="str">
        <f t="shared" si="5"/>
        <v/>
      </c>
      <c r="Q205" s="21" t="str">
        <f t="shared" si="5"/>
        <v/>
      </c>
      <c r="R205" s="21" t="str">
        <f t="shared" si="5"/>
        <v/>
      </c>
    </row>
    <row r="206" spans="1:18" s="20" customFormat="1" ht="14.25" hidden="1" customHeight="1" x14ac:dyDescent="0.2">
      <c r="A206" s="64" t="s">
        <v>205</v>
      </c>
      <c r="B206" s="25" t="s">
        <v>55</v>
      </c>
      <c r="C206" s="26" t="s">
        <v>0</v>
      </c>
      <c r="D206" s="27" t="str">
        <f t="shared" si="2"/>
        <v/>
      </c>
      <c r="E206" s="27" t="str">
        <f t="shared" si="5"/>
        <v/>
      </c>
      <c r="F206" s="27" t="str">
        <f t="shared" si="5"/>
        <v/>
      </c>
      <c r="G206" s="27" t="str">
        <f t="shared" si="5"/>
        <v/>
      </c>
      <c r="H206" s="27" t="str">
        <f t="shared" si="5"/>
        <v/>
      </c>
      <c r="I206" s="27" t="str">
        <f t="shared" si="5"/>
        <v/>
      </c>
      <c r="J206" s="27" t="str">
        <f t="shared" si="5"/>
        <v/>
      </c>
      <c r="K206" s="27" t="str">
        <f t="shared" si="5"/>
        <v/>
      </c>
      <c r="L206" s="27" t="str">
        <f t="shared" si="5"/>
        <v/>
      </c>
      <c r="M206" s="27" t="str">
        <f t="shared" si="5"/>
        <v/>
      </c>
      <c r="N206" s="27" t="str">
        <f t="shared" si="5"/>
        <v/>
      </c>
      <c r="O206" s="27" t="str">
        <f t="shared" si="5"/>
        <v/>
      </c>
      <c r="P206" s="27" t="str">
        <f t="shared" si="5"/>
        <v/>
      </c>
      <c r="Q206" s="27" t="str">
        <f t="shared" si="5"/>
        <v/>
      </c>
      <c r="R206" s="27" t="str">
        <f t="shared" si="5"/>
        <v/>
      </c>
    </row>
    <row r="207" spans="1:18" s="20" customFormat="1" ht="14.25" hidden="1" customHeight="1" x14ac:dyDescent="0.2">
      <c r="A207" s="86" t="s">
        <v>16</v>
      </c>
      <c r="B207" s="28" t="s">
        <v>56</v>
      </c>
      <c r="C207" s="29" t="s">
        <v>2</v>
      </c>
      <c r="D207" s="21" t="str">
        <f t="shared" si="2"/>
        <v/>
      </c>
      <c r="E207" s="21" t="str">
        <f t="shared" si="5"/>
        <v/>
      </c>
      <c r="F207" s="21" t="str">
        <f t="shared" si="5"/>
        <v/>
      </c>
      <c r="G207" s="21" t="str">
        <f t="shared" si="5"/>
        <v/>
      </c>
      <c r="H207" s="21" t="str">
        <f t="shared" si="5"/>
        <v/>
      </c>
      <c r="I207" s="21" t="str">
        <f t="shared" si="5"/>
        <v/>
      </c>
      <c r="J207" s="21" t="str">
        <f t="shared" si="5"/>
        <v/>
      </c>
      <c r="K207" s="21" t="str">
        <f t="shared" si="5"/>
        <v/>
      </c>
      <c r="L207" s="21" t="str">
        <f t="shared" si="5"/>
        <v/>
      </c>
      <c r="M207" s="21" t="str">
        <f t="shared" si="5"/>
        <v/>
      </c>
      <c r="N207" s="21" t="str">
        <f t="shared" si="5"/>
        <v/>
      </c>
      <c r="O207" s="21" t="str">
        <f t="shared" si="5"/>
        <v/>
      </c>
      <c r="P207" s="21" t="str">
        <f t="shared" si="5"/>
        <v/>
      </c>
      <c r="Q207" s="21" t="str">
        <f t="shared" si="5"/>
        <v/>
      </c>
      <c r="R207" s="21" t="str">
        <f t="shared" si="5"/>
        <v/>
      </c>
    </row>
    <row r="208" spans="1:18" s="20" customFormat="1" ht="14.25" hidden="1" customHeight="1" x14ac:dyDescent="0.2">
      <c r="A208" s="87"/>
      <c r="B208" s="30" t="s">
        <v>57</v>
      </c>
      <c r="C208" s="31" t="s">
        <v>225</v>
      </c>
      <c r="D208" s="21" t="str">
        <f t="shared" si="2"/>
        <v/>
      </c>
      <c r="E208" s="21" t="str">
        <f t="shared" si="5"/>
        <v/>
      </c>
      <c r="F208" s="21" t="str">
        <f t="shared" si="5"/>
        <v/>
      </c>
      <c r="G208" s="21" t="str">
        <f t="shared" si="5"/>
        <v/>
      </c>
      <c r="H208" s="21" t="str">
        <f t="shared" si="5"/>
        <v/>
      </c>
      <c r="I208" s="21" t="str">
        <f t="shared" si="5"/>
        <v/>
      </c>
      <c r="J208" s="21" t="str">
        <f t="shared" si="5"/>
        <v/>
      </c>
      <c r="K208" s="21" t="str">
        <f t="shared" si="5"/>
        <v/>
      </c>
      <c r="L208" s="21" t="str">
        <f t="shared" si="5"/>
        <v/>
      </c>
      <c r="M208" s="21" t="str">
        <f t="shared" si="5"/>
        <v/>
      </c>
      <c r="N208" s="21" t="str">
        <f t="shared" si="5"/>
        <v/>
      </c>
      <c r="O208" s="21" t="str">
        <f t="shared" si="5"/>
        <v/>
      </c>
      <c r="P208" s="21" t="str">
        <f t="shared" si="5"/>
        <v/>
      </c>
      <c r="Q208" s="21" t="str">
        <f t="shared" si="5"/>
        <v/>
      </c>
      <c r="R208" s="21" t="str">
        <f t="shared" si="5"/>
        <v/>
      </c>
    </row>
    <row r="209" spans="1:18" s="20" customFormat="1" ht="14.25" hidden="1" customHeight="1" x14ac:dyDescent="0.2">
      <c r="A209" s="64" t="s">
        <v>206</v>
      </c>
      <c r="B209" s="25" t="s">
        <v>55</v>
      </c>
      <c r="C209" s="26" t="s">
        <v>0</v>
      </c>
      <c r="D209" s="27" t="str">
        <f t="shared" si="2"/>
        <v/>
      </c>
      <c r="E209" s="27" t="str">
        <f t="shared" si="5"/>
        <v/>
      </c>
      <c r="F209" s="27" t="str">
        <f t="shared" si="5"/>
        <v/>
      </c>
      <c r="G209" s="27" t="str">
        <f t="shared" si="5"/>
        <v/>
      </c>
      <c r="H209" s="27" t="str">
        <f t="shared" si="5"/>
        <v/>
      </c>
      <c r="I209" s="27" t="str">
        <f t="shared" si="5"/>
        <v/>
      </c>
      <c r="J209" s="27" t="str">
        <f t="shared" si="5"/>
        <v/>
      </c>
      <c r="K209" s="27" t="str">
        <f t="shared" si="5"/>
        <v/>
      </c>
      <c r="L209" s="27" t="str">
        <f t="shared" si="5"/>
        <v/>
      </c>
      <c r="M209" s="27" t="str">
        <f t="shared" si="5"/>
        <v/>
      </c>
      <c r="N209" s="27" t="str">
        <f t="shared" si="5"/>
        <v/>
      </c>
      <c r="O209" s="27" t="str">
        <f t="shared" si="5"/>
        <v/>
      </c>
      <c r="P209" s="27" t="str">
        <f t="shared" si="5"/>
        <v/>
      </c>
      <c r="Q209" s="27" t="str">
        <f t="shared" si="5"/>
        <v/>
      </c>
      <c r="R209" s="27" t="str">
        <f t="shared" si="5"/>
        <v/>
      </c>
    </row>
    <row r="210" spans="1:18" s="20" customFormat="1" ht="14.25" hidden="1" customHeight="1" x14ac:dyDescent="0.2">
      <c r="A210" s="86" t="s">
        <v>17</v>
      </c>
      <c r="B210" s="28" t="s">
        <v>56</v>
      </c>
      <c r="C210" s="29" t="s">
        <v>2</v>
      </c>
      <c r="D210" s="21" t="str">
        <f t="shared" si="2"/>
        <v/>
      </c>
      <c r="E210" s="21" t="str">
        <f t="shared" si="5"/>
        <v/>
      </c>
      <c r="F210" s="21" t="str">
        <f t="shared" si="5"/>
        <v/>
      </c>
      <c r="G210" s="21" t="str">
        <f t="shared" si="5"/>
        <v/>
      </c>
      <c r="H210" s="21" t="str">
        <f t="shared" si="5"/>
        <v/>
      </c>
      <c r="I210" s="21" t="str">
        <f t="shared" si="5"/>
        <v/>
      </c>
      <c r="J210" s="21" t="str">
        <f t="shared" si="5"/>
        <v/>
      </c>
      <c r="K210" s="21" t="str">
        <f t="shared" si="5"/>
        <v/>
      </c>
      <c r="L210" s="21" t="str">
        <f t="shared" si="5"/>
        <v/>
      </c>
      <c r="M210" s="21" t="str">
        <f t="shared" si="5"/>
        <v/>
      </c>
      <c r="N210" s="21" t="str">
        <f t="shared" si="5"/>
        <v/>
      </c>
      <c r="O210" s="21" t="str">
        <f t="shared" si="5"/>
        <v/>
      </c>
      <c r="P210" s="21" t="str">
        <f t="shared" si="5"/>
        <v/>
      </c>
      <c r="Q210" s="21" t="str">
        <f t="shared" si="5"/>
        <v/>
      </c>
      <c r="R210" s="21" t="str">
        <f t="shared" si="5"/>
        <v/>
      </c>
    </row>
    <row r="211" spans="1:18" s="20" customFormat="1" ht="14.25" hidden="1" customHeight="1" x14ac:dyDescent="0.2">
      <c r="A211" s="87"/>
      <c r="B211" s="30" t="s">
        <v>57</v>
      </c>
      <c r="C211" s="31" t="s">
        <v>225</v>
      </c>
      <c r="D211" s="21" t="str">
        <f t="shared" si="2"/>
        <v/>
      </c>
      <c r="E211" s="21" t="str">
        <f t="shared" si="5"/>
        <v/>
      </c>
      <c r="F211" s="21" t="str">
        <f t="shared" si="5"/>
        <v/>
      </c>
      <c r="G211" s="21" t="str">
        <f t="shared" si="5"/>
        <v/>
      </c>
      <c r="H211" s="21" t="str">
        <f t="shared" si="5"/>
        <v/>
      </c>
      <c r="I211" s="21" t="str">
        <f t="shared" si="5"/>
        <v/>
      </c>
      <c r="J211" s="21" t="str">
        <f t="shared" si="5"/>
        <v/>
      </c>
      <c r="K211" s="21" t="str">
        <f t="shared" si="5"/>
        <v/>
      </c>
      <c r="L211" s="21" t="str">
        <f t="shared" si="5"/>
        <v/>
      </c>
      <c r="M211" s="21" t="str">
        <f t="shared" si="5"/>
        <v/>
      </c>
      <c r="N211" s="21" t="str">
        <f t="shared" si="5"/>
        <v/>
      </c>
      <c r="O211" s="21" t="str">
        <f t="shared" si="5"/>
        <v/>
      </c>
      <c r="P211" s="21" t="str">
        <f t="shared" si="5"/>
        <v/>
      </c>
      <c r="Q211" s="21" t="str">
        <f t="shared" si="5"/>
        <v/>
      </c>
      <c r="R211" s="21" t="str">
        <f t="shared" si="5"/>
        <v/>
      </c>
    </row>
    <row r="212" spans="1:18" s="20" customFormat="1" ht="14.25" hidden="1" customHeight="1" x14ac:dyDescent="0.2">
      <c r="A212" s="64" t="s">
        <v>207</v>
      </c>
      <c r="B212" s="25" t="s">
        <v>55</v>
      </c>
      <c r="C212" s="26" t="s">
        <v>0</v>
      </c>
      <c r="D212" s="27" t="str">
        <f t="shared" si="2"/>
        <v/>
      </c>
      <c r="E212" s="27" t="str">
        <f t="shared" si="5"/>
        <v/>
      </c>
      <c r="F212" s="27" t="str">
        <f t="shared" si="5"/>
        <v/>
      </c>
      <c r="G212" s="27" t="str">
        <f t="shared" si="5"/>
        <v/>
      </c>
      <c r="H212" s="27" t="str">
        <f t="shared" si="5"/>
        <v/>
      </c>
      <c r="I212" s="27" t="str">
        <f t="shared" si="5"/>
        <v/>
      </c>
      <c r="J212" s="27" t="str">
        <f t="shared" si="5"/>
        <v/>
      </c>
      <c r="K212" s="27" t="str">
        <f t="shared" si="5"/>
        <v/>
      </c>
      <c r="L212" s="27" t="str">
        <f t="shared" si="5"/>
        <v/>
      </c>
      <c r="M212" s="27" t="str">
        <f t="shared" si="5"/>
        <v/>
      </c>
      <c r="N212" s="27" t="str">
        <f t="shared" si="5"/>
        <v/>
      </c>
      <c r="O212" s="27" t="str">
        <f t="shared" si="5"/>
        <v/>
      </c>
      <c r="P212" s="27" t="str">
        <f t="shared" si="5"/>
        <v/>
      </c>
      <c r="Q212" s="27" t="str">
        <f t="shared" si="5"/>
        <v/>
      </c>
      <c r="R212" s="27" t="str">
        <f t="shared" si="5"/>
        <v/>
      </c>
    </row>
    <row r="213" spans="1:18" s="20" customFormat="1" ht="14.25" hidden="1" customHeight="1" x14ac:dyDescent="0.2">
      <c r="A213" s="86" t="s">
        <v>18</v>
      </c>
      <c r="B213" s="28" t="s">
        <v>56</v>
      </c>
      <c r="C213" s="29" t="s">
        <v>2</v>
      </c>
      <c r="D213" s="21" t="str">
        <f t="shared" si="2"/>
        <v/>
      </c>
      <c r="E213" s="21" t="str">
        <f t="shared" si="5"/>
        <v/>
      </c>
      <c r="F213" s="21" t="str">
        <f t="shared" si="5"/>
        <v/>
      </c>
      <c r="G213" s="21" t="str">
        <f t="shared" si="5"/>
        <v/>
      </c>
      <c r="H213" s="21" t="str">
        <f t="shared" si="5"/>
        <v/>
      </c>
      <c r="I213" s="21" t="str">
        <f t="shared" si="5"/>
        <v/>
      </c>
      <c r="J213" s="21" t="str">
        <f t="shared" si="5"/>
        <v/>
      </c>
      <c r="K213" s="21" t="str">
        <f t="shared" si="5"/>
        <v/>
      </c>
      <c r="L213" s="21" t="str">
        <f t="shared" si="5"/>
        <v/>
      </c>
      <c r="M213" s="21" t="str">
        <f t="shared" si="5"/>
        <v/>
      </c>
      <c r="N213" s="21" t="str">
        <f t="shared" si="5"/>
        <v/>
      </c>
      <c r="O213" s="21" t="str">
        <f t="shared" si="5"/>
        <v/>
      </c>
      <c r="P213" s="21" t="str">
        <f t="shared" si="5"/>
        <v/>
      </c>
      <c r="Q213" s="21" t="str">
        <f t="shared" si="5"/>
        <v/>
      </c>
      <c r="R213" s="21" t="str">
        <f t="shared" si="5"/>
        <v/>
      </c>
    </row>
    <row r="214" spans="1:18" s="20" customFormat="1" ht="14.25" hidden="1" customHeight="1" x14ac:dyDescent="0.2">
      <c r="A214" s="87"/>
      <c r="B214" s="30" t="s">
        <v>57</v>
      </c>
      <c r="C214" s="31" t="s">
        <v>225</v>
      </c>
      <c r="D214" s="21" t="str">
        <f t="shared" si="2"/>
        <v/>
      </c>
      <c r="E214" s="21" t="str">
        <f t="shared" si="5"/>
        <v/>
      </c>
      <c r="F214" s="21" t="str">
        <f t="shared" si="5"/>
        <v/>
      </c>
      <c r="G214" s="21" t="str">
        <f t="shared" si="5"/>
        <v/>
      </c>
      <c r="H214" s="21" t="str">
        <f t="shared" si="5"/>
        <v/>
      </c>
      <c r="I214" s="21" t="str">
        <f t="shared" si="5"/>
        <v/>
      </c>
      <c r="J214" s="21" t="str">
        <f t="shared" si="5"/>
        <v/>
      </c>
      <c r="K214" s="21" t="str">
        <f t="shared" si="5"/>
        <v/>
      </c>
      <c r="L214" s="21" t="str">
        <f t="shared" si="5"/>
        <v/>
      </c>
      <c r="M214" s="21" t="str">
        <f t="shared" si="5"/>
        <v/>
      </c>
      <c r="N214" s="21" t="str">
        <f t="shared" si="5"/>
        <v/>
      </c>
      <c r="O214" s="21" t="str">
        <f t="shared" si="5"/>
        <v/>
      </c>
      <c r="P214" s="21" t="str">
        <f t="shared" si="5"/>
        <v/>
      </c>
      <c r="Q214" s="21" t="str">
        <f t="shared" si="5"/>
        <v/>
      </c>
      <c r="R214" s="21" t="str">
        <f t="shared" si="5"/>
        <v/>
      </c>
    </row>
    <row r="215" spans="1:18" s="20" customFormat="1" ht="14.25" hidden="1" customHeight="1" x14ac:dyDescent="0.2">
      <c r="A215" s="64" t="s">
        <v>208</v>
      </c>
      <c r="B215" s="25" t="s">
        <v>55</v>
      </c>
      <c r="C215" s="26" t="s">
        <v>0</v>
      </c>
      <c r="D215" s="27" t="str">
        <f t="shared" si="2"/>
        <v/>
      </c>
      <c r="E215" s="27" t="str">
        <f t="shared" si="5"/>
        <v/>
      </c>
      <c r="F215" s="27" t="str">
        <f t="shared" si="5"/>
        <v/>
      </c>
      <c r="G215" s="27" t="str">
        <f t="shared" si="5"/>
        <v/>
      </c>
      <c r="H215" s="27" t="str">
        <f t="shared" si="5"/>
        <v/>
      </c>
      <c r="I215" s="27" t="str">
        <f t="shared" si="5"/>
        <v/>
      </c>
      <c r="J215" s="27" t="str">
        <f t="shared" si="5"/>
        <v/>
      </c>
      <c r="K215" s="27" t="str">
        <f t="shared" si="5"/>
        <v/>
      </c>
      <c r="L215" s="27" t="str">
        <f t="shared" si="5"/>
        <v/>
      </c>
      <c r="M215" s="27" t="str">
        <f t="shared" si="5"/>
        <v/>
      </c>
      <c r="N215" s="27" t="str">
        <f t="shared" si="5"/>
        <v/>
      </c>
      <c r="O215" s="27" t="str">
        <f t="shared" si="5"/>
        <v/>
      </c>
      <c r="P215" s="27" t="str">
        <f t="shared" si="5"/>
        <v/>
      </c>
      <c r="Q215" s="27" t="str">
        <f t="shared" si="5"/>
        <v/>
      </c>
      <c r="R215" s="27" t="str">
        <f t="shared" si="5"/>
        <v/>
      </c>
    </row>
    <row r="216" spans="1:18" s="20" customFormat="1" ht="14.25" hidden="1" customHeight="1" x14ac:dyDescent="0.2">
      <c r="A216" s="86" t="s">
        <v>19</v>
      </c>
      <c r="B216" s="28" t="s">
        <v>56</v>
      </c>
      <c r="C216" s="29" t="s">
        <v>2</v>
      </c>
      <c r="D216" s="21" t="str">
        <f t="shared" si="2"/>
        <v/>
      </c>
      <c r="E216" s="21" t="str">
        <f t="shared" ref="E216:R216" si="6">IF(E146=E72,"","*")</f>
        <v/>
      </c>
      <c r="F216" s="21" t="str">
        <f t="shared" si="6"/>
        <v/>
      </c>
      <c r="G216" s="21" t="str">
        <f t="shared" si="6"/>
        <v/>
      </c>
      <c r="H216" s="21" t="str">
        <f t="shared" si="6"/>
        <v/>
      </c>
      <c r="I216" s="21" t="str">
        <f t="shared" si="6"/>
        <v/>
      </c>
      <c r="J216" s="21" t="str">
        <f t="shared" si="6"/>
        <v/>
      </c>
      <c r="K216" s="21" t="str">
        <f t="shared" si="6"/>
        <v/>
      </c>
      <c r="L216" s="21" t="str">
        <f t="shared" si="6"/>
        <v/>
      </c>
      <c r="M216" s="21" t="str">
        <f t="shared" si="6"/>
        <v/>
      </c>
      <c r="N216" s="21" t="str">
        <f t="shared" si="6"/>
        <v/>
      </c>
      <c r="O216" s="21" t="str">
        <f t="shared" si="6"/>
        <v/>
      </c>
      <c r="P216" s="21" t="str">
        <f t="shared" si="6"/>
        <v/>
      </c>
      <c r="Q216" s="21" t="str">
        <f t="shared" si="6"/>
        <v/>
      </c>
      <c r="R216" s="21" t="str">
        <f t="shared" si="6"/>
        <v/>
      </c>
    </row>
    <row r="217" spans="1:18" s="20" customFormat="1" ht="14.25" hidden="1" customHeight="1" x14ac:dyDescent="0.2">
      <c r="A217" s="87"/>
      <c r="B217" s="30" t="s">
        <v>57</v>
      </c>
      <c r="C217" s="31" t="s">
        <v>225</v>
      </c>
      <c r="D217" s="21" t="str">
        <f t="shared" ref="D217:D220" si="7">IF(D147=D73,"","*")</f>
        <v/>
      </c>
      <c r="E217" s="21" t="str">
        <f t="shared" ref="E217:R217" si="8">IF(E147=E73,"","*")</f>
        <v/>
      </c>
      <c r="F217" s="21" t="str">
        <f t="shared" si="8"/>
        <v/>
      </c>
      <c r="G217" s="21" t="str">
        <f t="shared" si="8"/>
        <v/>
      </c>
      <c r="H217" s="21" t="str">
        <f t="shared" si="8"/>
        <v/>
      </c>
      <c r="I217" s="21" t="str">
        <f t="shared" si="8"/>
        <v/>
      </c>
      <c r="J217" s="21" t="str">
        <f t="shared" si="8"/>
        <v/>
      </c>
      <c r="K217" s="21" t="str">
        <f t="shared" si="8"/>
        <v/>
      </c>
      <c r="L217" s="21" t="str">
        <f t="shared" si="8"/>
        <v/>
      </c>
      <c r="M217" s="21" t="str">
        <f t="shared" si="8"/>
        <v/>
      </c>
      <c r="N217" s="21" t="str">
        <f t="shared" si="8"/>
        <v/>
      </c>
      <c r="O217" s="21" t="str">
        <f t="shared" si="8"/>
        <v/>
      </c>
      <c r="P217" s="21" t="str">
        <f t="shared" si="8"/>
        <v/>
      </c>
      <c r="Q217" s="21" t="str">
        <f t="shared" si="8"/>
        <v/>
      </c>
      <c r="R217" s="21" t="str">
        <f t="shared" si="8"/>
        <v/>
      </c>
    </row>
    <row r="218" spans="1:18" s="20" customFormat="1" ht="14.25" hidden="1" customHeight="1" x14ac:dyDescent="0.2">
      <c r="A218" s="64" t="s">
        <v>209</v>
      </c>
      <c r="B218" s="25" t="s">
        <v>55</v>
      </c>
      <c r="C218" s="26" t="s">
        <v>0</v>
      </c>
      <c r="D218" s="27" t="str">
        <f t="shared" si="7"/>
        <v/>
      </c>
      <c r="E218" s="27" t="str">
        <f t="shared" ref="E218:R218" si="9">IF(E148=E74,"","*")</f>
        <v/>
      </c>
      <c r="F218" s="27" t="str">
        <f t="shared" si="9"/>
        <v/>
      </c>
      <c r="G218" s="27" t="str">
        <f t="shared" si="9"/>
        <v/>
      </c>
      <c r="H218" s="27" t="str">
        <f t="shared" si="9"/>
        <v/>
      </c>
      <c r="I218" s="27" t="str">
        <f t="shared" si="9"/>
        <v/>
      </c>
      <c r="J218" s="27" t="str">
        <f t="shared" si="9"/>
        <v/>
      </c>
      <c r="K218" s="27" t="str">
        <f t="shared" si="9"/>
        <v/>
      </c>
      <c r="L218" s="27" t="str">
        <f t="shared" si="9"/>
        <v/>
      </c>
      <c r="M218" s="27" t="str">
        <f t="shared" si="9"/>
        <v/>
      </c>
      <c r="N218" s="27" t="str">
        <f t="shared" si="9"/>
        <v/>
      </c>
      <c r="O218" s="27" t="str">
        <f t="shared" si="9"/>
        <v/>
      </c>
      <c r="P218" s="27" t="str">
        <f t="shared" si="9"/>
        <v/>
      </c>
      <c r="Q218" s="27" t="str">
        <f t="shared" si="9"/>
        <v/>
      </c>
      <c r="R218" s="27" t="str">
        <f t="shared" si="9"/>
        <v/>
      </c>
    </row>
    <row r="219" spans="1:18" s="20" customFormat="1" ht="14.25" hidden="1" customHeight="1" x14ac:dyDescent="0.2">
      <c r="A219" s="86" t="s">
        <v>20</v>
      </c>
      <c r="B219" s="28" t="s">
        <v>56</v>
      </c>
      <c r="C219" s="29" t="s">
        <v>2</v>
      </c>
      <c r="D219" s="21" t="str">
        <f t="shared" si="7"/>
        <v/>
      </c>
      <c r="E219" s="21" t="str">
        <f t="shared" ref="E219:R219" si="10">IF(E149=E75,"","*")</f>
        <v/>
      </c>
      <c r="F219" s="21" t="str">
        <f t="shared" si="10"/>
        <v/>
      </c>
      <c r="G219" s="21" t="str">
        <f t="shared" si="10"/>
        <v/>
      </c>
      <c r="H219" s="21" t="str">
        <f t="shared" si="10"/>
        <v/>
      </c>
      <c r="I219" s="21" t="str">
        <f t="shared" si="10"/>
        <v/>
      </c>
      <c r="J219" s="21" t="str">
        <f t="shared" si="10"/>
        <v/>
      </c>
      <c r="K219" s="21" t="str">
        <f t="shared" si="10"/>
        <v/>
      </c>
      <c r="L219" s="21" t="str">
        <f t="shared" si="10"/>
        <v/>
      </c>
      <c r="M219" s="21" t="str">
        <f t="shared" si="10"/>
        <v/>
      </c>
      <c r="N219" s="21" t="str">
        <f t="shared" si="10"/>
        <v/>
      </c>
      <c r="O219" s="21" t="str">
        <f t="shared" si="10"/>
        <v/>
      </c>
      <c r="P219" s="21" t="str">
        <f t="shared" si="10"/>
        <v/>
      </c>
      <c r="Q219" s="21" t="str">
        <f t="shared" si="10"/>
        <v/>
      </c>
      <c r="R219" s="21" t="str">
        <f t="shared" si="10"/>
        <v/>
      </c>
    </row>
    <row r="220" spans="1:18" s="20" customFormat="1" ht="14.25" hidden="1" customHeight="1" x14ac:dyDescent="0.2">
      <c r="A220" s="87"/>
      <c r="B220" s="30" t="s">
        <v>57</v>
      </c>
      <c r="C220" s="31" t="s">
        <v>225</v>
      </c>
      <c r="D220" s="22" t="str">
        <f t="shared" si="7"/>
        <v/>
      </c>
      <c r="E220" s="22" t="str">
        <f t="shared" ref="E220:R220" si="11">IF(E150=E76,"","*")</f>
        <v/>
      </c>
      <c r="F220" s="22" t="str">
        <f t="shared" si="11"/>
        <v/>
      </c>
      <c r="G220" s="22" t="str">
        <f t="shared" si="11"/>
        <v/>
      </c>
      <c r="H220" s="22" t="str">
        <f t="shared" si="11"/>
        <v/>
      </c>
      <c r="I220" s="22" t="str">
        <f t="shared" si="11"/>
        <v/>
      </c>
      <c r="J220" s="22" t="str">
        <f t="shared" si="11"/>
        <v/>
      </c>
      <c r="K220" s="22" t="str">
        <f t="shared" si="11"/>
        <v/>
      </c>
      <c r="L220" s="22" t="str">
        <f t="shared" si="11"/>
        <v/>
      </c>
      <c r="M220" s="22" t="str">
        <f t="shared" si="11"/>
        <v/>
      </c>
      <c r="N220" s="22" t="str">
        <f t="shared" si="11"/>
        <v/>
      </c>
      <c r="O220" s="22" t="str">
        <f t="shared" si="11"/>
        <v/>
      </c>
      <c r="P220" s="22" t="str">
        <f t="shared" si="11"/>
        <v/>
      </c>
      <c r="Q220" s="22" t="str">
        <f t="shared" si="11"/>
        <v/>
      </c>
      <c r="R220" s="22" t="str">
        <f t="shared" si="11"/>
        <v/>
      </c>
    </row>
  </sheetData>
  <mergeCells count="93">
    <mergeCell ref="O5:P5"/>
    <mergeCell ref="O6:O7"/>
    <mergeCell ref="P6:P7"/>
    <mergeCell ref="M5:N5"/>
    <mergeCell ref="N6:N7"/>
    <mergeCell ref="Q5:R5"/>
    <mergeCell ref="Q6:Q7"/>
    <mergeCell ref="R6:R7"/>
    <mergeCell ref="A27:A28"/>
    <mergeCell ref="A9:A10"/>
    <mergeCell ref="A12:A13"/>
    <mergeCell ref="A4:C7"/>
    <mergeCell ref="D4:R4"/>
    <mergeCell ref="D5:F5"/>
    <mergeCell ref="G5:H5"/>
    <mergeCell ref="M6:M7"/>
    <mergeCell ref="E6:E7"/>
    <mergeCell ref="F6:F7"/>
    <mergeCell ref="G6:G7"/>
    <mergeCell ref="H6:H7"/>
    <mergeCell ref="I6:I7"/>
    <mergeCell ref="I5:J5"/>
    <mergeCell ref="K5:L5"/>
    <mergeCell ref="J6:J7"/>
    <mergeCell ref="D6:D7"/>
    <mergeCell ref="A15:A16"/>
    <mergeCell ref="K6:K7"/>
    <mergeCell ref="L6:L7"/>
    <mergeCell ref="A18:A19"/>
    <mergeCell ref="A21:A22"/>
    <mergeCell ref="A24:A25"/>
    <mergeCell ref="A48:A49"/>
    <mergeCell ref="A51:A52"/>
    <mergeCell ref="A54:A55"/>
    <mergeCell ref="A57:A58"/>
    <mergeCell ref="A30:A31"/>
    <mergeCell ref="A75:A76"/>
    <mergeCell ref="A60:A61"/>
    <mergeCell ref="A63:A64"/>
    <mergeCell ref="A66:A67"/>
    <mergeCell ref="A69:A70"/>
    <mergeCell ref="A72:A73"/>
    <mergeCell ref="A33:A34"/>
    <mergeCell ref="A36:A37"/>
    <mergeCell ref="A39:A40"/>
    <mergeCell ref="A42:A43"/>
    <mergeCell ref="A45:A46"/>
    <mergeCell ref="A83:A84"/>
    <mergeCell ref="A86:A87"/>
    <mergeCell ref="A89:A90"/>
    <mergeCell ref="A92:A93"/>
    <mergeCell ref="A95:A96"/>
    <mergeCell ref="A98:A99"/>
    <mergeCell ref="A101:A102"/>
    <mergeCell ref="A104:A105"/>
    <mergeCell ref="A107:A108"/>
    <mergeCell ref="A110:A111"/>
    <mergeCell ref="A113:A114"/>
    <mergeCell ref="A116:A117"/>
    <mergeCell ref="A119:A120"/>
    <mergeCell ref="A122:A123"/>
    <mergeCell ref="A125:A126"/>
    <mergeCell ref="A128:A129"/>
    <mergeCell ref="A131:A132"/>
    <mergeCell ref="A134:A135"/>
    <mergeCell ref="A137:A138"/>
    <mergeCell ref="A140:A141"/>
    <mergeCell ref="A143:A144"/>
    <mergeCell ref="A146:A147"/>
    <mergeCell ref="A149:A150"/>
    <mergeCell ref="A153:A154"/>
    <mergeCell ref="A156:A157"/>
    <mergeCell ref="A159:A160"/>
    <mergeCell ref="A162:A163"/>
    <mergeCell ref="A165:A166"/>
    <mergeCell ref="A168:A169"/>
    <mergeCell ref="A171:A172"/>
    <mergeCell ref="A174:A175"/>
    <mergeCell ref="A177:A178"/>
    <mergeCell ref="A180:A181"/>
    <mergeCell ref="A183:A184"/>
    <mergeCell ref="A186:A187"/>
    <mergeCell ref="A189:A190"/>
    <mergeCell ref="A192:A193"/>
    <mergeCell ref="A195:A196"/>
    <mergeCell ref="A198:A199"/>
    <mergeCell ref="A201:A202"/>
    <mergeCell ref="A219:A220"/>
    <mergeCell ref="A204:A205"/>
    <mergeCell ref="A207:A208"/>
    <mergeCell ref="A210:A211"/>
    <mergeCell ref="A213:A214"/>
    <mergeCell ref="A216:A217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 alignWithMargins="0">
    <oddHeader>&amp;L&amp;"微軟正黑體,標準"&amp;16兒童及少年保護執行概況&amp;C&amp;"微軟正黑體,標準"&amp;16
&amp;R&amp;"微軟正黑體,標準"本表共&amp;N頁，第&amp;P頁</oddHeader>
  </headerFooter>
  <rowBreaks count="1" manualBreakCount="1">
    <brk id="43" max="17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80"/>
  <sheetViews>
    <sheetView zoomScaleNormal="100" zoomScaleSheetLayoutView="100" workbookViewId="0">
      <pane xSplit="4" ySplit="8" topLeftCell="E50" activePane="bottomRight" state="frozen"/>
      <selection activeCell="A3" sqref="A3"/>
      <selection pane="topRight" activeCell="A3" sqref="A3"/>
      <selection pane="bottomLeft" activeCell="A3" sqref="A3"/>
      <selection pane="bottomRight" activeCell="D8" sqref="D8:R76"/>
    </sheetView>
  </sheetViews>
  <sheetFormatPr defaultColWidth="5.5" defaultRowHeight="11.1" customHeight="1" x14ac:dyDescent="0.2"/>
  <cols>
    <col min="1" max="1" width="19.1640625" style="4" customWidth="1"/>
    <col min="2" max="2" width="10.33203125" style="4" customWidth="1"/>
    <col min="3" max="3" width="13.1640625" style="4" customWidth="1"/>
    <col min="4" max="18" width="11.5" style="4" customWidth="1"/>
    <col min="19" max="16384" width="5.5" style="4"/>
  </cols>
  <sheetData>
    <row r="1" spans="1:18" ht="20.25" customHeight="1" x14ac:dyDescent="0.2">
      <c r="A1" s="46" t="s">
        <v>174</v>
      </c>
      <c r="B1" s="1"/>
      <c r="C1" s="1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4.25" customHeight="1" x14ac:dyDescent="0.2">
      <c r="A2" s="17" t="s">
        <v>148</v>
      </c>
      <c r="B2"/>
      <c r="C2"/>
      <c r="D2" s="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</row>
    <row r="3" spans="1:18" s="17" customFormat="1" ht="12.75" customHeight="1" x14ac:dyDescent="0.2">
      <c r="A3" s="53" t="s">
        <v>226</v>
      </c>
      <c r="B3" s="16"/>
      <c r="C3" s="16"/>
      <c r="D3" s="4" t="str">
        <f>IF(D8=SUM(D11,D14,D17,D20,D23,D26,D29,D32,D35,D38,D41,D44,D47,D50,D53,D56,D59,D62,D65,D68,D71,D74,),"","*")</f>
        <v/>
      </c>
      <c r="E3" s="4" t="str">
        <f t="shared" ref="E3:R3" si="0">IF(E8=SUM(E11,E14,E17,E20,E23,E26,E29,E32,E35,E38,E41,E44,E47,E50,E53,E56,E59,E62,E65,E68,E71,E74,),"","*")</f>
        <v/>
      </c>
      <c r="F3" s="4" t="str">
        <f t="shared" si="0"/>
        <v/>
      </c>
      <c r="G3" s="4" t="str">
        <f t="shared" si="0"/>
        <v/>
      </c>
      <c r="H3" s="4" t="str">
        <f t="shared" si="0"/>
        <v/>
      </c>
      <c r="I3" s="4" t="str">
        <f t="shared" si="0"/>
        <v/>
      </c>
      <c r="J3" s="4" t="str">
        <f t="shared" si="0"/>
        <v/>
      </c>
      <c r="K3" s="4" t="str">
        <f t="shared" si="0"/>
        <v/>
      </c>
      <c r="L3" s="4" t="str">
        <f t="shared" si="0"/>
        <v/>
      </c>
      <c r="M3" s="4" t="str">
        <f t="shared" si="0"/>
        <v/>
      </c>
      <c r="N3" s="4" t="str">
        <f t="shared" si="0"/>
        <v/>
      </c>
      <c r="O3" s="4" t="str">
        <f t="shared" si="0"/>
        <v/>
      </c>
      <c r="P3" s="4" t="str">
        <f t="shared" si="0"/>
        <v/>
      </c>
      <c r="Q3" s="4" t="str">
        <f t="shared" si="0"/>
        <v/>
      </c>
      <c r="R3" s="4" t="str">
        <f t="shared" si="0"/>
        <v/>
      </c>
    </row>
    <row r="4" spans="1:18" s="18" customFormat="1" ht="15.6" customHeight="1" x14ac:dyDescent="0.2">
      <c r="A4" s="94" t="s">
        <v>42</v>
      </c>
      <c r="B4" s="95"/>
      <c r="C4" s="96"/>
      <c r="D4" s="76" t="s">
        <v>43</v>
      </c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</row>
    <row r="5" spans="1:18" s="18" customFormat="1" ht="28.9" customHeight="1" x14ac:dyDescent="0.2">
      <c r="A5" s="97"/>
      <c r="B5" s="98"/>
      <c r="C5" s="99"/>
      <c r="D5" s="78" t="s">
        <v>44</v>
      </c>
      <c r="E5" s="79"/>
      <c r="F5" s="80"/>
      <c r="G5" s="103" t="s">
        <v>45</v>
      </c>
      <c r="H5" s="104"/>
      <c r="I5" s="103" t="s">
        <v>46</v>
      </c>
      <c r="J5" s="104"/>
      <c r="K5" s="103" t="s">
        <v>47</v>
      </c>
      <c r="L5" s="104"/>
      <c r="M5" s="103" t="s">
        <v>48</v>
      </c>
      <c r="N5" s="104"/>
      <c r="O5" s="103" t="s">
        <v>49</v>
      </c>
      <c r="P5" s="104"/>
      <c r="Q5" s="103" t="s">
        <v>50</v>
      </c>
      <c r="R5" s="105"/>
    </row>
    <row r="6" spans="1:18" s="18" customFormat="1" ht="12.75" x14ac:dyDescent="0.2">
      <c r="A6" s="97"/>
      <c r="B6" s="98"/>
      <c r="C6" s="99"/>
      <c r="D6" s="72" t="s">
        <v>51</v>
      </c>
      <c r="E6" s="92" t="s">
        <v>52</v>
      </c>
      <c r="F6" s="90" t="s">
        <v>53</v>
      </c>
      <c r="G6" s="90" t="s">
        <v>52</v>
      </c>
      <c r="H6" s="90" t="s">
        <v>53</v>
      </c>
      <c r="I6" s="90" t="s">
        <v>52</v>
      </c>
      <c r="J6" s="90" t="s">
        <v>53</v>
      </c>
      <c r="K6" s="90" t="s">
        <v>52</v>
      </c>
      <c r="L6" s="90" t="s">
        <v>53</v>
      </c>
      <c r="M6" s="90" t="s">
        <v>52</v>
      </c>
      <c r="N6" s="90" t="s">
        <v>53</v>
      </c>
      <c r="O6" s="90" t="s">
        <v>52</v>
      </c>
      <c r="P6" s="90" t="s">
        <v>53</v>
      </c>
      <c r="Q6" s="90" t="s">
        <v>52</v>
      </c>
      <c r="R6" s="94" t="s">
        <v>53</v>
      </c>
    </row>
    <row r="7" spans="1:18" s="19" customFormat="1" ht="12.75" x14ac:dyDescent="0.2">
      <c r="A7" s="100"/>
      <c r="B7" s="101"/>
      <c r="C7" s="102"/>
      <c r="D7" s="75"/>
      <c r="E7" s="93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100"/>
    </row>
    <row r="8" spans="1:18" s="59" customFormat="1" ht="18" customHeight="1" x14ac:dyDescent="0.2">
      <c r="A8" s="63" t="s">
        <v>186</v>
      </c>
      <c r="B8" s="56" t="s">
        <v>187</v>
      </c>
      <c r="C8" s="57" t="s">
        <v>0</v>
      </c>
      <c r="D8" s="58">
        <v>10810</v>
      </c>
      <c r="E8" s="58">
        <v>4836</v>
      </c>
      <c r="F8" s="58">
        <v>5974</v>
      </c>
      <c r="G8" s="58">
        <v>564</v>
      </c>
      <c r="H8" s="58">
        <v>437</v>
      </c>
      <c r="I8" s="58">
        <v>788</v>
      </c>
      <c r="J8" s="58">
        <v>664</v>
      </c>
      <c r="K8" s="58">
        <v>1202</v>
      </c>
      <c r="L8" s="58">
        <v>738</v>
      </c>
      <c r="M8" s="58">
        <v>1086</v>
      </c>
      <c r="N8" s="58">
        <v>797</v>
      </c>
      <c r="O8" s="58">
        <v>812</v>
      </c>
      <c r="P8" s="58">
        <v>1771</v>
      </c>
      <c r="Q8" s="58">
        <v>384</v>
      </c>
      <c r="R8" s="58">
        <v>1567</v>
      </c>
    </row>
    <row r="9" spans="1:18" s="59" customFormat="1" ht="14.25" customHeight="1" x14ac:dyDescent="0.2">
      <c r="A9" s="88" t="s">
        <v>1</v>
      </c>
      <c r="B9" s="60" t="s">
        <v>188</v>
      </c>
      <c r="C9" s="61" t="s">
        <v>2</v>
      </c>
      <c r="D9" s="62">
        <v>9795</v>
      </c>
      <c r="E9" s="62">
        <v>4375</v>
      </c>
      <c r="F9" s="62">
        <v>5420</v>
      </c>
      <c r="G9" s="62">
        <v>509</v>
      </c>
      <c r="H9" s="62">
        <v>405</v>
      </c>
      <c r="I9" s="62">
        <v>701</v>
      </c>
      <c r="J9" s="62">
        <v>616</v>
      </c>
      <c r="K9" s="62">
        <v>1070</v>
      </c>
      <c r="L9" s="62">
        <v>675</v>
      </c>
      <c r="M9" s="62">
        <v>1003</v>
      </c>
      <c r="N9" s="62">
        <v>710</v>
      </c>
      <c r="O9" s="62">
        <v>747</v>
      </c>
      <c r="P9" s="62">
        <v>1585</v>
      </c>
      <c r="Q9" s="62">
        <v>345</v>
      </c>
      <c r="R9" s="62">
        <v>1429</v>
      </c>
    </row>
    <row r="10" spans="1:18" s="59" customFormat="1" ht="14.25" customHeight="1" x14ac:dyDescent="0.2">
      <c r="A10" s="89"/>
      <c r="B10" s="60" t="s">
        <v>189</v>
      </c>
      <c r="C10" s="61" t="s">
        <v>225</v>
      </c>
      <c r="D10" s="62">
        <v>1015</v>
      </c>
      <c r="E10" s="62">
        <v>461</v>
      </c>
      <c r="F10" s="62">
        <v>554</v>
      </c>
      <c r="G10" s="62">
        <v>55</v>
      </c>
      <c r="H10" s="62">
        <v>32</v>
      </c>
      <c r="I10" s="62">
        <v>87</v>
      </c>
      <c r="J10" s="62">
        <v>48</v>
      </c>
      <c r="K10" s="62">
        <v>132</v>
      </c>
      <c r="L10" s="62">
        <v>63</v>
      </c>
      <c r="M10" s="62">
        <v>83</v>
      </c>
      <c r="N10" s="62">
        <v>87</v>
      </c>
      <c r="O10" s="62">
        <v>65</v>
      </c>
      <c r="P10" s="62">
        <v>186</v>
      </c>
      <c r="Q10" s="62">
        <v>39</v>
      </c>
      <c r="R10" s="62">
        <v>138</v>
      </c>
    </row>
    <row r="11" spans="1:18" s="20" customFormat="1" ht="14.25" customHeight="1" x14ac:dyDescent="0.2">
      <c r="A11" s="64" t="s">
        <v>210</v>
      </c>
      <c r="B11" s="25" t="s">
        <v>55</v>
      </c>
      <c r="C11" s="26" t="s">
        <v>0</v>
      </c>
      <c r="D11" s="27">
        <v>2222</v>
      </c>
      <c r="E11" s="27">
        <v>974</v>
      </c>
      <c r="F11" s="27">
        <v>1248</v>
      </c>
      <c r="G11" s="27">
        <v>71</v>
      </c>
      <c r="H11" s="27">
        <v>47</v>
      </c>
      <c r="I11" s="27">
        <v>102</v>
      </c>
      <c r="J11" s="27">
        <v>96</v>
      </c>
      <c r="K11" s="27">
        <v>254</v>
      </c>
      <c r="L11" s="27">
        <v>160</v>
      </c>
      <c r="M11" s="27">
        <v>284</v>
      </c>
      <c r="N11" s="27">
        <v>189</v>
      </c>
      <c r="O11" s="27">
        <v>187</v>
      </c>
      <c r="P11" s="27">
        <v>380</v>
      </c>
      <c r="Q11" s="27">
        <v>76</v>
      </c>
      <c r="R11" s="27">
        <v>376</v>
      </c>
    </row>
    <row r="12" spans="1:18" s="20" customFormat="1" ht="14.25" customHeight="1" x14ac:dyDescent="0.2">
      <c r="A12" s="86" t="s">
        <v>3</v>
      </c>
      <c r="B12" s="28" t="s">
        <v>56</v>
      </c>
      <c r="C12" s="29" t="s">
        <v>2</v>
      </c>
      <c r="D12" s="21">
        <v>2092</v>
      </c>
      <c r="E12" s="21">
        <v>917</v>
      </c>
      <c r="F12" s="21">
        <v>1175</v>
      </c>
      <c r="G12" s="21">
        <v>70</v>
      </c>
      <c r="H12" s="21">
        <v>45</v>
      </c>
      <c r="I12" s="21">
        <v>97</v>
      </c>
      <c r="J12" s="21">
        <v>90</v>
      </c>
      <c r="K12" s="21">
        <v>230</v>
      </c>
      <c r="L12" s="21">
        <v>150</v>
      </c>
      <c r="M12" s="21">
        <v>267</v>
      </c>
      <c r="N12" s="21">
        <v>180</v>
      </c>
      <c r="O12" s="21">
        <v>181</v>
      </c>
      <c r="P12" s="21">
        <v>348</v>
      </c>
      <c r="Q12" s="21">
        <v>72</v>
      </c>
      <c r="R12" s="21">
        <v>362</v>
      </c>
    </row>
    <row r="13" spans="1:18" s="20" customFormat="1" ht="14.25" customHeight="1" x14ac:dyDescent="0.2">
      <c r="A13" s="87"/>
      <c r="B13" s="28" t="s">
        <v>57</v>
      </c>
      <c r="C13" s="29" t="s">
        <v>225</v>
      </c>
      <c r="D13" s="21">
        <v>130</v>
      </c>
      <c r="E13" s="21">
        <v>57</v>
      </c>
      <c r="F13" s="21">
        <v>73</v>
      </c>
      <c r="G13" s="21">
        <v>1</v>
      </c>
      <c r="H13" s="21">
        <v>2</v>
      </c>
      <c r="I13" s="21">
        <v>5</v>
      </c>
      <c r="J13" s="21">
        <v>6</v>
      </c>
      <c r="K13" s="21">
        <v>24</v>
      </c>
      <c r="L13" s="21">
        <v>10</v>
      </c>
      <c r="M13" s="21">
        <v>17</v>
      </c>
      <c r="N13" s="21">
        <v>9</v>
      </c>
      <c r="O13" s="21">
        <v>6</v>
      </c>
      <c r="P13" s="21">
        <v>32</v>
      </c>
      <c r="Q13" s="21">
        <v>4</v>
      </c>
      <c r="R13" s="21">
        <v>14</v>
      </c>
    </row>
    <row r="14" spans="1:18" s="20" customFormat="1" ht="14.25" customHeight="1" x14ac:dyDescent="0.2">
      <c r="A14" s="64" t="s">
        <v>211</v>
      </c>
      <c r="B14" s="25" t="s">
        <v>55</v>
      </c>
      <c r="C14" s="26" t="s">
        <v>0</v>
      </c>
      <c r="D14" s="27">
        <v>1077</v>
      </c>
      <c r="E14" s="27">
        <v>498</v>
      </c>
      <c r="F14" s="27">
        <v>579</v>
      </c>
      <c r="G14" s="27">
        <v>56</v>
      </c>
      <c r="H14" s="27">
        <v>46</v>
      </c>
      <c r="I14" s="27">
        <v>86</v>
      </c>
      <c r="J14" s="27">
        <v>110</v>
      </c>
      <c r="K14" s="27">
        <v>97</v>
      </c>
      <c r="L14" s="27">
        <v>67</v>
      </c>
      <c r="M14" s="27">
        <v>111</v>
      </c>
      <c r="N14" s="27">
        <v>61</v>
      </c>
      <c r="O14" s="27">
        <v>102</v>
      </c>
      <c r="P14" s="27">
        <v>159</v>
      </c>
      <c r="Q14" s="27">
        <v>46</v>
      </c>
      <c r="R14" s="27">
        <v>136</v>
      </c>
    </row>
    <row r="15" spans="1:18" s="20" customFormat="1" ht="14.25" customHeight="1" x14ac:dyDescent="0.2">
      <c r="A15" s="86" t="s">
        <v>4</v>
      </c>
      <c r="B15" s="28" t="s">
        <v>56</v>
      </c>
      <c r="C15" s="29" t="s">
        <v>2</v>
      </c>
      <c r="D15" s="21">
        <v>1051</v>
      </c>
      <c r="E15" s="21">
        <v>483</v>
      </c>
      <c r="F15" s="21">
        <v>568</v>
      </c>
      <c r="G15" s="21">
        <v>54</v>
      </c>
      <c r="H15" s="21">
        <v>44</v>
      </c>
      <c r="I15" s="21">
        <v>82</v>
      </c>
      <c r="J15" s="21">
        <v>107</v>
      </c>
      <c r="K15" s="21">
        <v>91</v>
      </c>
      <c r="L15" s="21">
        <v>66</v>
      </c>
      <c r="M15" s="21">
        <v>109</v>
      </c>
      <c r="N15" s="21">
        <v>60</v>
      </c>
      <c r="O15" s="21">
        <v>101</v>
      </c>
      <c r="P15" s="21">
        <v>158</v>
      </c>
      <c r="Q15" s="21">
        <v>46</v>
      </c>
      <c r="R15" s="21">
        <v>133</v>
      </c>
    </row>
    <row r="16" spans="1:18" s="20" customFormat="1" ht="14.25" customHeight="1" x14ac:dyDescent="0.2">
      <c r="A16" s="87"/>
      <c r="B16" s="30" t="s">
        <v>57</v>
      </c>
      <c r="C16" s="31" t="s">
        <v>225</v>
      </c>
      <c r="D16" s="21">
        <v>26</v>
      </c>
      <c r="E16" s="21">
        <v>15</v>
      </c>
      <c r="F16" s="21">
        <v>11</v>
      </c>
      <c r="G16" s="21">
        <v>2</v>
      </c>
      <c r="H16" s="21">
        <v>2</v>
      </c>
      <c r="I16" s="21">
        <v>4</v>
      </c>
      <c r="J16" s="21">
        <v>3</v>
      </c>
      <c r="K16" s="21">
        <v>6</v>
      </c>
      <c r="L16" s="21">
        <v>1</v>
      </c>
      <c r="M16" s="21">
        <v>2</v>
      </c>
      <c r="N16" s="21">
        <v>1</v>
      </c>
      <c r="O16" s="21">
        <v>1</v>
      </c>
      <c r="P16" s="21">
        <v>1</v>
      </c>
      <c r="Q16" s="21">
        <v>0</v>
      </c>
      <c r="R16" s="21">
        <v>3</v>
      </c>
    </row>
    <row r="17" spans="1:18" s="20" customFormat="1" ht="14.25" customHeight="1" x14ac:dyDescent="0.2">
      <c r="A17" s="64" t="s">
        <v>212</v>
      </c>
      <c r="B17" s="25" t="s">
        <v>55</v>
      </c>
      <c r="C17" s="26" t="s">
        <v>0</v>
      </c>
      <c r="D17" s="27">
        <v>1050</v>
      </c>
      <c r="E17" s="27">
        <v>491</v>
      </c>
      <c r="F17" s="27">
        <v>559</v>
      </c>
      <c r="G17" s="27">
        <v>61</v>
      </c>
      <c r="H17" s="27">
        <v>56</v>
      </c>
      <c r="I17" s="27">
        <v>91</v>
      </c>
      <c r="J17" s="27">
        <v>38</v>
      </c>
      <c r="K17" s="27">
        <v>143</v>
      </c>
      <c r="L17" s="27">
        <v>58</v>
      </c>
      <c r="M17" s="27">
        <v>103</v>
      </c>
      <c r="N17" s="27">
        <v>84</v>
      </c>
      <c r="O17" s="27">
        <v>63</v>
      </c>
      <c r="P17" s="27">
        <v>182</v>
      </c>
      <c r="Q17" s="27">
        <v>30</v>
      </c>
      <c r="R17" s="27">
        <v>141</v>
      </c>
    </row>
    <row r="18" spans="1:18" s="20" customFormat="1" ht="14.25" customHeight="1" x14ac:dyDescent="0.2">
      <c r="A18" s="86" t="s">
        <v>25</v>
      </c>
      <c r="B18" s="28" t="s">
        <v>56</v>
      </c>
      <c r="C18" s="29" t="s">
        <v>2</v>
      </c>
      <c r="D18" s="21">
        <v>892</v>
      </c>
      <c r="E18" s="21">
        <v>409</v>
      </c>
      <c r="F18" s="21">
        <v>483</v>
      </c>
      <c r="G18" s="21">
        <v>51</v>
      </c>
      <c r="H18" s="21">
        <v>53</v>
      </c>
      <c r="I18" s="21">
        <v>76</v>
      </c>
      <c r="J18" s="21">
        <v>36</v>
      </c>
      <c r="K18" s="21">
        <v>116</v>
      </c>
      <c r="L18" s="21">
        <v>52</v>
      </c>
      <c r="M18" s="21">
        <v>87</v>
      </c>
      <c r="N18" s="21">
        <v>67</v>
      </c>
      <c r="O18" s="21">
        <v>56</v>
      </c>
      <c r="P18" s="21">
        <v>153</v>
      </c>
      <c r="Q18" s="21">
        <v>23</v>
      </c>
      <c r="R18" s="21">
        <v>122</v>
      </c>
    </row>
    <row r="19" spans="1:18" s="20" customFormat="1" ht="14.25" customHeight="1" x14ac:dyDescent="0.2">
      <c r="A19" s="87"/>
      <c r="B19" s="30" t="s">
        <v>57</v>
      </c>
      <c r="C19" s="31" t="s">
        <v>225</v>
      </c>
      <c r="D19" s="21">
        <v>158</v>
      </c>
      <c r="E19" s="21">
        <v>82</v>
      </c>
      <c r="F19" s="21">
        <v>76</v>
      </c>
      <c r="G19" s="21">
        <v>10</v>
      </c>
      <c r="H19" s="21">
        <v>3</v>
      </c>
      <c r="I19" s="21">
        <v>15</v>
      </c>
      <c r="J19" s="21">
        <v>2</v>
      </c>
      <c r="K19" s="21">
        <v>27</v>
      </c>
      <c r="L19" s="21">
        <v>6</v>
      </c>
      <c r="M19" s="21">
        <v>16</v>
      </c>
      <c r="N19" s="21">
        <v>17</v>
      </c>
      <c r="O19" s="21">
        <v>7</v>
      </c>
      <c r="P19" s="21">
        <v>29</v>
      </c>
      <c r="Q19" s="21">
        <v>7</v>
      </c>
      <c r="R19" s="21">
        <v>19</v>
      </c>
    </row>
    <row r="20" spans="1:18" s="20" customFormat="1" ht="14.25" customHeight="1" x14ac:dyDescent="0.2">
      <c r="A20" s="64" t="s">
        <v>213</v>
      </c>
      <c r="B20" s="25" t="s">
        <v>55</v>
      </c>
      <c r="C20" s="26" t="s">
        <v>0</v>
      </c>
      <c r="D20" s="27">
        <v>1339</v>
      </c>
      <c r="E20" s="27">
        <v>654</v>
      </c>
      <c r="F20" s="27">
        <v>685</v>
      </c>
      <c r="G20" s="27">
        <v>78</v>
      </c>
      <c r="H20" s="27">
        <v>53</v>
      </c>
      <c r="I20" s="27">
        <v>102</v>
      </c>
      <c r="J20" s="27">
        <v>92</v>
      </c>
      <c r="K20" s="27">
        <v>163</v>
      </c>
      <c r="L20" s="27">
        <v>93</v>
      </c>
      <c r="M20" s="27">
        <v>164</v>
      </c>
      <c r="N20" s="27">
        <v>87</v>
      </c>
      <c r="O20" s="27">
        <v>93</v>
      </c>
      <c r="P20" s="27">
        <v>177</v>
      </c>
      <c r="Q20" s="27">
        <v>54</v>
      </c>
      <c r="R20" s="27">
        <v>183</v>
      </c>
    </row>
    <row r="21" spans="1:18" s="20" customFormat="1" ht="14.25" customHeight="1" x14ac:dyDescent="0.2">
      <c r="A21" s="86" t="s">
        <v>21</v>
      </c>
      <c r="B21" s="28" t="s">
        <v>56</v>
      </c>
      <c r="C21" s="29" t="s">
        <v>2</v>
      </c>
      <c r="D21" s="21">
        <v>1264</v>
      </c>
      <c r="E21" s="21">
        <v>619</v>
      </c>
      <c r="F21" s="21">
        <v>645</v>
      </c>
      <c r="G21" s="21">
        <v>75</v>
      </c>
      <c r="H21" s="21">
        <v>51</v>
      </c>
      <c r="I21" s="21">
        <v>96</v>
      </c>
      <c r="J21" s="21">
        <v>87</v>
      </c>
      <c r="K21" s="21">
        <v>157</v>
      </c>
      <c r="L21" s="21">
        <v>87</v>
      </c>
      <c r="M21" s="21">
        <v>155</v>
      </c>
      <c r="N21" s="21">
        <v>81</v>
      </c>
      <c r="O21" s="21">
        <v>86</v>
      </c>
      <c r="P21" s="21">
        <v>166</v>
      </c>
      <c r="Q21" s="21">
        <v>50</v>
      </c>
      <c r="R21" s="21">
        <v>173</v>
      </c>
    </row>
    <row r="22" spans="1:18" s="20" customFormat="1" ht="14.25" customHeight="1" x14ac:dyDescent="0.2">
      <c r="A22" s="87"/>
      <c r="B22" s="30" t="s">
        <v>57</v>
      </c>
      <c r="C22" s="31" t="s">
        <v>225</v>
      </c>
      <c r="D22" s="21">
        <v>75</v>
      </c>
      <c r="E22" s="21">
        <v>35</v>
      </c>
      <c r="F22" s="21">
        <v>40</v>
      </c>
      <c r="G22" s="21">
        <v>3</v>
      </c>
      <c r="H22" s="21">
        <v>2</v>
      </c>
      <c r="I22" s="21">
        <v>6</v>
      </c>
      <c r="J22" s="21">
        <v>5</v>
      </c>
      <c r="K22" s="21">
        <v>6</v>
      </c>
      <c r="L22" s="21">
        <v>6</v>
      </c>
      <c r="M22" s="21">
        <v>9</v>
      </c>
      <c r="N22" s="21">
        <v>6</v>
      </c>
      <c r="O22" s="21">
        <v>7</v>
      </c>
      <c r="P22" s="21">
        <v>11</v>
      </c>
      <c r="Q22" s="21">
        <v>4</v>
      </c>
      <c r="R22" s="21">
        <v>10</v>
      </c>
    </row>
    <row r="23" spans="1:18" s="20" customFormat="1" ht="14.25" customHeight="1" x14ac:dyDescent="0.2">
      <c r="A23" s="64" t="s">
        <v>214</v>
      </c>
      <c r="B23" s="25" t="s">
        <v>55</v>
      </c>
      <c r="C23" s="26" t="s">
        <v>0</v>
      </c>
      <c r="D23" s="27">
        <v>572</v>
      </c>
      <c r="E23" s="27">
        <v>271</v>
      </c>
      <c r="F23" s="27">
        <v>301</v>
      </c>
      <c r="G23" s="27">
        <v>46</v>
      </c>
      <c r="H23" s="27">
        <v>27</v>
      </c>
      <c r="I23" s="27">
        <v>56</v>
      </c>
      <c r="J23" s="27">
        <v>42</v>
      </c>
      <c r="K23" s="27">
        <v>68</v>
      </c>
      <c r="L23" s="27">
        <v>43</v>
      </c>
      <c r="M23" s="27">
        <v>38</v>
      </c>
      <c r="N23" s="27">
        <v>40</v>
      </c>
      <c r="O23" s="27">
        <v>54</v>
      </c>
      <c r="P23" s="27">
        <v>75</v>
      </c>
      <c r="Q23" s="27">
        <v>9</v>
      </c>
      <c r="R23" s="27">
        <v>74</v>
      </c>
    </row>
    <row r="24" spans="1:18" s="20" customFormat="1" ht="14.25" customHeight="1" x14ac:dyDescent="0.2">
      <c r="A24" s="86" t="s">
        <v>22</v>
      </c>
      <c r="B24" s="28" t="s">
        <v>56</v>
      </c>
      <c r="C24" s="29" t="s">
        <v>2</v>
      </c>
      <c r="D24" s="21">
        <v>548</v>
      </c>
      <c r="E24" s="21">
        <v>260</v>
      </c>
      <c r="F24" s="21">
        <v>288</v>
      </c>
      <c r="G24" s="21">
        <v>43</v>
      </c>
      <c r="H24" s="21">
        <v>27</v>
      </c>
      <c r="I24" s="21">
        <v>55</v>
      </c>
      <c r="J24" s="21">
        <v>40</v>
      </c>
      <c r="K24" s="21">
        <v>62</v>
      </c>
      <c r="L24" s="21">
        <v>42</v>
      </c>
      <c r="M24" s="21">
        <v>38</v>
      </c>
      <c r="N24" s="21">
        <v>38</v>
      </c>
      <c r="O24" s="21">
        <v>53</v>
      </c>
      <c r="P24" s="21">
        <v>71</v>
      </c>
      <c r="Q24" s="21">
        <v>9</v>
      </c>
      <c r="R24" s="21">
        <v>70</v>
      </c>
    </row>
    <row r="25" spans="1:18" s="20" customFormat="1" ht="14.25" customHeight="1" x14ac:dyDescent="0.2">
      <c r="A25" s="87"/>
      <c r="B25" s="30" t="s">
        <v>57</v>
      </c>
      <c r="C25" s="31" t="s">
        <v>225</v>
      </c>
      <c r="D25" s="21">
        <v>24</v>
      </c>
      <c r="E25" s="21">
        <v>11</v>
      </c>
      <c r="F25" s="21">
        <v>13</v>
      </c>
      <c r="G25" s="21">
        <v>3</v>
      </c>
      <c r="H25" s="21">
        <v>0</v>
      </c>
      <c r="I25" s="21">
        <v>1</v>
      </c>
      <c r="J25" s="21">
        <v>2</v>
      </c>
      <c r="K25" s="21">
        <v>6</v>
      </c>
      <c r="L25" s="21">
        <v>1</v>
      </c>
      <c r="M25" s="21">
        <v>0</v>
      </c>
      <c r="N25" s="21">
        <v>2</v>
      </c>
      <c r="O25" s="21">
        <v>1</v>
      </c>
      <c r="P25" s="21">
        <v>4</v>
      </c>
      <c r="Q25" s="21">
        <v>0</v>
      </c>
      <c r="R25" s="21">
        <v>4</v>
      </c>
    </row>
    <row r="26" spans="1:18" s="20" customFormat="1" ht="14.25" customHeight="1" x14ac:dyDescent="0.2">
      <c r="A26" s="64" t="s">
        <v>215</v>
      </c>
      <c r="B26" s="25" t="s">
        <v>55</v>
      </c>
      <c r="C26" s="26" t="s">
        <v>0</v>
      </c>
      <c r="D26" s="27">
        <v>1157</v>
      </c>
      <c r="E26" s="27">
        <v>542</v>
      </c>
      <c r="F26" s="27">
        <v>615</v>
      </c>
      <c r="G26" s="27">
        <v>66</v>
      </c>
      <c r="H26" s="27">
        <v>65</v>
      </c>
      <c r="I26" s="27">
        <v>68</v>
      </c>
      <c r="J26" s="27">
        <v>59</v>
      </c>
      <c r="K26" s="27">
        <v>157</v>
      </c>
      <c r="L26" s="27">
        <v>90</v>
      </c>
      <c r="M26" s="27">
        <v>119</v>
      </c>
      <c r="N26" s="27">
        <v>94</v>
      </c>
      <c r="O26" s="27">
        <v>94</v>
      </c>
      <c r="P26" s="27">
        <v>168</v>
      </c>
      <c r="Q26" s="27">
        <v>38</v>
      </c>
      <c r="R26" s="27">
        <v>139</v>
      </c>
    </row>
    <row r="27" spans="1:18" s="20" customFormat="1" ht="14.25" customHeight="1" x14ac:dyDescent="0.2">
      <c r="A27" s="86" t="s">
        <v>23</v>
      </c>
      <c r="B27" s="28" t="s">
        <v>56</v>
      </c>
      <c r="C27" s="29" t="s">
        <v>2</v>
      </c>
      <c r="D27" s="21">
        <v>1084</v>
      </c>
      <c r="E27" s="21">
        <v>509</v>
      </c>
      <c r="F27" s="21">
        <v>575</v>
      </c>
      <c r="G27" s="21">
        <v>62</v>
      </c>
      <c r="H27" s="21">
        <v>63</v>
      </c>
      <c r="I27" s="21">
        <v>62</v>
      </c>
      <c r="J27" s="21">
        <v>54</v>
      </c>
      <c r="K27" s="21">
        <v>145</v>
      </c>
      <c r="L27" s="21">
        <v>83</v>
      </c>
      <c r="M27" s="21">
        <v>114</v>
      </c>
      <c r="N27" s="21">
        <v>86</v>
      </c>
      <c r="O27" s="21">
        <v>91</v>
      </c>
      <c r="P27" s="21">
        <v>159</v>
      </c>
      <c r="Q27" s="21">
        <v>35</v>
      </c>
      <c r="R27" s="21">
        <v>130</v>
      </c>
    </row>
    <row r="28" spans="1:18" s="20" customFormat="1" ht="14.25" customHeight="1" x14ac:dyDescent="0.2">
      <c r="A28" s="87"/>
      <c r="B28" s="30" t="s">
        <v>57</v>
      </c>
      <c r="C28" s="31" t="s">
        <v>225</v>
      </c>
      <c r="D28" s="21">
        <v>73</v>
      </c>
      <c r="E28" s="21">
        <v>33</v>
      </c>
      <c r="F28" s="21">
        <v>40</v>
      </c>
      <c r="G28" s="21">
        <v>4</v>
      </c>
      <c r="H28" s="21">
        <v>2</v>
      </c>
      <c r="I28" s="21">
        <v>6</v>
      </c>
      <c r="J28" s="21">
        <v>5</v>
      </c>
      <c r="K28" s="21">
        <v>12</v>
      </c>
      <c r="L28" s="21">
        <v>7</v>
      </c>
      <c r="M28" s="21">
        <v>5</v>
      </c>
      <c r="N28" s="21">
        <v>8</v>
      </c>
      <c r="O28" s="21">
        <v>3</v>
      </c>
      <c r="P28" s="21">
        <v>9</v>
      </c>
      <c r="Q28" s="21">
        <v>3</v>
      </c>
      <c r="R28" s="21">
        <v>9</v>
      </c>
    </row>
    <row r="29" spans="1:18" s="20" customFormat="1" ht="14.25" customHeight="1" x14ac:dyDescent="0.2">
      <c r="A29" s="64" t="s">
        <v>194</v>
      </c>
      <c r="B29" s="25" t="s">
        <v>55</v>
      </c>
      <c r="C29" s="26" t="s">
        <v>0</v>
      </c>
      <c r="D29" s="27">
        <v>141</v>
      </c>
      <c r="E29" s="27">
        <v>52</v>
      </c>
      <c r="F29" s="27">
        <v>89</v>
      </c>
      <c r="G29" s="27">
        <v>3</v>
      </c>
      <c r="H29" s="27">
        <v>8</v>
      </c>
      <c r="I29" s="27">
        <v>6</v>
      </c>
      <c r="J29" s="27">
        <v>9</v>
      </c>
      <c r="K29" s="27">
        <v>15</v>
      </c>
      <c r="L29" s="27">
        <v>9</v>
      </c>
      <c r="M29" s="27">
        <v>14</v>
      </c>
      <c r="N29" s="27">
        <v>8</v>
      </c>
      <c r="O29" s="27">
        <v>9</v>
      </c>
      <c r="P29" s="27">
        <v>25</v>
      </c>
      <c r="Q29" s="27">
        <v>5</v>
      </c>
      <c r="R29" s="27">
        <v>30</v>
      </c>
    </row>
    <row r="30" spans="1:18" s="20" customFormat="1" ht="14.25" customHeight="1" x14ac:dyDescent="0.2">
      <c r="A30" s="86" t="s">
        <v>5</v>
      </c>
      <c r="B30" s="28" t="s">
        <v>56</v>
      </c>
      <c r="C30" s="29" t="s">
        <v>2</v>
      </c>
      <c r="D30" s="21">
        <v>128</v>
      </c>
      <c r="E30" s="21">
        <v>45</v>
      </c>
      <c r="F30" s="21">
        <v>83</v>
      </c>
      <c r="G30" s="21">
        <v>3</v>
      </c>
      <c r="H30" s="21">
        <v>8</v>
      </c>
      <c r="I30" s="21">
        <v>6</v>
      </c>
      <c r="J30" s="21">
        <v>9</v>
      </c>
      <c r="K30" s="21">
        <v>14</v>
      </c>
      <c r="L30" s="21">
        <v>9</v>
      </c>
      <c r="M30" s="21">
        <v>13</v>
      </c>
      <c r="N30" s="21">
        <v>7</v>
      </c>
      <c r="O30" s="21">
        <v>6</v>
      </c>
      <c r="P30" s="21">
        <v>22</v>
      </c>
      <c r="Q30" s="21">
        <v>3</v>
      </c>
      <c r="R30" s="21">
        <v>28</v>
      </c>
    </row>
    <row r="31" spans="1:18" s="20" customFormat="1" ht="14.25" customHeight="1" x14ac:dyDescent="0.2">
      <c r="A31" s="87"/>
      <c r="B31" s="30" t="s">
        <v>57</v>
      </c>
      <c r="C31" s="31" t="s">
        <v>225</v>
      </c>
      <c r="D31" s="21">
        <v>13</v>
      </c>
      <c r="E31" s="21">
        <v>7</v>
      </c>
      <c r="F31" s="21">
        <v>6</v>
      </c>
      <c r="G31" s="21">
        <v>0</v>
      </c>
      <c r="H31" s="21">
        <v>0</v>
      </c>
      <c r="I31" s="21">
        <v>0</v>
      </c>
      <c r="J31" s="21">
        <v>0</v>
      </c>
      <c r="K31" s="21">
        <v>1</v>
      </c>
      <c r="L31" s="21">
        <v>0</v>
      </c>
      <c r="M31" s="21">
        <v>1</v>
      </c>
      <c r="N31" s="21">
        <v>1</v>
      </c>
      <c r="O31" s="21">
        <v>3</v>
      </c>
      <c r="P31" s="21">
        <v>3</v>
      </c>
      <c r="Q31" s="21">
        <v>2</v>
      </c>
      <c r="R31" s="21">
        <v>2</v>
      </c>
    </row>
    <row r="32" spans="1:18" s="20" customFormat="1" ht="14.25" customHeight="1" x14ac:dyDescent="0.2">
      <c r="A32" s="64" t="s">
        <v>195</v>
      </c>
      <c r="B32" s="25" t="s">
        <v>55</v>
      </c>
      <c r="C32" s="26" t="s">
        <v>0</v>
      </c>
      <c r="D32" s="27">
        <v>416</v>
      </c>
      <c r="E32" s="27">
        <v>181</v>
      </c>
      <c r="F32" s="27">
        <v>235</v>
      </c>
      <c r="G32" s="27">
        <v>31</v>
      </c>
      <c r="H32" s="27">
        <v>17</v>
      </c>
      <c r="I32" s="27">
        <v>31</v>
      </c>
      <c r="J32" s="27">
        <v>30</v>
      </c>
      <c r="K32" s="27">
        <v>40</v>
      </c>
      <c r="L32" s="27">
        <v>27</v>
      </c>
      <c r="M32" s="27">
        <v>32</v>
      </c>
      <c r="N32" s="27">
        <v>29</v>
      </c>
      <c r="O32" s="27">
        <v>39</v>
      </c>
      <c r="P32" s="27">
        <v>89</v>
      </c>
      <c r="Q32" s="27">
        <v>8</v>
      </c>
      <c r="R32" s="27">
        <v>43</v>
      </c>
    </row>
    <row r="33" spans="1:18" s="20" customFormat="1" ht="14.25" customHeight="1" x14ac:dyDescent="0.2">
      <c r="A33" s="86" t="s">
        <v>6</v>
      </c>
      <c r="B33" s="28" t="s">
        <v>56</v>
      </c>
      <c r="C33" s="29" t="s">
        <v>2</v>
      </c>
      <c r="D33" s="21">
        <v>345</v>
      </c>
      <c r="E33" s="21">
        <v>144</v>
      </c>
      <c r="F33" s="21">
        <v>201</v>
      </c>
      <c r="G33" s="21">
        <v>28</v>
      </c>
      <c r="H33" s="21">
        <v>11</v>
      </c>
      <c r="I33" s="21">
        <v>20</v>
      </c>
      <c r="J33" s="21">
        <v>24</v>
      </c>
      <c r="K33" s="21">
        <v>32</v>
      </c>
      <c r="L33" s="21">
        <v>25</v>
      </c>
      <c r="M33" s="21">
        <v>26</v>
      </c>
      <c r="N33" s="21">
        <v>23</v>
      </c>
      <c r="O33" s="21">
        <v>31</v>
      </c>
      <c r="P33" s="21">
        <v>80</v>
      </c>
      <c r="Q33" s="21">
        <v>7</v>
      </c>
      <c r="R33" s="21">
        <v>38</v>
      </c>
    </row>
    <row r="34" spans="1:18" s="20" customFormat="1" ht="14.25" customHeight="1" x14ac:dyDescent="0.2">
      <c r="A34" s="87"/>
      <c r="B34" s="30" t="s">
        <v>57</v>
      </c>
      <c r="C34" s="31" t="s">
        <v>225</v>
      </c>
      <c r="D34" s="21">
        <v>71</v>
      </c>
      <c r="E34" s="21">
        <v>37</v>
      </c>
      <c r="F34" s="21">
        <v>34</v>
      </c>
      <c r="G34" s="21">
        <v>3</v>
      </c>
      <c r="H34" s="21">
        <v>6</v>
      </c>
      <c r="I34" s="21">
        <v>11</v>
      </c>
      <c r="J34" s="21">
        <v>6</v>
      </c>
      <c r="K34" s="21">
        <v>8</v>
      </c>
      <c r="L34" s="21">
        <v>2</v>
      </c>
      <c r="M34" s="21">
        <v>6</v>
      </c>
      <c r="N34" s="21">
        <v>6</v>
      </c>
      <c r="O34" s="21">
        <v>8</v>
      </c>
      <c r="P34" s="21">
        <v>9</v>
      </c>
      <c r="Q34" s="21">
        <v>1</v>
      </c>
      <c r="R34" s="21">
        <v>5</v>
      </c>
    </row>
    <row r="35" spans="1:18" s="20" customFormat="1" ht="14.25" customHeight="1" x14ac:dyDescent="0.2">
      <c r="A35" s="64" t="s">
        <v>196</v>
      </c>
      <c r="B35" s="25" t="s">
        <v>55</v>
      </c>
      <c r="C35" s="26" t="s">
        <v>0</v>
      </c>
      <c r="D35" s="27">
        <v>148</v>
      </c>
      <c r="E35" s="27">
        <v>46</v>
      </c>
      <c r="F35" s="27">
        <v>102</v>
      </c>
      <c r="G35" s="27">
        <v>5</v>
      </c>
      <c r="H35" s="27">
        <v>2</v>
      </c>
      <c r="I35" s="27">
        <v>4</v>
      </c>
      <c r="J35" s="27">
        <v>8</v>
      </c>
      <c r="K35" s="27">
        <v>11</v>
      </c>
      <c r="L35" s="27">
        <v>21</v>
      </c>
      <c r="M35" s="27">
        <v>12</v>
      </c>
      <c r="N35" s="27">
        <v>14</v>
      </c>
      <c r="O35" s="27">
        <v>8</v>
      </c>
      <c r="P35" s="27">
        <v>31</v>
      </c>
      <c r="Q35" s="27">
        <v>6</v>
      </c>
      <c r="R35" s="27">
        <v>26</v>
      </c>
    </row>
    <row r="36" spans="1:18" s="20" customFormat="1" ht="14.25" customHeight="1" x14ac:dyDescent="0.2">
      <c r="A36" s="86" t="s">
        <v>7</v>
      </c>
      <c r="B36" s="28" t="s">
        <v>56</v>
      </c>
      <c r="C36" s="29" t="s">
        <v>2</v>
      </c>
      <c r="D36" s="21">
        <v>131</v>
      </c>
      <c r="E36" s="21">
        <v>41</v>
      </c>
      <c r="F36" s="21">
        <v>90</v>
      </c>
      <c r="G36" s="21">
        <v>5</v>
      </c>
      <c r="H36" s="21">
        <v>2</v>
      </c>
      <c r="I36" s="21">
        <v>3</v>
      </c>
      <c r="J36" s="21">
        <v>8</v>
      </c>
      <c r="K36" s="21">
        <v>10</v>
      </c>
      <c r="L36" s="21">
        <v>20</v>
      </c>
      <c r="M36" s="21">
        <v>11</v>
      </c>
      <c r="N36" s="21">
        <v>10</v>
      </c>
      <c r="O36" s="21">
        <v>6</v>
      </c>
      <c r="P36" s="21">
        <v>27</v>
      </c>
      <c r="Q36" s="21">
        <v>6</v>
      </c>
      <c r="R36" s="21">
        <v>23</v>
      </c>
    </row>
    <row r="37" spans="1:18" s="20" customFormat="1" ht="14.25" customHeight="1" x14ac:dyDescent="0.2">
      <c r="A37" s="87"/>
      <c r="B37" s="30" t="s">
        <v>57</v>
      </c>
      <c r="C37" s="31" t="s">
        <v>225</v>
      </c>
      <c r="D37" s="21">
        <v>17</v>
      </c>
      <c r="E37" s="21">
        <v>5</v>
      </c>
      <c r="F37" s="21">
        <v>12</v>
      </c>
      <c r="G37" s="21">
        <v>0</v>
      </c>
      <c r="H37" s="21">
        <v>0</v>
      </c>
      <c r="I37" s="21">
        <v>1</v>
      </c>
      <c r="J37" s="21">
        <v>0</v>
      </c>
      <c r="K37" s="21">
        <v>1</v>
      </c>
      <c r="L37" s="21">
        <v>1</v>
      </c>
      <c r="M37" s="21">
        <v>1</v>
      </c>
      <c r="N37" s="21">
        <v>4</v>
      </c>
      <c r="O37" s="21">
        <v>2</v>
      </c>
      <c r="P37" s="21">
        <v>4</v>
      </c>
      <c r="Q37" s="21">
        <v>0</v>
      </c>
      <c r="R37" s="21">
        <v>3</v>
      </c>
    </row>
    <row r="38" spans="1:18" s="20" customFormat="1" ht="14.25" customHeight="1" x14ac:dyDescent="0.2">
      <c r="A38" s="64" t="s">
        <v>197</v>
      </c>
      <c r="B38" s="25" t="s">
        <v>55</v>
      </c>
      <c r="C38" s="26" t="s">
        <v>0</v>
      </c>
      <c r="D38" s="27">
        <v>544</v>
      </c>
      <c r="E38" s="27">
        <v>226</v>
      </c>
      <c r="F38" s="27">
        <v>318</v>
      </c>
      <c r="G38" s="27">
        <v>31</v>
      </c>
      <c r="H38" s="27">
        <v>30</v>
      </c>
      <c r="I38" s="27">
        <v>57</v>
      </c>
      <c r="J38" s="27">
        <v>27</v>
      </c>
      <c r="K38" s="27">
        <v>58</v>
      </c>
      <c r="L38" s="27">
        <v>30</v>
      </c>
      <c r="M38" s="27">
        <v>39</v>
      </c>
      <c r="N38" s="27">
        <v>33</v>
      </c>
      <c r="O38" s="27">
        <v>26</v>
      </c>
      <c r="P38" s="27">
        <v>98</v>
      </c>
      <c r="Q38" s="27">
        <v>15</v>
      </c>
      <c r="R38" s="27">
        <v>100</v>
      </c>
    </row>
    <row r="39" spans="1:18" s="20" customFormat="1" ht="14.25" customHeight="1" x14ac:dyDescent="0.2">
      <c r="A39" s="86" t="s">
        <v>8</v>
      </c>
      <c r="B39" s="28" t="s">
        <v>56</v>
      </c>
      <c r="C39" s="29" t="s">
        <v>2</v>
      </c>
      <c r="D39" s="21">
        <v>517</v>
      </c>
      <c r="E39" s="21">
        <v>216</v>
      </c>
      <c r="F39" s="21">
        <v>301</v>
      </c>
      <c r="G39" s="21">
        <v>27</v>
      </c>
      <c r="H39" s="21">
        <v>28</v>
      </c>
      <c r="I39" s="21">
        <v>56</v>
      </c>
      <c r="J39" s="21">
        <v>26</v>
      </c>
      <c r="K39" s="21">
        <v>55</v>
      </c>
      <c r="L39" s="21">
        <v>30</v>
      </c>
      <c r="M39" s="21">
        <v>37</v>
      </c>
      <c r="N39" s="21">
        <v>30</v>
      </c>
      <c r="O39" s="21">
        <v>26</v>
      </c>
      <c r="P39" s="21">
        <v>95</v>
      </c>
      <c r="Q39" s="21">
        <v>15</v>
      </c>
      <c r="R39" s="21">
        <v>92</v>
      </c>
    </row>
    <row r="40" spans="1:18" s="20" customFormat="1" ht="14.25" customHeight="1" x14ac:dyDescent="0.2">
      <c r="A40" s="87"/>
      <c r="B40" s="30" t="s">
        <v>57</v>
      </c>
      <c r="C40" s="31" t="s">
        <v>225</v>
      </c>
      <c r="D40" s="21">
        <v>27</v>
      </c>
      <c r="E40" s="21">
        <v>10</v>
      </c>
      <c r="F40" s="21">
        <v>17</v>
      </c>
      <c r="G40" s="21">
        <v>4</v>
      </c>
      <c r="H40" s="21">
        <v>2</v>
      </c>
      <c r="I40" s="21">
        <v>1</v>
      </c>
      <c r="J40" s="21">
        <v>1</v>
      </c>
      <c r="K40" s="21">
        <v>3</v>
      </c>
      <c r="L40" s="21">
        <v>0</v>
      </c>
      <c r="M40" s="21">
        <v>2</v>
      </c>
      <c r="N40" s="21">
        <v>3</v>
      </c>
      <c r="O40" s="21">
        <v>0</v>
      </c>
      <c r="P40" s="21">
        <v>3</v>
      </c>
      <c r="Q40" s="21">
        <v>0</v>
      </c>
      <c r="R40" s="21">
        <v>8</v>
      </c>
    </row>
    <row r="41" spans="1:18" s="20" customFormat="1" ht="14.25" customHeight="1" x14ac:dyDescent="0.2">
      <c r="A41" s="64" t="s">
        <v>198</v>
      </c>
      <c r="B41" s="25" t="s">
        <v>55</v>
      </c>
      <c r="C41" s="26" t="s">
        <v>0</v>
      </c>
      <c r="D41" s="27">
        <v>221</v>
      </c>
      <c r="E41" s="27">
        <v>101</v>
      </c>
      <c r="F41" s="27">
        <v>120</v>
      </c>
      <c r="G41" s="27">
        <v>9</v>
      </c>
      <c r="H41" s="27">
        <v>8</v>
      </c>
      <c r="I41" s="27">
        <v>17</v>
      </c>
      <c r="J41" s="27">
        <v>19</v>
      </c>
      <c r="K41" s="27">
        <v>23</v>
      </c>
      <c r="L41" s="27">
        <v>11</v>
      </c>
      <c r="M41" s="27">
        <v>26</v>
      </c>
      <c r="N41" s="27">
        <v>19</v>
      </c>
      <c r="O41" s="27">
        <v>17</v>
      </c>
      <c r="P41" s="27">
        <v>38</v>
      </c>
      <c r="Q41" s="27">
        <v>9</v>
      </c>
      <c r="R41" s="27">
        <v>25</v>
      </c>
    </row>
    <row r="42" spans="1:18" s="20" customFormat="1" ht="14.25" customHeight="1" x14ac:dyDescent="0.2">
      <c r="A42" s="86" t="s">
        <v>9</v>
      </c>
      <c r="B42" s="28" t="s">
        <v>56</v>
      </c>
      <c r="C42" s="29" t="s">
        <v>2</v>
      </c>
      <c r="D42" s="21">
        <v>194</v>
      </c>
      <c r="E42" s="21">
        <v>91</v>
      </c>
      <c r="F42" s="21">
        <v>103</v>
      </c>
      <c r="G42" s="21">
        <v>9</v>
      </c>
      <c r="H42" s="21">
        <v>7</v>
      </c>
      <c r="I42" s="21">
        <v>16</v>
      </c>
      <c r="J42" s="21">
        <v>18</v>
      </c>
      <c r="K42" s="21">
        <v>19</v>
      </c>
      <c r="L42" s="21">
        <v>9</v>
      </c>
      <c r="M42" s="21">
        <v>23</v>
      </c>
      <c r="N42" s="21">
        <v>17</v>
      </c>
      <c r="O42" s="21">
        <v>16</v>
      </c>
      <c r="P42" s="21">
        <v>33</v>
      </c>
      <c r="Q42" s="21">
        <v>8</v>
      </c>
      <c r="R42" s="21">
        <v>19</v>
      </c>
    </row>
    <row r="43" spans="1:18" s="20" customFormat="1" ht="14.25" customHeight="1" x14ac:dyDescent="0.2">
      <c r="A43" s="87"/>
      <c r="B43" s="30" t="s">
        <v>57</v>
      </c>
      <c r="C43" s="31" t="s">
        <v>225</v>
      </c>
      <c r="D43" s="21">
        <v>27</v>
      </c>
      <c r="E43" s="21">
        <v>10</v>
      </c>
      <c r="F43" s="21">
        <v>17</v>
      </c>
      <c r="G43" s="21">
        <v>0</v>
      </c>
      <c r="H43" s="21">
        <v>1</v>
      </c>
      <c r="I43" s="21">
        <v>1</v>
      </c>
      <c r="J43" s="21">
        <v>1</v>
      </c>
      <c r="K43" s="21">
        <v>4</v>
      </c>
      <c r="L43" s="21">
        <v>2</v>
      </c>
      <c r="M43" s="21">
        <v>3</v>
      </c>
      <c r="N43" s="21">
        <v>2</v>
      </c>
      <c r="O43" s="21">
        <v>1</v>
      </c>
      <c r="P43" s="21">
        <v>5</v>
      </c>
      <c r="Q43" s="21">
        <v>1</v>
      </c>
      <c r="R43" s="21">
        <v>6</v>
      </c>
    </row>
    <row r="44" spans="1:18" s="20" customFormat="1" ht="14.25" customHeight="1" x14ac:dyDescent="0.2">
      <c r="A44" s="64" t="s">
        <v>199</v>
      </c>
      <c r="B44" s="25" t="s">
        <v>55</v>
      </c>
      <c r="C44" s="26" t="s">
        <v>0</v>
      </c>
      <c r="D44" s="27">
        <v>324</v>
      </c>
      <c r="E44" s="27">
        <v>120</v>
      </c>
      <c r="F44" s="27">
        <v>204</v>
      </c>
      <c r="G44" s="27">
        <v>19</v>
      </c>
      <c r="H44" s="27">
        <v>18</v>
      </c>
      <c r="I44" s="27">
        <v>34</v>
      </c>
      <c r="J44" s="27">
        <v>23</v>
      </c>
      <c r="K44" s="27">
        <v>18</v>
      </c>
      <c r="L44" s="27">
        <v>28</v>
      </c>
      <c r="M44" s="27">
        <v>13</v>
      </c>
      <c r="N44" s="27">
        <v>18</v>
      </c>
      <c r="O44" s="27">
        <v>20</v>
      </c>
      <c r="P44" s="27">
        <v>60</v>
      </c>
      <c r="Q44" s="27">
        <v>16</v>
      </c>
      <c r="R44" s="27">
        <v>57</v>
      </c>
    </row>
    <row r="45" spans="1:18" s="20" customFormat="1" ht="14.25" customHeight="1" x14ac:dyDescent="0.2">
      <c r="A45" s="86" t="s">
        <v>10</v>
      </c>
      <c r="B45" s="28" t="s">
        <v>56</v>
      </c>
      <c r="C45" s="29" t="s">
        <v>2</v>
      </c>
      <c r="D45" s="21">
        <v>317</v>
      </c>
      <c r="E45" s="21">
        <v>118</v>
      </c>
      <c r="F45" s="21">
        <v>199</v>
      </c>
      <c r="G45" s="21">
        <v>19</v>
      </c>
      <c r="H45" s="21">
        <v>18</v>
      </c>
      <c r="I45" s="21">
        <v>34</v>
      </c>
      <c r="J45" s="21">
        <v>22</v>
      </c>
      <c r="K45" s="21">
        <v>18</v>
      </c>
      <c r="L45" s="21">
        <v>26</v>
      </c>
      <c r="M45" s="21">
        <v>13</v>
      </c>
      <c r="N45" s="21">
        <v>18</v>
      </c>
      <c r="O45" s="21">
        <v>19</v>
      </c>
      <c r="P45" s="21">
        <v>60</v>
      </c>
      <c r="Q45" s="21">
        <v>15</v>
      </c>
      <c r="R45" s="21">
        <v>55</v>
      </c>
    </row>
    <row r="46" spans="1:18" s="20" customFormat="1" ht="14.25" customHeight="1" x14ac:dyDescent="0.2">
      <c r="A46" s="87"/>
      <c r="B46" s="30" t="s">
        <v>57</v>
      </c>
      <c r="C46" s="31" t="s">
        <v>225</v>
      </c>
      <c r="D46" s="21">
        <v>7</v>
      </c>
      <c r="E46" s="21">
        <v>2</v>
      </c>
      <c r="F46" s="21">
        <v>5</v>
      </c>
      <c r="G46" s="21">
        <v>0</v>
      </c>
      <c r="H46" s="21">
        <v>0</v>
      </c>
      <c r="I46" s="21">
        <v>0</v>
      </c>
      <c r="J46" s="21">
        <v>1</v>
      </c>
      <c r="K46" s="21">
        <v>0</v>
      </c>
      <c r="L46" s="21">
        <v>2</v>
      </c>
      <c r="M46" s="21">
        <v>0</v>
      </c>
      <c r="N46" s="21">
        <v>0</v>
      </c>
      <c r="O46" s="21">
        <v>1</v>
      </c>
      <c r="P46" s="21">
        <v>0</v>
      </c>
      <c r="Q46" s="21">
        <v>1</v>
      </c>
      <c r="R46" s="21">
        <v>2</v>
      </c>
    </row>
    <row r="47" spans="1:18" s="20" customFormat="1" ht="14.25" customHeight="1" x14ac:dyDescent="0.2">
      <c r="A47" s="64" t="s">
        <v>200</v>
      </c>
      <c r="B47" s="25" t="s">
        <v>55</v>
      </c>
      <c r="C47" s="26" t="s">
        <v>0</v>
      </c>
      <c r="D47" s="27">
        <v>204</v>
      </c>
      <c r="E47" s="27">
        <v>98</v>
      </c>
      <c r="F47" s="27">
        <v>106</v>
      </c>
      <c r="G47" s="27">
        <v>19</v>
      </c>
      <c r="H47" s="27">
        <v>10</v>
      </c>
      <c r="I47" s="27">
        <v>26</v>
      </c>
      <c r="J47" s="27">
        <v>16</v>
      </c>
      <c r="K47" s="27">
        <v>15</v>
      </c>
      <c r="L47" s="27">
        <v>15</v>
      </c>
      <c r="M47" s="27">
        <v>13</v>
      </c>
      <c r="N47" s="27">
        <v>10</v>
      </c>
      <c r="O47" s="27">
        <v>17</v>
      </c>
      <c r="P47" s="27">
        <v>29</v>
      </c>
      <c r="Q47" s="27">
        <v>8</v>
      </c>
      <c r="R47" s="27">
        <v>26</v>
      </c>
    </row>
    <row r="48" spans="1:18" s="20" customFormat="1" ht="14.25" customHeight="1" x14ac:dyDescent="0.2">
      <c r="A48" s="86" t="s">
        <v>11</v>
      </c>
      <c r="B48" s="28" t="s">
        <v>56</v>
      </c>
      <c r="C48" s="29" t="s">
        <v>2</v>
      </c>
      <c r="D48" s="21">
        <v>189</v>
      </c>
      <c r="E48" s="21">
        <v>90</v>
      </c>
      <c r="F48" s="21">
        <v>99</v>
      </c>
      <c r="G48" s="21">
        <v>16</v>
      </c>
      <c r="H48" s="21">
        <v>10</v>
      </c>
      <c r="I48" s="21">
        <v>26</v>
      </c>
      <c r="J48" s="21">
        <v>15</v>
      </c>
      <c r="K48" s="21">
        <v>15</v>
      </c>
      <c r="L48" s="21">
        <v>13</v>
      </c>
      <c r="M48" s="21">
        <v>13</v>
      </c>
      <c r="N48" s="21">
        <v>8</v>
      </c>
      <c r="O48" s="21">
        <v>12</v>
      </c>
      <c r="P48" s="21">
        <v>28</v>
      </c>
      <c r="Q48" s="21">
        <v>8</v>
      </c>
      <c r="R48" s="21">
        <v>25</v>
      </c>
    </row>
    <row r="49" spans="1:18" s="20" customFormat="1" ht="14.25" customHeight="1" x14ac:dyDescent="0.2">
      <c r="A49" s="87"/>
      <c r="B49" s="30" t="s">
        <v>57</v>
      </c>
      <c r="C49" s="31" t="s">
        <v>225</v>
      </c>
      <c r="D49" s="21">
        <v>15</v>
      </c>
      <c r="E49" s="21">
        <v>8</v>
      </c>
      <c r="F49" s="21">
        <v>7</v>
      </c>
      <c r="G49" s="21">
        <v>3</v>
      </c>
      <c r="H49" s="21">
        <v>0</v>
      </c>
      <c r="I49" s="21">
        <v>0</v>
      </c>
      <c r="J49" s="21">
        <v>1</v>
      </c>
      <c r="K49" s="21">
        <v>0</v>
      </c>
      <c r="L49" s="21">
        <v>2</v>
      </c>
      <c r="M49" s="21">
        <v>0</v>
      </c>
      <c r="N49" s="21">
        <v>2</v>
      </c>
      <c r="O49" s="21">
        <v>5</v>
      </c>
      <c r="P49" s="21">
        <v>1</v>
      </c>
      <c r="Q49" s="21">
        <v>0</v>
      </c>
      <c r="R49" s="21">
        <v>1</v>
      </c>
    </row>
    <row r="50" spans="1:18" s="20" customFormat="1" ht="14.25" customHeight="1" x14ac:dyDescent="0.2">
      <c r="A50" s="64" t="s">
        <v>201</v>
      </c>
      <c r="B50" s="25" t="s">
        <v>55</v>
      </c>
      <c r="C50" s="26" t="s">
        <v>0</v>
      </c>
      <c r="D50" s="27">
        <v>375</v>
      </c>
      <c r="E50" s="27">
        <v>163</v>
      </c>
      <c r="F50" s="27">
        <v>212</v>
      </c>
      <c r="G50" s="27">
        <v>12</v>
      </c>
      <c r="H50" s="27">
        <v>12</v>
      </c>
      <c r="I50" s="27">
        <v>27</v>
      </c>
      <c r="J50" s="27">
        <v>20</v>
      </c>
      <c r="K50" s="27">
        <v>46</v>
      </c>
      <c r="L50" s="27">
        <v>26</v>
      </c>
      <c r="M50" s="27">
        <v>37</v>
      </c>
      <c r="N50" s="27">
        <v>40</v>
      </c>
      <c r="O50" s="27">
        <v>25</v>
      </c>
      <c r="P50" s="27">
        <v>63</v>
      </c>
      <c r="Q50" s="27">
        <v>16</v>
      </c>
      <c r="R50" s="27">
        <v>51</v>
      </c>
    </row>
    <row r="51" spans="1:18" s="20" customFormat="1" ht="14.25" customHeight="1" x14ac:dyDescent="0.2">
      <c r="A51" s="86" t="s">
        <v>12</v>
      </c>
      <c r="B51" s="28" t="s">
        <v>56</v>
      </c>
      <c r="C51" s="29" t="s">
        <v>2</v>
      </c>
      <c r="D51" s="21">
        <v>320</v>
      </c>
      <c r="E51" s="21">
        <v>144</v>
      </c>
      <c r="F51" s="21">
        <v>176</v>
      </c>
      <c r="G51" s="21">
        <v>12</v>
      </c>
      <c r="H51" s="21">
        <v>10</v>
      </c>
      <c r="I51" s="21">
        <v>22</v>
      </c>
      <c r="J51" s="21">
        <v>20</v>
      </c>
      <c r="K51" s="21">
        <v>39</v>
      </c>
      <c r="L51" s="21">
        <v>20</v>
      </c>
      <c r="M51" s="21">
        <v>36</v>
      </c>
      <c r="N51" s="21">
        <v>34</v>
      </c>
      <c r="O51" s="21">
        <v>22</v>
      </c>
      <c r="P51" s="21">
        <v>49</v>
      </c>
      <c r="Q51" s="21">
        <v>13</v>
      </c>
      <c r="R51" s="21">
        <v>43</v>
      </c>
    </row>
    <row r="52" spans="1:18" s="20" customFormat="1" ht="14.25" customHeight="1" x14ac:dyDescent="0.2">
      <c r="A52" s="87"/>
      <c r="B52" s="30" t="s">
        <v>57</v>
      </c>
      <c r="C52" s="31" t="s">
        <v>225</v>
      </c>
      <c r="D52" s="21">
        <v>55</v>
      </c>
      <c r="E52" s="21">
        <v>19</v>
      </c>
      <c r="F52" s="21">
        <v>36</v>
      </c>
      <c r="G52" s="21">
        <v>0</v>
      </c>
      <c r="H52" s="21">
        <v>2</v>
      </c>
      <c r="I52" s="21">
        <v>5</v>
      </c>
      <c r="J52" s="21">
        <v>0</v>
      </c>
      <c r="K52" s="21">
        <v>7</v>
      </c>
      <c r="L52" s="21">
        <v>6</v>
      </c>
      <c r="M52" s="21">
        <v>1</v>
      </c>
      <c r="N52" s="21">
        <v>6</v>
      </c>
      <c r="O52" s="21">
        <v>3</v>
      </c>
      <c r="P52" s="21">
        <v>14</v>
      </c>
      <c r="Q52" s="21">
        <v>3</v>
      </c>
      <c r="R52" s="21">
        <v>8</v>
      </c>
    </row>
    <row r="53" spans="1:18" s="20" customFormat="1" ht="14.25" customHeight="1" x14ac:dyDescent="0.2">
      <c r="A53" s="64" t="s">
        <v>202</v>
      </c>
      <c r="B53" s="25" t="s">
        <v>55</v>
      </c>
      <c r="C53" s="26" t="s">
        <v>0</v>
      </c>
      <c r="D53" s="27">
        <v>107</v>
      </c>
      <c r="E53" s="27">
        <v>40</v>
      </c>
      <c r="F53" s="27">
        <v>67</v>
      </c>
      <c r="G53" s="27">
        <v>6</v>
      </c>
      <c r="H53" s="27">
        <v>4</v>
      </c>
      <c r="I53" s="27">
        <v>3</v>
      </c>
      <c r="J53" s="27">
        <v>3</v>
      </c>
      <c r="K53" s="27">
        <v>9</v>
      </c>
      <c r="L53" s="27">
        <v>8</v>
      </c>
      <c r="M53" s="27">
        <v>3</v>
      </c>
      <c r="N53" s="27">
        <v>11</v>
      </c>
      <c r="O53" s="27">
        <v>8</v>
      </c>
      <c r="P53" s="27">
        <v>21</v>
      </c>
      <c r="Q53" s="27">
        <v>11</v>
      </c>
      <c r="R53" s="27">
        <v>20</v>
      </c>
    </row>
    <row r="54" spans="1:18" s="20" customFormat="1" ht="14.25" customHeight="1" x14ac:dyDescent="0.2">
      <c r="A54" s="86" t="s">
        <v>13</v>
      </c>
      <c r="B54" s="28" t="s">
        <v>56</v>
      </c>
      <c r="C54" s="29" t="s">
        <v>2</v>
      </c>
      <c r="D54" s="21">
        <v>39</v>
      </c>
      <c r="E54" s="21">
        <v>14</v>
      </c>
      <c r="F54" s="21">
        <v>25</v>
      </c>
      <c r="G54" s="21">
        <v>2</v>
      </c>
      <c r="H54" s="21">
        <v>2</v>
      </c>
      <c r="I54" s="21">
        <v>0</v>
      </c>
      <c r="J54" s="21">
        <v>2</v>
      </c>
      <c r="K54" s="21">
        <v>5</v>
      </c>
      <c r="L54" s="21">
        <v>2</v>
      </c>
      <c r="M54" s="21">
        <v>1</v>
      </c>
      <c r="N54" s="21">
        <v>3</v>
      </c>
      <c r="O54" s="21">
        <v>2</v>
      </c>
      <c r="P54" s="21">
        <v>7</v>
      </c>
      <c r="Q54" s="21">
        <v>4</v>
      </c>
      <c r="R54" s="21">
        <v>9</v>
      </c>
    </row>
    <row r="55" spans="1:18" s="20" customFormat="1" ht="14.25" customHeight="1" x14ac:dyDescent="0.2">
      <c r="A55" s="87"/>
      <c r="B55" s="30" t="s">
        <v>57</v>
      </c>
      <c r="C55" s="31" t="s">
        <v>225</v>
      </c>
      <c r="D55" s="21">
        <v>68</v>
      </c>
      <c r="E55" s="21">
        <v>26</v>
      </c>
      <c r="F55" s="21">
        <v>42</v>
      </c>
      <c r="G55" s="21">
        <v>4</v>
      </c>
      <c r="H55" s="21">
        <v>2</v>
      </c>
      <c r="I55" s="21">
        <v>3</v>
      </c>
      <c r="J55" s="21">
        <v>1</v>
      </c>
      <c r="K55" s="21">
        <v>4</v>
      </c>
      <c r="L55" s="21">
        <v>6</v>
      </c>
      <c r="M55" s="21">
        <v>2</v>
      </c>
      <c r="N55" s="21">
        <v>8</v>
      </c>
      <c r="O55" s="21">
        <v>6</v>
      </c>
      <c r="P55" s="21">
        <v>14</v>
      </c>
      <c r="Q55" s="21">
        <v>7</v>
      </c>
      <c r="R55" s="21">
        <v>11</v>
      </c>
    </row>
    <row r="56" spans="1:18" s="20" customFormat="1" ht="14.25" customHeight="1" x14ac:dyDescent="0.2">
      <c r="A56" s="64" t="s">
        <v>203</v>
      </c>
      <c r="B56" s="25" t="s">
        <v>55</v>
      </c>
      <c r="C56" s="26" t="s">
        <v>0</v>
      </c>
      <c r="D56" s="27">
        <v>326</v>
      </c>
      <c r="E56" s="27">
        <v>138</v>
      </c>
      <c r="F56" s="27">
        <v>188</v>
      </c>
      <c r="G56" s="27">
        <v>27</v>
      </c>
      <c r="H56" s="27">
        <v>11</v>
      </c>
      <c r="I56" s="27">
        <v>32</v>
      </c>
      <c r="J56" s="27">
        <v>22</v>
      </c>
      <c r="K56" s="27">
        <v>29</v>
      </c>
      <c r="L56" s="27">
        <v>22</v>
      </c>
      <c r="M56" s="27">
        <v>26</v>
      </c>
      <c r="N56" s="27">
        <v>25</v>
      </c>
      <c r="O56" s="27">
        <v>19</v>
      </c>
      <c r="P56" s="27">
        <v>65</v>
      </c>
      <c r="Q56" s="27">
        <v>5</v>
      </c>
      <c r="R56" s="27">
        <v>43</v>
      </c>
    </row>
    <row r="57" spans="1:18" s="20" customFormat="1" ht="14.25" customHeight="1" x14ac:dyDescent="0.2">
      <c r="A57" s="86" t="s">
        <v>14</v>
      </c>
      <c r="B57" s="28" t="s">
        <v>56</v>
      </c>
      <c r="C57" s="29" t="s">
        <v>2</v>
      </c>
      <c r="D57" s="21">
        <v>125</v>
      </c>
      <c r="E57" s="21">
        <v>42</v>
      </c>
      <c r="F57" s="21">
        <v>83</v>
      </c>
      <c r="G57" s="21">
        <v>10</v>
      </c>
      <c r="H57" s="21">
        <v>3</v>
      </c>
      <c r="I57" s="21">
        <v>6</v>
      </c>
      <c r="J57" s="21">
        <v>9</v>
      </c>
      <c r="K57" s="21">
        <v>7</v>
      </c>
      <c r="L57" s="21">
        <v>15</v>
      </c>
      <c r="M57" s="21">
        <v>8</v>
      </c>
      <c r="N57" s="21">
        <v>14</v>
      </c>
      <c r="O57" s="21">
        <v>10</v>
      </c>
      <c r="P57" s="21">
        <v>26</v>
      </c>
      <c r="Q57" s="21">
        <v>1</v>
      </c>
      <c r="R57" s="21">
        <v>16</v>
      </c>
    </row>
    <row r="58" spans="1:18" s="20" customFormat="1" ht="14.25" customHeight="1" x14ac:dyDescent="0.2">
      <c r="A58" s="87"/>
      <c r="B58" s="30" t="s">
        <v>57</v>
      </c>
      <c r="C58" s="31" t="s">
        <v>225</v>
      </c>
      <c r="D58" s="21">
        <v>201</v>
      </c>
      <c r="E58" s="21">
        <v>96</v>
      </c>
      <c r="F58" s="21">
        <v>105</v>
      </c>
      <c r="G58" s="21">
        <v>17</v>
      </c>
      <c r="H58" s="21">
        <v>8</v>
      </c>
      <c r="I58" s="21">
        <v>26</v>
      </c>
      <c r="J58" s="21">
        <v>13</v>
      </c>
      <c r="K58" s="21">
        <v>22</v>
      </c>
      <c r="L58" s="21">
        <v>7</v>
      </c>
      <c r="M58" s="21">
        <v>18</v>
      </c>
      <c r="N58" s="21">
        <v>11</v>
      </c>
      <c r="O58" s="21">
        <v>9</v>
      </c>
      <c r="P58" s="21">
        <v>39</v>
      </c>
      <c r="Q58" s="21">
        <v>4</v>
      </c>
      <c r="R58" s="21">
        <v>27</v>
      </c>
    </row>
    <row r="59" spans="1:18" s="20" customFormat="1" ht="14.25" customHeight="1" x14ac:dyDescent="0.2">
      <c r="A59" s="64" t="s">
        <v>204</v>
      </c>
      <c r="B59" s="25" t="s">
        <v>55</v>
      </c>
      <c r="C59" s="26" t="s">
        <v>0</v>
      </c>
      <c r="D59" s="27">
        <v>31</v>
      </c>
      <c r="E59" s="27">
        <v>6</v>
      </c>
      <c r="F59" s="27">
        <v>25</v>
      </c>
      <c r="G59" s="27">
        <v>0</v>
      </c>
      <c r="H59" s="27">
        <v>1</v>
      </c>
      <c r="I59" s="27">
        <v>1</v>
      </c>
      <c r="J59" s="27">
        <v>2</v>
      </c>
      <c r="K59" s="27">
        <v>2</v>
      </c>
      <c r="L59" s="27">
        <v>1</v>
      </c>
      <c r="M59" s="27">
        <v>1</v>
      </c>
      <c r="N59" s="27">
        <v>5</v>
      </c>
      <c r="O59" s="27">
        <v>1</v>
      </c>
      <c r="P59" s="27">
        <v>5</v>
      </c>
      <c r="Q59" s="27">
        <v>1</v>
      </c>
      <c r="R59" s="27">
        <v>11</v>
      </c>
    </row>
    <row r="60" spans="1:18" s="20" customFormat="1" ht="14.25" customHeight="1" x14ac:dyDescent="0.2">
      <c r="A60" s="86" t="s">
        <v>15</v>
      </c>
      <c r="B60" s="28" t="s">
        <v>56</v>
      </c>
      <c r="C60" s="29" t="s">
        <v>2</v>
      </c>
      <c r="D60" s="21">
        <v>29</v>
      </c>
      <c r="E60" s="21">
        <v>6</v>
      </c>
      <c r="F60" s="21">
        <v>23</v>
      </c>
      <c r="G60" s="21">
        <v>0</v>
      </c>
      <c r="H60" s="21">
        <v>1</v>
      </c>
      <c r="I60" s="21">
        <v>1</v>
      </c>
      <c r="J60" s="21">
        <v>2</v>
      </c>
      <c r="K60" s="21">
        <v>2</v>
      </c>
      <c r="L60" s="21">
        <v>0</v>
      </c>
      <c r="M60" s="21">
        <v>1</v>
      </c>
      <c r="N60" s="21">
        <v>5</v>
      </c>
      <c r="O60" s="21">
        <v>1</v>
      </c>
      <c r="P60" s="21">
        <v>5</v>
      </c>
      <c r="Q60" s="21">
        <v>1</v>
      </c>
      <c r="R60" s="21">
        <v>10</v>
      </c>
    </row>
    <row r="61" spans="1:18" s="20" customFormat="1" ht="14.25" customHeight="1" x14ac:dyDescent="0.2">
      <c r="A61" s="87"/>
      <c r="B61" s="30" t="s">
        <v>57</v>
      </c>
      <c r="C61" s="31" t="s">
        <v>225</v>
      </c>
      <c r="D61" s="21">
        <v>2</v>
      </c>
      <c r="E61" s="21">
        <v>0</v>
      </c>
      <c r="F61" s="21">
        <v>2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1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1</v>
      </c>
    </row>
    <row r="62" spans="1:18" s="20" customFormat="1" ht="14.25" customHeight="1" x14ac:dyDescent="0.2">
      <c r="A62" s="64" t="s">
        <v>205</v>
      </c>
      <c r="B62" s="25" t="s">
        <v>55</v>
      </c>
      <c r="C62" s="26" t="s">
        <v>0</v>
      </c>
      <c r="D62" s="27">
        <v>149</v>
      </c>
      <c r="E62" s="27">
        <v>53</v>
      </c>
      <c r="F62" s="27">
        <v>96</v>
      </c>
      <c r="G62" s="27">
        <v>7</v>
      </c>
      <c r="H62" s="27">
        <v>6</v>
      </c>
      <c r="I62" s="27">
        <v>9</v>
      </c>
      <c r="J62" s="27">
        <v>7</v>
      </c>
      <c r="K62" s="27">
        <v>11</v>
      </c>
      <c r="L62" s="27">
        <v>8</v>
      </c>
      <c r="M62" s="27">
        <v>11</v>
      </c>
      <c r="N62" s="27">
        <v>2</v>
      </c>
      <c r="O62" s="27">
        <v>4</v>
      </c>
      <c r="P62" s="27">
        <v>39</v>
      </c>
      <c r="Q62" s="27">
        <v>11</v>
      </c>
      <c r="R62" s="27">
        <v>34</v>
      </c>
    </row>
    <row r="63" spans="1:18" s="20" customFormat="1" ht="14.25" customHeight="1" x14ac:dyDescent="0.2">
      <c r="A63" s="86" t="s">
        <v>16</v>
      </c>
      <c r="B63" s="28" t="s">
        <v>56</v>
      </c>
      <c r="C63" s="29" t="s">
        <v>2</v>
      </c>
      <c r="D63" s="21">
        <v>138</v>
      </c>
      <c r="E63" s="21">
        <v>50</v>
      </c>
      <c r="F63" s="21">
        <v>88</v>
      </c>
      <c r="G63" s="21">
        <v>7</v>
      </c>
      <c r="H63" s="21">
        <v>6</v>
      </c>
      <c r="I63" s="21">
        <v>8</v>
      </c>
      <c r="J63" s="21">
        <v>7</v>
      </c>
      <c r="K63" s="21">
        <v>10</v>
      </c>
      <c r="L63" s="21">
        <v>8</v>
      </c>
      <c r="M63" s="21">
        <v>11</v>
      </c>
      <c r="N63" s="21">
        <v>2</v>
      </c>
      <c r="O63" s="21">
        <v>4</v>
      </c>
      <c r="P63" s="21">
        <v>35</v>
      </c>
      <c r="Q63" s="21">
        <v>10</v>
      </c>
      <c r="R63" s="21">
        <v>30</v>
      </c>
    </row>
    <row r="64" spans="1:18" s="20" customFormat="1" ht="14.25" customHeight="1" x14ac:dyDescent="0.2">
      <c r="A64" s="87"/>
      <c r="B64" s="30" t="s">
        <v>57</v>
      </c>
      <c r="C64" s="31" t="s">
        <v>225</v>
      </c>
      <c r="D64" s="21">
        <v>11</v>
      </c>
      <c r="E64" s="21">
        <v>3</v>
      </c>
      <c r="F64" s="21">
        <v>8</v>
      </c>
      <c r="G64" s="21">
        <v>0</v>
      </c>
      <c r="H64" s="21">
        <v>0</v>
      </c>
      <c r="I64" s="21">
        <v>1</v>
      </c>
      <c r="J64" s="21">
        <v>0</v>
      </c>
      <c r="K64" s="21">
        <v>1</v>
      </c>
      <c r="L64" s="21">
        <v>0</v>
      </c>
      <c r="M64" s="21">
        <v>0</v>
      </c>
      <c r="N64" s="21">
        <v>0</v>
      </c>
      <c r="O64" s="21">
        <v>0</v>
      </c>
      <c r="P64" s="21">
        <v>4</v>
      </c>
      <c r="Q64" s="21">
        <v>1</v>
      </c>
      <c r="R64" s="21">
        <v>4</v>
      </c>
    </row>
    <row r="65" spans="1:18" s="20" customFormat="1" ht="14.25" customHeight="1" x14ac:dyDescent="0.2">
      <c r="A65" s="64" t="s">
        <v>206</v>
      </c>
      <c r="B65" s="25" t="s">
        <v>55</v>
      </c>
      <c r="C65" s="26" t="s">
        <v>0</v>
      </c>
      <c r="D65" s="27">
        <v>219</v>
      </c>
      <c r="E65" s="27">
        <v>92</v>
      </c>
      <c r="F65" s="27">
        <v>127</v>
      </c>
      <c r="G65" s="27">
        <v>8</v>
      </c>
      <c r="H65" s="27">
        <v>8</v>
      </c>
      <c r="I65" s="27">
        <v>18</v>
      </c>
      <c r="J65" s="27">
        <v>16</v>
      </c>
      <c r="K65" s="27">
        <v>19</v>
      </c>
      <c r="L65" s="27">
        <v>13</v>
      </c>
      <c r="M65" s="27">
        <v>20</v>
      </c>
      <c r="N65" s="27">
        <v>20</v>
      </c>
      <c r="O65" s="27">
        <v>17</v>
      </c>
      <c r="P65" s="27">
        <v>32</v>
      </c>
      <c r="Q65" s="27">
        <v>10</v>
      </c>
      <c r="R65" s="27">
        <v>38</v>
      </c>
    </row>
    <row r="66" spans="1:18" s="20" customFormat="1" ht="14.25" customHeight="1" x14ac:dyDescent="0.2">
      <c r="A66" s="86" t="s">
        <v>17</v>
      </c>
      <c r="B66" s="28" t="s">
        <v>56</v>
      </c>
      <c r="C66" s="29" t="s">
        <v>2</v>
      </c>
      <c r="D66" s="21">
        <v>207</v>
      </c>
      <c r="E66" s="21">
        <v>87</v>
      </c>
      <c r="F66" s="21">
        <v>120</v>
      </c>
      <c r="G66" s="21">
        <v>7</v>
      </c>
      <c r="H66" s="21">
        <v>8</v>
      </c>
      <c r="I66" s="21">
        <v>17</v>
      </c>
      <c r="J66" s="21">
        <v>15</v>
      </c>
      <c r="K66" s="21">
        <v>19</v>
      </c>
      <c r="L66" s="21">
        <v>10</v>
      </c>
      <c r="M66" s="21">
        <v>20</v>
      </c>
      <c r="N66" s="21">
        <v>19</v>
      </c>
      <c r="O66" s="21">
        <v>15</v>
      </c>
      <c r="P66" s="21">
        <v>31</v>
      </c>
      <c r="Q66" s="21">
        <v>9</v>
      </c>
      <c r="R66" s="21">
        <v>37</v>
      </c>
    </row>
    <row r="67" spans="1:18" s="20" customFormat="1" ht="14.25" customHeight="1" x14ac:dyDescent="0.2">
      <c r="A67" s="87"/>
      <c r="B67" s="30" t="s">
        <v>57</v>
      </c>
      <c r="C67" s="31" t="s">
        <v>225</v>
      </c>
      <c r="D67" s="21">
        <v>12</v>
      </c>
      <c r="E67" s="21">
        <v>5</v>
      </c>
      <c r="F67" s="21">
        <v>7</v>
      </c>
      <c r="G67" s="21">
        <v>1</v>
      </c>
      <c r="H67" s="21">
        <v>0</v>
      </c>
      <c r="I67" s="21">
        <v>1</v>
      </c>
      <c r="J67" s="21">
        <v>1</v>
      </c>
      <c r="K67" s="21">
        <v>0</v>
      </c>
      <c r="L67" s="21">
        <v>3</v>
      </c>
      <c r="M67" s="21">
        <v>0</v>
      </c>
      <c r="N67" s="21">
        <v>1</v>
      </c>
      <c r="O67" s="21">
        <v>2</v>
      </c>
      <c r="P67" s="21">
        <v>1</v>
      </c>
      <c r="Q67" s="21">
        <v>1</v>
      </c>
      <c r="R67" s="21">
        <v>1</v>
      </c>
    </row>
    <row r="68" spans="1:18" s="20" customFormat="1" ht="14.25" customHeight="1" x14ac:dyDescent="0.2">
      <c r="A68" s="64" t="s">
        <v>207</v>
      </c>
      <c r="B68" s="25" t="s">
        <v>55</v>
      </c>
      <c r="C68" s="26" t="s">
        <v>0</v>
      </c>
      <c r="D68" s="27">
        <v>127</v>
      </c>
      <c r="E68" s="27">
        <v>60</v>
      </c>
      <c r="F68" s="27">
        <v>67</v>
      </c>
      <c r="G68" s="27">
        <v>5</v>
      </c>
      <c r="H68" s="27">
        <v>7</v>
      </c>
      <c r="I68" s="27">
        <v>16</v>
      </c>
      <c r="J68" s="27">
        <v>17</v>
      </c>
      <c r="K68" s="27">
        <v>16</v>
      </c>
      <c r="L68" s="27">
        <v>8</v>
      </c>
      <c r="M68" s="27">
        <v>10</v>
      </c>
      <c r="N68" s="27">
        <v>5</v>
      </c>
      <c r="O68" s="27">
        <v>6</v>
      </c>
      <c r="P68" s="27">
        <v>24</v>
      </c>
      <c r="Q68" s="27">
        <v>7</v>
      </c>
      <c r="R68" s="27">
        <v>6</v>
      </c>
    </row>
    <row r="69" spans="1:18" s="20" customFormat="1" ht="14.25" customHeight="1" x14ac:dyDescent="0.2">
      <c r="A69" s="86" t="s">
        <v>18</v>
      </c>
      <c r="B69" s="28" t="s">
        <v>56</v>
      </c>
      <c r="C69" s="29" t="s">
        <v>2</v>
      </c>
      <c r="D69" s="21">
        <v>127</v>
      </c>
      <c r="E69" s="21">
        <v>60</v>
      </c>
      <c r="F69" s="21">
        <v>67</v>
      </c>
      <c r="G69" s="21">
        <v>5</v>
      </c>
      <c r="H69" s="21">
        <v>7</v>
      </c>
      <c r="I69" s="21">
        <v>16</v>
      </c>
      <c r="J69" s="21">
        <v>17</v>
      </c>
      <c r="K69" s="21">
        <v>16</v>
      </c>
      <c r="L69" s="21">
        <v>8</v>
      </c>
      <c r="M69" s="21">
        <v>10</v>
      </c>
      <c r="N69" s="21">
        <v>5</v>
      </c>
      <c r="O69" s="21">
        <v>6</v>
      </c>
      <c r="P69" s="21">
        <v>24</v>
      </c>
      <c r="Q69" s="21">
        <v>7</v>
      </c>
      <c r="R69" s="21">
        <v>6</v>
      </c>
    </row>
    <row r="70" spans="1:18" s="20" customFormat="1" ht="14.25" customHeight="1" x14ac:dyDescent="0.2">
      <c r="A70" s="87"/>
      <c r="B70" s="30" t="s">
        <v>57</v>
      </c>
      <c r="C70" s="31" t="s">
        <v>225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</row>
    <row r="71" spans="1:18" s="20" customFormat="1" ht="14.25" customHeight="1" x14ac:dyDescent="0.2">
      <c r="A71" s="64" t="s">
        <v>208</v>
      </c>
      <c r="B71" s="25" t="s">
        <v>55</v>
      </c>
      <c r="C71" s="26" t="s">
        <v>0</v>
      </c>
      <c r="D71" s="27">
        <v>46</v>
      </c>
      <c r="E71" s="27">
        <v>24</v>
      </c>
      <c r="F71" s="27">
        <v>22</v>
      </c>
      <c r="G71" s="27">
        <v>4</v>
      </c>
      <c r="H71" s="27">
        <v>1</v>
      </c>
      <c r="I71" s="27">
        <v>2</v>
      </c>
      <c r="J71" s="27">
        <v>8</v>
      </c>
      <c r="K71" s="27">
        <v>6</v>
      </c>
      <c r="L71" s="27">
        <v>0</v>
      </c>
      <c r="M71" s="27">
        <v>7</v>
      </c>
      <c r="N71" s="27">
        <v>1</v>
      </c>
      <c r="O71" s="27">
        <v>3</v>
      </c>
      <c r="P71" s="27">
        <v>4</v>
      </c>
      <c r="Q71" s="27">
        <v>2</v>
      </c>
      <c r="R71" s="27">
        <v>8</v>
      </c>
    </row>
    <row r="72" spans="1:18" s="20" customFormat="1" ht="14.25" customHeight="1" x14ac:dyDescent="0.2">
      <c r="A72" s="86" t="s">
        <v>19</v>
      </c>
      <c r="B72" s="28" t="s">
        <v>56</v>
      </c>
      <c r="C72" s="29" t="s">
        <v>2</v>
      </c>
      <c r="D72" s="21">
        <v>46</v>
      </c>
      <c r="E72" s="21">
        <v>24</v>
      </c>
      <c r="F72" s="21">
        <v>22</v>
      </c>
      <c r="G72" s="21">
        <v>4</v>
      </c>
      <c r="H72" s="21">
        <v>1</v>
      </c>
      <c r="I72" s="21">
        <v>2</v>
      </c>
      <c r="J72" s="21">
        <v>8</v>
      </c>
      <c r="K72" s="21">
        <v>6</v>
      </c>
      <c r="L72" s="21">
        <v>0</v>
      </c>
      <c r="M72" s="21">
        <v>7</v>
      </c>
      <c r="N72" s="21">
        <v>1</v>
      </c>
      <c r="O72" s="21">
        <v>3</v>
      </c>
      <c r="P72" s="21">
        <v>4</v>
      </c>
      <c r="Q72" s="21">
        <v>2</v>
      </c>
      <c r="R72" s="21">
        <v>8</v>
      </c>
    </row>
    <row r="73" spans="1:18" s="20" customFormat="1" ht="14.25" customHeight="1" x14ac:dyDescent="0.2">
      <c r="A73" s="87"/>
      <c r="B73" s="30" t="s">
        <v>57</v>
      </c>
      <c r="C73" s="31" t="s">
        <v>225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</row>
    <row r="74" spans="1:18" s="20" customFormat="1" ht="14.25" customHeight="1" x14ac:dyDescent="0.2">
      <c r="A74" s="64" t="s">
        <v>209</v>
      </c>
      <c r="B74" s="25" t="s">
        <v>55</v>
      </c>
      <c r="C74" s="26" t="s">
        <v>0</v>
      </c>
      <c r="D74" s="27">
        <v>15</v>
      </c>
      <c r="E74" s="27">
        <v>6</v>
      </c>
      <c r="F74" s="27">
        <v>9</v>
      </c>
      <c r="G74" s="27">
        <v>0</v>
      </c>
      <c r="H74" s="27">
        <v>0</v>
      </c>
      <c r="I74" s="27">
        <v>0</v>
      </c>
      <c r="J74" s="27">
        <v>0</v>
      </c>
      <c r="K74" s="27">
        <v>2</v>
      </c>
      <c r="L74" s="27">
        <v>0</v>
      </c>
      <c r="M74" s="27">
        <v>3</v>
      </c>
      <c r="N74" s="27">
        <v>2</v>
      </c>
      <c r="O74" s="27">
        <v>0</v>
      </c>
      <c r="P74" s="27">
        <v>7</v>
      </c>
      <c r="Q74" s="27">
        <v>1</v>
      </c>
      <c r="R74" s="27">
        <v>0</v>
      </c>
    </row>
    <row r="75" spans="1:18" s="20" customFormat="1" ht="14.25" customHeight="1" x14ac:dyDescent="0.2">
      <c r="A75" s="86" t="s">
        <v>20</v>
      </c>
      <c r="B75" s="28" t="s">
        <v>56</v>
      </c>
      <c r="C75" s="29" t="s">
        <v>2</v>
      </c>
      <c r="D75" s="21">
        <v>12</v>
      </c>
      <c r="E75" s="21">
        <v>6</v>
      </c>
      <c r="F75" s="21">
        <v>6</v>
      </c>
      <c r="G75" s="21">
        <v>0</v>
      </c>
      <c r="H75" s="21">
        <v>0</v>
      </c>
      <c r="I75" s="21">
        <v>0</v>
      </c>
      <c r="J75" s="21">
        <v>0</v>
      </c>
      <c r="K75" s="21">
        <v>2</v>
      </c>
      <c r="L75" s="21">
        <v>0</v>
      </c>
      <c r="M75" s="21">
        <v>3</v>
      </c>
      <c r="N75" s="21">
        <v>2</v>
      </c>
      <c r="O75" s="21">
        <v>0</v>
      </c>
      <c r="P75" s="21">
        <v>4</v>
      </c>
      <c r="Q75" s="21">
        <v>1</v>
      </c>
      <c r="R75" s="21">
        <v>0</v>
      </c>
    </row>
    <row r="76" spans="1:18" s="20" customFormat="1" ht="14.25" customHeight="1" x14ac:dyDescent="0.2">
      <c r="A76" s="87"/>
      <c r="B76" s="30" t="s">
        <v>57</v>
      </c>
      <c r="C76" s="31" t="s">
        <v>225</v>
      </c>
      <c r="D76" s="22">
        <v>3</v>
      </c>
      <c r="E76" s="22">
        <v>0</v>
      </c>
      <c r="F76" s="22">
        <v>3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3</v>
      </c>
      <c r="Q76" s="22">
        <v>0</v>
      </c>
      <c r="R76" s="22">
        <v>0</v>
      </c>
    </row>
    <row r="77" spans="1:18" s="17" customFormat="1" ht="14.25" customHeight="1" x14ac:dyDescent="0.2">
      <c r="A77" s="17" t="s">
        <v>80</v>
      </c>
    </row>
    <row r="78" spans="1:18" s="17" customFormat="1" ht="14.25" customHeight="1" x14ac:dyDescent="0.2">
      <c r="A78" s="23" t="s">
        <v>24</v>
      </c>
    </row>
    <row r="79" spans="1:18" s="17" customFormat="1" ht="14.25" customHeight="1" x14ac:dyDescent="0.2">
      <c r="A79" s="4"/>
    </row>
    <row r="80" spans="1:18" s="17" customFormat="1" ht="14.25" customHeight="1" x14ac:dyDescent="0.2">
      <c r="A80" s="52" t="s">
        <v>227</v>
      </c>
    </row>
  </sheetData>
  <mergeCells count="47">
    <mergeCell ref="A75:A76"/>
    <mergeCell ref="A57:A58"/>
    <mergeCell ref="A60:A61"/>
    <mergeCell ref="A63:A64"/>
    <mergeCell ref="A66:A67"/>
    <mergeCell ref="A69:A70"/>
    <mergeCell ref="A72:A73"/>
    <mergeCell ref="A54:A55"/>
    <mergeCell ref="A21:A22"/>
    <mergeCell ref="A24:A25"/>
    <mergeCell ref="A27:A28"/>
    <mergeCell ref="A30:A31"/>
    <mergeCell ref="A33:A34"/>
    <mergeCell ref="A36:A37"/>
    <mergeCell ref="A39:A40"/>
    <mergeCell ref="A42:A43"/>
    <mergeCell ref="A45:A46"/>
    <mergeCell ref="A48:A49"/>
    <mergeCell ref="A51:A52"/>
    <mergeCell ref="A9:A10"/>
    <mergeCell ref="A12:A13"/>
    <mergeCell ref="A15:A16"/>
    <mergeCell ref="O6:O7"/>
    <mergeCell ref="P6:P7"/>
    <mergeCell ref="A18:A19"/>
    <mergeCell ref="K6:K7"/>
    <mergeCell ref="L6:L7"/>
    <mergeCell ref="M6:M7"/>
    <mergeCell ref="N6:N7"/>
    <mergeCell ref="E6:E7"/>
    <mergeCell ref="F6:F7"/>
    <mergeCell ref="G6:G7"/>
    <mergeCell ref="H6:H7"/>
    <mergeCell ref="I6:I7"/>
    <mergeCell ref="J6:J7"/>
    <mergeCell ref="A4:C7"/>
    <mergeCell ref="D4:R4"/>
    <mergeCell ref="D5:F5"/>
    <mergeCell ref="G5:H5"/>
    <mergeCell ref="I5:J5"/>
    <mergeCell ref="K5:L5"/>
    <mergeCell ref="M5:N5"/>
    <mergeCell ref="O5:P5"/>
    <mergeCell ref="Q5:R5"/>
    <mergeCell ref="D6:D7"/>
    <mergeCell ref="Q6:Q7"/>
    <mergeCell ref="R6:R7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 alignWithMargins="0">
    <oddHeader>&amp;L&amp;"微軟正黑體,標準"&amp;16兒童及少年保護執行概況&amp;C&amp;"微軟正黑體,標準"&amp;16
&amp;R&amp;"微軟正黑體,標準"本表共&amp;N頁，第&amp;P頁</oddHeader>
  </headerFooter>
  <rowBreaks count="1" manualBreakCount="1">
    <brk id="43" max="17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80"/>
  <sheetViews>
    <sheetView zoomScaleNormal="100" zoomScaleSheetLayoutView="100" workbookViewId="0">
      <pane xSplit="4" ySplit="8" topLeftCell="E51" activePane="bottomRight" state="frozen"/>
      <selection activeCell="Y67" sqref="Y67"/>
      <selection pane="topRight" activeCell="Y67" sqref="Y67"/>
      <selection pane="bottomLeft" activeCell="Y67" sqref="Y67"/>
      <selection pane="bottomRight" activeCell="Y67" sqref="Y67"/>
    </sheetView>
  </sheetViews>
  <sheetFormatPr defaultColWidth="5.5" defaultRowHeight="11.1" customHeight="1" x14ac:dyDescent="0.2"/>
  <cols>
    <col min="1" max="1" width="19.1640625" style="4" customWidth="1"/>
    <col min="2" max="2" width="10.33203125" style="4" customWidth="1"/>
    <col min="3" max="3" width="13.1640625" style="4" customWidth="1"/>
    <col min="4" max="18" width="11.5" style="4" customWidth="1"/>
    <col min="19" max="16384" width="5.5" style="4"/>
  </cols>
  <sheetData>
    <row r="1" spans="1:18" ht="20.25" customHeight="1" x14ac:dyDescent="0.2">
      <c r="A1" s="46" t="s">
        <v>174</v>
      </c>
      <c r="B1" s="1"/>
      <c r="C1" s="1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4.25" customHeight="1" x14ac:dyDescent="0.2">
      <c r="A2" s="17" t="s">
        <v>148</v>
      </c>
      <c r="B2"/>
      <c r="C2"/>
      <c r="D2" s="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</row>
    <row r="3" spans="1:18" s="17" customFormat="1" ht="12.75" customHeight="1" x14ac:dyDescent="0.2">
      <c r="A3" s="53" t="s">
        <v>222</v>
      </c>
      <c r="B3" s="16"/>
      <c r="C3" s="16"/>
      <c r="D3" s="4" t="str">
        <f>IF(D8=SUM(D11,D14,D17,D20,D23,D26,D29,D32,D35,D38,D41,D44,D47,D50,D53,D56,D59,D62,D65,D68,D71,D74,),"","*")</f>
        <v/>
      </c>
      <c r="E3" s="4" t="str">
        <f t="shared" ref="E3:R3" si="0">IF(E8=SUM(E11,E14,E17,E20,E23,E26,E29,E32,E35,E38,E41,E44,E47,E50,E53,E56,E59,E62,E65,E68,E71,E74,),"","*")</f>
        <v/>
      </c>
      <c r="F3" s="4" t="str">
        <f t="shared" si="0"/>
        <v/>
      </c>
      <c r="G3" s="4" t="str">
        <f t="shared" si="0"/>
        <v/>
      </c>
      <c r="H3" s="4" t="str">
        <f t="shared" si="0"/>
        <v/>
      </c>
      <c r="I3" s="4" t="str">
        <f t="shared" si="0"/>
        <v/>
      </c>
      <c r="J3" s="4" t="str">
        <f t="shared" si="0"/>
        <v/>
      </c>
      <c r="K3" s="4" t="str">
        <f t="shared" si="0"/>
        <v/>
      </c>
      <c r="L3" s="4" t="str">
        <f t="shared" si="0"/>
        <v/>
      </c>
      <c r="M3" s="4" t="str">
        <f t="shared" si="0"/>
        <v/>
      </c>
      <c r="N3" s="4" t="str">
        <f t="shared" si="0"/>
        <v/>
      </c>
      <c r="O3" s="4" t="str">
        <f t="shared" si="0"/>
        <v/>
      </c>
      <c r="P3" s="4" t="str">
        <f t="shared" si="0"/>
        <v/>
      </c>
      <c r="Q3" s="4" t="str">
        <f t="shared" si="0"/>
        <v/>
      </c>
      <c r="R3" s="4" t="str">
        <f t="shared" si="0"/>
        <v/>
      </c>
    </row>
    <row r="4" spans="1:18" s="18" customFormat="1" ht="15.6" customHeight="1" x14ac:dyDescent="0.2">
      <c r="A4" s="94" t="s">
        <v>42</v>
      </c>
      <c r="B4" s="95"/>
      <c r="C4" s="96"/>
      <c r="D4" s="76" t="s">
        <v>43</v>
      </c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</row>
    <row r="5" spans="1:18" s="18" customFormat="1" ht="28.9" customHeight="1" x14ac:dyDescent="0.2">
      <c r="A5" s="97"/>
      <c r="B5" s="98"/>
      <c r="C5" s="99"/>
      <c r="D5" s="78" t="s">
        <v>44</v>
      </c>
      <c r="E5" s="79"/>
      <c r="F5" s="80"/>
      <c r="G5" s="103" t="s">
        <v>45</v>
      </c>
      <c r="H5" s="104"/>
      <c r="I5" s="103" t="s">
        <v>46</v>
      </c>
      <c r="J5" s="104"/>
      <c r="K5" s="103" t="s">
        <v>47</v>
      </c>
      <c r="L5" s="104"/>
      <c r="M5" s="103" t="s">
        <v>48</v>
      </c>
      <c r="N5" s="104"/>
      <c r="O5" s="103" t="s">
        <v>49</v>
      </c>
      <c r="P5" s="104"/>
      <c r="Q5" s="103" t="s">
        <v>50</v>
      </c>
      <c r="R5" s="105"/>
    </row>
    <row r="6" spans="1:18" s="18" customFormat="1" ht="12.75" x14ac:dyDescent="0.2">
      <c r="A6" s="97"/>
      <c r="B6" s="98"/>
      <c r="C6" s="99"/>
      <c r="D6" s="72" t="s">
        <v>51</v>
      </c>
      <c r="E6" s="92" t="s">
        <v>52</v>
      </c>
      <c r="F6" s="90" t="s">
        <v>53</v>
      </c>
      <c r="G6" s="90" t="s">
        <v>52</v>
      </c>
      <c r="H6" s="90" t="s">
        <v>53</v>
      </c>
      <c r="I6" s="90" t="s">
        <v>52</v>
      </c>
      <c r="J6" s="90" t="s">
        <v>53</v>
      </c>
      <c r="K6" s="90" t="s">
        <v>52</v>
      </c>
      <c r="L6" s="90" t="s">
        <v>53</v>
      </c>
      <c r="M6" s="90" t="s">
        <v>52</v>
      </c>
      <c r="N6" s="90" t="s">
        <v>53</v>
      </c>
      <c r="O6" s="90" t="s">
        <v>52</v>
      </c>
      <c r="P6" s="90" t="s">
        <v>53</v>
      </c>
      <c r="Q6" s="90" t="s">
        <v>52</v>
      </c>
      <c r="R6" s="94" t="s">
        <v>53</v>
      </c>
    </row>
    <row r="7" spans="1:18" s="19" customFormat="1" ht="12.75" x14ac:dyDescent="0.2">
      <c r="A7" s="100"/>
      <c r="B7" s="101"/>
      <c r="C7" s="102"/>
      <c r="D7" s="75"/>
      <c r="E7" s="93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100"/>
    </row>
    <row r="8" spans="1:18" s="59" customFormat="1" ht="18" customHeight="1" x14ac:dyDescent="0.2">
      <c r="A8" s="63" t="s">
        <v>186</v>
      </c>
      <c r="B8" s="56" t="s">
        <v>187</v>
      </c>
      <c r="C8" s="57" t="s">
        <v>0</v>
      </c>
      <c r="D8" s="58">
        <v>5039</v>
      </c>
      <c r="E8" s="58">
        <v>2315</v>
      </c>
      <c r="F8" s="58">
        <v>2724</v>
      </c>
      <c r="G8" s="58">
        <v>307</v>
      </c>
      <c r="H8" s="58">
        <v>225</v>
      </c>
      <c r="I8" s="58">
        <v>370</v>
      </c>
      <c r="J8" s="58">
        <v>333</v>
      </c>
      <c r="K8" s="58">
        <v>566</v>
      </c>
      <c r="L8" s="58">
        <v>330</v>
      </c>
      <c r="M8" s="58">
        <v>486</v>
      </c>
      <c r="N8" s="58">
        <v>344</v>
      </c>
      <c r="O8" s="58">
        <v>403</v>
      </c>
      <c r="P8" s="58">
        <v>819</v>
      </c>
      <c r="Q8" s="58">
        <v>183</v>
      </c>
      <c r="R8" s="58">
        <v>673</v>
      </c>
    </row>
    <row r="9" spans="1:18" s="59" customFormat="1" ht="14.25" customHeight="1" x14ac:dyDescent="0.2">
      <c r="A9" s="88" t="s">
        <v>1</v>
      </c>
      <c r="B9" s="60" t="s">
        <v>188</v>
      </c>
      <c r="C9" s="61" t="s">
        <v>2</v>
      </c>
      <c r="D9" s="62">
        <v>4540</v>
      </c>
      <c r="E9" s="62">
        <v>2086</v>
      </c>
      <c r="F9" s="62">
        <v>2454</v>
      </c>
      <c r="G9" s="62">
        <v>271</v>
      </c>
      <c r="H9" s="62">
        <v>211</v>
      </c>
      <c r="I9" s="62">
        <v>325</v>
      </c>
      <c r="J9" s="62">
        <v>306</v>
      </c>
      <c r="K9" s="62">
        <v>502</v>
      </c>
      <c r="L9" s="62">
        <v>293</v>
      </c>
      <c r="M9" s="62">
        <v>458</v>
      </c>
      <c r="N9" s="62">
        <v>298</v>
      </c>
      <c r="O9" s="62">
        <v>369</v>
      </c>
      <c r="P9" s="62">
        <v>742</v>
      </c>
      <c r="Q9" s="62">
        <v>161</v>
      </c>
      <c r="R9" s="62">
        <v>604</v>
      </c>
    </row>
    <row r="10" spans="1:18" s="59" customFormat="1" ht="14.25" customHeight="1" x14ac:dyDescent="0.2">
      <c r="A10" s="89"/>
      <c r="B10" s="60" t="s">
        <v>189</v>
      </c>
      <c r="C10" s="61" t="s">
        <v>225</v>
      </c>
      <c r="D10" s="62">
        <v>499</v>
      </c>
      <c r="E10" s="62">
        <v>229</v>
      </c>
      <c r="F10" s="62">
        <v>270</v>
      </c>
      <c r="G10" s="62">
        <v>36</v>
      </c>
      <c r="H10" s="62">
        <v>14</v>
      </c>
      <c r="I10" s="62">
        <v>45</v>
      </c>
      <c r="J10" s="62">
        <v>27</v>
      </c>
      <c r="K10" s="62">
        <v>64</v>
      </c>
      <c r="L10" s="62">
        <v>37</v>
      </c>
      <c r="M10" s="62">
        <v>28</v>
      </c>
      <c r="N10" s="62">
        <v>46</v>
      </c>
      <c r="O10" s="62">
        <v>34</v>
      </c>
      <c r="P10" s="62">
        <v>77</v>
      </c>
      <c r="Q10" s="62">
        <v>22</v>
      </c>
      <c r="R10" s="62">
        <v>69</v>
      </c>
    </row>
    <row r="11" spans="1:18" s="20" customFormat="1" ht="14.25" customHeight="1" x14ac:dyDescent="0.2">
      <c r="A11" s="64" t="s">
        <v>210</v>
      </c>
      <c r="B11" s="25" t="s">
        <v>55</v>
      </c>
      <c r="C11" s="26" t="s">
        <v>0</v>
      </c>
      <c r="D11" s="27">
        <v>1014</v>
      </c>
      <c r="E11" s="27">
        <v>463</v>
      </c>
      <c r="F11" s="27">
        <v>551</v>
      </c>
      <c r="G11" s="27">
        <v>33</v>
      </c>
      <c r="H11" s="27">
        <v>20</v>
      </c>
      <c r="I11" s="27">
        <v>45</v>
      </c>
      <c r="J11" s="27">
        <v>48</v>
      </c>
      <c r="K11" s="27">
        <v>113</v>
      </c>
      <c r="L11" s="27">
        <v>72</v>
      </c>
      <c r="M11" s="27">
        <v>145</v>
      </c>
      <c r="N11" s="27">
        <v>82</v>
      </c>
      <c r="O11" s="27">
        <v>87</v>
      </c>
      <c r="P11" s="27">
        <v>176</v>
      </c>
      <c r="Q11" s="27">
        <v>40</v>
      </c>
      <c r="R11" s="27">
        <v>153</v>
      </c>
    </row>
    <row r="12" spans="1:18" s="20" customFormat="1" ht="14.25" customHeight="1" x14ac:dyDescent="0.2">
      <c r="A12" s="86" t="s">
        <v>3</v>
      </c>
      <c r="B12" s="28" t="s">
        <v>56</v>
      </c>
      <c r="C12" s="29" t="s">
        <v>2</v>
      </c>
      <c r="D12" s="21">
        <v>960</v>
      </c>
      <c r="E12" s="21">
        <v>444</v>
      </c>
      <c r="F12" s="21">
        <v>516</v>
      </c>
      <c r="G12" s="21">
        <v>33</v>
      </c>
      <c r="H12" s="21">
        <v>19</v>
      </c>
      <c r="I12" s="21">
        <v>41</v>
      </c>
      <c r="J12" s="21">
        <v>44</v>
      </c>
      <c r="K12" s="21">
        <v>105</v>
      </c>
      <c r="L12" s="21">
        <v>67</v>
      </c>
      <c r="M12" s="21">
        <v>141</v>
      </c>
      <c r="N12" s="21">
        <v>78</v>
      </c>
      <c r="O12" s="21">
        <v>86</v>
      </c>
      <c r="P12" s="21">
        <v>161</v>
      </c>
      <c r="Q12" s="21">
        <v>38</v>
      </c>
      <c r="R12" s="21">
        <v>147</v>
      </c>
    </row>
    <row r="13" spans="1:18" s="20" customFormat="1" ht="14.25" customHeight="1" x14ac:dyDescent="0.2">
      <c r="A13" s="87"/>
      <c r="B13" s="28" t="s">
        <v>57</v>
      </c>
      <c r="C13" s="29" t="s">
        <v>225</v>
      </c>
      <c r="D13" s="21">
        <v>54</v>
      </c>
      <c r="E13" s="21">
        <v>19</v>
      </c>
      <c r="F13" s="21">
        <v>35</v>
      </c>
      <c r="G13" s="21">
        <v>0</v>
      </c>
      <c r="H13" s="21">
        <v>1</v>
      </c>
      <c r="I13" s="21">
        <v>4</v>
      </c>
      <c r="J13" s="21">
        <v>4</v>
      </c>
      <c r="K13" s="21">
        <v>8</v>
      </c>
      <c r="L13" s="21">
        <v>5</v>
      </c>
      <c r="M13" s="21">
        <v>4</v>
      </c>
      <c r="N13" s="21">
        <v>4</v>
      </c>
      <c r="O13" s="21">
        <v>1</v>
      </c>
      <c r="P13" s="21">
        <v>15</v>
      </c>
      <c r="Q13" s="21">
        <v>2</v>
      </c>
      <c r="R13" s="21">
        <v>6</v>
      </c>
    </row>
    <row r="14" spans="1:18" s="20" customFormat="1" ht="14.25" customHeight="1" x14ac:dyDescent="0.2">
      <c r="A14" s="64" t="s">
        <v>211</v>
      </c>
      <c r="B14" s="25" t="s">
        <v>55</v>
      </c>
      <c r="C14" s="26" t="s">
        <v>0</v>
      </c>
      <c r="D14" s="27">
        <v>506</v>
      </c>
      <c r="E14" s="27">
        <v>246</v>
      </c>
      <c r="F14" s="27">
        <v>260</v>
      </c>
      <c r="G14" s="27">
        <v>38</v>
      </c>
      <c r="H14" s="27">
        <v>25</v>
      </c>
      <c r="I14" s="27">
        <v>49</v>
      </c>
      <c r="J14" s="27">
        <v>61</v>
      </c>
      <c r="K14" s="27">
        <v>45</v>
      </c>
      <c r="L14" s="27">
        <v>36</v>
      </c>
      <c r="M14" s="27">
        <v>41</v>
      </c>
      <c r="N14" s="27">
        <v>19</v>
      </c>
      <c r="O14" s="27">
        <v>52</v>
      </c>
      <c r="P14" s="27">
        <v>71</v>
      </c>
      <c r="Q14" s="27">
        <v>21</v>
      </c>
      <c r="R14" s="27">
        <v>48</v>
      </c>
    </row>
    <row r="15" spans="1:18" s="20" customFormat="1" ht="14.25" customHeight="1" x14ac:dyDescent="0.2">
      <c r="A15" s="86" t="s">
        <v>4</v>
      </c>
      <c r="B15" s="28" t="s">
        <v>56</v>
      </c>
      <c r="C15" s="29" t="s">
        <v>2</v>
      </c>
      <c r="D15" s="21">
        <v>500</v>
      </c>
      <c r="E15" s="21">
        <v>243</v>
      </c>
      <c r="F15" s="21">
        <v>257</v>
      </c>
      <c r="G15" s="21">
        <v>38</v>
      </c>
      <c r="H15" s="21">
        <v>24</v>
      </c>
      <c r="I15" s="21">
        <v>48</v>
      </c>
      <c r="J15" s="21">
        <v>61</v>
      </c>
      <c r="K15" s="21">
        <v>43</v>
      </c>
      <c r="L15" s="21">
        <v>35</v>
      </c>
      <c r="M15" s="21">
        <v>41</v>
      </c>
      <c r="N15" s="21">
        <v>19</v>
      </c>
      <c r="O15" s="21">
        <v>52</v>
      </c>
      <c r="P15" s="21">
        <v>70</v>
      </c>
      <c r="Q15" s="21">
        <v>21</v>
      </c>
      <c r="R15" s="21">
        <v>48</v>
      </c>
    </row>
    <row r="16" spans="1:18" s="20" customFormat="1" ht="14.25" customHeight="1" x14ac:dyDescent="0.2">
      <c r="A16" s="87"/>
      <c r="B16" s="30" t="s">
        <v>57</v>
      </c>
      <c r="C16" s="31" t="s">
        <v>225</v>
      </c>
      <c r="D16" s="21">
        <v>6</v>
      </c>
      <c r="E16" s="21">
        <v>3</v>
      </c>
      <c r="F16" s="21">
        <v>3</v>
      </c>
      <c r="G16" s="21">
        <v>0</v>
      </c>
      <c r="H16" s="21">
        <v>1</v>
      </c>
      <c r="I16" s="21">
        <v>1</v>
      </c>
      <c r="J16" s="21">
        <v>0</v>
      </c>
      <c r="K16" s="21">
        <v>2</v>
      </c>
      <c r="L16" s="21">
        <v>1</v>
      </c>
      <c r="M16" s="21">
        <v>0</v>
      </c>
      <c r="N16" s="21">
        <v>0</v>
      </c>
      <c r="O16" s="21">
        <v>0</v>
      </c>
      <c r="P16" s="21">
        <v>1</v>
      </c>
      <c r="Q16" s="21">
        <v>0</v>
      </c>
      <c r="R16" s="21">
        <v>0</v>
      </c>
    </row>
    <row r="17" spans="1:18" s="20" customFormat="1" ht="14.25" customHeight="1" x14ac:dyDescent="0.2">
      <c r="A17" s="64" t="s">
        <v>212</v>
      </c>
      <c r="B17" s="25" t="s">
        <v>55</v>
      </c>
      <c r="C17" s="26" t="s">
        <v>0</v>
      </c>
      <c r="D17" s="27">
        <v>545</v>
      </c>
      <c r="E17" s="27">
        <v>259</v>
      </c>
      <c r="F17" s="27">
        <v>286</v>
      </c>
      <c r="G17" s="27">
        <v>36</v>
      </c>
      <c r="H17" s="27">
        <v>35</v>
      </c>
      <c r="I17" s="27">
        <v>45</v>
      </c>
      <c r="J17" s="27">
        <v>16</v>
      </c>
      <c r="K17" s="27">
        <v>71</v>
      </c>
      <c r="L17" s="27">
        <v>23</v>
      </c>
      <c r="M17" s="27">
        <v>54</v>
      </c>
      <c r="N17" s="27">
        <v>39</v>
      </c>
      <c r="O17" s="27">
        <v>36</v>
      </c>
      <c r="P17" s="27">
        <v>97</v>
      </c>
      <c r="Q17" s="27">
        <v>17</v>
      </c>
      <c r="R17" s="27">
        <v>76</v>
      </c>
    </row>
    <row r="18" spans="1:18" s="20" customFormat="1" ht="14.25" customHeight="1" x14ac:dyDescent="0.2">
      <c r="A18" s="86" t="s">
        <v>25</v>
      </c>
      <c r="B18" s="28" t="s">
        <v>56</v>
      </c>
      <c r="C18" s="29" t="s">
        <v>2</v>
      </c>
      <c r="D18" s="21">
        <v>447</v>
      </c>
      <c r="E18" s="21">
        <v>205</v>
      </c>
      <c r="F18" s="21">
        <v>242</v>
      </c>
      <c r="G18" s="21">
        <v>27</v>
      </c>
      <c r="H18" s="21">
        <v>34</v>
      </c>
      <c r="I18" s="21">
        <v>37</v>
      </c>
      <c r="J18" s="21">
        <v>15</v>
      </c>
      <c r="K18" s="21">
        <v>52</v>
      </c>
      <c r="L18" s="21">
        <v>20</v>
      </c>
      <c r="M18" s="21">
        <v>44</v>
      </c>
      <c r="N18" s="21">
        <v>27</v>
      </c>
      <c r="O18" s="21">
        <v>32</v>
      </c>
      <c r="P18" s="21">
        <v>83</v>
      </c>
      <c r="Q18" s="21">
        <v>13</v>
      </c>
      <c r="R18" s="21">
        <v>63</v>
      </c>
    </row>
    <row r="19" spans="1:18" s="20" customFormat="1" ht="14.25" customHeight="1" x14ac:dyDescent="0.2">
      <c r="A19" s="87"/>
      <c r="B19" s="30" t="s">
        <v>57</v>
      </c>
      <c r="C19" s="31" t="s">
        <v>225</v>
      </c>
      <c r="D19" s="21">
        <v>98</v>
      </c>
      <c r="E19" s="21">
        <v>54</v>
      </c>
      <c r="F19" s="21">
        <v>44</v>
      </c>
      <c r="G19" s="21">
        <v>9</v>
      </c>
      <c r="H19" s="21">
        <v>1</v>
      </c>
      <c r="I19" s="21">
        <v>8</v>
      </c>
      <c r="J19" s="21">
        <v>1</v>
      </c>
      <c r="K19" s="21">
        <v>19</v>
      </c>
      <c r="L19" s="21">
        <v>3</v>
      </c>
      <c r="M19" s="21">
        <v>10</v>
      </c>
      <c r="N19" s="21">
        <v>12</v>
      </c>
      <c r="O19" s="21">
        <v>4</v>
      </c>
      <c r="P19" s="21">
        <v>14</v>
      </c>
      <c r="Q19" s="21">
        <v>4</v>
      </c>
      <c r="R19" s="21">
        <v>13</v>
      </c>
    </row>
    <row r="20" spans="1:18" s="20" customFormat="1" ht="14.25" customHeight="1" x14ac:dyDescent="0.2">
      <c r="A20" s="64" t="s">
        <v>213</v>
      </c>
      <c r="B20" s="25" t="s">
        <v>55</v>
      </c>
      <c r="C20" s="26" t="s">
        <v>0</v>
      </c>
      <c r="D20" s="27">
        <v>622</v>
      </c>
      <c r="E20" s="27">
        <v>315</v>
      </c>
      <c r="F20" s="27">
        <v>307</v>
      </c>
      <c r="G20" s="27">
        <v>44</v>
      </c>
      <c r="H20" s="27">
        <v>18</v>
      </c>
      <c r="I20" s="27">
        <v>46</v>
      </c>
      <c r="J20" s="27">
        <v>53</v>
      </c>
      <c r="K20" s="27">
        <v>85</v>
      </c>
      <c r="L20" s="27">
        <v>39</v>
      </c>
      <c r="M20" s="27">
        <v>74</v>
      </c>
      <c r="N20" s="27">
        <v>42</v>
      </c>
      <c r="O20" s="27">
        <v>44</v>
      </c>
      <c r="P20" s="27">
        <v>89</v>
      </c>
      <c r="Q20" s="27">
        <v>22</v>
      </c>
      <c r="R20" s="27">
        <v>66</v>
      </c>
    </row>
    <row r="21" spans="1:18" s="20" customFormat="1" ht="14.25" customHeight="1" x14ac:dyDescent="0.2">
      <c r="A21" s="86" t="s">
        <v>21</v>
      </c>
      <c r="B21" s="28" t="s">
        <v>56</v>
      </c>
      <c r="C21" s="29" t="s">
        <v>2</v>
      </c>
      <c r="D21" s="21">
        <v>589</v>
      </c>
      <c r="E21" s="21">
        <v>303</v>
      </c>
      <c r="F21" s="21">
        <v>286</v>
      </c>
      <c r="G21" s="21">
        <v>43</v>
      </c>
      <c r="H21" s="21">
        <v>17</v>
      </c>
      <c r="I21" s="21">
        <v>44</v>
      </c>
      <c r="J21" s="21">
        <v>49</v>
      </c>
      <c r="K21" s="21">
        <v>84</v>
      </c>
      <c r="L21" s="21">
        <v>34</v>
      </c>
      <c r="M21" s="21">
        <v>72</v>
      </c>
      <c r="N21" s="21">
        <v>41</v>
      </c>
      <c r="O21" s="21">
        <v>40</v>
      </c>
      <c r="P21" s="21">
        <v>82</v>
      </c>
      <c r="Q21" s="21">
        <v>20</v>
      </c>
      <c r="R21" s="21">
        <v>63</v>
      </c>
    </row>
    <row r="22" spans="1:18" s="20" customFormat="1" ht="14.25" customHeight="1" x14ac:dyDescent="0.2">
      <c r="A22" s="87"/>
      <c r="B22" s="30" t="s">
        <v>57</v>
      </c>
      <c r="C22" s="31" t="s">
        <v>225</v>
      </c>
      <c r="D22" s="21">
        <v>33</v>
      </c>
      <c r="E22" s="21">
        <v>12</v>
      </c>
      <c r="F22" s="21">
        <v>21</v>
      </c>
      <c r="G22" s="21">
        <v>1</v>
      </c>
      <c r="H22" s="21">
        <v>1</v>
      </c>
      <c r="I22" s="21">
        <v>2</v>
      </c>
      <c r="J22" s="21">
        <v>4</v>
      </c>
      <c r="K22" s="21">
        <v>1</v>
      </c>
      <c r="L22" s="21">
        <v>5</v>
      </c>
      <c r="M22" s="21">
        <v>2</v>
      </c>
      <c r="N22" s="21">
        <v>1</v>
      </c>
      <c r="O22" s="21">
        <v>4</v>
      </c>
      <c r="P22" s="21">
        <v>7</v>
      </c>
      <c r="Q22" s="21">
        <v>2</v>
      </c>
      <c r="R22" s="21">
        <v>3</v>
      </c>
    </row>
    <row r="23" spans="1:18" s="20" customFormat="1" ht="14.25" customHeight="1" x14ac:dyDescent="0.2">
      <c r="A23" s="64" t="s">
        <v>214</v>
      </c>
      <c r="B23" s="25" t="s">
        <v>55</v>
      </c>
      <c r="C23" s="26" t="s">
        <v>0</v>
      </c>
      <c r="D23" s="27">
        <v>263</v>
      </c>
      <c r="E23" s="27">
        <v>128</v>
      </c>
      <c r="F23" s="27">
        <v>135</v>
      </c>
      <c r="G23" s="27">
        <v>26</v>
      </c>
      <c r="H23" s="27">
        <v>10</v>
      </c>
      <c r="I23" s="27">
        <v>22</v>
      </c>
      <c r="J23" s="27">
        <v>21</v>
      </c>
      <c r="K23" s="27">
        <v>40</v>
      </c>
      <c r="L23" s="27">
        <v>17</v>
      </c>
      <c r="M23" s="27">
        <v>12</v>
      </c>
      <c r="N23" s="27">
        <v>18</v>
      </c>
      <c r="O23" s="27">
        <v>25</v>
      </c>
      <c r="P23" s="27">
        <v>34</v>
      </c>
      <c r="Q23" s="27">
        <v>3</v>
      </c>
      <c r="R23" s="27">
        <v>35</v>
      </c>
    </row>
    <row r="24" spans="1:18" s="20" customFormat="1" ht="14.25" customHeight="1" x14ac:dyDescent="0.2">
      <c r="A24" s="86" t="s">
        <v>22</v>
      </c>
      <c r="B24" s="28" t="s">
        <v>56</v>
      </c>
      <c r="C24" s="29" t="s">
        <v>2</v>
      </c>
      <c r="D24" s="21">
        <v>248</v>
      </c>
      <c r="E24" s="21">
        <v>118</v>
      </c>
      <c r="F24" s="21">
        <v>130</v>
      </c>
      <c r="G24" s="21">
        <v>24</v>
      </c>
      <c r="H24" s="21">
        <v>10</v>
      </c>
      <c r="I24" s="21">
        <v>21</v>
      </c>
      <c r="J24" s="21">
        <v>21</v>
      </c>
      <c r="K24" s="21">
        <v>34</v>
      </c>
      <c r="L24" s="21">
        <v>16</v>
      </c>
      <c r="M24" s="21">
        <v>12</v>
      </c>
      <c r="N24" s="21">
        <v>18</v>
      </c>
      <c r="O24" s="21">
        <v>24</v>
      </c>
      <c r="P24" s="21">
        <v>32</v>
      </c>
      <c r="Q24" s="21">
        <v>3</v>
      </c>
      <c r="R24" s="21">
        <v>33</v>
      </c>
    </row>
    <row r="25" spans="1:18" s="20" customFormat="1" ht="14.25" customHeight="1" x14ac:dyDescent="0.2">
      <c r="A25" s="87"/>
      <c r="B25" s="30" t="s">
        <v>57</v>
      </c>
      <c r="C25" s="31" t="s">
        <v>225</v>
      </c>
      <c r="D25" s="21">
        <v>15</v>
      </c>
      <c r="E25" s="21">
        <v>10</v>
      </c>
      <c r="F25" s="21">
        <v>5</v>
      </c>
      <c r="G25" s="21">
        <v>2</v>
      </c>
      <c r="H25" s="21">
        <v>0</v>
      </c>
      <c r="I25" s="21">
        <v>1</v>
      </c>
      <c r="J25" s="21">
        <v>0</v>
      </c>
      <c r="K25" s="21">
        <v>6</v>
      </c>
      <c r="L25" s="21">
        <v>1</v>
      </c>
      <c r="M25" s="21">
        <v>0</v>
      </c>
      <c r="N25" s="21">
        <v>0</v>
      </c>
      <c r="O25" s="21">
        <v>1</v>
      </c>
      <c r="P25" s="21">
        <v>2</v>
      </c>
      <c r="Q25" s="21">
        <v>0</v>
      </c>
      <c r="R25" s="21">
        <v>2</v>
      </c>
    </row>
    <row r="26" spans="1:18" s="20" customFormat="1" ht="14.25" customHeight="1" x14ac:dyDescent="0.2">
      <c r="A26" s="64" t="s">
        <v>215</v>
      </c>
      <c r="B26" s="25" t="s">
        <v>55</v>
      </c>
      <c r="C26" s="26" t="s">
        <v>0</v>
      </c>
      <c r="D26" s="27">
        <v>553</v>
      </c>
      <c r="E26" s="27">
        <v>259</v>
      </c>
      <c r="F26" s="27">
        <v>294</v>
      </c>
      <c r="G26" s="27">
        <v>38</v>
      </c>
      <c r="H26" s="27">
        <v>39</v>
      </c>
      <c r="I26" s="27">
        <v>27</v>
      </c>
      <c r="J26" s="27">
        <v>27</v>
      </c>
      <c r="K26" s="27">
        <v>73</v>
      </c>
      <c r="L26" s="27">
        <v>42</v>
      </c>
      <c r="M26" s="27">
        <v>54</v>
      </c>
      <c r="N26" s="27">
        <v>42</v>
      </c>
      <c r="O26" s="27">
        <v>50</v>
      </c>
      <c r="P26" s="27">
        <v>77</v>
      </c>
      <c r="Q26" s="27">
        <v>17</v>
      </c>
      <c r="R26" s="27">
        <v>67</v>
      </c>
    </row>
    <row r="27" spans="1:18" s="20" customFormat="1" ht="14.25" customHeight="1" x14ac:dyDescent="0.2">
      <c r="A27" s="86" t="s">
        <v>23</v>
      </c>
      <c r="B27" s="28" t="s">
        <v>56</v>
      </c>
      <c r="C27" s="29" t="s">
        <v>2</v>
      </c>
      <c r="D27" s="21">
        <v>516</v>
      </c>
      <c r="E27" s="21">
        <v>244</v>
      </c>
      <c r="F27" s="21">
        <v>272</v>
      </c>
      <c r="G27" s="21">
        <v>36</v>
      </c>
      <c r="H27" s="21">
        <v>39</v>
      </c>
      <c r="I27" s="21">
        <v>25</v>
      </c>
      <c r="J27" s="21">
        <v>24</v>
      </c>
      <c r="K27" s="21">
        <v>69</v>
      </c>
      <c r="L27" s="21">
        <v>38</v>
      </c>
      <c r="M27" s="21">
        <v>52</v>
      </c>
      <c r="N27" s="21">
        <v>37</v>
      </c>
      <c r="O27" s="21">
        <v>47</v>
      </c>
      <c r="P27" s="21">
        <v>71</v>
      </c>
      <c r="Q27" s="21">
        <v>15</v>
      </c>
      <c r="R27" s="21">
        <v>63</v>
      </c>
    </row>
    <row r="28" spans="1:18" s="20" customFormat="1" ht="14.25" customHeight="1" x14ac:dyDescent="0.2">
      <c r="A28" s="87"/>
      <c r="B28" s="30" t="s">
        <v>57</v>
      </c>
      <c r="C28" s="31" t="s">
        <v>225</v>
      </c>
      <c r="D28" s="21">
        <v>37</v>
      </c>
      <c r="E28" s="21">
        <v>15</v>
      </c>
      <c r="F28" s="21">
        <v>22</v>
      </c>
      <c r="G28" s="21">
        <v>2</v>
      </c>
      <c r="H28" s="21">
        <v>0</v>
      </c>
      <c r="I28" s="21">
        <v>2</v>
      </c>
      <c r="J28" s="21">
        <v>3</v>
      </c>
      <c r="K28" s="21">
        <v>4</v>
      </c>
      <c r="L28" s="21">
        <v>4</v>
      </c>
      <c r="M28" s="21">
        <v>2</v>
      </c>
      <c r="N28" s="21">
        <v>5</v>
      </c>
      <c r="O28" s="21">
        <v>3</v>
      </c>
      <c r="P28" s="21">
        <v>6</v>
      </c>
      <c r="Q28" s="21">
        <v>2</v>
      </c>
      <c r="R28" s="21">
        <v>4</v>
      </c>
    </row>
    <row r="29" spans="1:18" s="20" customFormat="1" ht="14.25" customHeight="1" x14ac:dyDescent="0.2">
      <c r="A29" s="64" t="s">
        <v>194</v>
      </c>
      <c r="B29" s="25" t="s">
        <v>55</v>
      </c>
      <c r="C29" s="26" t="s">
        <v>0</v>
      </c>
      <c r="D29" s="27">
        <v>47</v>
      </c>
      <c r="E29" s="27">
        <v>21</v>
      </c>
      <c r="F29" s="27">
        <v>26</v>
      </c>
      <c r="G29" s="27">
        <v>2</v>
      </c>
      <c r="H29" s="27">
        <v>4</v>
      </c>
      <c r="I29" s="27">
        <v>3</v>
      </c>
      <c r="J29" s="27">
        <v>0</v>
      </c>
      <c r="K29" s="27">
        <v>6</v>
      </c>
      <c r="L29" s="27">
        <v>4</v>
      </c>
      <c r="M29" s="27">
        <v>4</v>
      </c>
      <c r="N29" s="27">
        <v>0</v>
      </c>
      <c r="O29" s="27">
        <v>5</v>
      </c>
      <c r="P29" s="27">
        <v>9</v>
      </c>
      <c r="Q29" s="27">
        <v>1</v>
      </c>
      <c r="R29" s="27">
        <v>9</v>
      </c>
    </row>
    <row r="30" spans="1:18" s="20" customFormat="1" ht="14.25" customHeight="1" x14ac:dyDescent="0.2">
      <c r="A30" s="86" t="s">
        <v>5</v>
      </c>
      <c r="B30" s="28" t="s">
        <v>56</v>
      </c>
      <c r="C30" s="29" t="s">
        <v>2</v>
      </c>
      <c r="D30" s="21">
        <v>44</v>
      </c>
      <c r="E30" s="21">
        <v>19</v>
      </c>
      <c r="F30" s="21">
        <v>25</v>
      </c>
      <c r="G30" s="21">
        <v>2</v>
      </c>
      <c r="H30" s="21">
        <v>4</v>
      </c>
      <c r="I30" s="21">
        <v>3</v>
      </c>
      <c r="J30" s="21">
        <v>0</v>
      </c>
      <c r="K30" s="21">
        <v>6</v>
      </c>
      <c r="L30" s="21">
        <v>4</v>
      </c>
      <c r="M30" s="21">
        <v>4</v>
      </c>
      <c r="N30" s="21">
        <v>0</v>
      </c>
      <c r="O30" s="21">
        <v>3</v>
      </c>
      <c r="P30" s="21">
        <v>9</v>
      </c>
      <c r="Q30" s="21">
        <v>1</v>
      </c>
      <c r="R30" s="21">
        <v>8</v>
      </c>
    </row>
    <row r="31" spans="1:18" s="20" customFormat="1" ht="14.25" customHeight="1" x14ac:dyDescent="0.2">
      <c r="A31" s="87"/>
      <c r="B31" s="30" t="s">
        <v>57</v>
      </c>
      <c r="C31" s="31" t="s">
        <v>225</v>
      </c>
      <c r="D31" s="21">
        <v>3</v>
      </c>
      <c r="E31" s="21">
        <v>2</v>
      </c>
      <c r="F31" s="21">
        <v>1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2</v>
      </c>
      <c r="P31" s="21">
        <v>0</v>
      </c>
      <c r="Q31" s="21">
        <v>0</v>
      </c>
      <c r="R31" s="21">
        <v>1</v>
      </c>
    </row>
    <row r="32" spans="1:18" s="20" customFormat="1" ht="14.25" customHeight="1" x14ac:dyDescent="0.2">
      <c r="A32" s="64" t="s">
        <v>195</v>
      </c>
      <c r="B32" s="25" t="s">
        <v>55</v>
      </c>
      <c r="C32" s="26" t="s">
        <v>0</v>
      </c>
      <c r="D32" s="27">
        <v>212</v>
      </c>
      <c r="E32" s="27">
        <v>95</v>
      </c>
      <c r="F32" s="27">
        <v>117</v>
      </c>
      <c r="G32" s="27">
        <v>17</v>
      </c>
      <c r="H32" s="27">
        <v>9</v>
      </c>
      <c r="I32" s="27">
        <v>17</v>
      </c>
      <c r="J32" s="27">
        <v>16</v>
      </c>
      <c r="K32" s="27">
        <v>26</v>
      </c>
      <c r="L32" s="27">
        <v>15</v>
      </c>
      <c r="M32" s="27">
        <v>11</v>
      </c>
      <c r="N32" s="27">
        <v>14</v>
      </c>
      <c r="O32" s="27">
        <v>21</v>
      </c>
      <c r="P32" s="27">
        <v>41</v>
      </c>
      <c r="Q32" s="27">
        <v>3</v>
      </c>
      <c r="R32" s="27">
        <v>22</v>
      </c>
    </row>
    <row r="33" spans="1:18" s="20" customFormat="1" ht="14.25" customHeight="1" x14ac:dyDescent="0.2">
      <c r="A33" s="86" t="s">
        <v>6</v>
      </c>
      <c r="B33" s="28" t="s">
        <v>56</v>
      </c>
      <c r="C33" s="29" t="s">
        <v>2</v>
      </c>
      <c r="D33" s="21">
        <v>175</v>
      </c>
      <c r="E33" s="21">
        <v>77</v>
      </c>
      <c r="F33" s="21">
        <v>98</v>
      </c>
      <c r="G33" s="21">
        <v>15</v>
      </c>
      <c r="H33" s="21">
        <v>6</v>
      </c>
      <c r="I33" s="21">
        <v>8</v>
      </c>
      <c r="J33" s="21">
        <v>14</v>
      </c>
      <c r="K33" s="21">
        <v>22</v>
      </c>
      <c r="L33" s="21">
        <v>13</v>
      </c>
      <c r="M33" s="21">
        <v>10</v>
      </c>
      <c r="N33" s="21">
        <v>11</v>
      </c>
      <c r="O33" s="21">
        <v>19</v>
      </c>
      <c r="P33" s="21">
        <v>36</v>
      </c>
      <c r="Q33" s="21">
        <v>3</v>
      </c>
      <c r="R33" s="21">
        <v>18</v>
      </c>
    </row>
    <row r="34" spans="1:18" s="20" customFormat="1" ht="14.25" customHeight="1" x14ac:dyDescent="0.2">
      <c r="A34" s="87"/>
      <c r="B34" s="30" t="s">
        <v>57</v>
      </c>
      <c r="C34" s="31" t="s">
        <v>225</v>
      </c>
      <c r="D34" s="21">
        <v>37</v>
      </c>
      <c r="E34" s="21">
        <v>18</v>
      </c>
      <c r="F34" s="21">
        <v>19</v>
      </c>
      <c r="G34" s="21">
        <v>2</v>
      </c>
      <c r="H34" s="21">
        <v>3</v>
      </c>
      <c r="I34" s="21">
        <v>9</v>
      </c>
      <c r="J34" s="21">
        <v>2</v>
      </c>
      <c r="K34" s="21">
        <v>4</v>
      </c>
      <c r="L34" s="21">
        <v>2</v>
      </c>
      <c r="M34" s="21">
        <v>1</v>
      </c>
      <c r="N34" s="21">
        <v>3</v>
      </c>
      <c r="O34" s="21">
        <v>2</v>
      </c>
      <c r="P34" s="21">
        <v>5</v>
      </c>
      <c r="Q34" s="21">
        <v>0</v>
      </c>
      <c r="R34" s="21">
        <v>4</v>
      </c>
    </row>
    <row r="35" spans="1:18" s="20" customFormat="1" ht="14.25" customHeight="1" x14ac:dyDescent="0.2">
      <c r="A35" s="64" t="s">
        <v>196</v>
      </c>
      <c r="B35" s="25" t="s">
        <v>55</v>
      </c>
      <c r="C35" s="26" t="s">
        <v>0</v>
      </c>
      <c r="D35" s="27">
        <v>75</v>
      </c>
      <c r="E35" s="27">
        <v>25</v>
      </c>
      <c r="F35" s="27">
        <v>50</v>
      </c>
      <c r="G35" s="27">
        <v>3</v>
      </c>
      <c r="H35" s="27">
        <v>0</v>
      </c>
      <c r="I35" s="27">
        <v>2</v>
      </c>
      <c r="J35" s="27">
        <v>3</v>
      </c>
      <c r="K35" s="27">
        <v>5</v>
      </c>
      <c r="L35" s="27">
        <v>6</v>
      </c>
      <c r="M35" s="27">
        <v>8</v>
      </c>
      <c r="N35" s="27">
        <v>9</v>
      </c>
      <c r="O35" s="27">
        <v>3</v>
      </c>
      <c r="P35" s="27">
        <v>19</v>
      </c>
      <c r="Q35" s="27">
        <v>4</v>
      </c>
      <c r="R35" s="27">
        <v>13</v>
      </c>
    </row>
    <row r="36" spans="1:18" s="20" customFormat="1" ht="14.25" customHeight="1" x14ac:dyDescent="0.2">
      <c r="A36" s="86" t="s">
        <v>7</v>
      </c>
      <c r="B36" s="28" t="s">
        <v>56</v>
      </c>
      <c r="C36" s="29" t="s">
        <v>2</v>
      </c>
      <c r="D36" s="21">
        <v>66</v>
      </c>
      <c r="E36" s="21">
        <v>22</v>
      </c>
      <c r="F36" s="21">
        <v>44</v>
      </c>
      <c r="G36" s="21">
        <v>3</v>
      </c>
      <c r="H36" s="21">
        <v>0</v>
      </c>
      <c r="I36" s="21">
        <v>2</v>
      </c>
      <c r="J36" s="21">
        <v>3</v>
      </c>
      <c r="K36" s="21">
        <v>4</v>
      </c>
      <c r="L36" s="21">
        <v>6</v>
      </c>
      <c r="M36" s="21">
        <v>7</v>
      </c>
      <c r="N36" s="21">
        <v>5</v>
      </c>
      <c r="O36" s="21">
        <v>2</v>
      </c>
      <c r="P36" s="21">
        <v>17</v>
      </c>
      <c r="Q36" s="21">
        <v>4</v>
      </c>
      <c r="R36" s="21">
        <v>13</v>
      </c>
    </row>
    <row r="37" spans="1:18" s="20" customFormat="1" ht="14.25" customHeight="1" x14ac:dyDescent="0.2">
      <c r="A37" s="87"/>
      <c r="B37" s="30" t="s">
        <v>57</v>
      </c>
      <c r="C37" s="31" t="s">
        <v>225</v>
      </c>
      <c r="D37" s="21">
        <v>9</v>
      </c>
      <c r="E37" s="21">
        <v>3</v>
      </c>
      <c r="F37" s="21">
        <v>6</v>
      </c>
      <c r="G37" s="21">
        <v>0</v>
      </c>
      <c r="H37" s="21">
        <v>0</v>
      </c>
      <c r="I37" s="21">
        <v>0</v>
      </c>
      <c r="J37" s="21">
        <v>0</v>
      </c>
      <c r="K37" s="21">
        <v>1</v>
      </c>
      <c r="L37" s="21">
        <v>0</v>
      </c>
      <c r="M37" s="21">
        <v>1</v>
      </c>
      <c r="N37" s="21">
        <v>4</v>
      </c>
      <c r="O37" s="21">
        <v>1</v>
      </c>
      <c r="P37" s="21">
        <v>2</v>
      </c>
      <c r="Q37" s="21">
        <v>0</v>
      </c>
      <c r="R37" s="21">
        <v>0</v>
      </c>
    </row>
    <row r="38" spans="1:18" s="20" customFormat="1" ht="14.25" customHeight="1" x14ac:dyDescent="0.2">
      <c r="A38" s="64" t="s">
        <v>197</v>
      </c>
      <c r="B38" s="25" t="s">
        <v>55</v>
      </c>
      <c r="C38" s="26" t="s">
        <v>0</v>
      </c>
      <c r="D38" s="27">
        <v>260</v>
      </c>
      <c r="E38" s="27">
        <v>107</v>
      </c>
      <c r="F38" s="27">
        <v>153</v>
      </c>
      <c r="G38" s="27">
        <v>17</v>
      </c>
      <c r="H38" s="27">
        <v>18</v>
      </c>
      <c r="I38" s="27">
        <v>27</v>
      </c>
      <c r="J38" s="27">
        <v>12</v>
      </c>
      <c r="K38" s="27">
        <v>23</v>
      </c>
      <c r="L38" s="27">
        <v>11</v>
      </c>
      <c r="M38" s="27">
        <v>20</v>
      </c>
      <c r="N38" s="27">
        <v>14</v>
      </c>
      <c r="O38" s="27">
        <v>10</v>
      </c>
      <c r="P38" s="27">
        <v>55</v>
      </c>
      <c r="Q38" s="27">
        <v>10</v>
      </c>
      <c r="R38" s="27">
        <v>43</v>
      </c>
    </row>
    <row r="39" spans="1:18" s="20" customFormat="1" ht="14.25" customHeight="1" x14ac:dyDescent="0.2">
      <c r="A39" s="86" t="s">
        <v>8</v>
      </c>
      <c r="B39" s="28" t="s">
        <v>56</v>
      </c>
      <c r="C39" s="29" t="s">
        <v>2</v>
      </c>
      <c r="D39" s="21">
        <v>242</v>
      </c>
      <c r="E39" s="21">
        <v>103</v>
      </c>
      <c r="F39" s="21">
        <v>139</v>
      </c>
      <c r="G39" s="21">
        <v>15</v>
      </c>
      <c r="H39" s="21">
        <v>16</v>
      </c>
      <c r="I39" s="21">
        <v>26</v>
      </c>
      <c r="J39" s="21">
        <v>11</v>
      </c>
      <c r="K39" s="21">
        <v>22</v>
      </c>
      <c r="L39" s="21">
        <v>11</v>
      </c>
      <c r="M39" s="21">
        <v>20</v>
      </c>
      <c r="N39" s="21">
        <v>11</v>
      </c>
      <c r="O39" s="21">
        <v>10</v>
      </c>
      <c r="P39" s="21">
        <v>53</v>
      </c>
      <c r="Q39" s="21">
        <v>10</v>
      </c>
      <c r="R39" s="21">
        <v>37</v>
      </c>
    </row>
    <row r="40" spans="1:18" s="20" customFormat="1" ht="14.25" customHeight="1" x14ac:dyDescent="0.2">
      <c r="A40" s="87"/>
      <c r="B40" s="30" t="s">
        <v>57</v>
      </c>
      <c r="C40" s="31" t="s">
        <v>225</v>
      </c>
      <c r="D40" s="21">
        <v>18</v>
      </c>
      <c r="E40" s="21">
        <v>4</v>
      </c>
      <c r="F40" s="21">
        <v>14</v>
      </c>
      <c r="G40" s="21">
        <v>2</v>
      </c>
      <c r="H40" s="21">
        <v>2</v>
      </c>
      <c r="I40" s="21">
        <v>1</v>
      </c>
      <c r="J40" s="21">
        <v>1</v>
      </c>
      <c r="K40" s="21">
        <v>1</v>
      </c>
      <c r="L40" s="21">
        <v>0</v>
      </c>
      <c r="M40" s="21">
        <v>0</v>
      </c>
      <c r="N40" s="21">
        <v>3</v>
      </c>
      <c r="O40" s="21">
        <v>0</v>
      </c>
      <c r="P40" s="21">
        <v>2</v>
      </c>
      <c r="Q40" s="21">
        <v>0</v>
      </c>
      <c r="R40" s="21">
        <v>6</v>
      </c>
    </row>
    <row r="41" spans="1:18" s="20" customFormat="1" ht="14.25" customHeight="1" x14ac:dyDescent="0.2">
      <c r="A41" s="64" t="s">
        <v>198</v>
      </c>
      <c r="B41" s="25" t="s">
        <v>55</v>
      </c>
      <c r="C41" s="26" t="s">
        <v>0</v>
      </c>
      <c r="D41" s="27">
        <v>107</v>
      </c>
      <c r="E41" s="27">
        <v>50</v>
      </c>
      <c r="F41" s="27">
        <v>57</v>
      </c>
      <c r="G41" s="27">
        <v>5</v>
      </c>
      <c r="H41" s="27">
        <v>5</v>
      </c>
      <c r="I41" s="27">
        <v>12</v>
      </c>
      <c r="J41" s="27">
        <v>13</v>
      </c>
      <c r="K41" s="27">
        <v>13</v>
      </c>
      <c r="L41" s="27">
        <v>8</v>
      </c>
      <c r="M41" s="27">
        <v>7</v>
      </c>
      <c r="N41" s="27">
        <v>5</v>
      </c>
      <c r="O41" s="27">
        <v>6</v>
      </c>
      <c r="P41" s="27">
        <v>18</v>
      </c>
      <c r="Q41" s="27">
        <v>7</v>
      </c>
      <c r="R41" s="27">
        <v>8</v>
      </c>
    </row>
    <row r="42" spans="1:18" s="20" customFormat="1" ht="14.25" customHeight="1" x14ac:dyDescent="0.2">
      <c r="A42" s="86" t="s">
        <v>9</v>
      </c>
      <c r="B42" s="28" t="s">
        <v>56</v>
      </c>
      <c r="C42" s="29" t="s">
        <v>2</v>
      </c>
      <c r="D42" s="21">
        <v>95</v>
      </c>
      <c r="E42" s="21">
        <v>45</v>
      </c>
      <c r="F42" s="21">
        <v>50</v>
      </c>
      <c r="G42" s="21">
        <v>5</v>
      </c>
      <c r="H42" s="21">
        <v>5</v>
      </c>
      <c r="I42" s="21">
        <v>12</v>
      </c>
      <c r="J42" s="21">
        <v>12</v>
      </c>
      <c r="K42" s="21">
        <v>10</v>
      </c>
      <c r="L42" s="21">
        <v>7</v>
      </c>
      <c r="M42" s="21">
        <v>6</v>
      </c>
      <c r="N42" s="21">
        <v>5</v>
      </c>
      <c r="O42" s="21">
        <v>6</v>
      </c>
      <c r="P42" s="21">
        <v>16</v>
      </c>
      <c r="Q42" s="21">
        <v>6</v>
      </c>
      <c r="R42" s="21">
        <v>5</v>
      </c>
    </row>
    <row r="43" spans="1:18" s="20" customFormat="1" ht="14.25" customHeight="1" x14ac:dyDescent="0.2">
      <c r="A43" s="87"/>
      <c r="B43" s="30" t="s">
        <v>57</v>
      </c>
      <c r="C43" s="31" t="s">
        <v>225</v>
      </c>
      <c r="D43" s="21">
        <v>12</v>
      </c>
      <c r="E43" s="21">
        <v>5</v>
      </c>
      <c r="F43" s="21">
        <v>7</v>
      </c>
      <c r="G43" s="21">
        <v>0</v>
      </c>
      <c r="H43" s="21">
        <v>0</v>
      </c>
      <c r="I43" s="21">
        <v>0</v>
      </c>
      <c r="J43" s="21">
        <v>1</v>
      </c>
      <c r="K43" s="21">
        <v>3</v>
      </c>
      <c r="L43" s="21">
        <v>1</v>
      </c>
      <c r="M43" s="21">
        <v>1</v>
      </c>
      <c r="N43" s="21">
        <v>0</v>
      </c>
      <c r="O43" s="21">
        <v>0</v>
      </c>
      <c r="P43" s="21">
        <v>2</v>
      </c>
      <c r="Q43" s="21">
        <v>1</v>
      </c>
      <c r="R43" s="21">
        <v>3</v>
      </c>
    </row>
    <row r="44" spans="1:18" s="20" customFormat="1" ht="14.25" customHeight="1" x14ac:dyDescent="0.2">
      <c r="A44" s="64" t="s">
        <v>199</v>
      </c>
      <c r="B44" s="25" t="s">
        <v>55</v>
      </c>
      <c r="C44" s="26" t="s">
        <v>0</v>
      </c>
      <c r="D44" s="27">
        <v>142</v>
      </c>
      <c r="E44" s="27">
        <v>50</v>
      </c>
      <c r="F44" s="27">
        <v>92</v>
      </c>
      <c r="G44" s="27">
        <v>5</v>
      </c>
      <c r="H44" s="27">
        <v>10</v>
      </c>
      <c r="I44" s="27">
        <v>20</v>
      </c>
      <c r="J44" s="27">
        <v>15</v>
      </c>
      <c r="K44" s="27">
        <v>6</v>
      </c>
      <c r="L44" s="27">
        <v>12</v>
      </c>
      <c r="M44" s="27">
        <v>3</v>
      </c>
      <c r="N44" s="27">
        <v>4</v>
      </c>
      <c r="O44" s="27">
        <v>10</v>
      </c>
      <c r="P44" s="27">
        <v>26</v>
      </c>
      <c r="Q44" s="27">
        <v>6</v>
      </c>
      <c r="R44" s="27">
        <v>25</v>
      </c>
    </row>
    <row r="45" spans="1:18" s="20" customFormat="1" ht="14.25" customHeight="1" x14ac:dyDescent="0.2">
      <c r="A45" s="86" t="s">
        <v>10</v>
      </c>
      <c r="B45" s="28" t="s">
        <v>56</v>
      </c>
      <c r="C45" s="29" t="s">
        <v>2</v>
      </c>
      <c r="D45" s="21">
        <v>137</v>
      </c>
      <c r="E45" s="21">
        <v>48</v>
      </c>
      <c r="F45" s="21">
        <v>89</v>
      </c>
      <c r="G45" s="21">
        <v>5</v>
      </c>
      <c r="H45" s="21">
        <v>10</v>
      </c>
      <c r="I45" s="21">
        <v>20</v>
      </c>
      <c r="J45" s="21">
        <v>15</v>
      </c>
      <c r="K45" s="21">
        <v>6</v>
      </c>
      <c r="L45" s="21">
        <v>11</v>
      </c>
      <c r="M45" s="21">
        <v>3</v>
      </c>
      <c r="N45" s="21">
        <v>4</v>
      </c>
      <c r="O45" s="21">
        <v>9</v>
      </c>
      <c r="P45" s="21">
        <v>26</v>
      </c>
      <c r="Q45" s="21">
        <v>5</v>
      </c>
      <c r="R45" s="21">
        <v>23</v>
      </c>
    </row>
    <row r="46" spans="1:18" s="20" customFormat="1" ht="14.25" customHeight="1" x14ac:dyDescent="0.2">
      <c r="A46" s="87"/>
      <c r="B46" s="30" t="s">
        <v>57</v>
      </c>
      <c r="C46" s="31" t="s">
        <v>225</v>
      </c>
      <c r="D46" s="21">
        <v>5</v>
      </c>
      <c r="E46" s="21">
        <v>2</v>
      </c>
      <c r="F46" s="21">
        <v>3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1</v>
      </c>
      <c r="M46" s="21">
        <v>0</v>
      </c>
      <c r="N46" s="21">
        <v>0</v>
      </c>
      <c r="O46" s="21">
        <v>1</v>
      </c>
      <c r="P46" s="21">
        <v>0</v>
      </c>
      <c r="Q46" s="21">
        <v>1</v>
      </c>
      <c r="R46" s="21">
        <v>2</v>
      </c>
    </row>
    <row r="47" spans="1:18" s="20" customFormat="1" ht="14.25" customHeight="1" x14ac:dyDescent="0.2">
      <c r="A47" s="64" t="s">
        <v>200</v>
      </c>
      <c r="B47" s="25" t="s">
        <v>55</v>
      </c>
      <c r="C47" s="26" t="s">
        <v>0</v>
      </c>
      <c r="D47" s="27">
        <v>78</v>
      </c>
      <c r="E47" s="27">
        <v>36</v>
      </c>
      <c r="F47" s="27">
        <v>42</v>
      </c>
      <c r="G47" s="27">
        <v>6</v>
      </c>
      <c r="H47" s="27">
        <v>4</v>
      </c>
      <c r="I47" s="27">
        <v>10</v>
      </c>
      <c r="J47" s="27">
        <v>5</v>
      </c>
      <c r="K47" s="27">
        <v>6</v>
      </c>
      <c r="L47" s="27">
        <v>6</v>
      </c>
      <c r="M47" s="27">
        <v>3</v>
      </c>
      <c r="N47" s="27">
        <v>3</v>
      </c>
      <c r="O47" s="27">
        <v>9</v>
      </c>
      <c r="P47" s="27">
        <v>10</v>
      </c>
      <c r="Q47" s="27">
        <v>2</v>
      </c>
      <c r="R47" s="27">
        <v>14</v>
      </c>
    </row>
    <row r="48" spans="1:18" s="20" customFormat="1" ht="14.25" customHeight="1" x14ac:dyDescent="0.2">
      <c r="A48" s="86" t="s">
        <v>11</v>
      </c>
      <c r="B48" s="28" t="s">
        <v>56</v>
      </c>
      <c r="C48" s="29" t="s">
        <v>2</v>
      </c>
      <c r="D48" s="21">
        <v>68</v>
      </c>
      <c r="E48" s="21">
        <v>29</v>
      </c>
      <c r="F48" s="21">
        <v>39</v>
      </c>
      <c r="G48" s="21">
        <v>4</v>
      </c>
      <c r="H48" s="21">
        <v>4</v>
      </c>
      <c r="I48" s="21">
        <v>10</v>
      </c>
      <c r="J48" s="21">
        <v>4</v>
      </c>
      <c r="K48" s="21">
        <v>6</v>
      </c>
      <c r="L48" s="21">
        <v>4</v>
      </c>
      <c r="M48" s="21">
        <v>3</v>
      </c>
      <c r="N48" s="21">
        <v>3</v>
      </c>
      <c r="O48" s="21">
        <v>4</v>
      </c>
      <c r="P48" s="21">
        <v>10</v>
      </c>
      <c r="Q48" s="21">
        <v>2</v>
      </c>
      <c r="R48" s="21">
        <v>14</v>
      </c>
    </row>
    <row r="49" spans="1:18" s="20" customFormat="1" ht="14.25" customHeight="1" x14ac:dyDescent="0.2">
      <c r="A49" s="87"/>
      <c r="B49" s="30" t="s">
        <v>57</v>
      </c>
      <c r="C49" s="31" t="s">
        <v>225</v>
      </c>
      <c r="D49" s="21">
        <v>10</v>
      </c>
      <c r="E49" s="21">
        <v>7</v>
      </c>
      <c r="F49" s="21">
        <v>3</v>
      </c>
      <c r="G49" s="21">
        <v>2</v>
      </c>
      <c r="H49" s="21">
        <v>0</v>
      </c>
      <c r="I49" s="21">
        <v>0</v>
      </c>
      <c r="J49" s="21">
        <v>1</v>
      </c>
      <c r="K49" s="21">
        <v>0</v>
      </c>
      <c r="L49" s="21">
        <v>2</v>
      </c>
      <c r="M49" s="21">
        <v>0</v>
      </c>
      <c r="N49" s="21">
        <v>0</v>
      </c>
      <c r="O49" s="21">
        <v>5</v>
      </c>
      <c r="P49" s="21">
        <v>0</v>
      </c>
      <c r="Q49" s="21">
        <v>0</v>
      </c>
      <c r="R49" s="21">
        <v>0</v>
      </c>
    </row>
    <row r="50" spans="1:18" s="20" customFormat="1" ht="14.25" customHeight="1" x14ac:dyDescent="0.2">
      <c r="A50" s="64" t="s">
        <v>201</v>
      </c>
      <c r="B50" s="25" t="s">
        <v>55</v>
      </c>
      <c r="C50" s="26" t="s">
        <v>0</v>
      </c>
      <c r="D50" s="27">
        <v>165</v>
      </c>
      <c r="E50" s="27">
        <v>67</v>
      </c>
      <c r="F50" s="27">
        <v>98</v>
      </c>
      <c r="G50" s="27">
        <v>6</v>
      </c>
      <c r="H50" s="27">
        <v>5</v>
      </c>
      <c r="I50" s="27">
        <v>11</v>
      </c>
      <c r="J50" s="27">
        <v>9</v>
      </c>
      <c r="K50" s="27">
        <v>11</v>
      </c>
      <c r="L50" s="27">
        <v>15</v>
      </c>
      <c r="M50" s="27">
        <v>18</v>
      </c>
      <c r="N50" s="27">
        <v>21</v>
      </c>
      <c r="O50" s="27">
        <v>12</v>
      </c>
      <c r="P50" s="27">
        <v>20</v>
      </c>
      <c r="Q50" s="27">
        <v>9</v>
      </c>
      <c r="R50" s="27">
        <v>28</v>
      </c>
    </row>
    <row r="51" spans="1:18" s="20" customFormat="1" ht="14.25" customHeight="1" x14ac:dyDescent="0.2">
      <c r="A51" s="86" t="s">
        <v>12</v>
      </c>
      <c r="B51" s="28" t="s">
        <v>56</v>
      </c>
      <c r="C51" s="29" t="s">
        <v>2</v>
      </c>
      <c r="D51" s="21">
        <v>149</v>
      </c>
      <c r="E51" s="21">
        <v>63</v>
      </c>
      <c r="F51" s="21">
        <v>86</v>
      </c>
      <c r="G51" s="21">
        <v>6</v>
      </c>
      <c r="H51" s="21">
        <v>5</v>
      </c>
      <c r="I51" s="21">
        <v>11</v>
      </c>
      <c r="J51" s="21">
        <v>9</v>
      </c>
      <c r="K51" s="21">
        <v>10</v>
      </c>
      <c r="L51" s="21">
        <v>12</v>
      </c>
      <c r="M51" s="21">
        <v>18</v>
      </c>
      <c r="N51" s="21">
        <v>17</v>
      </c>
      <c r="O51" s="21">
        <v>12</v>
      </c>
      <c r="P51" s="21">
        <v>20</v>
      </c>
      <c r="Q51" s="21">
        <v>6</v>
      </c>
      <c r="R51" s="21">
        <v>23</v>
      </c>
    </row>
    <row r="52" spans="1:18" s="20" customFormat="1" ht="14.25" customHeight="1" x14ac:dyDescent="0.2">
      <c r="A52" s="87"/>
      <c r="B52" s="30" t="s">
        <v>57</v>
      </c>
      <c r="C52" s="31" t="s">
        <v>225</v>
      </c>
      <c r="D52" s="21">
        <v>16</v>
      </c>
      <c r="E52" s="21">
        <v>4</v>
      </c>
      <c r="F52" s="21">
        <v>12</v>
      </c>
      <c r="G52" s="21">
        <v>0</v>
      </c>
      <c r="H52" s="21">
        <v>0</v>
      </c>
      <c r="I52" s="21">
        <v>0</v>
      </c>
      <c r="J52" s="21">
        <v>0</v>
      </c>
      <c r="K52" s="21">
        <v>1</v>
      </c>
      <c r="L52" s="21">
        <v>3</v>
      </c>
      <c r="M52" s="21">
        <v>0</v>
      </c>
      <c r="N52" s="21">
        <v>4</v>
      </c>
      <c r="O52" s="21">
        <v>0</v>
      </c>
      <c r="P52" s="21">
        <v>0</v>
      </c>
      <c r="Q52" s="21">
        <v>3</v>
      </c>
      <c r="R52" s="21">
        <v>5</v>
      </c>
    </row>
    <row r="53" spans="1:18" s="20" customFormat="1" ht="14.25" customHeight="1" x14ac:dyDescent="0.2">
      <c r="A53" s="64" t="s">
        <v>202</v>
      </c>
      <c r="B53" s="25" t="s">
        <v>55</v>
      </c>
      <c r="C53" s="26" t="s">
        <v>0</v>
      </c>
      <c r="D53" s="27">
        <v>42</v>
      </c>
      <c r="E53" s="27">
        <v>15</v>
      </c>
      <c r="F53" s="27">
        <v>27</v>
      </c>
      <c r="G53" s="27">
        <v>2</v>
      </c>
      <c r="H53" s="27">
        <v>2</v>
      </c>
      <c r="I53" s="27">
        <v>0</v>
      </c>
      <c r="J53" s="27">
        <v>2</v>
      </c>
      <c r="K53" s="27">
        <v>4</v>
      </c>
      <c r="L53" s="27">
        <v>3</v>
      </c>
      <c r="M53" s="27">
        <v>1</v>
      </c>
      <c r="N53" s="27">
        <v>7</v>
      </c>
      <c r="O53" s="27">
        <v>3</v>
      </c>
      <c r="P53" s="27">
        <v>6</v>
      </c>
      <c r="Q53" s="27">
        <v>5</v>
      </c>
      <c r="R53" s="27">
        <v>7</v>
      </c>
    </row>
    <row r="54" spans="1:18" s="20" customFormat="1" ht="14.25" customHeight="1" x14ac:dyDescent="0.2">
      <c r="A54" s="86" t="s">
        <v>13</v>
      </c>
      <c r="B54" s="28" t="s">
        <v>56</v>
      </c>
      <c r="C54" s="29" t="s">
        <v>2</v>
      </c>
      <c r="D54" s="21">
        <v>12</v>
      </c>
      <c r="E54" s="21">
        <v>4</v>
      </c>
      <c r="F54" s="21">
        <v>8</v>
      </c>
      <c r="G54" s="21">
        <v>0</v>
      </c>
      <c r="H54" s="21">
        <v>1</v>
      </c>
      <c r="I54" s="21">
        <v>0</v>
      </c>
      <c r="J54" s="21">
        <v>1</v>
      </c>
      <c r="K54" s="21">
        <v>2</v>
      </c>
      <c r="L54" s="21">
        <v>0</v>
      </c>
      <c r="M54" s="21">
        <v>0</v>
      </c>
      <c r="N54" s="21">
        <v>2</v>
      </c>
      <c r="O54" s="21">
        <v>1</v>
      </c>
      <c r="P54" s="21">
        <v>3</v>
      </c>
      <c r="Q54" s="21">
        <v>1</v>
      </c>
      <c r="R54" s="21">
        <v>1</v>
      </c>
    </row>
    <row r="55" spans="1:18" s="20" customFormat="1" ht="14.25" customHeight="1" x14ac:dyDescent="0.2">
      <c r="A55" s="87"/>
      <c r="B55" s="30" t="s">
        <v>57</v>
      </c>
      <c r="C55" s="31" t="s">
        <v>225</v>
      </c>
      <c r="D55" s="21">
        <v>30</v>
      </c>
      <c r="E55" s="21">
        <v>11</v>
      </c>
      <c r="F55" s="21">
        <v>19</v>
      </c>
      <c r="G55" s="21">
        <v>2</v>
      </c>
      <c r="H55" s="21">
        <v>1</v>
      </c>
      <c r="I55" s="21">
        <v>0</v>
      </c>
      <c r="J55" s="21">
        <v>1</v>
      </c>
      <c r="K55" s="21">
        <v>2</v>
      </c>
      <c r="L55" s="21">
        <v>3</v>
      </c>
      <c r="M55" s="21">
        <v>1</v>
      </c>
      <c r="N55" s="21">
        <v>5</v>
      </c>
      <c r="O55" s="21">
        <v>2</v>
      </c>
      <c r="P55" s="21">
        <v>3</v>
      </c>
      <c r="Q55" s="21">
        <v>4</v>
      </c>
      <c r="R55" s="21">
        <v>6</v>
      </c>
    </row>
    <row r="56" spans="1:18" s="20" customFormat="1" ht="14.25" customHeight="1" x14ac:dyDescent="0.2">
      <c r="A56" s="64" t="s">
        <v>203</v>
      </c>
      <c r="B56" s="25" t="s">
        <v>55</v>
      </c>
      <c r="C56" s="26" t="s">
        <v>0</v>
      </c>
      <c r="D56" s="27">
        <v>151</v>
      </c>
      <c r="E56" s="27">
        <v>68</v>
      </c>
      <c r="F56" s="27">
        <v>83</v>
      </c>
      <c r="G56" s="27">
        <v>17</v>
      </c>
      <c r="H56" s="27">
        <v>6</v>
      </c>
      <c r="I56" s="27">
        <v>19</v>
      </c>
      <c r="J56" s="27">
        <v>12</v>
      </c>
      <c r="K56" s="27">
        <v>13</v>
      </c>
      <c r="L56" s="27">
        <v>13</v>
      </c>
      <c r="M56" s="27">
        <v>9</v>
      </c>
      <c r="N56" s="27">
        <v>11</v>
      </c>
      <c r="O56" s="27">
        <v>9</v>
      </c>
      <c r="P56" s="27">
        <v>25</v>
      </c>
      <c r="Q56" s="27">
        <v>1</v>
      </c>
      <c r="R56" s="27">
        <v>16</v>
      </c>
    </row>
    <row r="57" spans="1:18" s="20" customFormat="1" ht="14.25" customHeight="1" x14ac:dyDescent="0.2">
      <c r="A57" s="86" t="s">
        <v>14</v>
      </c>
      <c r="B57" s="28" t="s">
        <v>56</v>
      </c>
      <c r="C57" s="29" t="s">
        <v>2</v>
      </c>
      <c r="D57" s="21">
        <v>52</v>
      </c>
      <c r="E57" s="21">
        <v>15</v>
      </c>
      <c r="F57" s="21">
        <v>37</v>
      </c>
      <c r="G57" s="21">
        <v>4</v>
      </c>
      <c r="H57" s="21">
        <v>2</v>
      </c>
      <c r="I57" s="21">
        <v>3</v>
      </c>
      <c r="J57" s="21">
        <v>4</v>
      </c>
      <c r="K57" s="21">
        <v>2</v>
      </c>
      <c r="L57" s="21">
        <v>8</v>
      </c>
      <c r="M57" s="21">
        <v>3</v>
      </c>
      <c r="N57" s="21">
        <v>7</v>
      </c>
      <c r="O57" s="21">
        <v>3</v>
      </c>
      <c r="P57" s="21">
        <v>11</v>
      </c>
      <c r="Q57" s="21">
        <v>0</v>
      </c>
      <c r="R57" s="21">
        <v>5</v>
      </c>
    </row>
    <row r="58" spans="1:18" s="20" customFormat="1" ht="14.25" customHeight="1" x14ac:dyDescent="0.2">
      <c r="A58" s="87"/>
      <c r="B58" s="30" t="s">
        <v>57</v>
      </c>
      <c r="C58" s="31" t="s">
        <v>225</v>
      </c>
      <c r="D58" s="21">
        <v>99</v>
      </c>
      <c r="E58" s="21">
        <v>53</v>
      </c>
      <c r="F58" s="21">
        <v>46</v>
      </c>
      <c r="G58" s="21">
        <v>13</v>
      </c>
      <c r="H58" s="21">
        <v>4</v>
      </c>
      <c r="I58" s="21">
        <v>16</v>
      </c>
      <c r="J58" s="21">
        <v>8</v>
      </c>
      <c r="K58" s="21">
        <v>11</v>
      </c>
      <c r="L58" s="21">
        <v>5</v>
      </c>
      <c r="M58" s="21">
        <v>6</v>
      </c>
      <c r="N58" s="21">
        <v>4</v>
      </c>
      <c r="O58" s="21">
        <v>6</v>
      </c>
      <c r="P58" s="21">
        <v>14</v>
      </c>
      <c r="Q58" s="21">
        <v>1</v>
      </c>
      <c r="R58" s="21">
        <v>11</v>
      </c>
    </row>
    <row r="59" spans="1:18" s="20" customFormat="1" ht="14.25" customHeight="1" x14ac:dyDescent="0.2">
      <c r="A59" s="64" t="s">
        <v>204</v>
      </c>
      <c r="B59" s="25" t="s">
        <v>55</v>
      </c>
      <c r="C59" s="26" t="s">
        <v>0</v>
      </c>
      <c r="D59" s="27">
        <v>6</v>
      </c>
      <c r="E59" s="27">
        <v>2</v>
      </c>
      <c r="F59" s="27">
        <v>4</v>
      </c>
      <c r="G59" s="27">
        <v>0</v>
      </c>
      <c r="H59" s="27">
        <v>1</v>
      </c>
      <c r="I59" s="27">
        <v>1</v>
      </c>
      <c r="J59" s="27">
        <v>1</v>
      </c>
      <c r="K59" s="27">
        <v>1</v>
      </c>
      <c r="L59" s="27">
        <v>0</v>
      </c>
      <c r="M59" s="27">
        <v>0</v>
      </c>
      <c r="N59" s="27">
        <v>0</v>
      </c>
      <c r="O59" s="27">
        <v>0</v>
      </c>
      <c r="P59" s="27">
        <v>1</v>
      </c>
      <c r="Q59" s="27">
        <v>0</v>
      </c>
      <c r="R59" s="27">
        <v>1</v>
      </c>
    </row>
    <row r="60" spans="1:18" s="20" customFormat="1" ht="14.25" customHeight="1" x14ac:dyDescent="0.2">
      <c r="A60" s="86" t="s">
        <v>15</v>
      </c>
      <c r="B60" s="28" t="s">
        <v>56</v>
      </c>
      <c r="C60" s="29" t="s">
        <v>2</v>
      </c>
      <c r="D60" s="21">
        <v>6</v>
      </c>
      <c r="E60" s="21">
        <v>2</v>
      </c>
      <c r="F60" s="21">
        <v>4</v>
      </c>
      <c r="G60" s="21">
        <v>0</v>
      </c>
      <c r="H60" s="21">
        <v>1</v>
      </c>
      <c r="I60" s="21">
        <v>1</v>
      </c>
      <c r="J60" s="21">
        <v>1</v>
      </c>
      <c r="K60" s="21">
        <v>1</v>
      </c>
      <c r="L60" s="21">
        <v>0</v>
      </c>
      <c r="M60" s="21">
        <v>0</v>
      </c>
      <c r="N60" s="21">
        <v>0</v>
      </c>
      <c r="O60" s="21">
        <v>0</v>
      </c>
      <c r="P60" s="21">
        <v>1</v>
      </c>
      <c r="Q60" s="21">
        <v>0</v>
      </c>
      <c r="R60" s="21">
        <v>1</v>
      </c>
    </row>
    <row r="61" spans="1:18" s="20" customFormat="1" ht="14.25" customHeight="1" x14ac:dyDescent="0.2">
      <c r="A61" s="87"/>
      <c r="B61" s="30" t="s">
        <v>57</v>
      </c>
      <c r="C61" s="31" t="s">
        <v>225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</row>
    <row r="62" spans="1:18" s="20" customFormat="1" ht="14.25" customHeight="1" x14ac:dyDescent="0.2">
      <c r="A62" s="64" t="s">
        <v>205</v>
      </c>
      <c r="B62" s="25" t="s">
        <v>55</v>
      </c>
      <c r="C62" s="26" t="s">
        <v>0</v>
      </c>
      <c r="D62" s="27">
        <v>62</v>
      </c>
      <c r="E62" s="27">
        <v>25</v>
      </c>
      <c r="F62" s="27">
        <v>37</v>
      </c>
      <c r="G62" s="27">
        <v>2</v>
      </c>
      <c r="H62" s="27">
        <v>3</v>
      </c>
      <c r="I62" s="27">
        <v>4</v>
      </c>
      <c r="J62" s="27">
        <v>3</v>
      </c>
      <c r="K62" s="27">
        <v>8</v>
      </c>
      <c r="L62" s="27">
        <v>4</v>
      </c>
      <c r="M62" s="27">
        <v>4</v>
      </c>
      <c r="N62" s="27">
        <v>0</v>
      </c>
      <c r="O62" s="27">
        <v>2</v>
      </c>
      <c r="P62" s="27">
        <v>13</v>
      </c>
      <c r="Q62" s="27">
        <v>5</v>
      </c>
      <c r="R62" s="27">
        <v>14</v>
      </c>
    </row>
    <row r="63" spans="1:18" s="20" customFormat="1" ht="14.25" customHeight="1" x14ac:dyDescent="0.2">
      <c r="A63" s="86" t="s">
        <v>16</v>
      </c>
      <c r="B63" s="28" t="s">
        <v>56</v>
      </c>
      <c r="C63" s="29" t="s">
        <v>2</v>
      </c>
      <c r="D63" s="21">
        <v>57</v>
      </c>
      <c r="E63" s="21">
        <v>23</v>
      </c>
      <c r="F63" s="21">
        <v>34</v>
      </c>
      <c r="G63" s="21">
        <v>2</v>
      </c>
      <c r="H63" s="21">
        <v>3</v>
      </c>
      <c r="I63" s="21">
        <v>4</v>
      </c>
      <c r="J63" s="21">
        <v>3</v>
      </c>
      <c r="K63" s="21">
        <v>7</v>
      </c>
      <c r="L63" s="21">
        <v>4</v>
      </c>
      <c r="M63" s="21">
        <v>4</v>
      </c>
      <c r="N63" s="21">
        <v>0</v>
      </c>
      <c r="O63" s="21">
        <v>2</v>
      </c>
      <c r="P63" s="21">
        <v>12</v>
      </c>
      <c r="Q63" s="21">
        <v>4</v>
      </c>
      <c r="R63" s="21">
        <v>12</v>
      </c>
    </row>
    <row r="64" spans="1:18" s="20" customFormat="1" ht="14.25" customHeight="1" x14ac:dyDescent="0.2">
      <c r="A64" s="87"/>
      <c r="B64" s="30" t="s">
        <v>57</v>
      </c>
      <c r="C64" s="31" t="s">
        <v>225</v>
      </c>
      <c r="D64" s="21">
        <v>5</v>
      </c>
      <c r="E64" s="21">
        <v>2</v>
      </c>
      <c r="F64" s="21">
        <v>3</v>
      </c>
      <c r="G64" s="21">
        <v>0</v>
      </c>
      <c r="H64" s="21">
        <v>0</v>
      </c>
      <c r="I64" s="21">
        <v>0</v>
      </c>
      <c r="J64" s="21">
        <v>0</v>
      </c>
      <c r="K64" s="21">
        <v>1</v>
      </c>
      <c r="L64" s="21">
        <v>0</v>
      </c>
      <c r="M64" s="21">
        <v>0</v>
      </c>
      <c r="N64" s="21">
        <v>0</v>
      </c>
      <c r="O64" s="21">
        <v>0</v>
      </c>
      <c r="P64" s="21">
        <v>1</v>
      </c>
      <c r="Q64" s="21">
        <v>1</v>
      </c>
      <c r="R64" s="21">
        <v>2</v>
      </c>
    </row>
    <row r="65" spans="1:18" s="20" customFormat="1" ht="14.25" customHeight="1" x14ac:dyDescent="0.2">
      <c r="A65" s="64" t="s">
        <v>206</v>
      </c>
      <c r="B65" s="25" t="s">
        <v>55</v>
      </c>
      <c r="C65" s="26" t="s">
        <v>0</v>
      </c>
      <c r="D65" s="27">
        <v>101</v>
      </c>
      <c r="E65" s="27">
        <v>40</v>
      </c>
      <c r="F65" s="27">
        <v>61</v>
      </c>
      <c r="G65" s="27">
        <v>4</v>
      </c>
      <c r="H65" s="27">
        <v>4</v>
      </c>
      <c r="I65" s="27">
        <v>2</v>
      </c>
      <c r="J65" s="27">
        <v>5</v>
      </c>
      <c r="K65" s="27">
        <v>5</v>
      </c>
      <c r="L65" s="27">
        <v>3</v>
      </c>
      <c r="M65" s="27">
        <v>10</v>
      </c>
      <c r="N65" s="27">
        <v>13</v>
      </c>
      <c r="O65" s="27">
        <v>13</v>
      </c>
      <c r="P65" s="27">
        <v>17</v>
      </c>
      <c r="Q65" s="27">
        <v>6</v>
      </c>
      <c r="R65" s="27">
        <v>19</v>
      </c>
    </row>
    <row r="66" spans="1:18" s="20" customFormat="1" ht="14.25" customHeight="1" x14ac:dyDescent="0.2">
      <c r="A66" s="86" t="s">
        <v>17</v>
      </c>
      <c r="B66" s="28" t="s">
        <v>56</v>
      </c>
      <c r="C66" s="29" t="s">
        <v>2</v>
      </c>
      <c r="D66" s="21">
        <v>91</v>
      </c>
      <c r="E66" s="21">
        <v>35</v>
      </c>
      <c r="F66" s="21">
        <v>56</v>
      </c>
      <c r="G66" s="21">
        <v>3</v>
      </c>
      <c r="H66" s="21">
        <v>4</v>
      </c>
      <c r="I66" s="21">
        <v>1</v>
      </c>
      <c r="J66" s="21">
        <v>4</v>
      </c>
      <c r="K66" s="21">
        <v>5</v>
      </c>
      <c r="L66" s="21">
        <v>2</v>
      </c>
      <c r="M66" s="21">
        <v>10</v>
      </c>
      <c r="N66" s="21">
        <v>12</v>
      </c>
      <c r="O66" s="21">
        <v>11</v>
      </c>
      <c r="P66" s="21">
        <v>16</v>
      </c>
      <c r="Q66" s="21">
        <v>5</v>
      </c>
      <c r="R66" s="21">
        <v>18</v>
      </c>
    </row>
    <row r="67" spans="1:18" s="20" customFormat="1" ht="14.25" customHeight="1" x14ac:dyDescent="0.2">
      <c r="A67" s="87"/>
      <c r="B67" s="30" t="s">
        <v>57</v>
      </c>
      <c r="C67" s="31" t="s">
        <v>225</v>
      </c>
      <c r="D67" s="21">
        <v>10</v>
      </c>
      <c r="E67" s="21">
        <v>5</v>
      </c>
      <c r="F67" s="21">
        <v>5</v>
      </c>
      <c r="G67" s="21">
        <v>1</v>
      </c>
      <c r="H67" s="21">
        <v>0</v>
      </c>
      <c r="I67" s="21">
        <v>1</v>
      </c>
      <c r="J67" s="21">
        <v>1</v>
      </c>
      <c r="K67" s="21">
        <v>0</v>
      </c>
      <c r="L67" s="21">
        <v>1</v>
      </c>
      <c r="M67" s="21">
        <v>0</v>
      </c>
      <c r="N67" s="21">
        <v>1</v>
      </c>
      <c r="O67" s="21">
        <v>2</v>
      </c>
      <c r="P67" s="21">
        <v>1</v>
      </c>
      <c r="Q67" s="21">
        <v>1</v>
      </c>
      <c r="R67" s="21">
        <v>1</v>
      </c>
    </row>
    <row r="68" spans="1:18" s="20" customFormat="1" ht="14.25" customHeight="1" x14ac:dyDescent="0.2">
      <c r="A68" s="64" t="s">
        <v>207</v>
      </c>
      <c r="B68" s="25" t="s">
        <v>55</v>
      </c>
      <c r="C68" s="26" t="s">
        <v>0</v>
      </c>
      <c r="D68" s="27">
        <v>55</v>
      </c>
      <c r="E68" s="27">
        <v>29</v>
      </c>
      <c r="F68" s="27">
        <v>26</v>
      </c>
      <c r="G68" s="27">
        <v>3</v>
      </c>
      <c r="H68" s="27">
        <v>6</v>
      </c>
      <c r="I68" s="27">
        <v>7</v>
      </c>
      <c r="J68" s="27">
        <v>8</v>
      </c>
      <c r="K68" s="27">
        <v>8</v>
      </c>
      <c r="L68" s="27">
        <v>1</v>
      </c>
      <c r="M68" s="27">
        <v>3</v>
      </c>
      <c r="N68" s="27">
        <v>0</v>
      </c>
      <c r="O68" s="27">
        <v>4</v>
      </c>
      <c r="P68" s="27">
        <v>8</v>
      </c>
      <c r="Q68" s="27">
        <v>4</v>
      </c>
      <c r="R68" s="27">
        <v>3</v>
      </c>
    </row>
    <row r="69" spans="1:18" s="20" customFormat="1" ht="14.25" customHeight="1" x14ac:dyDescent="0.2">
      <c r="A69" s="86" t="s">
        <v>18</v>
      </c>
      <c r="B69" s="28" t="s">
        <v>56</v>
      </c>
      <c r="C69" s="29" t="s">
        <v>2</v>
      </c>
      <c r="D69" s="21">
        <v>55</v>
      </c>
      <c r="E69" s="21">
        <v>29</v>
      </c>
      <c r="F69" s="21">
        <v>26</v>
      </c>
      <c r="G69" s="21">
        <v>3</v>
      </c>
      <c r="H69" s="21">
        <v>6</v>
      </c>
      <c r="I69" s="21">
        <v>7</v>
      </c>
      <c r="J69" s="21">
        <v>8</v>
      </c>
      <c r="K69" s="21">
        <v>8</v>
      </c>
      <c r="L69" s="21">
        <v>1</v>
      </c>
      <c r="M69" s="21">
        <v>3</v>
      </c>
      <c r="N69" s="21">
        <v>0</v>
      </c>
      <c r="O69" s="21">
        <v>4</v>
      </c>
      <c r="P69" s="21">
        <v>8</v>
      </c>
      <c r="Q69" s="21">
        <v>4</v>
      </c>
      <c r="R69" s="21">
        <v>3</v>
      </c>
    </row>
    <row r="70" spans="1:18" s="20" customFormat="1" ht="14.25" customHeight="1" x14ac:dyDescent="0.2">
      <c r="A70" s="87"/>
      <c r="B70" s="30" t="s">
        <v>57</v>
      </c>
      <c r="C70" s="31" t="s">
        <v>225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</row>
    <row r="71" spans="1:18" s="20" customFormat="1" ht="14.25" customHeight="1" x14ac:dyDescent="0.2">
      <c r="A71" s="64" t="s">
        <v>208</v>
      </c>
      <c r="B71" s="25" t="s">
        <v>55</v>
      </c>
      <c r="C71" s="26" t="s">
        <v>0</v>
      </c>
      <c r="D71" s="27">
        <v>26</v>
      </c>
      <c r="E71" s="27">
        <v>11</v>
      </c>
      <c r="F71" s="27">
        <v>15</v>
      </c>
      <c r="G71" s="27">
        <v>3</v>
      </c>
      <c r="H71" s="27">
        <v>1</v>
      </c>
      <c r="I71" s="27">
        <v>1</v>
      </c>
      <c r="J71" s="27">
        <v>3</v>
      </c>
      <c r="K71" s="27">
        <v>2</v>
      </c>
      <c r="L71" s="27">
        <v>0</v>
      </c>
      <c r="M71" s="27">
        <v>3</v>
      </c>
      <c r="N71" s="27">
        <v>1</v>
      </c>
      <c r="O71" s="27">
        <v>2</v>
      </c>
      <c r="P71" s="27">
        <v>4</v>
      </c>
      <c r="Q71" s="27">
        <v>0</v>
      </c>
      <c r="R71" s="27">
        <v>6</v>
      </c>
    </row>
    <row r="72" spans="1:18" s="20" customFormat="1" ht="14.25" customHeight="1" x14ac:dyDescent="0.2">
      <c r="A72" s="86" t="s">
        <v>19</v>
      </c>
      <c r="B72" s="28" t="s">
        <v>56</v>
      </c>
      <c r="C72" s="29" t="s">
        <v>2</v>
      </c>
      <c r="D72" s="21">
        <v>26</v>
      </c>
      <c r="E72" s="21">
        <v>11</v>
      </c>
      <c r="F72" s="21">
        <v>15</v>
      </c>
      <c r="G72" s="21">
        <v>3</v>
      </c>
      <c r="H72" s="21">
        <v>1</v>
      </c>
      <c r="I72" s="21">
        <v>1</v>
      </c>
      <c r="J72" s="21">
        <v>3</v>
      </c>
      <c r="K72" s="21">
        <v>2</v>
      </c>
      <c r="L72" s="21">
        <v>0</v>
      </c>
      <c r="M72" s="21">
        <v>3</v>
      </c>
      <c r="N72" s="21">
        <v>1</v>
      </c>
      <c r="O72" s="21">
        <v>2</v>
      </c>
      <c r="P72" s="21">
        <v>4</v>
      </c>
      <c r="Q72" s="21">
        <v>0</v>
      </c>
      <c r="R72" s="21">
        <v>6</v>
      </c>
    </row>
    <row r="73" spans="1:18" s="20" customFormat="1" ht="14.25" customHeight="1" x14ac:dyDescent="0.2">
      <c r="A73" s="87"/>
      <c r="B73" s="30" t="s">
        <v>57</v>
      </c>
      <c r="C73" s="31" t="s">
        <v>225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</row>
    <row r="74" spans="1:18" s="20" customFormat="1" ht="14.25" customHeight="1" x14ac:dyDescent="0.2">
      <c r="A74" s="64" t="s">
        <v>209</v>
      </c>
      <c r="B74" s="25" t="s">
        <v>55</v>
      </c>
      <c r="C74" s="26" t="s">
        <v>0</v>
      </c>
      <c r="D74" s="27">
        <v>7</v>
      </c>
      <c r="E74" s="27">
        <v>4</v>
      </c>
      <c r="F74" s="27">
        <v>3</v>
      </c>
      <c r="G74" s="27">
        <v>0</v>
      </c>
      <c r="H74" s="27">
        <v>0</v>
      </c>
      <c r="I74" s="27">
        <v>0</v>
      </c>
      <c r="J74" s="27">
        <v>0</v>
      </c>
      <c r="K74" s="27">
        <v>2</v>
      </c>
      <c r="L74" s="27">
        <v>0</v>
      </c>
      <c r="M74" s="27">
        <v>2</v>
      </c>
      <c r="N74" s="27">
        <v>0</v>
      </c>
      <c r="O74" s="27">
        <v>0</v>
      </c>
      <c r="P74" s="27">
        <v>3</v>
      </c>
      <c r="Q74" s="27">
        <v>0</v>
      </c>
      <c r="R74" s="27">
        <v>0</v>
      </c>
    </row>
    <row r="75" spans="1:18" s="20" customFormat="1" ht="14.25" customHeight="1" x14ac:dyDescent="0.2">
      <c r="A75" s="86" t="s">
        <v>20</v>
      </c>
      <c r="B75" s="28" t="s">
        <v>56</v>
      </c>
      <c r="C75" s="29" t="s">
        <v>2</v>
      </c>
      <c r="D75" s="21">
        <v>5</v>
      </c>
      <c r="E75" s="21">
        <v>4</v>
      </c>
      <c r="F75" s="21">
        <v>1</v>
      </c>
      <c r="G75" s="21">
        <v>0</v>
      </c>
      <c r="H75" s="21">
        <v>0</v>
      </c>
      <c r="I75" s="21">
        <v>0</v>
      </c>
      <c r="J75" s="21">
        <v>0</v>
      </c>
      <c r="K75" s="21">
        <v>2</v>
      </c>
      <c r="L75" s="21">
        <v>0</v>
      </c>
      <c r="M75" s="21">
        <v>2</v>
      </c>
      <c r="N75" s="21">
        <v>0</v>
      </c>
      <c r="O75" s="21">
        <v>0</v>
      </c>
      <c r="P75" s="21">
        <v>1</v>
      </c>
      <c r="Q75" s="21">
        <v>0</v>
      </c>
      <c r="R75" s="21">
        <v>0</v>
      </c>
    </row>
    <row r="76" spans="1:18" s="20" customFormat="1" ht="14.25" customHeight="1" x14ac:dyDescent="0.2">
      <c r="A76" s="87"/>
      <c r="B76" s="30" t="s">
        <v>57</v>
      </c>
      <c r="C76" s="31" t="s">
        <v>225</v>
      </c>
      <c r="D76" s="22">
        <v>2</v>
      </c>
      <c r="E76" s="22">
        <v>0</v>
      </c>
      <c r="F76" s="22">
        <v>2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2</v>
      </c>
      <c r="Q76" s="22">
        <v>0</v>
      </c>
      <c r="R76" s="22">
        <v>0</v>
      </c>
    </row>
    <row r="77" spans="1:18" s="17" customFormat="1" ht="14.25" customHeight="1" x14ac:dyDescent="0.2">
      <c r="A77" s="17" t="s">
        <v>80</v>
      </c>
    </row>
    <row r="78" spans="1:18" s="17" customFormat="1" ht="14.25" customHeight="1" x14ac:dyDescent="0.2">
      <c r="A78" s="23" t="s">
        <v>24</v>
      </c>
    </row>
    <row r="79" spans="1:18" s="17" customFormat="1" ht="14.25" customHeight="1" x14ac:dyDescent="0.2">
      <c r="A79" s="4"/>
    </row>
    <row r="80" spans="1:18" s="17" customFormat="1" ht="14.25" customHeight="1" x14ac:dyDescent="0.2">
      <c r="A80" s="52" t="s">
        <v>227</v>
      </c>
    </row>
  </sheetData>
  <mergeCells count="47">
    <mergeCell ref="K5:L5"/>
    <mergeCell ref="M5:N5"/>
    <mergeCell ref="O5:P5"/>
    <mergeCell ref="Q5:R5"/>
    <mergeCell ref="D6:D7"/>
    <mergeCell ref="Q6:Q7"/>
    <mergeCell ref="R6:R7"/>
    <mergeCell ref="A18:A19"/>
    <mergeCell ref="K6:K7"/>
    <mergeCell ref="L6:L7"/>
    <mergeCell ref="M6:M7"/>
    <mergeCell ref="N6:N7"/>
    <mergeCell ref="E6:E7"/>
    <mergeCell ref="F6:F7"/>
    <mergeCell ref="G6:G7"/>
    <mergeCell ref="H6:H7"/>
    <mergeCell ref="I6:I7"/>
    <mergeCell ref="J6:J7"/>
    <mergeCell ref="A4:C7"/>
    <mergeCell ref="D4:R4"/>
    <mergeCell ref="D5:F5"/>
    <mergeCell ref="G5:H5"/>
    <mergeCell ref="I5:J5"/>
    <mergeCell ref="A9:A10"/>
    <mergeCell ref="A12:A13"/>
    <mergeCell ref="A15:A16"/>
    <mergeCell ref="O6:O7"/>
    <mergeCell ref="P6:P7"/>
    <mergeCell ref="A54:A55"/>
    <mergeCell ref="A21:A22"/>
    <mergeCell ref="A24:A25"/>
    <mergeCell ref="A27:A28"/>
    <mergeCell ref="A30:A31"/>
    <mergeCell ref="A33:A34"/>
    <mergeCell ref="A36:A37"/>
    <mergeCell ref="A39:A40"/>
    <mergeCell ref="A42:A43"/>
    <mergeCell ref="A45:A46"/>
    <mergeCell ref="A48:A49"/>
    <mergeCell ref="A51:A52"/>
    <mergeCell ref="A75:A76"/>
    <mergeCell ref="A57:A58"/>
    <mergeCell ref="A60:A61"/>
    <mergeCell ref="A63:A64"/>
    <mergeCell ref="A66:A67"/>
    <mergeCell ref="A69:A70"/>
    <mergeCell ref="A72:A73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 alignWithMargins="0">
    <oddHeader>&amp;L&amp;"微軟正黑體,標準"&amp;16兒童及少年保護執行概況&amp;C&amp;"微軟正黑體,標準"&amp;16
&amp;R&amp;"微軟正黑體,標準"本表共&amp;N頁，第&amp;P頁</oddHeader>
  </headerFooter>
  <rowBreaks count="1" manualBreakCount="1">
    <brk id="43" max="17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20"/>
  <sheetViews>
    <sheetView zoomScaleNormal="100" zoomScaleSheetLayoutView="100" workbookViewId="0">
      <pane xSplit="4" ySplit="8" topLeftCell="E63" activePane="bottomRight" state="frozen"/>
      <selection activeCell="Y67" sqref="Y67"/>
      <selection pane="topRight" activeCell="Y67" sqref="Y67"/>
      <selection pane="bottomLeft" activeCell="Y67" sqref="Y67"/>
      <selection pane="bottomRight" activeCell="Y67" sqref="Y67"/>
    </sheetView>
  </sheetViews>
  <sheetFormatPr defaultColWidth="5.5" defaultRowHeight="11.1" customHeight="1" x14ac:dyDescent="0.2"/>
  <cols>
    <col min="1" max="1" width="19.1640625" style="4" customWidth="1"/>
    <col min="2" max="2" width="10.33203125" style="4" customWidth="1"/>
    <col min="3" max="3" width="13.1640625" style="4" customWidth="1"/>
    <col min="4" max="18" width="11.5" style="4" customWidth="1"/>
    <col min="19" max="16384" width="5.5" style="4"/>
  </cols>
  <sheetData>
    <row r="1" spans="1:18" ht="20.25" customHeight="1" x14ac:dyDescent="0.2">
      <c r="A1" s="46" t="s">
        <v>174</v>
      </c>
      <c r="B1" s="1"/>
      <c r="C1" s="1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4.25" customHeight="1" x14ac:dyDescent="0.2">
      <c r="A2" s="17" t="s">
        <v>148</v>
      </c>
      <c r="B2"/>
      <c r="C2"/>
      <c r="D2" s="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</row>
    <row r="3" spans="1:18" s="17" customFormat="1" ht="12.75" customHeight="1" x14ac:dyDescent="0.2">
      <c r="A3" s="53" t="s">
        <v>223</v>
      </c>
      <c r="B3" s="16"/>
      <c r="C3" s="16"/>
      <c r="D3" s="4" t="str">
        <f>IF(D8=SUM(D11,D14,D17,D20,D23,D26,D29,D32,D35,D38,D41,D44,D47,D50,D53,D56,D59,D62,D65,D68,D71,D74,),"","*")</f>
        <v/>
      </c>
      <c r="E3" s="4" t="str">
        <f t="shared" ref="E3:R3" si="0">IF(E8=SUM(E11,E14,E17,E20,E23,E26,E29,E32,E35,E38,E41,E44,E47,E50,E53,E56,E59,E62,E65,E68,E71,E74,),"","*")</f>
        <v/>
      </c>
      <c r="F3" s="4" t="str">
        <f t="shared" si="0"/>
        <v/>
      </c>
      <c r="G3" s="4" t="str">
        <f t="shared" si="0"/>
        <v/>
      </c>
      <c r="H3" s="4" t="str">
        <f t="shared" si="0"/>
        <v/>
      </c>
      <c r="I3" s="4" t="str">
        <f t="shared" si="0"/>
        <v/>
      </c>
      <c r="J3" s="4" t="str">
        <f t="shared" si="0"/>
        <v/>
      </c>
      <c r="K3" s="4" t="str">
        <f t="shared" si="0"/>
        <v/>
      </c>
      <c r="L3" s="4" t="str">
        <f t="shared" si="0"/>
        <v/>
      </c>
      <c r="M3" s="4" t="str">
        <f t="shared" si="0"/>
        <v/>
      </c>
      <c r="N3" s="4" t="str">
        <f t="shared" si="0"/>
        <v/>
      </c>
      <c r="O3" s="4" t="str">
        <f t="shared" si="0"/>
        <v/>
      </c>
      <c r="P3" s="4" t="str">
        <f t="shared" si="0"/>
        <v/>
      </c>
      <c r="Q3" s="4" t="str">
        <f t="shared" si="0"/>
        <v/>
      </c>
      <c r="R3" s="4" t="str">
        <f t="shared" si="0"/>
        <v/>
      </c>
    </row>
    <row r="4" spans="1:18" s="18" customFormat="1" ht="15.6" customHeight="1" x14ac:dyDescent="0.2">
      <c r="A4" s="94" t="s">
        <v>42</v>
      </c>
      <c r="B4" s="95"/>
      <c r="C4" s="96"/>
      <c r="D4" s="76" t="s">
        <v>43</v>
      </c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</row>
    <row r="5" spans="1:18" s="18" customFormat="1" ht="28.9" customHeight="1" x14ac:dyDescent="0.2">
      <c r="A5" s="97"/>
      <c r="B5" s="98"/>
      <c r="C5" s="99"/>
      <c r="D5" s="78" t="s">
        <v>44</v>
      </c>
      <c r="E5" s="79"/>
      <c r="F5" s="80"/>
      <c r="G5" s="103" t="s">
        <v>45</v>
      </c>
      <c r="H5" s="104"/>
      <c r="I5" s="103" t="s">
        <v>46</v>
      </c>
      <c r="J5" s="104"/>
      <c r="K5" s="103" t="s">
        <v>47</v>
      </c>
      <c r="L5" s="104"/>
      <c r="M5" s="103" t="s">
        <v>48</v>
      </c>
      <c r="N5" s="104"/>
      <c r="O5" s="103" t="s">
        <v>49</v>
      </c>
      <c r="P5" s="104"/>
      <c r="Q5" s="103" t="s">
        <v>50</v>
      </c>
      <c r="R5" s="105"/>
    </row>
    <row r="6" spans="1:18" s="18" customFormat="1" ht="12.75" x14ac:dyDescent="0.2">
      <c r="A6" s="97"/>
      <c r="B6" s="98"/>
      <c r="C6" s="99"/>
      <c r="D6" s="72" t="s">
        <v>51</v>
      </c>
      <c r="E6" s="92" t="s">
        <v>52</v>
      </c>
      <c r="F6" s="90" t="s">
        <v>53</v>
      </c>
      <c r="G6" s="90" t="s">
        <v>52</v>
      </c>
      <c r="H6" s="90" t="s">
        <v>53</v>
      </c>
      <c r="I6" s="90" t="s">
        <v>52</v>
      </c>
      <c r="J6" s="90" t="s">
        <v>53</v>
      </c>
      <c r="K6" s="90" t="s">
        <v>52</v>
      </c>
      <c r="L6" s="90" t="s">
        <v>53</v>
      </c>
      <c r="M6" s="90" t="s">
        <v>52</v>
      </c>
      <c r="N6" s="90" t="s">
        <v>53</v>
      </c>
      <c r="O6" s="90" t="s">
        <v>52</v>
      </c>
      <c r="P6" s="90" t="s">
        <v>53</v>
      </c>
      <c r="Q6" s="90" t="s">
        <v>52</v>
      </c>
      <c r="R6" s="94" t="s">
        <v>53</v>
      </c>
    </row>
    <row r="7" spans="1:18" s="19" customFormat="1" ht="12.75" x14ac:dyDescent="0.2">
      <c r="A7" s="100"/>
      <c r="B7" s="101"/>
      <c r="C7" s="102"/>
      <c r="D7" s="75"/>
      <c r="E7" s="93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100"/>
    </row>
    <row r="8" spans="1:18" s="59" customFormat="1" ht="18" customHeight="1" x14ac:dyDescent="0.2">
      <c r="A8" s="63" t="s">
        <v>186</v>
      </c>
      <c r="B8" s="56" t="s">
        <v>187</v>
      </c>
      <c r="C8" s="57" t="s">
        <v>0</v>
      </c>
      <c r="D8" s="58">
        <v>5771</v>
      </c>
      <c r="E8" s="58">
        <v>2521</v>
      </c>
      <c r="F8" s="58">
        <v>3250</v>
      </c>
      <c r="G8" s="58">
        <v>257</v>
      </c>
      <c r="H8" s="58">
        <v>212</v>
      </c>
      <c r="I8" s="58">
        <v>418</v>
      </c>
      <c r="J8" s="58">
        <v>331</v>
      </c>
      <c r="K8" s="58">
        <v>636</v>
      </c>
      <c r="L8" s="58">
        <v>408</v>
      </c>
      <c r="M8" s="58">
        <v>600</v>
      </c>
      <c r="N8" s="58">
        <v>453</v>
      </c>
      <c r="O8" s="58">
        <v>409</v>
      </c>
      <c r="P8" s="58">
        <v>952</v>
      </c>
      <c r="Q8" s="58">
        <v>201</v>
      </c>
      <c r="R8" s="58">
        <v>894</v>
      </c>
    </row>
    <row r="9" spans="1:18" s="59" customFormat="1" ht="14.25" customHeight="1" x14ac:dyDescent="0.2">
      <c r="A9" s="88" t="s">
        <v>1</v>
      </c>
      <c r="B9" s="60" t="s">
        <v>188</v>
      </c>
      <c r="C9" s="61" t="s">
        <v>2</v>
      </c>
      <c r="D9" s="62">
        <v>5255</v>
      </c>
      <c r="E9" s="62">
        <v>2289</v>
      </c>
      <c r="F9" s="62">
        <v>2966</v>
      </c>
      <c r="G9" s="62">
        <v>238</v>
      </c>
      <c r="H9" s="62">
        <v>194</v>
      </c>
      <c r="I9" s="62">
        <v>376</v>
      </c>
      <c r="J9" s="62">
        <v>310</v>
      </c>
      <c r="K9" s="62">
        <v>568</v>
      </c>
      <c r="L9" s="62">
        <v>382</v>
      </c>
      <c r="M9" s="62">
        <v>545</v>
      </c>
      <c r="N9" s="62">
        <v>412</v>
      </c>
      <c r="O9" s="62">
        <v>378</v>
      </c>
      <c r="P9" s="62">
        <v>843</v>
      </c>
      <c r="Q9" s="62">
        <v>184</v>
      </c>
      <c r="R9" s="62">
        <v>825</v>
      </c>
    </row>
    <row r="10" spans="1:18" s="59" customFormat="1" ht="14.25" customHeight="1" x14ac:dyDescent="0.2">
      <c r="A10" s="89"/>
      <c r="B10" s="60" t="s">
        <v>189</v>
      </c>
      <c r="C10" s="61" t="s">
        <v>225</v>
      </c>
      <c r="D10" s="62">
        <v>516</v>
      </c>
      <c r="E10" s="62">
        <v>232</v>
      </c>
      <c r="F10" s="62">
        <v>284</v>
      </c>
      <c r="G10" s="62">
        <v>19</v>
      </c>
      <c r="H10" s="62">
        <v>18</v>
      </c>
      <c r="I10" s="62">
        <v>42</v>
      </c>
      <c r="J10" s="62">
        <v>21</v>
      </c>
      <c r="K10" s="62">
        <v>68</v>
      </c>
      <c r="L10" s="62">
        <v>26</v>
      </c>
      <c r="M10" s="62">
        <v>55</v>
      </c>
      <c r="N10" s="62">
        <v>41</v>
      </c>
      <c r="O10" s="62">
        <v>31</v>
      </c>
      <c r="P10" s="62">
        <v>109</v>
      </c>
      <c r="Q10" s="62">
        <v>17</v>
      </c>
      <c r="R10" s="62">
        <v>69</v>
      </c>
    </row>
    <row r="11" spans="1:18" s="20" customFormat="1" ht="14.25" customHeight="1" x14ac:dyDescent="0.2">
      <c r="A11" s="64" t="s">
        <v>210</v>
      </c>
      <c r="B11" s="25" t="s">
        <v>55</v>
      </c>
      <c r="C11" s="26" t="s">
        <v>0</v>
      </c>
      <c r="D11" s="27">
        <v>1208</v>
      </c>
      <c r="E11" s="27">
        <v>511</v>
      </c>
      <c r="F11" s="27">
        <v>697</v>
      </c>
      <c r="G11" s="27">
        <v>38</v>
      </c>
      <c r="H11" s="27">
        <v>27</v>
      </c>
      <c r="I11" s="27">
        <v>57</v>
      </c>
      <c r="J11" s="27">
        <v>48</v>
      </c>
      <c r="K11" s="27">
        <v>141</v>
      </c>
      <c r="L11" s="27">
        <v>88</v>
      </c>
      <c r="M11" s="27">
        <v>139</v>
      </c>
      <c r="N11" s="27">
        <v>107</v>
      </c>
      <c r="O11" s="27">
        <v>100</v>
      </c>
      <c r="P11" s="27">
        <v>204</v>
      </c>
      <c r="Q11" s="27">
        <v>36</v>
      </c>
      <c r="R11" s="27">
        <v>223</v>
      </c>
    </row>
    <row r="12" spans="1:18" s="20" customFormat="1" ht="14.25" customHeight="1" x14ac:dyDescent="0.2">
      <c r="A12" s="86" t="s">
        <v>3</v>
      </c>
      <c r="B12" s="28" t="s">
        <v>56</v>
      </c>
      <c r="C12" s="29" t="s">
        <v>2</v>
      </c>
      <c r="D12" s="21">
        <v>1132</v>
      </c>
      <c r="E12" s="21">
        <v>473</v>
      </c>
      <c r="F12" s="21">
        <v>659</v>
      </c>
      <c r="G12" s="21">
        <v>37</v>
      </c>
      <c r="H12" s="21">
        <v>26</v>
      </c>
      <c r="I12" s="21">
        <v>56</v>
      </c>
      <c r="J12" s="21">
        <v>46</v>
      </c>
      <c r="K12" s="21">
        <v>125</v>
      </c>
      <c r="L12" s="21">
        <v>83</v>
      </c>
      <c r="M12" s="21">
        <v>126</v>
      </c>
      <c r="N12" s="21">
        <v>102</v>
      </c>
      <c r="O12" s="21">
        <v>95</v>
      </c>
      <c r="P12" s="21">
        <v>187</v>
      </c>
      <c r="Q12" s="21">
        <v>34</v>
      </c>
      <c r="R12" s="21">
        <v>215</v>
      </c>
    </row>
    <row r="13" spans="1:18" s="20" customFormat="1" ht="14.25" customHeight="1" x14ac:dyDescent="0.2">
      <c r="A13" s="87"/>
      <c r="B13" s="28" t="s">
        <v>57</v>
      </c>
      <c r="C13" s="29" t="s">
        <v>225</v>
      </c>
      <c r="D13" s="21">
        <v>76</v>
      </c>
      <c r="E13" s="21">
        <v>38</v>
      </c>
      <c r="F13" s="21">
        <v>38</v>
      </c>
      <c r="G13" s="21">
        <v>1</v>
      </c>
      <c r="H13" s="21">
        <v>1</v>
      </c>
      <c r="I13" s="21">
        <v>1</v>
      </c>
      <c r="J13" s="21">
        <v>2</v>
      </c>
      <c r="K13" s="21">
        <v>16</v>
      </c>
      <c r="L13" s="21">
        <v>5</v>
      </c>
      <c r="M13" s="21">
        <v>13</v>
      </c>
      <c r="N13" s="21">
        <v>5</v>
      </c>
      <c r="O13" s="21">
        <v>5</v>
      </c>
      <c r="P13" s="21">
        <v>17</v>
      </c>
      <c r="Q13" s="21">
        <v>2</v>
      </c>
      <c r="R13" s="21">
        <v>8</v>
      </c>
    </row>
    <row r="14" spans="1:18" s="20" customFormat="1" ht="14.25" customHeight="1" x14ac:dyDescent="0.2">
      <c r="A14" s="64" t="s">
        <v>211</v>
      </c>
      <c r="B14" s="25" t="s">
        <v>55</v>
      </c>
      <c r="C14" s="26" t="s">
        <v>0</v>
      </c>
      <c r="D14" s="27">
        <v>571</v>
      </c>
      <c r="E14" s="27">
        <v>252</v>
      </c>
      <c r="F14" s="27">
        <v>319</v>
      </c>
      <c r="G14" s="27">
        <v>18</v>
      </c>
      <c r="H14" s="27">
        <v>21</v>
      </c>
      <c r="I14" s="27">
        <v>37</v>
      </c>
      <c r="J14" s="27">
        <v>49</v>
      </c>
      <c r="K14" s="27">
        <v>52</v>
      </c>
      <c r="L14" s="27">
        <v>31</v>
      </c>
      <c r="M14" s="27">
        <v>70</v>
      </c>
      <c r="N14" s="27">
        <v>42</v>
      </c>
      <c r="O14" s="27">
        <v>50</v>
      </c>
      <c r="P14" s="27">
        <v>88</v>
      </c>
      <c r="Q14" s="27">
        <v>25</v>
      </c>
      <c r="R14" s="27">
        <v>88</v>
      </c>
    </row>
    <row r="15" spans="1:18" s="20" customFormat="1" ht="14.25" customHeight="1" x14ac:dyDescent="0.2">
      <c r="A15" s="86" t="s">
        <v>4</v>
      </c>
      <c r="B15" s="28" t="s">
        <v>56</v>
      </c>
      <c r="C15" s="29" t="s">
        <v>2</v>
      </c>
      <c r="D15" s="21">
        <v>551</v>
      </c>
      <c r="E15" s="21">
        <v>240</v>
      </c>
      <c r="F15" s="21">
        <v>311</v>
      </c>
      <c r="G15" s="21">
        <v>16</v>
      </c>
      <c r="H15" s="21">
        <v>20</v>
      </c>
      <c r="I15" s="21">
        <v>34</v>
      </c>
      <c r="J15" s="21">
        <v>46</v>
      </c>
      <c r="K15" s="21">
        <v>48</v>
      </c>
      <c r="L15" s="21">
        <v>31</v>
      </c>
      <c r="M15" s="21">
        <v>68</v>
      </c>
      <c r="N15" s="21">
        <v>41</v>
      </c>
      <c r="O15" s="21">
        <v>49</v>
      </c>
      <c r="P15" s="21">
        <v>88</v>
      </c>
      <c r="Q15" s="21">
        <v>25</v>
      </c>
      <c r="R15" s="21">
        <v>85</v>
      </c>
    </row>
    <row r="16" spans="1:18" s="20" customFormat="1" ht="14.25" customHeight="1" x14ac:dyDescent="0.2">
      <c r="A16" s="87"/>
      <c r="B16" s="30" t="s">
        <v>57</v>
      </c>
      <c r="C16" s="31" t="s">
        <v>225</v>
      </c>
      <c r="D16" s="21">
        <v>20</v>
      </c>
      <c r="E16" s="21">
        <v>12</v>
      </c>
      <c r="F16" s="21">
        <v>8</v>
      </c>
      <c r="G16" s="21">
        <v>2</v>
      </c>
      <c r="H16" s="21">
        <v>1</v>
      </c>
      <c r="I16" s="21">
        <v>3</v>
      </c>
      <c r="J16" s="21">
        <v>3</v>
      </c>
      <c r="K16" s="21">
        <v>4</v>
      </c>
      <c r="L16" s="21">
        <v>0</v>
      </c>
      <c r="M16" s="21">
        <v>2</v>
      </c>
      <c r="N16" s="21">
        <v>1</v>
      </c>
      <c r="O16" s="21">
        <v>1</v>
      </c>
      <c r="P16" s="21">
        <v>0</v>
      </c>
      <c r="Q16" s="21">
        <v>0</v>
      </c>
      <c r="R16" s="21">
        <v>3</v>
      </c>
    </row>
    <row r="17" spans="1:18" s="20" customFormat="1" ht="14.25" customHeight="1" x14ac:dyDescent="0.2">
      <c r="A17" s="64" t="s">
        <v>212</v>
      </c>
      <c r="B17" s="25" t="s">
        <v>55</v>
      </c>
      <c r="C17" s="26" t="s">
        <v>0</v>
      </c>
      <c r="D17" s="27">
        <v>505</v>
      </c>
      <c r="E17" s="27">
        <v>232</v>
      </c>
      <c r="F17" s="27">
        <v>273</v>
      </c>
      <c r="G17" s="27">
        <v>25</v>
      </c>
      <c r="H17" s="27">
        <v>21</v>
      </c>
      <c r="I17" s="27">
        <v>46</v>
      </c>
      <c r="J17" s="27">
        <v>22</v>
      </c>
      <c r="K17" s="27">
        <v>72</v>
      </c>
      <c r="L17" s="27">
        <v>35</v>
      </c>
      <c r="M17" s="27">
        <v>49</v>
      </c>
      <c r="N17" s="27">
        <v>45</v>
      </c>
      <c r="O17" s="27">
        <v>27</v>
      </c>
      <c r="P17" s="27">
        <v>85</v>
      </c>
      <c r="Q17" s="27">
        <v>13</v>
      </c>
      <c r="R17" s="27">
        <v>65</v>
      </c>
    </row>
    <row r="18" spans="1:18" s="20" customFormat="1" ht="14.25" customHeight="1" x14ac:dyDescent="0.2">
      <c r="A18" s="86" t="s">
        <v>25</v>
      </c>
      <c r="B18" s="28" t="s">
        <v>56</v>
      </c>
      <c r="C18" s="29" t="s">
        <v>2</v>
      </c>
      <c r="D18" s="21">
        <v>445</v>
      </c>
      <c r="E18" s="21">
        <v>204</v>
      </c>
      <c r="F18" s="21">
        <v>241</v>
      </c>
      <c r="G18" s="21">
        <v>24</v>
      </c>
      <c r="H18" s="21">
        <v>19</v>
      </c>
      <c r="I18" s="21">
        <v>39</v>
      </c>
      <c r="J18" s="21">
        <v>21</v>
      </c>
      <c r="K18" s="21">
        <v>64</v>
      </c>
      <c r="L18" s="21">
        <v>32</v>
      </c>
      <c r="M18" s="21">
        <v>43</v>
      </c>
      <c r="N18" s="21">
        <v>40</v>
      </c>
      <c r="O18" s="21">
        <v>24</v>
      </c>
      <c r="P18" s="21">
        <v>70</v>
      </c>
      <c r="Q18" s="21">
        <v>10</v>
      </c>
      <c r="R18" s="21">
        <v>59</v>
      </c>
    </row>
    <row r="19" spans="1:18" s="20" customFormat="1" ht="14.25" customHeight="1" x14ac:dyDescent="0.2">
      <c r="A19" s="87"/>
      <c r="B19" s="30" t="s">
        <v>57</v>
      </c>
      <c r="C19" s="31" t="s">
        <v>225</v>
      </c>
      <c r="D19" s="21">
        <v>60</v>
      </c>
      <c r="E19" s="21">
        <v>28</v>
      </c>
      <c r="F19" s="21">
        <v>32</v>
      </c>
      <c r="G19" s="21">
        <v>1</v>
      </c>
      <c r="H19" s="21">
        <v>2</v>
      </c>
      <c r="I19" s="21">
        <v>7</v>
      </c>
      <c r="J19" s="21">
        <v>1</v>
      </c>
      <c r="K19" s="21">
        <v>8</v>
      </c>
      <c r="L19" s="21">
        <v>3</v>
      </c>
      <c r="M19" s="21">
        <v>6</v>
      </c>
      <c r="N19" s="21">
        <v>5</v>
      </c>
      <c r="O19" s="21">
        <v>3</v>
      </c>
      <c r="P19" s="21">
        <v>15</v>
      </c>
      <c r="Q19" s="21">
        <v>3</v>
      </c>
      <c r="R19" s="21">
        <v>6</v>
      </c>
    </row>
    <row r="20" spans="1:18" s="20" customFormat="1" ht="14.25" customHeight="1" x14ac:dyDescent="0.2">
      <c r="A20" s="64" t="s">
        <v>213</v>
      </c>
      <c r="B20" s="25" t="s">
        <v>55</v>
      </c>
      <c r="C20" s="26" t="s">
        <v>0</v>
      </c>
      <c r="D20" s="27">
        <v>717</v>
      </c>
      <c r="E20" s="27">
        <v>339</v>
      </c>
      <c r="F20" s="27">
        <v>378</v>
      </c>
      <c r="G20" s="27">
        <v>34</v>
      </c>
      <c r="H20" s="27">
        <v>35</v>
      </c>
      <c r="I20" s="27">
        <v>56</v>
      </c>
      <c r="J20" s="27">
        <v>39</v>
      </c>
      <c r="K20" s="27">
        <v>78</v>
      </c>
      <c r="L20" s="27">
        <v>54</v>
      </c>
      <c r="M20" s="27">
        <v>90</v>
      </c>
      <c r="N20" s="27">
        <v>45</v>
      </c>
      <c r="O20" s="27">
        <v>49</v>
      </c>
      <c r="P20" s="27">
        <v>88</v>
      </c>
      <c r="Q20" s="27">
        <v>32</v>
      </c>
      <c r="R20" s="27">
        <v>117</v>
      </c>
    </row>
    <row r="21" spans="1:18" s="20" customFormat="1" ht="14.25" customHeight="1" x14ac:dyDescent="0.2">
      <c r="A21" s="86" t="s">
        <v>21</v>
      </c>
      <c r="B21" s="28" t="s">
        <v>56</v>
      </c>
      <c r="C21" s="29" t="s">
        <v>2</v>
      </c>
      <c r="D21" s="21">
        <v>675</v>
      </c>
      <c r="E21" s="21">
        <v>316</v>
      </c>
      <c r="F21" s="21">
        <v>359</v>
      </c>
      <c r="G21" s="21">
        <v>32</v>
      </c>
      <c r="H21" s="21">
        <v>34</v>
      </c>
      <c r="I21" s="21">
        <v>52</v>
      </c>
      <c r="J21" s="21">
        <v>38</v>
      </c>
      <c r="K21" s="21">
        <v>73</v>
      </c>
      <c r="L21" s="21">
        <v>53</v>
      </c>
      <c r="M21" s="21">
        <v>83</v>
      </c>
      <c r="N21" s="21">
        <v>40</v>
      </c>
      <c r="O21" s="21">
        <v>46</v>
      </c>
      <c r="P21" s="21">
        <v>84</v>
      </c>
      <c r="Q21" s="21">
        <v>30</v>
      </c>
      <c r="R21" s="21">
        <v>110</v>
      </c>
    </row>
    <row r="22" spans="1:18" s="20" customFormat="1" ht="14.25" customHeight="1" x14ac:dyDescent="0.2">
      <c r="A22" s="87"/>
      <c r="B22" s="30" t="s">
        <v>57</v>
      </c>
      <c r="C22" s="31" t="s">
        <v>225</v>
      </c>
      <c r="D22" s="21">
        <v>42</v>
      </c>
      <c r="E22" s="21">
        <v>23</v>
      </c>
      <c r="F22" s="21">
        <v>19</v>
      </c>
      <c r="G22" s="21">
        <v>2</v>
      </c>
      <c r="H22" s="21">
        <v>1</v>
      </c>
      <c r="I22" s="21">
        <v>4</v>
      </c>
      <c r="J22" s="21">
        <v>1</v>
      </c>
      <c r="K22" s="21">
        <v>5</v>
      </c>
      <c r="L22" s="21">
        <v>1</v>
      </c>
      <c r="M22" s="21">
        <v>7</v>
      </c>
      <c r="N22" s="21">
        <v>5</v>
      </c>
      <c r="O22" s="21">
        <v>3</v>
      </c>
      <c r="P22" s="21">
        <v>4</v>
      </c>
      <c r="Q22" s="21">
        <v>2</v>
      </c>
      <c r="R22" s="21">
        <v>7</v>
      </c>
    </row>
    <row r="23" spans="1:18" s="20" customFormat="1" ht="14.25" customHeight="1" x14ac:dyDescent="0.2">
      <c r="A23" s="64" t="s">
        <v>214</v>
      </c>
      <c r="B23" s="25" t="s">
        <v>55</v>
      </c>
      <c r="C23" s="26" t="s">
        <v>0</v>
      </c>
      <c r="D23" s="27">
        <v>309</v>
      </c>
      <c r="E23" s="27">
        <v>143</v>
      </c>
      <c r="F23" s="27">
        <v>166</v>
      </c>
      <c r="G23" s="27">
        <v>20</v>
      </c>
      <c r="H23" s="27">
        <v>17</v>
      </c>
      <c r="I23" s="27">
        <v>34</v>
      </c>
      <c r="J23" s="27">
        <v>21</v>
      </c>
      <c r="K23" s="27">
        <v>28</v>
      </c>
      <c r="L23" s="27">
        <v>26</v>
      </c>
      <c r="M23" s="27">
        <v>26</v>
      </c>
      <c r="N23" s="27">
        <v>22</v>
      </c>
      <c r="O23" s="27">
        <v>29</v>
      </c>
      <c r="P23" s="27">
        <v>41</v>
      </c>
      <c r="Q23" s="27">
        <v>6</v>
      </c>
      <c r="R23" s="27">
        <v>39</v>
      </c>
    </row>
    <row r="24" spans="1:18" s="20" customFormat="1" ht="14.25" customHeight="1" x14ac:dyDescent="0.2">
      <c r="A24" s="86" t="s">
        <v>22</v>
      </c>
      <c r="B24" s="28" t="s">
        <v>56</v>
      </c>
      <c r="C24" s="29" t="s">
        <v>2</v>
      </c>
      <c r="D24" s="21">
        <v>300</v>
      </c>
      <c r="E24" s="21">
        <v>142</v>
      </c>
      <c r="F24" s="21">
        <v>158</v>
      </c>
      <c r="G24" s="21">
        <v>19</v>
      </c>
      <c r="H24" s="21">
        <v>17</v>
      </c>
      <c r="I24" s="21">
        <v>34</v>
      </c>
      <c r="J24" s="21">
        <v>19</v>
      </c>
      <c r="K24" s="21">
        <v>28</v>
      </c>
      <c r="L24" s="21">
        <v>26</v>
      </c>
      <c r="M24" s="21">
        <v>26</v>
      </c>
      <c r="N24" s="21">
        <v>20</v>
      </c>
      <c r="O24" s="21">
        <v>29</v>
      </c>
      <c r="P24" s="21">
        <v>39</v>
      </c>
      <c r="Q24" s="21">
        <v>6</v>
      </c>
      <c r="R24" s="21">
        <v>37</v>
      </c>
    </row>
    <row r="25" spans="1:18" s="20" customFormat="1" ht="14.25" customHeight="1" x14ac:dyDescent="0.2">
      <c r="A25" s="87"/>
      <c r="B25" s="30" t="s">
        <v>57</v>
      </c>
      <c r="C25" s="31" t="s">
        <v>225</v>
      </c>
      <c r="D25" s="21">
        <v>9</v>
      </c>
      <c r="E25" s="21">
        <v>1</v>
      </c>
      <c r="F25" s="21">
        <v>8</v>
      </c>
      <c r="G25" s="21">
        <v>1</v>
      </c>
      <c r="H25" s="21">
        <v>0</v>
      </c>
      <c r="I25" s="21">
        <v>0</v>
      </c>
      <c r="J25" s="21">
        <v>2</v>
      </c>
      <c r="K25" s="21">
        <v>0</v>
      </c>
      <c r="L25" s="21">
        <v>0</v>
      </c>
      <c r="M25" s="21">
        <v>0</v>
      </c>
      <c r="N25" s="21">
        <v>2</v>
      </c>
      <c r="O25" s="21">
        <v>0</v>
      </c>
      <c r="P25" s="21">
        <v>2</v>
      </c>
      <c r="Q25" s="21">
        <v>0</v>
      </c>
      <c r="R25" s="21">
        <v>2</v>
      </c>
    </row>
    <row r="26" spans="1:18" s="20" customFormat="1" ht="14.25" customHeight="1" x14ac:dyDescent="0.2">
      <c r="A26" s="64" t="s">
        <v>215</v>
      </c>
      <c r="B26" s="25" t="s">
        <v>55</v>
      </c>
      <c r="C26" s="26" t="s">
        <v>0</v>
      </c>
      <c r="D26" s="27">
        <v>604</v>
      </c>
      <c r="E26" s="27">
        <v>283</v>
      </c>
      <c r="F26" s="27">
        <v>321</v>
      </c>
      <c r="G26" s="27">
        <v>28</v>
      </c>
      <c r="H26" s="27">
        <v>26</v>
      </c>
      <c r="I26" s="27">
        <v>41</v>
      </c>
      <c r="J26" s="27">
        <v>32</v>
      </c>
      <c r="K26" s="27">
        <v>84</v>
      </c>
      <c r="L26" s="27">
        <v>48</v>
      </c>
      <c r="M26" s="27">
        <v>65</v>
      </c>
      <c r="N26" s="27">
        <v>52</v>
      </c>
      <c r="O26" s="27">
        <v>44</v>
      </c>
      <c r="P26" s="27">
        <v>91</v>
      </c>
      <c r="Q26" s="27">
        <v>21</v>
      </c>
      <c r="R26" s="27">
        <v>72</v>
      </c>
    </row>
    <row r="27" spans="1:18" s="20" customFormat="1" ht="14.25" customHeight="1" x14ac:dyDescent="0.2">
      <c r="A27" s="86" t="s">
        <v>23</v>
      </c>
      <c r="B27" s="28" t="s">
        <v>56</v>
      </c>
      <c r="C27" s="29" t="s">
        <v>2</v>
      </c>
      <c r="D27" s="21">
        <v>568</v>
      </c>
      <c r="E27" s="21">
        <v>265</v>
      </c>
      <c r="F27" s="21">
        <v>303</v>
      </c>
      <c r="G27" s="21">
        <v>26</v>
      </c>
      <c r="H27" s="21">
        <v>24</v>
      </c>
      <c r="I27" s="21">
        <v>37</v>
      </c>
      <c r="J27" s="21">
        <v>30</v>
      </c>
      <c r="K27" s="21">
        <v>76</v>
      </c>
      <c r="L27" s="21">
        <v>45</v>
      </c>
      <c r="M27" s="21">
        <v>62</v>
      </c>
      <c r="N27" s="21">
        <v>49</v>
      </c>
      <c r="O27" s="21">
        <v>44</v>
      </c>
      <c r="P27" s="21">
        <v>88</v>
      </c>
      <c r="Q27" s="21">
        <v>20</v>
      </c>
      <c r="R27" s="21">
        <v>67</v>
      </c>
    </row>
    <row r="28" spans="1:18" s="20" customFormat="1" ht="14.25" customHeight="1" x14ac:dyDescent="0.2">
      <c r="A28" s="87"/>
      <c r="B28" s="30" t="s">
        <v>57</v>
      </c>
      <c r="C28" s="31" t="s">
        <v>225</v>
      </c>
      <c r="D28" s="21">
        <v>36</v>
      </c>
      <c r="E28" s="21">
        <v>18</v>
      </c>
      <c r="F28" s="21">
        <v>18</v>
      </c>
      <c r="G28" s="21">
        <v>2</v>
      </c>
      <c r="H28" s="21">
        <v>2</v>
      </c>
      <c r="I28" s="21">
        <v>4</v>
      </c>
      <c r="J28" s="21">
        <v>2</v>
      </c>
      <c r="K28" s="21">
        <v>8</v>
      </c>
      <c r="L28" s="21">
        <v>3</v>
      </c>
      <c r="M28" s="21">
        <v>3</v>
      </c>
      <c r="N28" s="21">
        <v>3</v>
      </c>
      <c r="O28" s="21">
        <v>0</v>
      </c>
      <c r="P28" s="21">
        <v>3</v>
      </c>
      <c r="Q28" s="21">
        <v>1</v>
      </c>
      <c r="R28" s="21">
        <v>5</v>
      </c>
    </row>
    <row r="29" spans="1:18" s="20" customFormat="1" ht="14.25" customHeight="1" x14ac:dyDescent="0.2">
      <c r="A29" s="64" t="s">
        <v>194</v>
      </c>
      <c r="B29" s="25" t="s">
        <v>55</v>
      </c>
      <c r="C29" s="26" t="s">
        <v>0</v>
      </c>
      <c r="D29" s="27">
        <v>94</v>
      </c>
      <c r="E29" s="27">
        <v>31</v>
      </c>
      <c r="F29" s="27">
        <v>63</v>
      </c>
      <c r="G29" s="27">
        <v>1</v>
      </c>
      <c r="H29" s="27">
        <v>4</v>
      </c>
      <c r="I29" s="27">
        <v>3</v>
      </c>
      <c r="J29" s="27">
        <v>9</v>
      </c>
      <c r="K29" s="27">
        <v>9</v>
      </c>
      <c r="L29" s="27">
        <v>5</v>
      </c>
      <c r="M29" s="27">
        <v>10</v>
      </c>
      <c r="N29" s="27">
        <v>8</v>
      </c>
      <c r="O29" s="27">
        <v>4</v>
      </c>
      <c r="P29" s="27">
        <v>16</v>
      </c>
      <c r="Q29" s="27">
        <v>4</v>
      </c>
      <c r="R29" s="27">
        <v>21</v>
      </c>
    </row>
    <row r="30" spans="1:18" s="20" customFormat="1" ht="14.25" customHeight="1" x14ac:dyDescent="0.2">
      <c r="A30" s="86" t="s">
        <v>5</v>
      </c>
      <c r="B30" s="28" t="s">
        <v>56</v>
      </c>
      <c r="C30" s="29" t="s">
        <v>2</v>
      </c>
      <c r="D30" s="21">
        <v>84</v>
      </c>
      <c r="E30" s="21">
        <v>26</v>
      </c>
      <c r="F30" s="21">
        <v>58</v>
      </c>
      <c r="G30" s="21">
        <v>1</v>
      </c>
      <c r="H30" s="21">
        <v>4</v>
      </c>
      <c r="I30" s="21">
        <v>3</v>
      </c>
      <c r="J30" s="21">
        <v>9</v>
      </c>
      <c r="K30" s="21">
        <v>8</v>
      </c>
      <c r="L30" s="21">
        <v>5</v>
      </c>
      <c r="M30" s="21">
        <v>9</v>
      </c>
      <c r="N30" s="21">
        <v>7</v>
      </c>
      <c r="O30" s="21">
        <v>3</v>
      </c>
      <c r="P30" s="21">
        <v>13</v>
      </c>
      <c r="Q30" s="21">
        <v>2</v>
      </c>
      <c r="R30" s="21">
        <v>20</v>
      </c>
    </row>
    <row r="31" spans="1:18" s="20" customFormat="1" ht="14.25" customHeight="1" x14ac:dyDescent="0.2">
      <c r="A31" s="87"/>
      <c r="B31" s="30" t="s">
        <v>57</v>
      </c>
      <c r="C31" s="31" t="s">
        <v>225</v>
      </c>
      <c r="D31" s="21">
        <v>10</v>
      </c>
      <c r="E31" s="21">
        <v>5</v>
      </c>
      <c r="F31" s="21">
        <v>5</v>
      </c>
      <c r="G31" s="21">
        <v>0</v>
      </c>
      <c r="H31" s="21">
        <v>0</v>
      </c>
      <c r="I31" s="21">
        <v>0</v>
      </c>
      <c r="J31" s="21">
        <v>0</v>
      </c>
      <c r="K31" s="21">
        <v>1</v>
      </c>
      <c r="L31" s="21">
        <v>0</v>
      </c>
      <c r="M31" s="21">
        <v>1</v>
      </c>
      <c r="N31" s="21">
        <v>1</v>
      </c>
      <c r="O31" s="21">
        <v>1</v>
      </c>
      <c r="P31" s="21">
        <v>3</v>
      </c>
      <c r="Q31" s="21">
        <v>2</v>
      </c>
      <c r="R31" s="21">
        <v>1</v>
      </c>
    </row>
    <row r="32" spans="1:18" s="20" customFormat="1" ht="14.25" customHeight="1" x14ac:dyDescent="0.2">
      <c r="A32" s="64" t="s">
        <v>195</v>
      </c>
      <c r="B32" s="25" t="s">
        <v>55</v>
      </c>
      <c r="C32" s="26" t="s">
        <v>0</v>
      </c>
      <c r="D32" s="27">
        <v>204</v>
      </c>
      <c r="E32" s="27">
        <v>86</v>
      </c>
      <c r="F32" s="27">
        <v>118</v>
      </c>
      <c r="G32" s="27">
        <v>14</v>
      </c>
      <c r="H32" s="27">
        <v>8</v>
      </c>
      <c r="I32" s="27">
        <v>14</v>
      </c>
      <c r="J32" s="27">
        <v>14</v>
      </c>
      <c r="K32" s="27">
        <v>14</v>
      </c>
      <c r="L32" s="27">
        <v>12</v>
      </c>
      <c r="M32" s="27">
        <v>21</v>
      </c>
      <c r="N32" s="27">
        <v>15</v>
      </c>
      <c r="O32" s="27">
        <v>18</v>
      </c>
      <c r="P32" s="27">
        <v>48</v>
      </c>
      <c r="Q32" s="27">
        <v>5</v>
      </c>
      <c r="R32" s="27">
        <v>21</v>
      </c>
    </row>
    <row r="33" spans="1:18" s="20" customFormat="1" ht="14.25" customHeight="1" x14ac:dyDescent="0.2">
      <c r="A33" s="86" t="s">
        <v>6</v>
      </c>
      <c r="B33" s="28" t="s">
        <v>56</v>
      </c>
      <c r="C33" s="29" t="s">
        <v>2</v>
      </c>
      <c r="D33" s="21">
        <v>170</v>
      </c>
      <c r="E33" s="21">
        <v>67</v>
      </c>
      <c r="F33" s="21">
        <v>103</v>
      </c>
      <c r="G33" s="21">
        <v>13</v>
      </c>
      <c r="H33" s="21">
        <v>5</v>
      </c>
      <c r="I33" s="21">
        <v>12</v>
      </c>
      <c r="J33" s="21">
        <v>10</v>
      </c>
      <c r="K33" s="21">
        <v>10</v>
      </c>
      <c r="L33" s="21">
        <v>12</v>
      </c>
      <c r="M33" s="21">
        <v>16</v>
      </c>
      <c r="N33" s="21">
        <v>12</v>
      </c>
      <c r="O33" s="21">
        <v>12</v>
      </c>
      <c r="P33" s="21">
        <v>44</v>
      </c>
      <c r="Q33" s="21">
        <v>4</v>
      </c>
      <c r="R33" s="21">
        <v>20</v>
      </c>
    </row>
    <row r="34" spans="1:18" s="20" customFormat="1" ht="14.25" customHeight="1" x14ac:dyDescent="0.2">
      <c r="A34" s="87"/>
      <c r="B34" s="30" t="s">
        <v>57</v>
      </c>
      <c r="C34" s="31" t="s">
        <v>225</v>
      </c>
      <c r="D34" s="21">
        <v>34</v>
      </c>
      <c r="E34" s="21">
        <v>19</v>
      </c>
      <c r="F34" s="21">
        <v>15</v>
      </c>
      <c r="G34" s="21">
        <v>1</v>
      </c>
      <c r="H34" s="21">
        <v>3</v>
      </c>
      <c r="I34" s="21">
        <v>2</v>
      </c>
      <c r="J34" s="21">
        <v>4</v>
      </c>
      <c r="K34" s="21">
        <v>4</v>
      </c>
      <c r="L34" s="21">
        <v>0</v>
      </c>
      <c r="M34" s="21">
        <v>5</v>
      </c>
      <c r="N34" s="21">
        <v>3</v>
      </c>
      <c r="O34" s="21">
        <v>6</v>
      </c>
      <c r="P34" s="21">
        <v>4</v>
      </c>
      <c r="Q34" s="21">
        <v>1</v>
      </c>
      <c r="R34" s="21">
        <v>1</v>
      </c>
    </row>
    <row r="35" spans="1:18" s="20" customFormat="1" ht="14.25" customHeight="1" x14ac:dyDescent="0.2">
      <c r="A35" s="64" t="s">
        <v>196</v>
      </c>
      <c r="B35" s="25" t="s">
        <v>55</v>
      </c>
      <c r="C35" s="26" t="s">
        <v>0</v>
      </c>
      <c r="D35" s="27">
        <v>73</v>
      </c>
      <c r="E35" s="27">
        <v>21</v>
      </c>
      <c r="F35" s="27">
        <v>52</v>
      </c>
      <c r="G35" s="27">
        <v>2</v>
      </c>
      <c r="H35" s="27">
        <v>2</v>
      </c>
      <c r="I35" s="27">
        <v>2</v>
      </c>
      <c r="J35" s="27">
        <v>5</v>
      </c>
      <c r="K35" s="27">
        <v>6</v>
      </c>
      <c r="L35" s="27">
        <v>15</v>
      </c>
      <c r="M35" s="27">
        <v>4</v>
      </c>
      <c r="N35" s="27">
        <v>5</v>
      </c>
      <c r="O35" s="27">
        <v>5</v>
      </c>
      <c r="P35" s="27">
        <v>12</v>
      </c>
      <c r="Q35" s="27">
        <v>2</v>
      </c>
      <c r="R35" s="27">
        <v>13</v>
      </c>
    </row>
    <row r="36" spans="1:18" s="20" customFormat="1" ht="14.25" customHeight="1" x14ac:dyDescent="0.2">
      <c r="A36" s="86" t="s">
        <v>7</v>
      </c>
      <c r="B36" s="28" t="s">
        <v>56</v>
      </c>
      <c r="C36" s="29" t="s">
        <v>2</v>
      </c>
      <c r="D36" s="21">
        <v>65</v>
      </c>
      <c r="E36" s="21">
        <v>19</v>
      </c>
      <c r="F36" s="21">
        <v>46</v>
      </c>
      <c r="G36" s="21">
        <v>2</v>
      </c>
      <c r="H36" s="21">
        <v>2</v>
      </c>
      <c r="I36" s="21">
        <v>1</v>
      </c>
      <c r="J36" s="21">
        <v>5</v>
      </c>
      <c r="K36" s="21">
        <v>6</v>
      </c>
      <c r="L36" s="21">
        <v>14</v>
      </c>
      <c r="M36" s="21">
        <v>4</v>
      </c>
      <c r="N36" s="21">
        <v>5</v>
      </c>
      <c r="O36" s="21">
        <v>4</v>
      </c>
      <c r="P36" s="21">
        <v>10</v>
      </c>
      <c r="Q36" s="21">
        <v>2</v>
      </c>
      <c r="R36" s="21">
        <v>10</v>
      </c>
    </row>
    <row r="37" spans="1:18" s="20" customFormat="1" ht="14.25" customHeight="1" x14ac:dyDescent="0.2">
      <c r="A37" s="87"/>
      <c r="B37" s="30" t="s">
        <v>57</v>
      </c>
      <c r="C37" s="31" t="s">
        <v>225</v>
      </c>
      <c r="D37" s="21">
        <v>8</v>
      </c>
      <c r="E37" s="21">
        <v>2</v>
      </c>
      <c r="F37" s="21">
        <v>6</v>
      </c>
      <c r="G37" s="21">
        <v>0</v>
      </c>
      <c r="H37" s="21">
        <v>0</v>
      </c>
      <c r="I37" s="21">
        <v>1</v>
      </c>
      <c r="J37" s="21">
        <v>0</v>
      </c>
      <c r="K37" s="21">
        <v>0</v>
      </c>
      <c r="L37" s="21">
        <v>1</v>
      </c>
      <c r="M37" s="21">
        <v>0</v>
      </c>
      <c r="N37" s="21">
        <v>0</v>
      </c>
      <c r="O37" s="21">
        <v>1</v>
      </c>
      <c r="P37" s="21">
        <v>2</v>
      </c>
      <c r="Q37" s="21">
        <v>0</v>
      </c>
      <c r="R37" s="21">
        <v>3</v>
      </c>
    </row>
    <row r="38" spans="1:18" s="20" customFormat="1" ht="14.25" customHeight="1" x14ac:dyDescent="0.2">
      <c r="A38" s="64" t="s">
        <v>197</v>
      </c>
      <c r="B38" s="25" t="s">
        <v>55</v>
      </c>
      <c r="C38" s="26" t="s">
        <v>0</v>
      </c>
      <c r="D38" s="27">
        <v>284</v>
      </c>
      <c r="E38" s="27">
        <v>119</v>
      </c>
      <c r="F38" s="27">
        <v>165</v>
      </c>
      <c r="G38" s="27">
        <v>14</v>
      </c>
      <c r="H38" s="27">
        <v>12</v>
      </c>
      <c r="I38" s="27">
        <v>30</v>
      </c>
      <c r="J38" s="27">
        <v>15</v>
      </c>
      <c r="K38" s="27">
        <v>35</v>
      </c>
      <c r="L38" s="27">
        <v>19</v>
      </c>
      <c r="M38" s="27">
        <v>19</v>
      </c>
      <c r="N38" s="27">
        <v>19</v>
      </c>
      <c r="O38" s="27">
        <v>16</v>
      </c>
      <c r="P38" s="27">
        <v>43</v>
      </c>
      <c r="Q38" s="27">
        <v>5</v>
      </c>
      <c r="R38" s="27">
        <v>57</v>
      </c>
    </row>
    <row r="39" spans="1:18" s="20" customFormat="1" ht="14.25" customHeight="1" x14ac:dyDescent="0.2">
      <c r="A39" s="86" t="s">
        <v>8</v>
      </c>
      <c r="B39" s="28" t="s">
        <v>56</v>
      </c>
      <c r="C39" s="29" t="s">
        <v>2</v>
      </c>
      <c r="D39" s="21">
        <v>275</v>
      </c>
      <c r="E39" s="21">
        <v>113</v>
      </c>
      <c r="F39" s="21">
        <v>162</v>
      </c>
      <c r="G39" s="21">
        <v>12</v>
      </c>
      <c r="H39" s="21">
        <v>12</v>
      </c>
      <c r="I39" s="21">
        <v>30</v>
      </c>
      <c r="J39" s="21">
        <v>15</v>
      </c>
      <c r="K39" s="21">
        <v>33</v>
      </c>
      <c r="L39" s="21">
        <v>19</v>
      </c>
      <c r="M39" s="21">
        <v>17</v>
      </c>
      <c r="N39" s="21">
        <v>19</v>
      </c>
      <c r="O39" s="21">
        <v>16</v>
      </c>
      <c r="P39" s="21">
        <v>42</v>
      </c>
      <c r="Q39" s="21">
        <v>5</v>
      </c>
      <c r="R39" s="21">
        <v>55</v>
      </c>
    </row>
    <row r="40" spans="1:18" s="20" customFormat="1" ht="14.25" customHeight="1" x14ac:dyDescent="0.2">
      <c r="A40" s="87"/>
      <c r="B40" s="30" t="s">
        <v>57</v>
      </c>
      <c r="C40" s="31" t="s">
        <v>225</v>
      </c>
      <c r="D40" s="21">
        <v>9</v>
      </c>
      <c r="E40" s="21">
        <v>6</v>
      </c>
      <c r="F40" s="21">
        <v>3</v>
      </c>
      <c r="G40" s="21">
        <v>2</v>
      </c>
      <c r="H40" s="21">
        <v>0</v>
      </c>
      <c r="I40" s="21">
        <v>0</v>
      </c>
      <c r="J40" s="21">
        <v>0</v>
      </c>
      <c r="K40" s="21">
        <v>2</v>
      </c>
      <c r="L40" s="21">
        <v>0</v>
      </c>
      <c r="M40" s="21">
        <v>2</v>
      </c>
      <c r="N40" s="21">
        <v>0</v>
      </c>
      <c r="O40" s="21">
        <v>0</v>
      </c>
      <c r="P40" s="21">
        <v>1</v>
      </c>
      <c r="Q40" s="21">
        <v>0</v>
      </c>
      <c r="R40" s="21">
        <v>2</v>
      </c>
    </row>
    <row r="41" spans="1:18" s="20" customFormat="1" ht="14.25" customHeight="1" x14ac:dyDescent="0.2">
      <c r="A41" s="64" t="s">
        <v>198</v>
      </c>
      <c r="B41" s="25" t="s">
        <v>55</v>
      </c>
      <c r="C41" s="26" t="s">
        <v>0</v>
      </c>
      <c r="D41" s="27">
        <v>114</v>
      </c>
      <c r="E41" s="27">
        <v>51</v>
      </c>
      <c r="F41" s="27">
        <v>63</v>
      </c>
      <c r="G41" s="27">
        <v>4</v>
      </c>
      <c r="H41" s="27">
        <v>3</v>
      </c>
      <c r="I41" s="27">
        <v>5</v>
      </c>
      <c r="J41" s="27">
        <v>6</v>
      </c>
      <c r="K41" s="27">
        <v>10</v>
      </c>
      <c r="L41" s="27">
        <v>3</v>
      </c>
      <c r="M41" s="27">
        <v>19</v>
      </c>
      <c r="N41" s="27">
        <v>14</v>
      </c>
      <c r="O41" s="27">
        <v>11</v>
      </c>
      <c r="P41" s="27">
        <v>20</v>
      </c>
      <c r="Q41" s="27">
        <v>2</v>
      </c>
      <c r="R41" s="27">
        <v>17</v>
      </c>
    </row>
    <row r="42" spans="1:18" s="20" customFormat="1" ht="14.25" customHeight="1" x14ac:dyDescent="0.2">
      <c r="A42" s="86" t="s">
        <v>9</v>
      </c>
      <c r="B42" s="28" t="s">
        <v>56</v>
      </c>
      <c r="C42" s="29" t="s">
        <v>2</v>
      </c>
      <c r="D42" s="21">
        <v>99</v>
      </c>
      <c r="E42" s="21">
        <v>46</v>
      </c>
      <c r="F42" s="21">
        <v>53</v>
      </c>
      <c r="G42" s="21">
        <v>4</v>
      </c>
      <c r="H42" s="21">
        <v>2</v>
      </c>
      <c r="I42" s="21">
        <v>4</v>
      </c>
      <c r="J42" s="21">
        <v>6</v>
      </c>
      <c r="K42" s="21">
        <v>9</v>
      </c>
      <c r="L42" s="21">
        <v>2</v>
      </c>
      <c r="M42" s="21">
        <v>17</v>
      </c>
      <c r="N42" s="21">
        <v>12</v>
      </c>
      <c r="O42" s="21">
        <v>10</v>
      </c>
      <c r="P42" s="21">
        <v>17</v>
      </c>
      <c r="Q42" s="21">
        <v>2</v>
      </c>
      <c r="R42" s="21">
        <v>14</v>
      </c>
    </row>
    <row r="43" spans="1:18" s="20" customFormat="1" ht="14.25" customHeight="1" x14ac:dyDescent="0.2">
      <c r="A43" s="87"/>
      <c r="B43" s="30" t="s">
        <v>57</v>
      </c>
      <c r="C43" s="31" t="s">
        <v>225</v>
      </c>
      <c r="D43" s="21">
        <v>15</v>
      </c>
      <c r="E43" s="21">
        <v>5</v>
      </c>
      <c r="F43" s="21">
        <v>10</v>
      </c>
      <c r="G43" s="21">
        <v>0</v>
      </c>
      <c r="H43" s="21">
        <v>1</v>
      </c>
      <c r="I43" s="21">
        <v>1</v>
      </c>
      <c r="J43" s="21">
        <v>0</v>
      </c>
      <c r="K43" s="21">
        <v>1</v>
      </c>
      <c r="L43" s="21">
        <v>1</v>
      </c>
      <c r="M43" s="21">
        <v>2</v>
      </c>
      <c r="N43" s="21">
        <v>2</v>
      </c>
      <c r="O43" s="21">
        <v>1</v>
      </c>
      <c r="P43" s="21">
        <v>3</v>
      </c>
      <c r="Q43" s="21">
        <v>0</v>
      </c>
      <c r="R43" s="21">
        <v>3</v>
      </c>
    </row>
    <row r="44" spans="1:18" s="20" customFormat="1" ht="14.25" customHeight="1" x14ac:dyDescent="0.2">
      <c r="A44" s="64" t="s">
        <v>199</v>
      </c>
      <c r="B44" s="25" t="s">
        <v>55</v>
      </c>
      <c r="C44" s="26" t="s">
        <v>0</v>
      </c>
      <c r="D44" s="27">
        <v>182</v>
      </c>
      <c r="E44" s="27">
        <v>70</v>
      </c>
      <c r="F44" s="27">
        <v>112</v>
      </c>
      <c r="G44" s="27">
        <v>14</v>
      </c>
      <c r="H44" s="27">
        <v>8</v>
      </c>
      <c r="I44" s="27">
        <v>14</v>
      </c>
      <c r="J44" s="27">
        <v>8</v>
      </c>
      <c r="K44" s="27">
        <v>12</v>
      </c>
      <c r="L44" s="27">
        <v>16</v>
      </c>
      <c r="M44" s="27">
        <v>10</v>
      </c>
      <c r="N44" s="27">
        <v>14</v>
      </c>
      <c r="O44" s="27">
        <v>10</v>
      </c>
      <c r="P44" s="27">
        <v>34</v>
      </c>
      <c r="Q44" s="27">
        <v>10</v>
      </c>
      <c r="R44" s="27">
        <v>32</v>
      </c>
    </row>
    <row r="45" spans="1:18" s="20" customFormat="1" ht="14.25" customHeight="1" x14ac:dyDescent="0.2">
      <c r="A45" s="86" t="s">
        <v>10</v>
      </c>
      <c r="B45" s="28" t="s">
        <v>56</v>
      </c>
      <c r="C45" s="29" t="s">
        <v>2</v>
      </c>
      <c r="D45" s="21">
        <v>180</v>
      </c>
      <c r="E45" s="21">
        <v>70</v>
      </c>
      <c r="F45" s="21">
        <v>110</v>
      </c>
      <c r="G45" s="21">
        <v>14</v>
      </c>
      <c r="H45" s="21">
        <v>8</v>
      </c>
      <c r="I45" s="21">
        <v>14</v>
      </c>
      <c r="J45" s="21">
        <v>7</v>
      </c>
      <c r="K45" s="21">
        <v>12</v>
      </c>
      <c r="L45" s="21">
        <v>15</v>
      </c>
      <c r="M45" s="21">
        <v>10</v>
      </c>
      <c r="N45" s="21">
        <v>14</v>
      </c>
      <c r="O45" s="21">
        <v>10</v>
      </c>
      <c r="P45" s="21">
        <v>34</v>
      </c>
      <c r="Q45" s="21">
        <v>10</v>
      </c>
      <c r="R45" s="21">
        <v>32</v>
      </c>
    </row>
    <row r="46" spans="1:18" s="20" customFormat="1" ht="14.25" customHeight="1" x14ac:dyDescent="0.2">
      <c r="A46" s="87"/>
      <c r="B46" s="30" t="s">
        <v>57</v>
      </c>
      <c r="C46" s="31" t="s">
        <v>225</v>
      </c>
      <c r="D46" s="21">
        <v>2</v>
      </c>
      <c r="E46" s="21">
        <v>0</v>
      </c>
      <c r="F46" s="21">
        <v>2</v>
      </c>
      <c r="G46" s="21">
        <v>0</v>
      </c>
      <c r="H46" s="21">
        <v>0</v>
      </c>
      <c r="I46" s="21">
        <v>0</v>
      </c>
      <c r="J46" s="21">
        <v>1</v>
      </c>
      <c r="K46" s="21">
        <v>0</v>
      </c>
      <c r="L46" s="21">
        <v>1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</row>
    <row r="47" spans="1:18" s="20" customFormat="1" ht="14.25" customHeight="1" x14ac:dyDescent="0.2">
      <c r="A47" s="64" t="s">
        <v>200</v>
      </c>
      <c r="B47" s="25" t="s">
        <v>55</v>
      </c>
      <c r="C47" s="26" t="s">
        <v>0</v>
      </c>
      <c r="D47" s="27">
        <v>126</v>
      </c>
      <c r="E47" s="27">
        <v>62</v>
      </c>
      <c r="F47" s="27">
        <v>64</v>
      </c>
      <c r="G47" s="27">
        <v>13</v>
      </c>
      <c r="H47" s="27">
        <v>6</v>
      </c>
      <c r="I47" s="27">
        <v>16</v>
      </c>
      <c r="J47" s="27">
        <v>11</v>
      </c>
      <c r="K47" s="27">
        <v>9</v>
      </c>
      <c r="L47" s="27">
        <v>9</v>
      </c>
      <c r="M47" s="27">
        <v>10</v>
      </c>
      <c r="N47" s="27">
        <v>7</v>
      </c>
      <c r="O47" s="27">
        <v>8</v>
      </c>
      <c r="P47" s="27">
        <v>19</v>
      </c>
      <c r="Q47" s="27">
        <v>6</v>
      </c>
      <c r="R47" s="27">
        <v>12</v>
      </c>
    </row>
    <row r="48" spans="1:18" s="20" customFormat="1" ht="14.25" customHeight="1" x14ac:dyDescent="0.2">
      <c r="A48" s="86" t="s">
        <v>11</v>
      </c>
      <c r="B48" s="28" t="s">
        <v>56</v>
      </c>
      <c r="C48" s="29" t="s">
        <v>2</v>
      </c>
      <c r="D48" s="21">
        <v>121</v>
      </c>
      <c r="E48" s="21">
        <v>61</v>
      </c>
      <c r="F48" s="21">
        <v>60</v>
      </c>
      <c r="G48" s="21">
        <v>12</v>
      </c>
      <c r="H48" s="21">
        <v>6</v>
      </c>
      <c r="I48" s="21">
        <v>16</v>
      </c>
      <c r="J48" s="21">
        <v>11</v>
      </c>
      <c r="K48" s="21">
        <v>9</v>
      </c>
      <c r="L48" s="21">
        <v>9</v>
      </c>
      <c r="M48" s="21">
        <v>10</v>
      </c>
      <c r="N48" s="21">
        <v>5</v>
      </c>
      <c r="O48" s="21">
        <v>8</v>
      </c>
      <c r="P48" s="21">
        <v>18</v>
      </c>
      <c r="Q48" s="21">
        <v>6</v>
      </c>
      <c r="R48" s="21">
        <v>11</v>
      </c>
    </row>
    <row r="49" spans="1:18" s="20" customFormat="1" ht="14.25" customHeight="1" x14ac:dyDescent="0.2">
      <c r="A49" s="87"/>
      <c r="B49" s="30" t="s">
        <v>57</v>
      </c>
      <c r="C49" s="31" t="s">
        <v>225</v>
      </c>
      <c r="D49" s="21">
        <v>5</v>
      </c>
      <c r="E49" s="21">
        <v>1</v>
      </c>
      <c r="F49" s="21">
        <v>4</v>
      </c>
      <c r="G49" s="21">
        <v>1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2</v>
      </c>
      <c r="O49" s="21">
        <v>0</v>
      </c>
      <c r="P49" s="21">
        <v>1</v>
      </c>
      <c r="Q49" s="21">
        <v>0</v>
      </c>
      <c r="R49" s="21">
        <v>1</v>
      </c>
    </row>
    <row r="50" spans="1:18" s="20" customFormat="1" ht="14.25" customHeight="1" x14ac:dyDescent="0.2">
      <c r="A50" s="64" t="s">
        <v>201</v>
      </c>
      <c r="B50" s="25" t="s">
        <v>55</v>
      </c>
      <c r="C50" s="26" t="s">
        <v>0</v>
      </c>
      <c r="D50" s="27">
        <v>210</v>
      </c>
      <c r="E50" s="27">
        <v>96</v>
      </c>
      <c r="F50" s="27">
        <v>114</v>
      </c>
      <c r="G50" s="27">
        <v>6</v>
      </c>
      <c r="H50" s="27">
        <v>7</v>
      </c>
      <c r="I50" s="27">
        <v>16</v>
      </c>
      <c r="J50" s="27">
        <v>11</v>
      </c>
      <c r="K50" s="27">
        <v>35</v>
      </c>
      <c r="L50" s="27">
        <v>11</v>
      </c>
      <c r="M50" s="27">
        <v>19</v>
      </c>
      <c r="N50" s="27">
        <v>19</v>
      </c>
      <c r="O50" s="27">
        <v>13</v>
      </c>
      <c r="P50" s="27">
        <v>43</v>
      </c>
      <c r="Q50" s="27">
        <v>7</v>
      </c>
      <c r="R50" s="27">
        <v>23</v>
      </c>
    </row>
    <row r="51" spans="1:18" s="20" customFormat="1" ht="14.25" customHeight="1" x14ac:dyDescent="0.2">
      <c r="A51" s="86" t="s">
        <v>12</v>
      </c>
      <c r="B51" s="28" t="s">
        <v>56</v>
      </c>
      <c r="C51" s="29" t="s">
        <v>2</v>
      </c>
      <c r="D51" s="21">
        <v>171</v>
      </c>
      <c r="E51" s="21">
        <v>81</v>
      </c>
      <c r="F51" s="21">
        <v>90</v>
      </c>
      <c r="G51" s="21">
        <v>6</v>
      </c>
      <c r="H51" s="21">
        <v>5</v>
      </c>
      <c r="I51" s="21">
        <v>11</v>
      </c>
      <c r="J51" s="21">
        <v>11</v>
      </c>
      <c r="K51" s="21">
        <v>29</v>
      </c>
      <c r="L51" s="21">
        <v>8</v>
      </c>
      <c r="M51" s="21">
        <v>18</v>
      </c>
      <c r="N51" s="21">
        <v>17</v>
      </c>
      <c r="O51" s="21">
        <v>10</v>
      </c>
      <c r="P51" s="21">
        <v>29</v>
      </c>
      <c r="Q51" s="21">
        <v>7</v>
      </c>
      <c r="R51" s="21">
        <v>20</v>
      </c>
    </row>
    <row r="52" spans="1:18" s="20" customFormat="1" ht="14.25" customHeight="1" x14ac:dyDescent="0.2">
      <c r="A52" s="87"/>
      <c r="B52" s="30" t="s">
        <v>57</v>
      </c>
      <c r="C52" s="31" t="s">
        <v>225</v>
      </c>
      <c r="D52" s="21">
        <v>39</v>
      </c>
      <c r="E52" s="21">
        <v>15</v>
      </c>
      <c r="F52" s="21">
        <v>24</v>
      </c>
      <c r="G52" s="21">
        <v>0</v>
      </c>
      <c r="H52" s="21">
        <v>2</v>
      </c>
      <c r="I52" s="21">
        <v>5</v>
      </c>
      <c r="J52" s="21">
        <v>0</v>
      </c>
      <c r="K52" s="21">
        <v>6</v>
      </c>
      <c r="L52" s="21">
        <v>3</v>
      </c>
      <c r="M52" s="21">
        <v>1</v>
      </c>
      <c r="N52" s="21">
        <v>2</v>
      </c>
      <c r="O52" s="21">
        <v>3</v>
      </c>
      <c r="P52" s="21">
        <v>14</v>
      </c>
      <c r="Q52" s="21">
        <v>0</v>
      </c>
      <c r="R52" s="21">
        <v>3</v>
      </c>
    </row>
    <row r="53" spans="1:18" s="20" customFormat="1" ht="14.25" customHeight="1" x14ac:dyDescent="0.2">
      <c r="A53" s="64" t="s">
        <v>202</v>
      </c>
      <c r="B53" s="25" t="s">
        <v>55</v>
      </c>
      <c r="C53" s="26" t="s">
        <v>0</v>
      </c>
      <c r="D53" s="27">
        <v>65</v>
      </c>
      <c r="E53" s="27">
        <v>25</v>
      </c>
      <c r="F53" s="27">
        <v>40</v>
      </c>
      <c r="G53" s="27">
        <v>4</v>
      </c>
      <c r="H53" s="27">
        <v>2</v>
      </c>
      <c r="I53" s="27">
        <v>3</v>
      </c>
      <c r="J53" s="27">
        <v>1</v>
      </c>
      <c r="K53" s="27">
        <v>5</v>
      </c>
      <c r="L53" s="27">
        <v>5</v>
      </c>
      <c r="M53" s="27">
        <v>2</v>
      </c>
      <c r="N53" s="27">
        <v>4</v>
      </c>
      <c r="O53" s="27">
        <v>5</v>
      </c>
      <c r="P53" s="27">
        <v>15</v>
      </c>
      <c r="Q53" s="27">
        <v>6</v>
      </c>
      <c r="R53" s="27">
        <v>13</v>
      </c>
    </row>
    <row r="54" spans="1:18" s="20" customFormat="1" ht="14.25" customHeight="1" x14ac:dyDescent="0.2">
      <c r="A54" s="86" t="s">
        <v>13</v>
      </c>
      <c r="B54" s="28" t="s">
        <v>56</v>
      </c>
      <c r="C54" s="29" t="s">
        <v>2</v>
      </c>
      <c r="D54" s="21">
        <v>27</v>
      </c>
      <c r="E54" s="21">
        <v>10</v>
      </c>
      <c r="F54" s="21">
        <v>17</v>
      </c>
      <c r="G54" s="21">
        <v>2</v>
      </c>
      <c r="H54" s="21">
        <v>1</v>
      </c>
      <c r="I54" s="21">
        <v>0</v>
      </c>
      <c r="J54" s="21">
        <v>1</v>
      </c>
      <c r="K54" s="21">
        <v>3</v>
      </c>
      <c r="L54" s="21">
        <v>2</v>
      </c>
      <c r="M54" s="21">
        <v>1</v>
      </c>
      <c r="N54" s="21">
        <v>1</v>
      </c>
      <c r="O54" s="21">
        <v>1</v>
      </c>
      <c r="P54" s="21">
        <v>4</v>
      </c>
      <c r="Q54" s="21">
        <v>3</v>
      </c>
      <c r="R54" s="21">
        <v>8</v>
      </c>
    </row>
    <row r="55" spans="1:18" s="20" customFormat="1" ht="14.25" customHeight="1" x14ac:dyDescent="0.2">
      <c r="A55" s="87"/>
      <c r="B55" s="30" t="s">
        <v>57</v>
      </c>
      <c r="C55" s="31" t="s">
        <v>225</v>
      </c>
      <c r="D55" s="21">
        <v>38</v>
      </c>
      <c r="E55" s="21">
        <v>15</v>
      </c>
      <c r="F55" s="21">
        <v>23</v>
      </c>
      <c r="G55" s="21">
        <v>2</v>
      </c>
      <c r="H55" s="21">
        <v>1</v>
      </c>
      <c r="I55" s="21">
        <v>3</v>
      </c>
      <c r="J55" s="21">
        <v>0</v>
      </c>
      <c r="K55" s="21">
        <v>2</v>
      </c>
      <c r="L55" s="21">
        <v>3</v>
      </c>
      <c r="M55" s="21">
        <v>1</v>
      </c>
      <c r="N55" s="21">
        <v>3</v>
      </c>
      <c r="O55" s="21">
        <v>4</v>
      </c>
      <c r="P55" s="21">
        <v>11</v>
      </c>
      <c r="Q55" s="21">
        <v>3</v>
      </c>
      <c r="R55" s="21">
        <v>5</v>
      </c>
    </row>
    <row r="56" spans="1:18" s="20" customFormat="1" ht="14.25" customHeight="1" x14ac:dyDescent="0.2">
      <c r="A56" s="64" t="s">
        <v>203</v>
      </c>
      <c r="B56" s="25" t="s">
        <v>55</v>
      </c>
      <c r="C56" s="26" t="s">
        <v>0</v>
      </c>
      <c r="D56" s="27">
        <v>175</v>
      </c>
      <c r="E56" s="27">
        <v>70</v>
      </c>
      <c r="F56" s="27">
        <v>105</v>
      </c>
      <c r="G56" s="27">
        <v>10</v>
      </c>
      <c r="H56" s="27">
        <v>5</v>
      </c>
      <c r="I56" s="27">
        <v>13</v>
      </c>
      <c r="J56" s="27">
        <v>10</v>
      </c>
      <c r="K56" s="27">
        <v>16</v>
      </c>
      <c r="L56" s="27">
        <v>9</v>
      </c>
      <c r="M56" s="27">
        <v>17</v>
      </c>
      <c r="N56" s="27">
        <v>14</v>
      </c>
      <c r="O56" s="27">
        <v>10</v>
      </c>
      <c r="P56" s="27">
        <v>40</v>
      </c>
      <c r="Q56" s="27">
        <v>4</v>
      </c>
      <c r="R56" s="27">
        <v>27</v>
      </c>
    </row>
    <row r="57" spans="1:18" s="20" customFormat="1" ht="14.25" customHeight="1" x14ac:dyDescent="0.2">
      <c r="A57" s="86" t="s">
        <v>14</v>
      </c>
      <c r="B57" s="28" t="s">
        <v>56</v>
      </c>
      <c r="C57" s="29" t="s">
        <v>2</v>
      </c>
      <c r="D57" s="21">
        <v>73</v>
      </c>
      <c r="E57" s="21">
        <v>27</v>
      </c>
      <c r="F57" s="21">
        <v>46</v>
      </c>
      <c r="G57" s="21">
        <v>6</v>
      </c>
      <c r="H57" s="21">
        <v>1</v>
      </c>
      <c r="I57" s="21">
        <v>3</v>
      </c>
      <c r="J57" s="21">
        <v>5</v>
      </c>
      <c r="K57" s="21">
        <v>5</v>
      </c>
      <c r="L57" s="21">
        <v>7</v>
      </c>
      <c r="M57" s="21">
        <v>5</v>
      </c>
      <c r="N57" s="21">
        <v>7</v>
      </c>
      <c r="O57" s="21">
        <v>7</v>
      </c>
      <c r="P57" s="21">
        <v>15</v>
      </c>
      <c r="Q57" s="21">
        <v>1</v>
      </c>
      <c r="R57" s="21">
        <v>11</v>
      </c>
    </row>
    <row r="58" spans="1:18" s="20" customFormat="1" ht="14.25" customHeight="1" x14ac:dyDescent="0.2">
      <c r="A58" s="87"/>
      <c r="B58" s="30" t="s">
        <v>57</v>
      </c>
      <c r="C58" s="31" t="s">
        <v>225</v>
      </c>
      <c r="D58" s="21">
        <v>102</v>
      </c>
      <c r="E58" s="21">
        <v>43</v>
      </c>
      <c r="F58" s="21">
        <v>59</v>
      </c>
      <c r="G58" s="21">
        <v>4</v>
      </c>
      <c r="H58" s="21">
        <v>4</v>
      </c>
      <c r="I58" s="21">
        <v>10</v>
      </c>
      <c r="J58" s="21">
        <v>5</v>
      </c>
      <c r="K58" s="21">
        <v>11</v>
      </c>
      <c r="L58" s="21">
        <v>2</v>
      </c>
      <c r="M58" s="21">
        <v>12</v>
      </c>
      <c r="N58" s="21">
        <v>7</v>
      </c>
      <c r="O58" s="21">
        <v>3</v>
      </c>
      <c r="P58" s="21">
        <v>25</v>
      </c>
      <c r="Q58" s="21">
        <v>3</v>
      </c>
      <c r="R58" s="21">
        <v>16</v>
      </c>
    </row>
    <row r="59" spans="1:18" s="20" customFormat="1" ht="14.25" customHeight="1" x14ac:dyDescent="0.2">
      <c r="A59" s="64" t="s">
        <v>204</v>
      </c>
      <c r="B59" s="25" t="s">
        <v>55</v>
      </c>
      <c r="C59" s="26" t="s">
        <v>0</v>
      </c>
      <c r="D59" s="27">
        <v>25</v>
      </c>
      <c r="E59" s="27">
        <v>4</v>
      </c>
      <c r="F59" s="27">
        <v>21</v>
      </c>
      <c r="G59" s="27">
        <v>0</v>
      </c>
      <c r="H59" s="27">
        <v>0</v>
      </c>
      <c r="I59" s="27">
        <v>0</v>
      </c>
      <c r="J59" s="27">
        <v>1</v>
      </c>
      <c r="K59" s="27">
        <v>1</v>
      </c>
      <c r="L59" s="27">
        <v>1</v>
      </c>
      <c r="M59" s="27">
        <v>1</v>
      </c>
      <c r="N59" s="27">
        <v>5</v>
      </c>
      <c r="O59" s="27">
        <v>1</v>
      </c>
      <c r="P59" s="27">
        <v>4</v>
      </c>
      <c r="Q59" s="27">
        <v>1</v>
      </c>
      <c r="R59" s="27">
        <v>10</v>
      </c>
    </row>
    <row r="60" spans="1:18" s="20" customFormat="1" ht="14.25" customHeight="1" x14ac:dyDescent="0.2">
      <c r="A60" s="86" t="s">
        <v>15</v>
      </c>
      <c r="B60" s="28" t="s">
        <v>56</v>
      </c>
      <c r="C60" s="29" t="s">
        <v>2</v>
      </c>
      <c r="D60" s="21">
        <v>23</v>
      </c>
      <c r="E60" s="21">
        <v>4</v>
      </c>
      <c r="F60" s="21">
        <v>19</v>
      </c>
      <c r="G60" s="21">
        <v>0</v>
      </c>
      <c r="H60" s="21">
        <v>0</v>
      </c>
      <c r="I60" s="21">
        <v>0</v>
      </c>
      <c r="J60" s="21">
        <v>1</v>
      </c>
      <c r="K60" s="21">
        <v>1</v>
      </c>
      <c r="L60" s="21">
        <v>0</v>
      </c>
      <c r="M60" s="21">
        <v>1</v>
      </c>
      <c r="N60" s="21">
        <v>5</v>
      </c>
      <c r="O60" s="21">
        <v>1</v>
      </c>
      <c r="P60" s="21">
        <v>4</v>
      </c>
      <c r="Q60" s="21">
        <v>1</v>
      </c>
      <c r="R60" s="21">
        <v>9</v>
      </c>
    </row>
    <row r="61" spans="1:18" s="20" customFormat="1" ht="14.25" customHeight="1" x14ac:dyDescent="0.2">
      <c r="A61" s="87"/>
      <c r="B61" s="30" t="s">
        <v>57</v>
      </c>
      <c r="C61" s="31" t="s">
        <v>225</v>
      </c>
      <c r="D61" s="21">
        <v>2</v>
      </c>
      <c r="E61" s="21">
        <v>0</v>
      </c>
      <c r="F61" s="21">
        <v>2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1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1</v>
      </c>
    </row>
    <row r="62" spans="1:18" s="20" customFormat="1" ht="14.25" customHeight="1" x14ac:dyDescent="0.2">
      <c r="A62" s="64" t="s">
        <v>205</v>
      </c>
      <c r="B62" s="25" t="s">
        <v>55</v>
      </c>
      <c r="C62" s="26" t="s">
        <v>0</v>
      </c>
      <c r="D62" s="27">
        <v>87</v>
      </c>
      <c r="E62" s="27">
        <v>28</v>
      </c>
      <c r="F62" s="27">
        <v>59</v>
      </c>
      <c r="G62" s="27">
        <v>5</v>
      </c>
      <c r="H62" s="27">
        <v>3</v>
      </c>
      <c r="I62" s="27">
        <v>5</v>
      </c>
      <c r="J62" s="27">
        <v>4</v>
      </c>
      <c r="K62" s="27">
        <v>3</v>
      </c>
      <c r="L62" s="27">
        <v>4</v>
      </c>
      <c r="M62" s="27">
        <v>7</v>
      </c>
      <c r="N62" s="27">
        <v>2</v>
      </c>
      <c r="O62" s="27">
        <v>2</v>
      </c>
      <c r="P62" s="27">
        <v>26</v>
      </c>
      <c r="Q62" s="27">
        <v>6</v>
      </c>
      <c r="R62" s="27">
        <v>20</v>
      </c>
    </row>
    <row r="63" spans="1:18" s="20" customFormat="1" ht="14.25" customHeight="1" x14ac:dyDescent="0.2">
      <c r="A63" s="86" t="s">
        <v>16</v>
      </c>
      <c r="B63" s="28" t="s">
        <v>56</v>
      </c>
      <c r="C63" s="29" t="s">
        <v>2</v>
      </c>
      <c r="D63" s="21">
        <v>81</v>
      </c>
      <c r="E63" s="21">
        <v>27</v>
      </c>
      <c r="F63" s="21">
        <v>54</v>
      </c>
      <c r="G63" s="21">
        <v>5</v>
      </c>
      <c r="H63" s="21">
        <v>3</v>
      </c>
      <c r="I63" s="21">
        <v>4</v>
      </c>
      <c r="J63" s="21">
        <v>4</v>
      </c>
      <c r="K63" s="21">
        <v>3</v>
      </c>
      <c r="L63" s="21">
        <v>4</v>
      </c>
      <c r="M63" s="21">
        <v>7</v>
      </c>
      <c r="N63" s="21">
        <v>2</v>
      </c>
      <c r="O63" s="21">
        <v>2</v>
      </c>
      <c r="P63" s="21">
        <v>23</v>
      </c>
      <c r="Q63" s="21">
        <v>6</v>
      </c>
      <c r="R63" s="21">
        <v>18</v>
      </c>
    </row>
    <row r="64" spans="1:18" s="20" customFormat="1" ht="14.25" customHeight="1" x14ac:dyDescent="0.2">
      <c r="A64" s="87"/>
      <c r="B64" s="30" t="s">
        <v>57</v>
      </c>
      <c r="C64" s="31" t="s">
        <v>225</v>
      </c>
      <c r="D64" s="21">
        <v>6</v>
      </c>
      <c r="E64" s="21">
        <v>1</v>
      </c>
      <c r="F64" s="21">
        <v>5</v>
      </c>
      <c r="G64" s="21">
        <v>0</v>
      </c>
      <c r="H64" s="21">
        <v>0</v>
      </c>
      <c r="I64" s="21">
        <v>1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3</v>
      </c>
      <c r="Q64" s="21">
        <v>0</v>
      </c>
      <c r="R64" s="21">
        <v>2</v>
      </c>
    </row>
    <row r="65" spans="1:18" s="20" customFormat="1" ht="14.25" customHeight="1" x14ac:dyDescent="0.2">
      <c r="A65" s="64" t="s">
        <v>206</v>
      </c>
      <c r="B65" s="25" t="s">
        <v>55</v>
      </c>
      <c r="C65" s="26" t="s">
        <v>0</v>
      </c>
      <c r="D65" s="27">
        <v>118</v>
      </c>
      <c r="E65" s="27">
        <v>52</v>
      </c>
      <c r="F65" s="27">
        <v>66</v>
      </c>
      <c r="G65" s="27">
        <v>4</v>
      </c>
      <c r="H65" s="27">
        <v>4</v>
      </c>
      <c r="I65" s="27">
        <v>16</v>
      </c>
      <c r="J65" s="27">
        <v>11</v>
      </c>
      <c r="K65" s="27">
        <v>14</v>
      </c>
      <c r="L65" s="27">
        <v>10</v>
      </c>
      <c r="M65" s="27">
        <v>10</v>
      </c>
      <c r="N65" s="27">
        <v>7</v>
      </c>
      <c r="O65" s="27">
        <v>4</v>
      </c>
      <c r="P65" s="27">
        <v>15</v>
      </c>
      <c r="Q65" s="27">
        <v>4</v>
      </c>
      <c r="R65" s="27">
        <v>19</v>
      </c>
    </row>
    <row r="66" spans="1:18" s="20" customFormat="1" ht="14.25" customHeight="1" x14ac:dyDescent="0.2">
      <c r="A66" s="86" t="s">
        <v>17</v>
      </c>
      <c r="B66" s="28" t="s">
        <v>56</v>
      </c>
      <c r="C66" s="29" t="s">
        <v>2</v>
      </c>
      <c r="D66" s="21">
        <v>116</v>
      </c>
      <c r="E66" s="21">
        <v>52</v>
      </c>
      <c r="F66" s="21">
        <v>64</v>
      </c>
      <c r="G66" s="21">
        <v>4</v>
      </c>
      <c r="H66" s="21">
        <v>4</v>
      </c>
      <c r="I66" s="21">
        <v>16</v>
      </c>
      <c r="J66" s="21">
        <v>11</v>
      </c>
      <c r="K66" s="21">
        <v>14</v>
      </c>
      <c r="L66" s="21">
        <v>8</v>
      </c>
      <c r="M66" s="21">
        <v>10</v>
      </c>
      <c r="N66" s="21">
        <v>7</v>
      </c>
      <c r="O66" s="21">
        <v>4</v>
      </c>
      <c r="P66" s="21">
        <v>15</v>
      </c>
      <c r="Q66" s="21">
        <v>4</v>
      </c>
      <c r="R66" s="21">
        <v>19</v>
      </c>
    </row>
    <row r="67" spans="1:18" s="20" customFormat="1" ht="14.25" customHeight="1" x14ac:dyDescent="0.2">
      <c r="A67" s="87"/>
      <c r="B67" s="30" t="s">
        <v>57</v>
      </c>
      <c r="C67" s="31" t="s">
        <v>225</v>
      </c>
      <c r="D67" s="21">
        <v>2</v>
      </c>
      <c r="E67" s="21">
        <v>0</v>
      </c>
      <c r="F67" s="21">
        <v>2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2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</row>
    <row r="68" spans="1:18" s="20" customFormat="1" ht="14.25" customHeight="1" x14ac:dyDescent="0.2">
      <c r="A68" s="64" t="s">
        <v>207</v>
      </c>
      <c r="B68" s="25" t="s">
        <v>55</v>
      </c>
      <c r="C68" s="26" t="s">
        <v>0</v>
      </c>
      <c r="D68" s="27">
        <v>72</v>
      </c>
      <c r="E68" s="27">
        <v>31</v>
      </c>
      <c r="F68" s="27">
        <v>41</v>
      </c>
      <c r="G68" s="27">
        <v>2</v>
      </c>
      <c r="H68" s="27">
        <v>1</v>
      </c>
      <c r="I68" s="27">
        <v>9</v>
      </c>
      <c r="J68" s="27">
        <v>9</v>
      </c>
      <c r="K68" s="27">
        <v>8</v>
      </c>
      <c r="L68" s="27">
        <v>7</v>
      </c>
      <c r="M68" s="27">
        <v>7</v>
      </c>
      <c r="N68" s="27">
        <v>5</v>
      </c>
      <c r="O68" s="27">
        <v>2</v>
      </c>
      <c r="P68" s="27">
        <v>16</v>
      </c>
      <c r="Q68" s="27">
        <v>3</v>
      </c>
      <c r="R68" s="27">
        <v>3</v>
      </c>
    </row>
    <row r="69" spans="1:18" s="20" customFormat="1" ht="14.25" customHeight="1" x14ac:dyDescent="0.2">
      <c r="A69" s="86" t="s">
        <v>18</v>
      </c>
      <c r="B69" s="28" t="s">
        <v>56</v>
      </c>
      <c r="C69" s="29" t="s">
        <v>2</v>
      </c>
      <c r="D69" s="21">
        <v>72</v>
      </c>
      <c r="E69" s="21">
        <v>31</v>
      </c>
      <c r="F69" s="21">
        <v>41</v>
      </c>
      <c r="G69" s="21">
        <v>2</v>
      </c>
      <c r="H69" s="21">
        <v>1</v>
      </c>
      <c r="I69" s="21">
        <v>9</v>
      </c>
      <c r="J69" s="21">
        <v>9</v>
      </c>
      <c r="K69" s="21">
        <v>8</v>
      </c>
      <c r="L69" s="21">
        <v>7</v>
      </c>
      <c r="M69" s="21">
        <v>7</v>
      </c>
      <c r="N69" s="21">
        <v>5</v>
      </c>
      <c r="O69" s="21">
        <v>2</v>
      </c>
      <c r="P69" s="21">
        <v>16</v>
      </c>
      <c r="Q69" s="21">
        <v>3</v>
      </c>
      <c r="R69" s="21">
        <v>3</v>
      </c>
    </row>
    <row r="70" spans="1:18" s="20" customFormat="1" ht="14.25" customHeight="1" x14ac:dyDescent="0.2">
      <c r="A70" s="87"/>
      <c r="B70" s="30" t="s">
        <v>57</v>
      </c>
      <c r="C70" s="31" t="s">
        <v>225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</row>
    <row r="71" spans="1:18" s="20" customFormat="1" ht="14.25" customHeight="1" x14ac:dyDescent="0.2">
      <c r="A71" s="64" t="s">
        <v>208</v>
      </c>
      <c r="B71" s="25" t="s">
        <v>55</v>
      </c>
      <c r="C71" s="26" t="s">
        <v>0</v>
      </c>
      <c r="D71" s="27">
        <v>20</v>
      </c>
      <c r="E71" s="27">
        <v>13</v>
      </c>
      <c r="F71" s="27">
        <v>7</v>
      </c>
      <c r="G71" s="27">
        <v>1</v>
      </c>
      <c r="H71" s="27">
        <v>0</v>
      </c>
      <c r="I71" s="27">
        <v>1</v>
      </c>
      <c r="J71" s="27">
        <v>5</v>
      </c>
      <c r="K71" s="27">
        <v>4</v>
      </c>
      <c r="L71" s="27">
        <v>0</v>
      </c>
      <c r="M71" s="27">
        <v>4</v>
      </c>
      <c r="N71" s="27">
        <v>0</v>
      </c>
      <c r="O71" s="27">
        <v>1</v>
      </c>
      <c r="P71" s="27">
        <v>0</v>
      </c>
      <c r="Q71" s="27">
        <v>2</v>
      </c>
      <c r="R71" s="27">
        <v>2</v>
      </c>
    </row>
    <row r="72" spans="1:18" s="20" customFormat="1" ht="14.25" customHeight="1" x14ac:dyDescent="0.2">
      <c r="A72" s="86" t="s">
        <v>19</v>
      </c>
      <c r="B72" s="28" t="s">
        <v>56</v>
      </c>
      <c r="C72" s="29" t="s">
        <v>2</v>
      </c>
      <c r="D72" s="21">
        <v>20</v>
      </c>
      <c r="E72" s="21">
        <v>13</v>
      </c>
      <c r="F72" s="21">
        <v>7</v>
      </c>
      <c r="G72" s="21">
        <v>1</v>
      </c>
      <c r="H72" s="21">
        <v>0</v>
      </c>
      <c r="I72" s="21">
        <v>1</v>
      </c>
      <c r="J72" s="21">
        <v>5</v>
      </c>
      <c r="K72" s="21">
        <v>4</v>
      </c>
      <c r="L72" s="21">
        <v>0</v>
      </c>
      <c r="M72" s="21">
        <v>4</v>
      </c>
      <c r="N72" s="21">
        <v>0</v>
      </c>
      <c r="O72" s="21">
        <v>1</v>
      </c>
      <c r="P72" s="21">
        <v>0</v>
      </c>
      <c r="Q72" s="21">
        <v>2</v>
      </c>
      <c r="R72" s="21">
        <v>2</v>
      </c>
    </row>
    <row r="73" spans="1:18" s="20" customFormat="1" ht="14.25" customHeight="1" x14ac:dyDescent="0.2">
      <c r="A73" s="87"/>
      <c r="B73" s="30" t="s">
        <v>57</v>
      </c>
      <c r="C73" s="31" t="s">
        <v>225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</row>
    <row r="74" spans="1:18" s="20" customFormat="1" ht="14.25" customHeight="1" x14ac:dyDescent="0.2">
      <c r="A74" s="64" t="s">
        <v>209</v>
      </c>
      <c r="B74" s="25" t="s">
        <v>55</v>
      </c>
      <c r="C74" s="26" t="s">
        <v>0</v>
      </c>
      <c r="D74" s="27">
        <v>8</v>
      </c>
      <c r="E74" s="27">
        <v>2</v>
      </c>
      <c r="F74" s="27">
        <v>6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1</v>
      </c>
      <c r="N74" s="27">
        <v>2</v>
      </c>
      <c r="O74" s="27">
        <v>0</v>
      </c>
      <c r="P74" s="27">
        <v>4</v>
      </c>
      <c r="Q74" s="27">
        <v>1</v>
      </c>
      <c r="R74" s="27">
        <v>0</v>
      </c>
    </row>
    <row r="75" spans="1:18" s="20" customFormat="1" ht="14.25" customHeight="1" x14ac:dyDescent="0.2">
      <c r="A75" s="86" t="s">
        <v>20</v>
      </c>
      <c r="B75" s="28" t="s">
        <v>56</v>
      </c>
      <c r="C75" s="29" t="s">
        <v>2</v>
      </c>
      <c r="D75" s="21">
        <v>7</v>
      </c>
      <c r="E75" s="21">
        <v>2</v>
      </c>
      <c r="F75" s="21">
        <v>5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1</v>
      </c>
      <c r="N75" s="21">
        <v>2</v>
      </c>
      <c r="O75" s="21">
        <v>0</v>
      </c>
      <c r="P75" s="21">
        <v>3</v>
      </c>
      <c r="Q75" s="21">
        <v>1</v>
      </c>
      <c r="R75" s="21">
        <v>0</v>
      </c>
    </row>
    <row r="76" spans="1:18" s="20" customFormat="1" ht="14.25" customHeight="1" x14ac:dyDescent="0.2">
      <c r="A76" s="87"/>
      <c r="B76" s="30" t="s">
        <v>57</v>
      </c>
      <c r="C76" s="31" t="s">
        <v>225</v>
      </c>
      <c r="D76" s="22">
        <v>1</v>
      </c>
      <c r="E76" s="22">
        <v>0</v>
      </c>
      <c r="F76" s="22">
        <v>1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1</v>
      </c>
      <c r="Q76" s="22">
        <v>0</v>
      </c>
      <c r="R76" s="22">
        <v>0</v>
      </c>
    </row>
    <row r="77" spans="1:18" s="17" customFormat="1" ht="14.25" customHeight="1" x14ac:dyDescent="0.2">
      <c r="A77" s="17" t="s">
        <v>80</v>
      </c>
    </row>
    <row r="78" spans="1:18" s="17" customFormat="1" ht="14.25" customHeight="1" x14ac:dyDescent="0.2">
      <c r="A78" s="23" t="s">
        <v>24</v>
      </c>
    </row>
    <row r="79" spans="1:18" s="17" customFormat="1" ht="14.25" customHeight="1" x14ac:dyDescent="0.2"/>
    <row r="80" spans="1:18" s="17" customFormat="1" ht="14.25" customHeight="1" x14ac:dyDescent="0.2">
      <c r="A80" s="52" t="s">
        <v>224</v>
      </c>
    </row>
    <row r="82" spans="1:18" s="59" customFormat="1" ht="18" hidden="1" customHeight="1" x14ac:dyDescent="0.2">
      <c r="A82" s="63" t="s">
        <v>186</v>
      </c>
      <c r="B82" s="56" t="s">
        <v>187</v>
      </c>
      <c r="C82" s="57" t="s">
        <v>0</v>
      </c>
      <c r="D82" s="58">
        <v>5648</v>
      </c>
      <c r="E82" s="58">
        <v>2454</v>
      </c>
      <c r="F82" s="58">
        <v>3194</v>
      </c>
      <c r="G82" s="58">
        <v>299</v>
      </c>
      <c r="H82" s="58">
        <v>228</v>
      </c>
      <c r="I82" s="58">
        <v>367</v>
      </c>
      <c r="J82" s="58">
        <v>300</v>
      </c>
      <c r="K82" s="58">
        <v>455</v>
      </c>
      <c r="L82" s="58">
        <v>322</v>
      </c>
      <c r="M82" s="58">
        <v>487</v>
      </c>
      <c r="N82" s="58">
        <v>371</v>
      </c>
      <c r="O82" s="58">
        <v>474</v>
      </c>
      <c r="P82" s="58">
        <v>991</v>
      </c>
      <c r="Q82" s="58">
        <v>372</v>
      </c>
      <c r="R82" s="58">
        <v>982</v>
      </c>
    </row>
    <row r="83" spans="1:18" s="59" customFormat="1" ht="14.25" hidden="1" customHeight="1" x14ac:dyDescent="0.2">
      <c r="A83" s="88" t="s">
        <v>1</v>
      </c>
      <c r="B83" s="60" t="s">
        <v>188</v>
      </c>
      <c r="C83" s="61" t="s">
        <v>2</v>
      </c>
      <c r="D83" s="62">
        <v>5051</v>
      </c>
      <c r="E83" s="62">
        <v>2211</v>
      </c>
      <c r="F83" s="62">
        <v>2840</v>
      </c>
      <c r="G83" s="62">
        <v>272</v>
      </c>
      <c r="H83" s="62">
        <v>203</v>
      </c>
      <c r="I83" s="62">
        <v>320</v>
      </c>
      <c r="J83" s="62">
        <v>257</v>
      </c>
      <c r="K83" s="62">
        <v>409</v>
      </c>
      <c r="L83" s="62">
        <v>281</v>
      </c>
      <c r="M83" s="62">
        <v>429</v>
      </c>
      <c r="N83" s="62">
        <v>318</v>
      </c>
      <c r="O83" s="62">
        <v>430</v>
      </c>
      <c r="P83" s="62">
        <v>878</v>
      </c>
      <c r="Q83" s="62">
        <v>351</v>
      </c>
      <c r="R83" s="62">
        <v>903</v>
      </c>
    </row>
    <row r="84" spans="1:18" s="59" customFormat="1" ht="14.25" hidden="1" customHeight="1" x14ac:dyDescent="0.2">
      <c r="A84" s="89"/>
      <c r="B84" s="60" t="s">
        <v>189</v>
      </c>
      <c r="C84" s="61" t="s">
        <v>225</v>
      </c>
      <c r="D84" s="62">
        <v>597</v>
      </c>
      <c r="E84" s="62">
        <v>243</v>
      </c>
      <c r="F84" s="62">
        <v>354</v>
      </c>
      <c r="G84" s="62">
        <v>27</v>
      </c>
      <c r="H84" s="62">
        <v>25</v>
      </c>
      <c r="I84" s="62">
        <v>47</v>
      </c>
      <c r="J84" s="62">
        <v>43</v>
      </c>
      <c r="K84" s="62">
        <v>46</v>
      </c>
      <c r="L84" s="62">
        <v>41</v>
      </c>
      <c r="M84" s="62">
        <v>58</v>
      </c>
      <c r="N84" s="62">
        <v>53</v>
      </c>
      <c r="O84" s="62">
        <v>44</v>
      </c>
      <c r="P84" s="62">
        <v>113</v>
      </c>
      <c r="Q84" s="62">
        <v>21</v>
      </c>
      <c r="R84" s="62">
        <v>79</v>
      </c>
    </row>
    <row r="85" spans="1:18" s="20" customFormat="1" ht="14.25" hidden="1" customHeight="1" x14ac:dyDescent="0.2">
      <c r="A85" s="64" t="s">
        <v>210</v>
      </c>
      <c r="B85" s="25" t="s">
        <v>55</v>
      </c>
      <c r="C85" s="26" t="s">
        <v>0</v>
      </c>
      <c r="D85" s="27">
        <v>1050</v>
      </c>
      <c r="E85" s="27">
        <v>466</v>
      </c>
      <c r="F85" s="27">
        <v>584</v>
      </c>
      <c r="G85" s="27">
        <v>33</v>
      </c>
      <c r="H85" s="27">
        <v>22</v>
      </c>
      <c r="I85" s="27">
        <v>50</v>
      </c>
      <c r="J85" s="27">
        <v>28</v>
      </c>
      <c r="K85" s="27">
        <v>84</v>
      </c>
      <c r="L85" s="27">
        <v>59</v>
      </c>
      <c r="M85" s="27">
        <v>117</v>
      </c>
      <c r="N85" s="27">
        <v>68</v>
      </c>
      <c r="O85" s="27">
        <v>110</v>
      </c>
      <c r="P85" s="27">
        <v>231</v>
      </c>
      <c r="Q85" s="27">
        <v>72</v>
      </c>
      <c r="R85" s="27">
        <v>176</v>
      </c>
    </row>
    <row r="86" spans="1:18" s="20" customFormat="1" ht="14.25" hidden="1" customHeight="1" x14ac:dyDescent="0.2">
      <c r="A86" s="86" t="s">
        <v>3</v>
      </c>
      <c r="B86" s="28" t="s">
        <v>56</v>
      </c>
      <c r="C86" s="29" t="s">
        <v>2</v>
      </c>
      <c r="D86" s="21">
        <v>980</v>
      </c>
      <c r="E86" s="21">
        <v>439</v>
      </c>
      <c r="F86" s="21">
        <v>541</v>
      </c>
      <c r="G86" s="21">
        <v>32</v>
      </c>
      <c r="H86" s="21">
        <v>20</v>
      </c>
      <c r="I86" s="21">
        <v>47</v>
      </c>
      <c r="J86" s="21">
        <v>25</v>
      </c>
      <c r="K86" s="21">
        <v>82</v>
      </c>
      <c r="L86" s="21">
        <v>50</v>
      </c>
      <c r="M86" s="21">
        <v>110</v>
      </c>
      <c r="N86" s="21">
        <v>63</v>
      </c>
      <c r="O86" s="21">
        <v>100</v>
      </c>
      <c r="P86" s="21">
        <v>215</v>
      </c>
      <c r="Q86" s="21">
        <v>68</v>
      </c>
      <c r="R86" s="21">
        <v>168</v>
      </c>
    </row>
    <row r="87" spans="1:18" s="20" customFormat="1" ht="14.25" hidden="1" customHeight="1" x14ac:dyDescent="0.2">
      <c r="A87" s="87"/>
      <c r="B87" s="28" t="s">
        <v>57</v>
      </c>
      <c r="C87" s="29" t="s">
        <v>225</v>
      </c>
      <c r="D87" s="21">
        <v>70</v>
      </c>
      <c r="E87" s="21">
        <v>27</v>
      </c>
      <c r="F87" s="21">
        <v>43</v>
      </c>
      <c r="G87" s="21">
        <v>1</v>
      </c>
      <c r="H87" s="21">
        <v>2</v>
      </c>
      <c r="I87" s="21">
        <v>3</v>
      </c>
      <c r="J87" s="21">
        <v>3</v>
      </c>
      <c r="K87" s="21">
        <v>2</v>
      </c>
      <c r="L87" s="21">
        <v>9</v>
      </c>
      <c r="M87" s="21">
        <v>7</v>
      </c>
      <c r="N87" s="21">
        <v>5</v>
      </c>
      <c r="O87" s="21">
        <v>10</v>
      </c>
      <c r="P87" s="21">
        <v>16</v>
      </c>
      <c r="Q87" s="21">
        <v>4</v>
      </c>
      <c r="R87" s="21">
        <v>8</v>
      </c>
    </row>
    <row r="88" spans="1:18" s="20" customFormat="1" ht="14.25" hidden="1" customHeight="1" x14ac:dyDescent="0.2">
      <c r="A88" s="64" t="s">
        <v>211</v>
      </c>
      <c r="B88" s="25" t="s">
        <v>55</v>
      </c>
      <c r="C88" s="26" t="s">
        <v>0</v>
      </c>
      <c r="D88" s="27">
        <v>444</v>
      </c>
      <c r="E88" s="27">
        <v>191</v>
      </c>
      <c r="F88" s="27">
        <v>253</v>
      </c>
      <c r="G88" s="27">
        <v>9</v>
      </c>
      <c r="H88" s="27">
        <v>14</v>
      </c>
      <c r="I88" s="27">
        <v>26</v>
      </c>
      <c r="J88" s="27">
        <v>26</v>
      </c>
      <c r="K88" s="27">
        <v>45</v>
      </c>
      <c r="L88" s="27">
        <v>25</v>
      </c>
      <c r="M88" s="27">
        <v>36</v>
      </c>
      <c r="N88" s="27">
        <v>36</v>
      </c>
      <c r="O88" s="27">
        <v>48</v>
      </c>
      <c r="P88" s="27">
        <v>75</v>
      </c>
      <c r="Q88" s="27">
        <v>27</v>
      </c>
      <c r="R88" s="27">
        <v>77</v>
      </c>
    </row>
    <row r="89" spans="1:18" s="20" customFormat="1" ht="14.25" hidden="1" customHeight="1" x14ac:dyDescent="0.2">
      <c r="A89" s="86" t="s">
        <v>4</v>
      </c>
      <c r="B89" s="28" t="s">
        <v>56</v>
      </c>
      <c r="C89" s="29" t="s">
        <v>2</v>
      </c>
      <c r="D89" s="21">
        <v>434</v>
      </c>
      <c r="E89" s="21">
        <v>188</v>
      </c>
      <c r="F89" s="21">
        <v>246</v>
      </c>
      <c r="G89" s="21">
        <v>9</v>
      </c>
      <c r="H89" s="21">
        <v>13</v>
      </c>
      <c r="I89" s="21">
        <v>24</v>
      </c>
      <c r="J89" s="21">
        <v>25</v>
      </c>
      <c r="K89" s="21">
        <v>44</v>
      </c>
      <c r="L89" s="21">
        <v>25</v>
      </c>
      <c r="M89" s="21">
        <v>36</v>
      </c>
      <c r="N89" s="21">
        <v>35</v>
      </c>
      <c r="O89" s="21">
        <v>48</v>
      </c>
      <c r="P89" s="21">
        <v>72</v>
      </c>
      <c r="Q89" s="21">
        <v>27</v>
      </c>
      <c r="R89" s="21">
        <v>76</v>
      </c>
    </row>
    <row r="90" spans="1:18" s="20" customFormat="1" ht="14.25" hidden="1" customHeight="1" x14ac:dyDescent="0.2">
      <c r="A90" s="87"/>
      <c r="B90" s="30" t="s">
        <v>57</v>
      </c>
      <c r="C90" s="31" t="s">
        <v>225</v>
      </c>
      <c r="D90" s="21">
        <v>10</v>
      </c>
      <c r="E90" s="21">
        <v>3</v>
      </c>
      <c r="F90" s="21">
        <v>7</v>
      </c>
      <c r="G90" s="21">
        <v>0</v>
      </c>
      <c r="H90" s="21">
        <v>1</v>
      </c>
      <c r="I90" s="21">
        <v>2</v>
      </c>
      <c r="J90" s="21">
        <v>1</v>
      </c>
      <c r="K90" s="21">
        <v>1</v>
      </c>
      <c r="L90" s="21">
        <v>0</v>
      </c>
      <c r="M90" s="21">
        <v>0</v>
      </c>
      <c r="N90" s="21">
        <v>1</v>
      </c>
      <c r="O90" s="21">
        <v>0</v>
      </c>
      <c r="P90" s="21">
        <v>3</v>
      </c>
      <c r="Q90" s="21">
        <v>0</v>
      </c>
      <c r="R90" s="21">
        <v>1</v>
      </c>
    </row>
    <row r="91" spans="1:18" s="20" customFormat="1" ht="14.25" hidden="1" customHeight="1" x14ac:dyDescent="0.2">
      <c r="A91" s="64" t="s">
        <v>212</v>
      </c>
      <c r="B91" s="25" t="s">
        <v>55</v>
      </c>
      <c r="C91" s="26" t="s">
        <v>0</v>
      </c>
      <c r="D91" s="27">
        <v>666</v>
      </c>
      <c r="E91" s="27">
        <v>282</v>
      </c>
      <c r="F91" s="27">
        <v>384</v>
      </c>
      <c r="G91" s="27">
        <v>47</v>
      </c>
      <c r="H91" s="27">
        <v>27</v>
      </c>
      <c r="I91" s="27">
        <v>44</v>
      </c>
      <c r="J91" s="27">
        <v>46</v>
      </c>
      <c r="K91" s="27">
        <v>55</v>
      </c>
      <c r="L91" s="27">
        <v>41</v>
      </c>
      <c r="M91" s="27">
        <v>49</v>
      </c>
      <c r="N91" s="27">
        <v>36</v>
      </c>
      <c r="O91" s="27">
        <v>49</v>
      </c>
      <c r="P91" s="27">
        <v>120</v>
      </c>
      <c r="Q91" s="27">
        <v>38</v>
      </c>
      <c r="R91" s="27">
        <v>114</v>
      </c>
    </row>
    <row r="92" spans="1:18" s="20" customFormat="1" ht="14.25" hidden="1" customHeight="1" x14ac:dyDescent="0.2">
      <c r="A92" s="86" t="s">
        <v>25</v>
      </c>
      <c r="B92" s="28" t="s">
        <v>56</v>
      </c>
      <c r="C92" s="29" t="s">
        <v>2</v>
      </c>
      <c r="D92" s="21">
        <v>546</v>
      </c>
      <c r="E92" s="21">
        <v>235</v>
      </c>
      <c r="F92" s="21">
        <v>311</v>
      </c>
      <c r="G92" s="21">
        <v>37</v>
      </c>
      <c r="H92" s="21">
        <v>23</v>
      </c>
      <c r="I92" s="21">
        <v>36</v>
      </c>
      <c r="J92" s="21">
        <v>33</v>
      </c>
      <c r="K92" s="21">
        <v>44</v>
      </c>
      <c r="L92" s="21">
        <v>35</v>
      </c>
      <c r="M92" s="21">
        <v>43</v>
      </c>
      <c r="N92" s="21">
        <v>26</v>
      </c>
      <c r="O92" s="21">
        <v>41</v>
      </c>
      <c r="P92" s="21">
        <v>98</v>
      </c>
      <c r="Q92" s="21">
        <v>34</v>
      </c>
      <c r="R92" s="21">
        <v>96</v>
      </c>
    </row>
    <row r="93" spans="1:18" s="20" customFormat="1" ht="14.25" hidden="1" customHeight="1" x14ac:dyDescent="0.2">
      <c r="A93" s="87"/>
      <c r="B93" s="30" t="s">
        <v>57</v>
      </c>
      <c r="C93" s="31" t="s">
        <v>225</v>
      </c>
      <c r="D93" s="21">
        <v>120</v>
      </c>
      <c r="E93" s="21">
        <v>47</v>
      </c>
      <c r="F93" s="21">
        <v>73</v>
      </c>
      <c r="G93" s="21">
        <v>10</v>
      </c>
      <c r="H93" s="21">
        <v>4</v>
      </c>
      <c r="I93" s="21">
        <v>8</v>
      </c>
      <c r="J93" s="21">
        <v>13</v>
      </c>
      <c r="K93" s="21">
        <v>11</v>
      </c>
      <c r="L93" s="21">
        <v>6</v>
      </c>
      <c r="M93" s="21">
        <v>6</v>
      </c>
      <c r="N93" s="21">
        <v>10</v>
      </c>
      <c r="O93" s="21">
        <v>8</v>
      </c>
      <c r="P93" s="21">
        <v>22</v>
      </c>
      <c r="Q93" s="21">
        <v>4</v>
      </c>
      <c r="R93" s="21">
        <v>18</v>
      </c>
    </row>
    <row r="94" spans="1:18" s="20" customFormat="1" ht="14.25" hidden="1" customHeight="1" x14ac:dyDescent="0.2">
      <c r="A94" s="64" t="s">
        <v>213</v>
      </c>
      <c r="B94" s="25" t="s">
        <v>55</v>
      </c>
      <c r="C94" s="26" t="s">
        <v>0</v>
      </c>
      <c r="D94" s="27">
        <v>942</v>
      </c>
      <c r="E94" s="27">
        <v>445</v>
      </c>
      <c r="F94" s="27">
        <v>497</v>
      </c>
      <c r="G94" s="27">
        <v>78</v>
      </c>
      <c r="H94" s="27">
        <v>61</v>
      </c>
      <c r="I94" s="27">
        <v>102</v>
      </c>
      <c r="J94" s="27">
        <v>80</v>
      </c>
      <c r="K94" s="27">
        <v>86</v>
      </c>
      <c r="L94" s="27">
        <v>48</v>
      </c>
      <c r="M94" s="27">
        <v>74</v>
      </c>
      <c r="N94" s="27">
        <v>55</v>
      </c>
      <c r="O94" s="27">
        <v>53</v>
      </c>
      <c r="P94" s="27">
        <v>107</v>
      </c>
      <c r="Q94" s="27">
        <v>52</v>
      </c>
      <c r="R94" s="27">
        <v>146</v>
      </c>
    </row>
    <row r="95" spans="1:18" s="20" customFormat="1" ht="14.25" hidden="1" customHeight="1" x14ac:dyDescent="0.2">
      <c r="A95" s="86" t="s">
        <v>21</v>
      </c>
      <c r="B95" s="28" t="s">
        <v>56</v>
      </c>
      <c r="C95" s="29" t="s">
        <v>2</v>
      </c>
      <c r="D95" s="21">
        <v>900</v>
      </c>
      <c r="E95" s="21">
        <v>423</v>
      </c>
      <c r="F95" s="21">
        <v>477</v>
      </c>
      <c r="G95" s="21">
        <v>74</v>
      </c>
      <c r="H95" s="21">
        <v>60</v>
      </c>
      <c r="I95" s="21">
        <v>98</v>
      </c>
      <c r="J95" s="21">
        <v>72</v>
      </c>
      <c r="K95" s="21">
        <v>81</v>
      </c>
      <c r="L95" s="21">
        <v>48</v>
      </c>
      <c r="M95" s="21">
        <v>69</v>
      </c>
      <c r="N95" s="21">
        <v>51</v>
      </c>
      <c r="O95" s="21">
        <v>52</v>
      </c>
      <c r="P95" s="21">
        <v>104</v>
      </c>
      <c r="Q95" s="21">
        <v>49</v>
      </c>
      <c r="R95" s="21">
        <v>142</v>
      </c>
    </row>
    <row r="96" spans="1:18" s="20" customFormat="1" ht="14.25" hidden="1" customHeight="1" x14ac:dyDescent="0.2">
      <c r="A96" s="87"/>
      <c r="B96" s="30" t="s">
        <v>57</v>
      </c>
      <c r="C96" s="31" t="s">
        <v>225</v>
      </c>
      <c r="D96" s="21">
        <v>42</v>
      </c>
      <c r="E96" s="21">
        <v>22</v>
      </c>
      <c r="F96" s="21">
        <v>20</v>
      </c>
      <c r="G96" s="21">
        <v>4</v>
      </c>
      <c r="H96" s="21">
        <v>1</v>
      </c>
      <c r="I96" s="21">
        <v>4</v>
      </c>
      <c r="J96" s="21">
        <v>8</v>
      </c>
      <c r="K96" s="21">
        <v>5</v>
      </c>
      <c r="L96" s="21">
        <v>0</v>
      </c>
      <c r="M96" s="21">
        <v>5</v>
      </c>
      <c r="N96" s="21">
        <v>4</v>
      </c>
      <c r="O96" s="21">
        <v>1</v>
      </c>
      <c r="P96" s="21">
        <v>3</v>
      </c>
      <c r="Q96" s="21">
        <v>3</v>
      </c>
      <c r="R96" s="21">
        <v>4</v>
      </c>
    </row>
    <row r="97" spans="1:18" s="20" customFormat="1" ht="14.25" hidden="1" customHeight="1" x14ac:dyDescent="0.2">
      <c r="A97" s="64" t="s">
        <v>214</v>
      </c>
      <c r="B97" s="25" t="s">
        <v>55</v>
      </c>
      <c r="C97" s="26" t="s">
        <v>0</v>
      </c>
      <c r="D97" s="27">
        <v>341</v>
      </c>
      <c r="E97" s="27">
        <v>173</v>
      </c>
      <c r="F97" s="27">
        <v>168</v>
      </c>
      <c r="G97" s="27">
        <v>19</v>
      </c>
      <c r="H97" s="27">
        <v>6</v>
      </c>
      <c r="I97" s="27">
        <v>27</v>
      </c>
      <c r="J97" s="27">
        <v>17</v>
      </c>
      <c r="K97" s="27">
        <v>32</v>
      </c>
      <c r="L97" s="27">
        <v>19</v>
      </c>
      <c r="M97" s="27">
        <v>40</v>
      </c>
      <c r="N97" s="27">
        <v>20</v>
      </c>
      <c r="O97" s="27">
        <v>28</v>
      </c>
      <c r="P97" s="27">
        <v>63</v>
      </c>
      <c r="Q97" s="27">
        <v>27</v>
      </c>
      <c r="R97" s="27">
        <v>43</v>
      </c>
    </row>
    <row r="98" spans="1:18" s="20" customFormat="1" ht="14.25" hidden="1" customHeight="1" x14ac:dyDescent="0.2">
      <c r="A98" s="86" t="s">
        <v>22</v>
      </c>
      <c r="B98" s="28" t="s">
        <v>56</v>
      </c>
      <c r="C98" s="29" t="s">
        <v>2</v>
      </c>
      <c r="D98" s="21">
        <v>330</v>
      </c>
      <c r="E98" s="21">
        <v>168</v>
      </c>
      <c r="F98" s="21">
        <v>162</v>
      </c>
      <c r="G98" s="21">
        <v>18</v>
      </c>
      <c r="H98" s="21">
        <v>6</v>
      </c>
      <c r="I98" s="21">
        <v>27</v>
      </c>
      <c r="J98" s="21">
        <v>15</v>
      </c>
      <c r="K98" s="21">
        <v>30</v>
      </c>
      <c r="L98" s="21">
        <v>18</v>
      </c>
      <c r="M98" s="21">
        <v>40</v>
      </c>
      <c r="N98" s="21">
        <v>19</v>
      </c>
      <c r="O98" s="21">
        <v>26</v>
      </c>
      <c r="P98" s="21">
        <v>62</v>
      </c>
      <c r="Q98" s="21">
        <v>27</v>
      </c>
      <c r="R98" s="21">
        <v>42</v>
      </c>
    </row>
    <row r="99" spans="1:18" s="20" customFormat="1" ht="14.25" hidden="1" customHeight="1" x14ac:dyDescent="0.2">
      <c r="A99" s="87"/>
      <c r="B99" s="30" t="s">
        <v>57</v>
      </c>
      <c r="C99" s="31" t="s">
        <v>225</v>
      </c>
      <c r="D99" s="21">
        <v>11</v>
      </c>
      <c r="E99" s="21">
        <v>5</v>
      </c>
      <c r="F99" s="21">
        <v>6</v>
      </c>
      <c r="G99" s="21">
        <v>1</v>
      </c>
      <c r="H99" s="21">
        <v>0</v>
      </c>
      <c r="I99" s="21">
        <v>0</v>
      </c>
      <c r="J99" s="21">
        <v>2</v>
      </c>
      <c r="K99" s="21">
        <v>2</v>
      </c>
      <c r="L99" s="21">
        <v>1</v>
      </c>
      <c r="M99" s="21">
        <v>0</v>
      </c>
      <c r="N99" s="21">
        <v>1</v>
      </c>
      <c r="O99" s="21">
        <v>2</v>
      </c>
      <c r="P99" s="21">
        <v>1</v>
      </c>
      <c r="Q99" s="21">
        <v>0</v>
      </c>
      <c r="R99" s="21">
        <v>1</v>
      </c>
    </row>
    <row r="100" spans="1:18" s="20" customFormat="1" ht="14.25" hidden="1" customHeight="1" x14ac:dyDescent="0.2">
      <c r="A100" s="64" t="s">
        <v>215</v>
      </c>
      <c r="B100" s="25" t="s">
        <v>55</v>
      </c>
      <c r="C100" s="26" t="s">
        <v>0</v>
      </c>
      <c r="D100" s="27">
        <v>603</v>
      </c>
      <c r="E100" s="27">
        <v>258</v>
      </c>
      <c r="F100" s="27">
        <v>345</v>
      </c>
      <c r="G100" s="27">
        <v>35</v>
      </c>
      <c r="H100" s="27">
        <v>35</v>
      </c>
      <c r="I100" s="27">
        <v>31</v>
      </c>
      <c r="J100" s="27">
        <v>26</v>
      </c>
      <c r="K100" s="27">
        <v>45</v>
      </c>
      <c r="L100" s="27">
        <v>40</v>
      </c>
      <c r="M100" s="27">
        <v>49</v>
      </c>
      <c r="N100" s="27">
        <v>38</v>
      </c>
      <c r="O100" s="27">
        <v>54</v>
      </c>
      <c r="P100" s="27">
        <v>92</v>
      </c>
      <c r="Q100" s="27">
        <v>44</v>
      </c>
      <c r="R100" s="27">
        <v>114</v>
      </c>
    </row>
    <row r="101" spans="1:18" s="20" customFormat="1" ht="14.25" hidden="1" customHeight="1" x14ac:dyDescent="0.2">
      <c r="A101" s="86" t="s">
        <v>23</v>
      </c>
      <c r="B101" s="28" t="s">
        <v>56</v>
      </c>
      <c r="C101" s="29" t="s">
        <v>2</v>
      </c>
      <c r="D101" s="21">
        <v>555</v>
      </c>
      <c r="E101" s="21">
        <v>238</v>
      </c>
      <c r="F101" s="21">
        <v>317</v>
      </c>
      <c r="G101" s="21">
        <v>30</v>
      </c>
      <c r="H101" s="21">
        <v>30</v>
      </c>
      <c r="I101" s="21">
        <v>25</v>
      </c>
      <c r="J101" s="21">
        <v>23</v>
      </c>
      <c r="K101" s="21">
        <v>41</v>
      </c>
      <c r="L101" s="21">
        <v>35</v>
      </c>
      <c r="M101" s="21">
        <v>49</v>
      </c>
      <c r="N101" s="21">
        <v>36</v>
      </c>
      <c r="O101" s="21">
        <v>50</v>
      </c>
      <c r="P101" s="21">
        <v>85</v>
      </c>
      <c r="Q101" s="21">
        <v>43</v>
      </c>
      <c r="R101" s="21">
        <v>108</v>
      </c>
    </row>
    <row r="102" spans="1:18" s="20" customFormat="1" ht="14.25" hidden="1" customHeight="1" x14ac:dyDescent="0.2">
      <c r="A102" s="87"/>
      <c r="B102" s="30" t="s">
        <v>57</v>
      </c>
      <c r="C102" s="31" t="s">
        <v>225</v>
      </c>
      <c r="D102" s="21">
        <v>48</v>
      </c>
      <c r="E102" s="21">
        <v>20</v>
      </c>
      <c r="F102" s="21">
        <v>28</v>
      </c>
      <c r="G102" s="21">
        <v>5</v>
      </c>
      <c r="H102" s="21">
        <v>5</v>
      </c>
      <c r="I102" s="21">
        <v>6</v>
      </c>
      <c r="J102" s="21">
        <v>3</v>
      </c>
      <c r="K102" s="21">
        <v>4</v>
      </c>
      <c r="L102" s="21">
        <v>5</v>
      </c>
      <c r="M102" s="21">
        <v>0</v>
      </c>
      <c r="N102" s="21">
        <v>2</v>
      </c>
      <c r="O102" s="21">
        <v>4</v>
      </c>
      <c r="P102" s="21">
        <v>7</v>
      </c>
      <c r="Q102" s="21">
        <v>1</v>
      </c>
      <c r="R102" s="21">
        <v>6</v>
      </c>
    </row>
    <row r="103" spans="1:18" s="20" customFormat="1" ht="14.25" hidden="1" customHeight="1" x14ac:dyDescent="0.2">
      <c r="A103" s="64" t="s">
        <v>194</v>
      </c>
      <c r="B103" s="25" t="s">
        <v>55</v>
      </c>
      <c r="C103" s="26" t="s">
        <v>0</v>
      </c>
      <c r="D103" s="27">
        <v>67</v>
      </c>
      <c r="E103" s="27">
        <v>21</v>
      </c>
      <c r="F103" s="27">
        <v>46</v>
      </c>
      <c r="G103" s="27">
        <v>5</v>
      </c>
      <c r="H103" s="27">
        <v>2</v>
      </c>
      <c r="I103" s="27">
        <v>3</v>
      </c>
      <c r="J103" s="27">
        <v>2</v>
      </c>
      <c r="K103" s="27">
        <v>4</v>
      </c>
      <c r="L103" s="27">
        <v>3</v>
      </c>
      <c r="M103" s="27">
        <v>0</v>
      </c>
      <c r="N103" s="27">
        <v>9</v>
      </c>
      <c r="O103" s="27">
        <v>4</v>
      </c>
      <c r="P103" s="27">
        <v>16</v>
      </c>
      <c r="Q103" s="27">
        <v>5</v>
      </c>
      <c r="R103" s="27">
        <v>14</v>
      </c>
    </row>
    <row r="104" spans="1:18" s="20" customFormat="1" ht="14.25" hidden="1" customHeight="1" x14ac:dyDescent="0.2">
      <c r="A104" s="86" t="s">
        <v>5</v>
      </c>
      <c r="B104" s="28" t="s">
        <v>56</v>
      </c>
      <c r="C104" s="29" t="s">
        <v>2</v>
      </c>
      <c r="D104" s="21">
        <v>53</v>
      </c>
      <c r="E104" s="21">
        <v>19</v>
      </c>
      <c r="F104" s="21">
        <v>34</v>
      </c>
      <c r="G104" s="21">
        <v>5</v>
      </c>
      <c r="H104" s="21">
        <v>2</v>
      </c>
      <c r="I104" s="21">
        <v>1</v>
      </c>
      <c r="J104" s="21">
        <v>2</v>
      </c>
      <c r="K104" s="21">
        <v>4</v>
      </c>
      <c r="L104" s="21">
        <v>2</v>
      </c>
      <c r="M104" s="21">
        <v>0</v>
      </c>
      <c r="N104" s="21">
        <v>8</v>
      </c>
      <c r="O104" s="21">
        <v>4</v>
      </c>
      <c r="P104" s="21">
        <v>13</v>
      </c>
      <c r="Q104" s="21">
        <v>5</v>
      </c>
      <c r="R104" s="21">
        <v>7</v>
      </c>
    </row>
    <row r="105" spans="1:18" s="20" customFormat="1" ht="14.25" hidden="1" customHeight="1" x14ac:dyDescent="0.2">
      <c r="A105" s="87"/>
      <c r="B105" s="30" t="s">
        <v>57</v>
      </c>
      <c r="C105" s="31" t="s">
        <v>225</v>
      </c>
      <c r="D105" s="21">
        <v>14</v>
      </c>
      <c r="E105" s="21">
        <v>2</v>
      </c>
      <c r="F105" s="21">
        <v>12</v>
      </c>
      <c r="G105" s="21">
        <v>0</v>
      </c>
      <c r="H105" s="21">
        <v>0</v>
      </c>
      <c r="I105" s="21">
        <v>2</v>
      </c>
      <c r="J105" s="21">
        <v>0</v>
      </c>
      <c r="K105" s="21">
        <v>0</v>
      </c>
      <c r="L105" s="21">
        <v>1</v>
      </c>
      <c r="M105" s="21">
        <v>0</v>
      </c>
      <c r="N105" s="21">
        <v>1</v>
      </c>
      <c r="O105" s="21">
        <v>0</v>
      </c>
      <c r="P105" s="21">
        <v>3</v>
      </c>
      <c r="Q105" s="21">
        <v>0</v>
      </c>
      <c r="R105" s="21">
        <v>7</v>
      </c>
    </row>
    <row r="106" spans="1:18" s="20" customFormat="1" ht="14.25" hidden="1" customHeight="1" x14ac:dyDescent="0.2">
      <c r="A106" s="64" t="s">
        <v>195</v>
      </c>
      <c r="B106" s="25" t="s">
        <v>55</v>
      </c>
      <c r="C106" s="26" t="s">
        <v>0</v>
      </c>
      <c r="D106" s="27">
        <v>149</v>
      </c>
      <c r="E106" s="27">
        <v>56</v>
      </c>
      <c r="F106" s="27">
        <v>93</v>
      </c>
      <c r="G106" s="27">
        <v>7</v>
      </c>
      <c r="H106" s="27">
        <v>6</v>
      </c>
      <c r="I106" s="27">
        <v>7</v>
      </c>
      <c r="J106" s="27">
        <v>5</v>
      </c>
      <c r="K106" s="27">
        <v>9</v>
      </c>
      <c r="L106" s="27">
        <v>14</v>
      </c>
      <c r="M106" s="27">
        <v>15</v>
      </c>
      <c r="N106" s="27">
        <v>9</v>
      </c>
      <c r="O106" s="27">
        <v>8</v>
      </c>
      <c r="P106" s="27">
        <v>38</v>
      </c>
      <c r="Q106" s="27">
        <v>10</v>
      </c>
      <c r="R106" s="27">
        <v>21</v>
      </c>
    </row>
    <row r="107" spans="1:18" s="20" customFormat="1" ht="14.25" hidden="1" customHeight="1" x14ac:dyDescent="0.2">
      <c r="A107" s="86" t="s">
        <v>6</v>
      </c>
      <c r="B107" s="28" t="s">
        <v>56</v>
      </c>
      <c r="C107" s="29" t="s">
        <v>2</v>
      </c>
      <c r="D107" s="21">
        <v>111</v>
      </c>
      <c r="E107" s="21">
        <v>40</v>
      </c>
      <c r="F107" s="21">
        <v>71</v>
      </c>
      <c r="G107" s="21">
        <v>7</v>
      </c>
      <c r="H107" s="21">
        <v>5</v>
      </c>
      <c r="I107" s="21">
        <v>4</v>
      </c>
      <c r="J107" s="21">
        <v>3</v>
      </c>
      <c r="K107" s="21">
        <v>4</v>
      </c>
      <c r="L107" s="21">
        <v>12</v>
      </c>
      <c r="M107" s="21">
        <v>13</v>
      </c>
      <c r="N107" s="21">
        <v>6</v>
      </c>
      <c r="O107" s="21">
        <v>5</v>
      </c>
      <c r="P107" s="21">
        <v>27</v>
      </c>
      <c r="Q107" s="21">
        <v>7</v>
      </c>
      <c r="R107" s="21">
        <v>18</v>
      </c>
    </row>
    <row r="108" spans="1:18" s="20" customFormat="1" ht="14.25" hidden="1" customHeight="1" x14ac:dyDescent="0.2">
      <c r="A108" s="87"/>
      <c r="B108" s="30" t="s">
        <v>57</v>
      </c>
      <c r="C108" s="31" t="s">
        <v>225</v>
      </c>
      <c r="D108" s="21">
        <v>38</v>
      </c>
      <c r="E108" s="21">
        <v>16</v>
      </c>
      <c r="F108" s="21">
        <v>22</v>
      </c>
      <c r="G108" s="21">
        <v>0</v>
      </c>
      <c r="H108" s="21">
        <v>1</v>
      </c>
      <c r="I108" s="21">
        <v>3</v>
      </c>
      <c r="J108" s="21">
        <v>2</v>
      </c>
      <c r="K108" s="21">
        <v>5</v>
      </c>
      <c r="L108" s="21">
        <v>2</v>
      </c>
      <c r="M108" s="21">
        <v>2</v>
      </c>
      <c r="N108" s="21">
        <v>3</v>
      </c>
      <c r="O108" s="21">
        <v>3</v>
      </c>
      <c r="P108" s="21">
        <v>11</v>
      </c>
      <c r="Q108" s="21">
        <v>3</v>
      </c>
      <c r="R108" s="21">
        <v>3</v>
      </c>
    </row>
    <row r="109" spans="1:18" s="20" customFormat="1" ht="14.25" hidden="1" customHeight="1" x14ac:dyDescent="0.2">
      <c r="A109" s="64" t="s">
        <v>196</v>
      </c>
      <c r="B109" s="25" t="s">
        <v>55</v>
      </c>
      <c r="C109" s="26" t="s">
        <v>0</v>
      </c>
      <c r="D109" s="27">
        <v>66</v>
      </c>
      <c r="E109" s="27">
        <v>13</v>
      </c>
      <c r="F109" s="27">
        <v>53</v>
      </c>
      <c r="G109" s="27">
        <v>0</v>
      </c>
      <c r="H109" s="27">
        <v>2</v>
      </c>
      <c r="I109" s="27">
        <v>2</v>
      </c>
      <c r="J109" s="27">
        <v>0</v>
      </c>
      <c r="K109" s="27">
        <v>4</v>
      </c>
      <c r="L109" s="27">
        <v>4</v>
      </c>
      <c r="M109" s="27">
        <v>3</v>
      </c>
      <c r="N109" s="27">
        <v>5</v>
      </c>
      <c r="O109" s="27">
        <v>1</v>
      </c>
      <c r="P109" s="27">
        <v>16</v>
      </c>
      <c r="Q109" s="27">
        <v>3</v>
      </c>
      <c r="R109" s="27">
        <v>26</v>
      </c>
    </row>
    <row r="110" spans="1:18" s="20" customFormat="1" ht="14.25" hidden="1" customHeight="1" x14ac:dyDescent="0.2">
      <c r="A110" s="86" t="s">
        <v>7</v>
      </c>
      <c r="B110" s="28" t="s">
        <v>56</v>
      </c>
      <c r="C110" s="29" t="s">
        <v>2</v>
      </c>
      <c r="D110" s="21">
        <v>60</v>
      </c>
      <c r="E110" s="21">
        <v>12</v>
      </c>
      <c r="F110" s="21">
        <v>48</v>
      </c>
      <c r="G110" s="21">
        <v>0</v>
      </c>
      <c r="H110" s="21">
        <v>1</v>
      </c>
      <c r="I110" s="21">
        <v>2</v>
      </c>
      <c r="J110" s="21">
        <v>0</v>
      </c>
      <c r="K110" s="21">
        <v>4</v>
      </c>
      <c r="L110" s="21">
        <v>4</v>
      </c>
      <c r="M110" s="21">
        <v>2</v>
      </c>
      <c r="N110" s="21">
        <v>5</v>
      </c>
      <c r="O110" s="21">
        <v>1</v>
      </c>
      <c r="P110" s="21">
        <v>13</v>
      </c>
      <c r="Q110" s="21">
        <v>3</v>
      </c>
      <c r="R110" s="21">
        <v>25</v>
      </c>
    </row>
    <row r="111" spans="1:18" s="20" customFormat="1" ht="14.25" hidden="1" customHeight="1" x14ac:dyDescent="0.2">
      <c r="A111" s="87"/>
      <c r="B111" s="30" t="s">
        <v>57</v>
      </c>
      <c r="C111" s="31" t="s">
        <v>225</v>
      </c>
      <c r="D111" s="21">
        <v>6</v>
      </c>
      <c r="E111" s="21">
        <v>1</v>
      </c>
      <c r="F111" s="21">
        <v>5</v>
      </c>
      <c r="G111" s="21">
        <v>0</v>
      </c>
      <c r="H111" s="21">
        <v>1</v>
      </c>
      <c r="I111" s="21">
        <v>0</v>
      </c>
      <c r="J111" s="21">
        <v>0</v>
      </c>
      <c r="K111" s="21">
        <v>0</v>
      </c>
      <c r="L111" s="21">
        <v>0</v>
      </c>
      <c r="M111" s="21">
        <v>1</v>
      </c>
      <c r="N111" s="21">
        <v>0</v>
      </c>
      <c r="O111" s="21">
        <v>0</v>
      </c>
      <c r="P111" s="21">
        <v>3</v>
      </c>
      <c r="Q111" s="21">
        <v>0</v>
      </c>
      <c r="R111" s="21">
        <v>1</v>
      </c>
    </row>
    <row r="112" spans="1:18" s="20" customFormat="1" ht="14.25" hidden="1" customHeight="1" x14ac:dyDescent="0.2">
      <c r="A112" s="64" t="s">
        <v>197</v>
      </c>
      <c r="B112" s="25" t="s">
        <v>55</v>
      </c>
      <c r="C112" s="26" t="s">
        <v>0</v>
      </c>
      <c r="D112" s="27">
        <v>228</v>
      </c>
      <c r="E112" s="27">
        <v>96</v>
      </c>
      <c r="F112" s="27">
        <v>132</v>
      </c>
      <c r="G112" s="27">
        <v>18</v>
      </c>
      <c r="H112" s="27">
        <v>11</v>
      </c>
      <c r="I112" s="27">
        <v>11</v>
      </c>
      <c r="J112" s="27">
        <v>12</v>
      </c>
      <c r="K112" s="27">
        <v>19</v>
      </c>
      <c r="L112" s="27">
        <v>11</v>
      </c>
      <c r="M112" s="27">
        <v>15</v>
      </c>
      <c r="N112" s="27">
        <v>18</v>
      </c>
      <c r="O112" s="27">
        <v>20</v>
      </c>
      <c r="P112" s="27">
        <v>32</v>
      </c>
      <c r="Q112" s="27">
        <v>13</v>
      </c>
      <c r="R112" s="27">
        <v>48</v>
      </c>
    </row>
    <row r="113" spans="1:18" s="20" customFormat="1" ht="14.25" hidden="1" customHeight="1" x14ac:dyDescent="0.2">
      <c r="A113" s="86" t="s">
        <v>8</v>
      </c>
      <c r="B113" s="28" t="s">
        <v>56</v>
      </c>
      <c r="C113" s="29" t="s">
        <v>2</v>
      </c>
      <c r="D113" s="21">
        <v>214</v>
      </c>
      <c r="E113" s="21">
        <v>93</v>
      </c>
      <c r="F113" s="21">
        <v>121</v>
      </c>
      <c r="G113" s="21">
        <v>17</v>
      </c>
      <c r="H113" s="21">
        <v>8</v>
      </c>
      <c r="I113" s="21">
        <v>10</v>
      </c>
      <c r="J113" s="21">
        <v>10</v>
      </c>
      <c r="K113" s="21">
        <v>19</v>
      </c>
      <c r="L113" s="21">
        <v>9</v>
      </c>
      <c r="M113" s="21">
        <v>14</v>
      </c>
      <c r="N113" s="21">
        <v>16</v>
      </c>
      <c r="O113" s="21">
        <v>20</v>
      </c>
      <c r="P113" s="21">
        <v>32</v>
      </c>
      <c r="Q113" s="21">
        <v>13</v>
      </c>
      <c r="R113" s="21">
        <v>46</v>
      </c>
    </row>
    <row r="114" spans="1:18" s="20" customFormat="1" ht="14.25" hidden="1" customHeight="1" x14ac:dyDescent="0.2">
      <c r="A114" s="87"/>
      <c r="B114" s="30" t="s">
        <v>57</v>
      </c>
      <c r="C114" s="31" t="s">
        <v>225</v>
      </c>
      <c r="D114" s="21">
        <v>14</v>
      </c>
      <c r="E114" s="21">
        <v>3</v>
      </c>
      <c r="F114" s="21">
        <v>11</v>
      </c>
      <c r="G114" s="21">
        <v>1</v>
      </c>
      <c r="H114" s="21">
        <v>3</v>
      </c>
      <c r="I114" s="21">
        <v>1</v>
      </c>
      <c r="J114" s="21">
        <v>2</v>
      </c>
      <c r="K114" s="21">
        <v>0</v>
      </c>
      <c r="L114" s="21">
        <v>2</v>
      </c>
      <c r="M114" s="21">
        <v>1</v>
      </c>
      <c r="N114" s="21">
        <v>2</v>
      </c>
      <c r="O114" s="21">
        <v>0</v>
      </c>
      <c r="P114" s="21">
        <v>0</v>
      </c>
      <c r="Q114" s="21">
        <v>0</v>
      </c>
      <c r="R114" s="21">
        <v>2</v>
      </c>
    </row>
    <row r="115" spans="1:18" s="20" customFormat="1" ht="14.25" hidden="1" customHeight="1" x14ac:dyDescent="0.2">
      <c r="A115" s="64" t="s">
        <v>198</v>
      </c>
      <c r="B115" s="25" t="s">
        <v>55</v>
      </c>
      <c r="C115" s="26" t="s">
        <v>0</v>
      </c>
      <c r="D115" s="27">
        <v>142</v>
      </c>
      <c r="E115" s="27">
        <v>67</v>
      </c>
      <c r="F115" s="27">
        <v>75</v>
      </c>
      <c r="G115" s="27">
        <v>2</v>
      </c>
      <c r="H115" s="27">
        <v>3</v>
      </c>
      <c r="I115" s="27">
        <v>8</v>
      </c>
      <c r="J115" s="27">
        <v>1</v>
      </c>
      <c r="K115" s="27">
        <v>7</v>
      </c>
      <c r="L115" s="27">
        <v>10</v>
      </c>
      <c r="M115" s="27">
        <v>23</v>
      </c>
      <c r="N115" s="27">
        <v>8</v>
      </c>
      <c r="O115" s="27">
        <v>13</v>
      </c>
      <c r="P115" s="27">
        <v>32</v>
      </c>
      <c r="Q115" s="27">
        <v>14</v>
      </c>
      <c r="R115" s="27">
        <v>21</v>
      </c>
    </row>
    <row r="116" spans="1:18" s="20" customFormat="1" ht="14.25" hidden="1" customHeight="1" x14ac:dyDescent="0.2">
      <c r="A116" s="86" t="s">
        <v>9</v>
      </c>
      <c r="B116" s="28" t="s">
        <v>56</v>
      </c>
      <c r="C116" s="29" t="s">
        <v>2</v>
      </c>
      <c r="D116" s="21">
        <v>87</v>
      </c>
      <c r="E116" s="21">
        <v>31</v>
      </c>
      <c r="F116" s="21">
        <v>56</v>
      </c>
      <c r="G116" s="21">
        <v>2</v>
      </c>
      <c r="H116" s="21">
        <v>3</v>
      </c>
      <c r="I116" s="21">
        <v>2</v>
      </c>
      <c r="J116" s="21">
        <v>0</v>
      </c>
      <c r="K116" s="21">
        <v>5</v>
      </c>
      <c r="L116" s="21">
        <v>9</v>
      </c>
      <c r="M116" s="21">
        <v>7</v>
      </c>
      <c r="N116" s="21">
        <v>7</v>
      </c>
      <c r="O116" s="21">
        <v>4</v>
      </c>
      <c r="P116" s="21">
        <v>21</v>
      </c>
      <c r="Q116" s="21">
        <v>11</v>
      </c>
      <c r="R116" s="21">
        <v>16</v>
      </c>
    </row>
    <row r="117" spans="1:18" s="20" customFormat="1" ht="14.25" hidden="1" customHeight="1" x14ac:dyDescent="0.2">
      <c r="A117" s="87"/>
      <c r="B117" s="30" t="s">
        <v>57</v>
      </c>
      <c r="C117" s="31" t="s">
        <v>225</v>
      </c>
      <c r="D117" s="21">
        <v>55</v>
      </c>
      <c r="E117" s="21">
        <v>36</v>
      </c>
      <c r="F117" s="21">
        <v>19</v>
      </c>
      <c r="G117" s="21">
        <v>0</v>
      </c>
      <c r="H117" s="21">
        <v>0</v>
      </c>
      <c r="I117" s="21">
        <v>6</v>
      </c>
      <c r="J117" s="21">
        <v>1</v>
      </c>
      <c r="K117" s="21">
        <v>2</v>
      </c>
      <c r="L117" s="21">
        <v>1</v>
      </c>
      <c r="M117" s="21">
        <v>16</v>
      </c>
      <c r="N117" s="21">
        <v>1</v>
      </c>
      <c r="O117" s="21">
        <v>9</v>
      </c>
      <c r="P117" s="21">
        <v>11</v>
      </c>
      <c r="Q117" s="21">
        <v>3</v>
      </c>
      <c r="R117" s="21">
        <v>5</v>
      </c>
    </row>
    <row r="118" spans="1:18" s="20" customFormat="1" ht="14.25" hidden="1" customHeight="1" x14ac:dyDescent="0.2">
      <c r="A118" s="64" t="s">
        <v>199</v>
      </c>
      <c r="B118" s="25" t="s">
        <v>55</v>
      </c>
      <c r="C118" s="26" t="s">
        <v>0</v>
      </c>
      <c r="D118" s="27">
        <v>155</v>
      </c>
      <c r="E118" s="27">
        <v>65</v>
      </c>
      <c r="F118" s="27">
        <v>90</v>
      </c>
      <c r="G118" s="27">
        <v>7</v>
      </c>
      <c r="H118" s="27">
        <v>6</v>
      </c>
      <c r="I118" s="27">
        <v>10</v>
      </c>
      <c r="J118" s="27">
        <v>12</v>
      </c>
      <c r="K118" s="27">
        <v>8</v>
      </c>
      <c r="L118" s="27">
        <v>9</v>
      </c>
      <c r="M118" s="27">
        <v>4</v>
      </c>
      <c r="N118" s="27">
        <v>7</v>
      </c>
      <c r="O118" s="27">
        <v>25</v>
      </c>
      <c r="P118" s="27">
        <v>30</v>
      </c>
      <c r="Q118" s="27">
        <v>11</v>
      </c>
      <c r="R118" s="27">
        <v>26</v>
      </c>
    </row>
    <row r="119" spans="1:18" s="20" customFormat="1" ht="14.25" hidden="1" customHeight="1" x14ac:dyDescent="0.2">
      <c r="A119" s="86" t="s">
        <v>10</v>
      </c>
      <c r="B119" s="28" t="s">
        <v>56</v>
      </c>
      <c r="C119" s="29" t="s">
        <v>2</v>
      </c>
      <c r="D119" s="21">
        <v>153</v>
      </c>
      <c r="E119" s="21">
        <v>63</v>
      </c>
      <c r="F119" s="21">
        <v>90</v>
      </c>
      <c r="G119" s="21">
        <v>7</v>
      </c>
      <c r="H119" s="21">
        <v>6</v>
      </c>
      <c r="I119" s="21">
        <v>9</v>
      </c>
      <c r="J119" s="21">
        <v>12</v>
      </c>
      <c r="K119" s="21">
        <v>8</v>
      </c>
      <c r="L119" s="21">
        <v>9</v>
      </c>
      <c r="M119" s="21">
        <v>4</v>
      </c>
      <c r="N119" s="21">
        <v>7</v>
      </c>
      <c r="O119" s="21">
        <v>24</v>
      </c>
      <c r="P119" s="21">
        <v>30</v>
      </c>
      <c r="Q119" s="21">
        <v>11</v>
      </c>
      <c r="R119" s="21">
        <v>26</v>
      </c>
    </row>
    <row r="120" spans="1:18" s="20" customFormat="1" ht="14.25" hidden="1" customHeight="1" x14ac:dyDescent="0.2">
      <c r="A120" s="87"/>
      <c r="B120" s="30" t="s">
        <v>57</v>
      </c>
      <c r="C120" s="31" t="s">
        <v>225</v>
      </c>
      <c r="D120" s="21">
        <v>2</v>
      </c>
      <c r="E120" s="21">
        <v>2</v>
      </c>
      <c r="F120" s="21">
        <v>0</v>
      </c>
      <c r="G120" s="21">
        <v>0</v>
      </c>
      <c r="H120" s="21">
        <v>0</v>
      </c>
      <c r="I120" s="21">
        <v>1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1</v>
      </c>
      <c r="P120" s="21">
        <v>0</v>
      </c>
      <c r="Q120" s="21">
        <v>0</v>
      </c>
      <c r="R120" s="21">
        <v>0</v>
      </c>
    </row>
    <row r="121" spans="1:18" s="20" customFormat="1" ht="14.25" hidden="1" customHeight="1" x14ac:dyDescent="0.2">
      <c r="A121" s="64" t="s">
        <v>200</v>
      </c>
      <c r="B121" s="25" t="s">
        <v>55</v>
      </c>
      <c r="C121" s="26" t="s">
        <v>0</v>
      </c>
      <c r="D121" s="27">
        <v>84</v>
      </c>
      <c r="E121" s="27">
        <v>39</v>
      </c>
      <c r="F121" s="27">
        <v>45</v>
      </c>
      <c r="G121" s="27">
        <v>8</v>
      </c>
      <c r="H121" s="27">
        <v>1</v>
      </c>
      <c r="I121" s="27">
        <v>5</v>
      </c>
      <c r="J121" s="27">
        <v>6</v>
      </c>
      <c r="K121" s="27">
        <v>4</v>
      </c>
      <c r="L121" s="27">
        <v>2</v>
      </c>
      <c r="M121" s="27">
        <v>3</v>
      </c>
      <c r="N121" s="27">
        <v>8</v>
      </c>
      <c r="O121" s="27">
        <v>11</v>
      </c>
      <c r="P121" s="27">
        <v>8</v>
      </c>
      <c r="Q121" s="27">
        <v>8</v>
      </c>
      <c r="R121" s="27">
        <v>20</v>
      </c>
    </row>
    <row r="122" spans="1:18" s="20" customFormat="1" ht="14.25" hidden="1" customHeight="1" x14ac:dyDescent="0.2">
      <c r="A122" s="86" t="s">
        <v>11</v>
      </c>
      <c r="B122" s="28" t="s">
        <v>56</v>
      </c>
      <c r="C122" s="29" t="s">
        <v>2</v>
      </c>
      <c r="D122" s="21">
        <v>81</v>
      </c>
      <c r="E122" s="21">
        <v>38</v>
      </c>
      <c r="F122" s="21">
        <v>43</v>
      </c>
      <c r="G122" s="21">
        <v>7</v>
      </c>
      <c r="H122" s="21">
        <v>1</v>
      </c>
      <c r="I122" s="21">
        <v>5</v>
      </c>
      <c r="J122" s="21">
        <v>5</v>
      </c>
      <c r="K122" s="21">
        <v>4</v>
      </c>
      <c r="L122" s="21">
        <v>2</v>
      </c>
      <c r="M122" s="21">
        <v>3</v>
      </c>
      <c r="N122" s="21">
        <v>8</v>
      </c>
      <c r="O122" s="21">
        <v>11</v>
      </c>
      <c r="P122" s="21">
        <v>7</v>
      </c>
      <c r="Q122" s="21">
        <v>8</v>
      </c>
      <c r="R122" s="21">
        <v>20</v>
      </c>
    </row>
    <row r="123" spans="1:18" s="20" customFormat="1" ht="14.25" hidden="1" customHeight="1" x14ac:dyDescent="0.2">
      <c r="A123" s="87"/>
      <c r="B123" s="30" t="s">
        <v>57</v>
      </c>
      <c r="C123" s="31" t="s">
        <v>225</v>
      </c>
      <c r="D123" s="21">
        <v>3</v>
      </c>
      <c r="E123" s="21">
        <v>1</v>
      </c>
      <c r="F123" s="21">
        <v>2</v>
      </c>
      <c r="G123" s="21">
        <v>1</v>
      </c>
      <c r="H123" s="21">
        <v>0</v>
      </c>
      <c r="I123" s="21">
        <v>0</v>
      </c>
      <c r="J123" s="21">
        <v>1</v>
      </c>
      <c r="K123" s="21">
        <v>0</v>
      </c>
      <c r="L123" s="21">
        <v>0</v>
      </c>
      <c r="M123" s="21">
        <v>0</v>
      </c>
      <c r="N123" s="21">
        <v>0</v>
      </c>
      <c r="O123" s="21">
        <v>0</v>
      </c>
      <c r="P123" s="21">
        <v>1</v>
      </c>
      <c r="Q123" s="21">
        <v>0</v>
      </c>
      <c r="R123" s="21">
        <v>0</v>
      </c>
    </row>
    <row r="124" spans="1:18" s="20" customFormat="1" ht="14.25" hidden="1" customHeight="1" x14ac:dyDescent="0.2">
      <c r="A124" s="64" t="s">
        <v>201</v>
      </c>
      <c r="B124" s="25" t="s">
        <v>55</v>
      </c>
      <c r="C124" s="26" t="s">
        <v>0</v>
      </c>
      <c r="D124" s="27">
        <v>212</v>
      </c>
      <c r="E124" s="27">
        <v>81</v>
      </c>
      <c r="F124" s="27">
        <v>131</v>
      </c>
      <c r="G124" s="27">
        <v>6</v>
      </c>
      <c r="H124" s="27">
        <v>5</v>
      </c>
      <c r="I124" s="27">
        <v>10</v>
      </c>
      <c r="J124" s="27">
        <v>12</v>
      </c>
      <c r="K124" s="27">
        <v>14</v>
      </c>
      <c r="L124" s="27">
        <v>15</v>
      </c>
      <c r="M124" s="27">
        <v>14</v>
      </c>
      <c r="N124" s="27">
        <v>16</v>
      </c>
      <c r="O124" s="27">
        <v>23</v>
      </c>
      <c r="P124" s="27">
        <v>41</v>
      </c>
      <c r="Q124" s="27">
        <v>14</v>
      </c>
      <c r="R124" s="27">
        <v>42</v>
      </c>
    </row>
    <row r="125" spans="1:18" s="20" customFormat="1" ht="14.25" hidden="1" customHeight="1" x14ac:dyDescent="0.2">
      <c r="A125" s="86" t="s">
        <v>12</v>
      </c>
      <c r="B125" s="28" t="s">
        <v>56</v>
      </c>
      <c r="C125" s="29" t="s">
        <v>2</v>
      </c>
      <c r="D125" s="21">
        <v>185</v>
      </c>
      <c r="E125" s="21">
        <v>71</v>
      </c>
      <c r="F125" s="21">
        <v>114</v>
      </c>
      <c r="G125" s="21">
        <v>4</v>
      </c>
      <c r="H125" s="21">
        <v>4</v>
      </c>
      <c r="I125" s="21">
        <v>9</v>
      </c>
      <c r="J125" s="21">
        <v>11</v>
      </c>
      <c r="K125" s="21">
        <v>12</v>
      </c>
      <c r="L125" s="21">
        <v>12</v>
      </c>
      <c r="M125" s="21">
        <v>11</v>
      </c>
      <c r="N125" s="21">
        <v>11</v>
      </c>
      <c r="O125" s="21">
        <v>21</v>
      </c>
      <c r="P125" s="21">
        <v>39</v>
      </c>
      <c r="Q125" s="21">
        <v>14</v>
      </c>
      <c r="R125" s="21">
        <v>37</v>
      </c>
    </row>
    <row r="126" spans="1:18" s="20" customFormat="1" ht="14.25" hidden="1" customHeight="1" x14ac:dyDescent="0.2">
      <c r="A126" s="87"/>
      <c r="B126" s="30" t="s">
        <v>57</v>
      </c>
      <c r="C126" s="31" t="s">
        <v>225</v>
      </c>
      <c r="D126" s="21">
        <v>27</v>
      </c>
      <c r="E126" s="21">
        <v>10</v>
      </c>
      <c r="F126" s="21">
        <v>17</v>
      </c>
      <c r="G126" s="21">
        <v>2</v>
      </c>
      <c r="H126" s="21">
        <v>1</v>
      </c>
      <c r="I126" s="21">
        <v>1</v>
      </c>
      <c r="J126" s="21">
        <v>1</v>
      </c>
      <c r="K126" s="21">
        <v>2</v>
      </c>
      <c r="L126" s="21">
        <v>3</v>
      </c>
      <c r="M126" s="21">
        <v>3</v>
      </c>
      <c r="N126" s="21">
        <v>5</v>
      </c>
      <c r="O126" s="21">
        <v>2</v>
      </c>
      <c r="P126" s="21">
        <v>2</v>
      </c>
      <c r="Q126" s="21">
        <v>0</v>
      </c>
      <c r="R126" s="21">
        <v>5</v>
      </c>
    </row>
    <row r="127" spans="1:18" s="20" customFormat="1" ht="14.25" hidden="1" customHeight="1" x14ac:dyDescent="0.2">
      <c r="A127" s="64" t="s">
        <v>202</v>
      </c>
      <c r="B127" s="25" t="s">
        <v>55</v>
      </c>
      <c r="C127" s="26" t="s">
        <v>0</v>
      </c>
      <c r="D127" s="27">
        <v>26</v>
      </c>
      <c r="E127" s="27">
        <v>10</v>
      </c>
      <c r="F127" s="27">
        <v>16</v>
      </c>
      <c r="G127" s="27">
        <v>2</v>
      </c>
      <c r="H127" s="27">
        <v>4</v>
      </c>
      <c r="I127" s="27">
        <v>3</v>
      </c>
      <c r="J127" s="27">
        <v>3</v>
      </c>
      <c r="K127" s="27">
        <v>4</v>
      </c>
      <c r="L127" s="27">
        <v>5</v>
      </c>
      <c r="M127" s="27">
        <v>1</v>
      </c>
      <c r="N127" s="27">
        <v>4</v>
      </c>
      <c r="O127" s="27">
        <v>0</v>
      </c>
      <c r="P127" s="27">
        <v>0</v>
      </c>
      <c r="Q127" s="27">
        <v>0</v>
      </c>
      <c r="R127" s="27">
        <v>0</v>
      </c>
    </row>
    <row r="128" spans="1:18" s="20" customFormat="1" ht="14.25" hidden="1" customHeight="1" x14ac:dyDescent="0.2">
      <c r="A128" s="86" t="s">
        <v>13</v>
      </c>
      <c r="B128" s="28" t="s">
        <v>56</v>
      </c>
      <c r="C128" s="29" t="s">
        <v>2</v>
      </c>
      <c r="D128" s="21">
        <v>10</v>
      </c>
      <c r="E128" s="21">
        <v>6</v>
      </c>
      <c r="F128" s="21">
        <v>4</v>
      </c>
      <c r="G128" s="21">
        <v>1</v>
      </c>
      <c r="H128" s="21">
        <v>1</v>
      </c>
      <c r="I128" s="21">
        <v>2</v>
      </c>
      <c r="J128" s="21">
        <v>0</v>
      </c>
      <c r="K128" s="21">
        <v>3</v>
      </c>
      <c r="L128" s="21">
        <v>2</v>
      </c>
      <c r="M128" s="21">
        <v>0</v>
      </c>
      <c r="N128" s="21">
        <v>1</v>
      </c>
      <c r="O128" s="21">
        <v>0</v>
      </c>
      <c r="P128" s="21">
        <v>0</v>
      </c>
      <c r="Q128" s="21">
        <v>0</v>
      </c>
      <c r="R128" s="21">
        <v>0</v>
      </c>
    </row>
    <row r="129" spans="1:18" s="20" customFormat="1" ht="14.25" hidden="1" customHeight="1" x14ac:dyDescent="0.2">
      <c r="A129" s="87"/>
      <c r="B129" s="30" t="s">
        <v>57</v>
      </c>
      <c r="C129" s="31" t="s">
        <v>225</v>
      </c>
      <c r="D129" s="21">
        <v>16</v>
      </c>
      <c r="E129" s="21">
        <v>4</v>
      </c>
      <c r="F129" s="21">
        <v>12</v>
      </c>
      <c r="G129" s="21">
        <v>1</v>
      </c>
      <c r="H129" s="21">
        <v>3</v>
      </c>
      <c r="I129" s="21">
        <v>1</v>
      </c>
      <c r="J129" s="21">
        <v>3</v>
      </c>
      <c r="K129" s="21">
        <v>1</v>
      </c>
      <c r="L129" s="21">
        <v>3</v>
      </c>
      <c r="M129" s="21">
        <v>1</v>
      </c>
      <c r="N129" s="21">
        <v>3</v>
      </c>
      <c r="O129" s="21">
        <v>0</v>
      </c>
      <c r="P129" s="21">
        <v>0</v>
      </c>
      <c r="Q129" s="21">
        <v>0</v>
      </c>
      <c r="R129" s="21">
        <v>0</v>
      </c>
    </row>
    <row r="130" spans="1:18" s="20" customFormat="1" ht="14.25" hidden="1" customHeight="1" x14ac:dyDescent="0.2">
      <c r="A130" s="64" t="s">
        <v>203</v>
      </c>
      <c r="B130" s="25" t="s">
        <v>55</v>
      </c>
      <c r="C130" s="26" t="s">
        <v>0</v>
      </c>
      <c r="D130" s="27">
        <v>141</v>
      </c>
      <c r="E130" s="27">
        <v>57</v>
      </c>
      <c r="F130" s="27">
        <v>84</v>
      </c>
      <c r="G130" s="27">
        <v>6</v>
      </c>
      <c r="H130" s="27">
        <v>3</v>
      </c>
      <c r="I130" s="27">
        <v>11</v>
      </c>
      <c r="J130" s="27">
        <v>4</v>
      </c>
      <c r="K130" s="27">
        <v>14</v>
      </c>
      <c r="L130" s="27">
        <v>10</v>
      </c>
      <c r="M130" s="27">
        <v>18</v>
      </c>
      <c r="N130" s="27">
        <v>16</v>
      </c>
      <c r="O130" s="27">
        <v>5</v>
      </c>
      <c r="P130" s="27">
        <v>36</v>
      </c>
      <c r="Q130" s="27">
        <v>3</v>
      </c>
      <c r="R130" s="27">
        <v>15</v>
      </c>
    </row>
    <row r="131" spans="1:18" s="20" customFormat="1" ht="14.25" hidden="1" customHeight="1" x14ac:dyDescent="0.2">
      <c r="A131" s="86" t="s">
        <v>14</v>
      </c>
      <c r="B131" s="28" t="s">
        <v>56</v>
      </c>
      <c r="C131" s="29" t="s">
        <v>2</v>
      </c>
      <c r="D131" s="21">
        <v>41</v>
      </c>
      <c r="E131" s="21">
        <v>18</v>
      </c>
      <c r="F131" s="21">
        <v>23</v>
      </c>
      <c r="G131" s="21">
        <v>5</v>
      </c>
      <c r="H131" s="21">
        <v>1</v>
      </c>
      <c r="I131" s="21">
        <v>3</v>
      </c>
      <c r="J131" s="21">
        <v>1</v>
      </c>
      <c r="K131" s="21">
        <v>3</v>
      </c>
      <c r="L131" s="21">
        <v>2</v>
      </c>
      <c r="M131" s="21">
        <v>4</v>
      </c>
      <c r="N131" s="21">
        <v>5</v>
      </c>
      <c r="O131" s="21">
        <v>2</v>
      </c>
      <c r="P131" s="21">
        <v>11</v>
      </c>
      <c r="Q131" s="21">
        <v>1</v>
      </c>
      <c r="R131" s="21">
        <v>3</v>
      </c>
    </row>
    <row r="132" spans="1:18" s="20" customFormat="1" ht="14.25" hidden="1" customHeight="1" x14ac:dyDescent="0.2">
      <c r="A132" s="87"/>
      <c r="B132" s="30" t="s">
        <v>57</v>
      </c>
      <c r="C132" s="31" t="s">
        <v>225</v>
      </c>
      <c r="D132" s="21">
        <v>100</v>
      </c>
      <c r="E132" s="21">
        <v>39</v>
      </c>
      <c r="F132" s="21">
        <v>61</v>
      </c>
      <c r="G132" s="21">
        <v>1</v>
      </c>
      <c r="H132" s="21">
        <v>2</v>
      </c>
      <c r="I132" s="21">
        <v>8</v>
      </c>
      <c r="J132" s="21">
        <v>3</v>
      </c>
      <c r="K132" s="21">
        <v>11</v>
      </c>
      <c r="L132" s="21">
        <v>8</v>
      </c>
      <c r="M132" s="21">
        <v>14</v>
      </c>
      <c r="N132" s="21">
        <v>11</v>
      </c>
      <c r="O132" s="21">
        <v>3</v>
      </c>
      <c r="P132" s="21">
        <v>25</v>
      </c>
      <c r="Q132" s="21">
        <v>2</v>
      </c>
      <c r="R132" s="21">
        <v>12</v>
      </c>
    </row>
    <row r="133" spans="1:18" s="20" customFormat="1" ht="14.25" hidden="1" customHeight="1" x14ac:dyDescent="0.2">
      <c r="A133" s="64" t="s">
        <v>204</v>
      </c>
      <c r="B133" s="25" t="s">
        <v>55</v>
      </c>
      <c r="C133" s="26" t="s">
        <v>0</v>
      </c>
      <c r="D133" s="27">
        <v>18</v>
      </c>
      <c r="E133" s="27">
        <v>3</v>
      </c>
      <c r="F133" s="27">
        <v>15</v>
      </c>
      <c r="G133" s="27">
        <v>0</v>
      </c>
      <c r="H133" s="27">
        <v>1</v>
      </c>
      <c r="I133" s="27">
        <v>0</v>
      </c>
      <c r="J133" s="27">
        <v>1</v>
      </c>
      <c r="K133" s="27">
        <v>0</v>
      </c>
      <c r="L133" s="27">
        <v>0</v>
      </c>
      <c r="M133" s="27">
        <v>0</v>
      </c>
      <c r="N133" s="27">
        <v>4</v>
      </c>
      <c r="O133" s="27">
        <v>3</v>
      </c>
      <c r="P133" s="27">
        <v>3</v>
      </c>
      <c r="Q133" s="27">
        <v>0</v>
      </c>
      <c r="R133" s="27">
        <v>6</v>
      </c>
    </row>
    <row r="134" spans="1:18" s="20" customFormat="1" ht="14.25" hidden="1" customHeight="1" x14ac:dyDescent="0.2">
      <c r="A134" s="86" t="s">
        <v>15</v>
      </c>
      <c r="B134" s="28" t="s">
        <v>56</v>
      </c>
      <c r="C134" s="29" t="s">
        <v>2</v>
      </c>
      <c r="D134" s="21">
        <v>16</v>
      </c>
      <c r="E134" s="21">
        <v>3</v>
      </c>
      <c r="F134" s="21">
        <v>13</v>
      </c>
      <c r="G134" s="21">
        <v>0</v>
      </c>
      <c r="H134" s="21">
        <v>1</v>
      </c>
      <c r="I134" s="21">
        <v>0</v>
      </c>
      <c r="J134" s="21">
        <v>1</v>
      </c>
      <c r="K134" s="21">
        <v>0</v>
      </c>
      <c r="L134" s="21">
        <v>0</v>
      </c>
      <c r="M134" s="21">
        <v>0</v>
      </c>
      <c r="N134" s="21">
        <v>4</v>
      </c>
      <c r="O134" s="21">
        <v>3</v>
      </c>
      <c r="P134" s="21">
        <v>2</v>
      </c>
      <c r="Q134" s="21">
        <v>0</v>
      </c>
      <c r="R134" s="21">
        <v>5</v>
      </c>
    </row>
    <row r="135" spans="1:18" s="20" customFormat="1" ht="14.25" hidden="1" customHeight="1" x14ac:dyDescent="0.2">
      <c r="A135" s="87"/>
      <c r="B135" s="30" t="s">
        <v>57</v>
      </c>
      <c r="C135" s="31" t="s">
        <v>225</v>
      </c>
      <c r="D135" s="21">
        <v>2</v>
      </c>
      <c r="E135" s="21">
        <v>0</v>
      </c>
      <c r="F135" s="21">
        <v>2</v>
      </c>
      <c r="G135" s="21">
        <v>0</v>
      </c>
      <c r="H135" s="21">
        <v>0</v>
      </c>
      <c r="I135" s="21">
        <v>0</v>
      </c>
      <c r="J135" s="21">
        <v>0</v>
      </c>
      <c r="K135" s="21">
        <v>0</v>
      </c>
      <c r="L135" s="21">
        <v>0</v>
      </c>
      <c r="M135" s="21">
        <v>0</v>
      </c>
      <c r="N135" s="21">
        <v>0</v>
      </c>
      <c r="O135" s="21">
        <v>0</v>
      </c>
      <c r="P135" s="21">
        <v>1</v>
      </c>
      <c r="Q135" s="21">
        <v>0</v>
      </c>
      <c r="R135" s="21">
        <v>1</v>
      </c>
    </row>
    <row r="136" spans="1:18" s="20" customFormat="1" ht="14.25" hidden="1" customHeight="1" x14ac:dyDescent="0.2">
      <c r="A136" s="64" t="s">
        <v>205</v>
      </c>
      <c r="B136" s="25" t="s">
        <v>55</v>
      </c>
      <c r="C136" s="26" t="s">
        <v>0</v>
      </c>
      <c r="D136" s="27">
        <v>102</v>
      </c>
      <c r="E136" s="27">
        <v>46</v>
      </c>
      <c r="F136" s="27">
        <v>56</v>
      </c>
      <c r="G136" s="27">
        <v>3</v>
      </c>
      <c r="H136" s="27">
        <v>5</v>
      </c>
      <c r="I136" s="27">
        <v>9</v>
      </c>
      <c r="J136" s="27">
        <v>4</v>
      </c>
      <c r="K136" s="27">
        <v>5</v>
      </c>
      <c r="L136" s="27">
        <v>0</v>
      </c>
      <c r="M136" s="27">
        <v>8</v>
      </c>
      <c r="N136" s="27">
        <v>2</v>
      </c>
      <c r="O136" s="27">
        <v>6</v>
      </c>
      <c r="P136" s="27">
        <v>20</v>
      </c>
      <c r="Q136" s="27">
        <v>15</v>
      </c>
      <c r="R136" s="27">
        <v>25</v>
      </c>
    </row>
    <row r="137" spans="1:18" s="20" customFormat="1" ht="14.25" hidden="1" customHeight="1" x14ac:dyDescent="0.2">
      <c r="A137" s="86" t="s">
        <v>16</v>
      </c>
      <c r="B137" s="28" t="s">
        <v>56</v>
      </c>
      <c r="C137" s="29" t="s">
        <v>2</v>
      </c>
      <c r="D137" s="21">
        <v>91</v>
      </c>
      <c r="E137" s="21">
        <v>42</v>
      </c>
      <c r="F137" s="21">
        <v>49</v>
      </c>
      <c r="G137" s="21">
        <v>3</v>
      </c>
      <c r="H137" s="21">
        <v>5</v>
      </c>
      <c r="I137" s="21">
        <v>8</v>
      </c>
      <c r="J137" s="21">
        <v>4</v>
      </c>
      <c r="K137" s="21">
        <v>5</v>
      </c>
      <c r="L137" s="21">
        <v>0</v>
      </c>
      <c r="M137" s="21">
        <v>7</v>
      </c>
      <c r="N137" s="21">
        <v>2</v>
      </c>
      <c r="O137" s="21">
        <v>5</v>
      </c>
      <c r="P137" s="21">
        <v>18</v>
      </c>
      <c r="Q137" s="21">
        <v>14</v>
      </c>
      <c r="R137" s="21">
        <v>20</v>
      </c>
    </row>
    <row r="138" spans="1:18" s="20" customFormat="1" ht="14.25" hidden="1" customHeight="1" x14ac:dyDescent="0.2">
      <c r="A138" s="87"/>
      <c r="B138" s="30" t="s">
        <v>57</v>
      </c>
      <c r="C138" s="31" t="s">
        <v>225</v>
      </c>
      <c r="D138" s="21">
        <v>11</v>
      </c>
      <c r="E138" s="21">
        <v>4</v>
      </c>
      <c r="F138" s="21">
        <v>7</v>
      </c>
      <c r="G138" s="21">
        <v>0</v>
      </c>
      <c r="H138" s="21">
        <v>0</v>
      </c>
      <c r="I138" s="21">
        <v>1</v>
      </c>
      <c r="J138" s="21">
        <v>0</v>
      </c>
      <c r="K138" s="21">
        <v>0</v>
      </c>
      <c r="L138" s="21">
        <v>0</v>
      </c>
      <c r="M138" s="21">
        <v>1</v>
      </c>
      <c r="N138" s="21">
        <v>0</v>
      </c>
      <c r="O138" s="21">
        <v>1</v>
      </c>
      <c r="P138" s="21">
        <v>2</v>
      </c>
      <c r="Q138" s="21">
        <v>1</v>
      </c>
      <c r="R138" s="21">
        <v>5</v>
      </c>
    </row>
    <row r="139" spans="1:18" s="20" customFormat="1" ht="14.25" hidden="1" customHeight="1" x14ac:dyDescent="0.2">
      <c r="A139" s="64" t="s">
        <v>206</v>
      </c>
      <c r="B139" s="25" t="s">
        <v>55</v>
      </c>
      <c r="C139" s="26" t="s">
        <v>0</v>
      </c>
      <c r="D139" s="27">
        <v>113</v>
      </c>
      <c r="E139" s="27">
        <v>41</v>
      </c>
      <c r="F139" s="27">
        <v>72</v>
      </c>
      <c r="G139" s="27">
        <v>6</v>
      </c>
      <c r="H139" s="27">
        <v>9</v>
      </c>
      <c r="I139" s="27">
        <v>1</v>
      </c>
      <c r="J139" s="27">
        <v>7</v>
      </c>
      <c r="K139" s="27">
        <v>8</v>
      </c>
      <c r="L139" s="27">
        <v>3</v>
      </c>
      <c r="M139" s="27">
        <v>10</v>
      </c>
      <c r="N139" s="27">
        <v>7</v>
      </c>
      <c r="O139" s="27">
        <v>8</v>
      </c>
      <c r="P139" s="27">
        <v>15</v>
      </c>
      <c r="Q139" s="27">
        <v>8</v>
      </c>
      <c r="R139" s="27">
        <v>31</v>
      </c>
    </row>
    <row r="140" spans="1:18" s="20" customFormat="1" ht="14.25" hidden="1" customHeight="1" x14ac:dyDescent="0.2">
      <c r="A140" s="86" t="s">
        <v>17</v>
      </c>
      <c r="B140" s="28" t="s">
        <v>56</v>
      </c>
      <c r="C140" s="29" t="s">
        <v>2</v>
      </c>
      <c r="D140" s="21">
        <v>107</v>
      </c>
      <c r="E140" s="21">
        <v>40</v>
      </c>
      <c r="F140" s="21">
        <v>67</v>
      </c>
      <c r="G140" s="21">
        <v>6</v>
      </c>
      <c r="H140" s="21">
        <v>8</v>
      </c>
      <c r="I140" s="21">
        <v>1</v>
      </c>
      <c r="J140" s="21">
        <v>7</v>
      </c>
      <c r="K140" s="21">
        <v>8</v>
      </c>
      <c r="L140" s="21">
        <v>3</v>
      </c>
      <c r="M140" s="21">
        <v>9</v>
      </c>
      <c r="N140" s="21">
        <v>5</v>
      </c>
      <c r="O140" s="21">
        <v>8</v>
      </c>
      <c r="P140" s="21">
        <v>13</v>
      </c>
      <c r="Q140" s="21">
        <v>8</v>
      </c>
      <c r="R140" s="21">
        <v>31</v>
      </c>
    </row>
    <row r="141" spans="1:18" s="20" customFormat="1" ht="14.25" hidden="1" customHeight="1" x14ac:dyDescent="0.2">
      <c r="A141" s="87"/>
      <c r="B141" s="30" t="s">
        <v>57</v>
      </c>
      <c r="C141" s="31" t="s">
        <v>225</v>
      </c>
      <c r="D141" s="21">
        <v>6</v>
      </c>
      <c r="E141" s="21">
        <v>1</v>
      </c>
      <c r="F141" s="21">
        <v>5</v>
      </c>
      <c r="G141" s="21">
        <v>0</v>
      </c>
      <c r="H141" s="21">
        <v>1</v>
      </c>
      <c r="I141" s="21">
        <v>0</v>
      </c>
      <c r="J141" s="21">
        <v>0</v>
      </c>
      <c r="K141" s="21">
        <v>0</v>
      </c>
      <c r="L141" s="21">
        <v>0</v>
      </c>
      <c r="M141" s="21">
        <v>1</v>
      </c>
      <c r="N141" s="21">
        <v>2</v>
      </c>
      <c r="O141" s="21">
        <v>0</v>
      </c>
      <c r="P141" s="21">
        <v>2</v>
      </c>
      <c r="Q141" s="21">
        <v>0</v>
      </c>
      <c r="R141" s="21">
        <v>0</v>
      </c>
    </row>
    <row r="142" spans="1:18" s="20" customFormat="1" ht="14.25" hidden="1" customHeight="1" x14ac:dyDescent="0.2">
      <c r="A142" s="64" t="s">
        <v>207</v>
      </c>
      <c r="B142" s="25" t="s">
        <v>55</v>
      </c>
      <c r="C142" s="26" t="s">
        <v>0</v>
      </c>
      <c r="D142" s="27">
        <v>68</v>
      </c>
      <c r="E142" s="27">
        <v>31</v>
      </c>
      <c r="F142" s="27">
        <v>37</v>
      </c>
      <c r="G142" s="27">
        <v>7</v>
      </c>
      <c r="H142" s="27">
        <v>1</v>
      </c>
      <c r="I142" s="27">
        <v>5</v>
      </c>
      <c r="J142" s="27">
        <v>6</v>
      </c>
      <c r="K142" s="27">
        <v>6</v>
      </c>
      <c r="L142" s="27">
        <v>2</v>
      </c>
      <c r="M142" s="27">
        <v>6</v>
      </c>
      <c r="N142" s="27">
        <v>3</v>
      </c>
      <c r="O142" s="27">
        <v>2</v>
      </c>
      <c r="P142" s="27">
        <v>12</v>
      </c>
      <c r="Q142" s="27">
        <v>5</v>
      </c>
      <c r="R142" s="27">
        <v>13</v>
      </c>
    </row>
    <row r="143" spans="1:18" s="20" customFormat="1" ht="14.25" hidden="1" customHeight="1" x14ac:dyDescent="0.2">
      <c r="A143" s="86" t="s">
        <v>18</v>
      </c>
      <c r="B143" s="28" t="s">
        <v>56</v>
      </c>
      <c r="C143" s="29" t="s">
        <v>2</v>
      </c>
      <c r="D143" s="21">
        <v>68</v>
      </c>
      <c r="E143" s="21">
        <v>31</v>
      </c>
      <c r="F143" s="21">
        <v>37</v>
      </c>
      <c r="G143" s="21">
        <v>7</v>
      </c>
      <c r="H143" s="21">
        <v>1</v>
      </c>
      <c r="I143" s="21">
        <v>5</v>
      </c>
      <c r="J143" s="21">
        <v>6</v>
      </c>
      <c r="K143" s="21">
        <v>6</v>
      </c>
      <c r="L143" s="21">
        <v>2</v>
      </c>
      <c r="M143" s="21">
        <v>6</v>
      </c>
      <c r="N143" s="21">
        <v>3</v>
      </c>
      <c r="O143" s="21">
        <v>2</v>
      </c>
      <c r="P143" s="21">
        <v>12</v>
      </c>
      <c r="Q143" s="21">
        <v>5</v>
      </c>
      <c r="R143" s="21">
        <v>13</v>
      </c>
    </row>
    <row r="144" spans="1:18" s="20" customFormat="1" ht="14.25" hidden="1" customHeight="1" x14ac:dyDescent="0.2">
      <c r="A144" s="87"/>
      <c r="B144" s="30" t="s">
        <v>57</v>
      </c>
      <c r="C144" s="31" t="s">
        <v>225</v>
      </c>
      <c r="D144" s="21">
        <v>0</v>
      </c>
      <c r="E144" s="21">
        <v>0</v>
      </c>
      <c r="F144" s="21">
        <v>0</v>
      </c>
      <c r="G144" s="21">
        <v>0</v>
      </c>
      <c r="H144" s="21">
        <v>0</v>
      </c>
      <c r="I144" s="21">
        <v>0</v>
      </c>
      <c r="J144" s="21">
        <v>0</v>
      </c>
      <c r="K144" s="21">
        <v>0</v>
      </c>
      <c r="L144" s="21">
        <v>0</v>
      </c>
      <c r="M144" s="21">
        <v>0</v>
      </c>
      <c r="N144" s="21">
        <v>0</v>
      </c>
      <c r="O144" s="21">
        <v>0</v>
      </c>
      <c r="P144" s="21">
        <v>0</v>
      </c>
      <c r="Q144" s="21">
        <v>0</v>
      </c>
      <c r="R144" s="21">
        <v>0</v>
      </c>
    </row>
    <row r="145" spans="1:18" s="20" customFormat="1" ht="14.25" hidden="1" customHeight="1" x14ac:dyDescent="0.2">
      <c r="A145" s="64" t="s">
        <v>208</v>
      </c>
      <c r="B145" s="25" t="s">
        <v>55</v>
      </c>
      <c r="C145" s="26" t="s">
        <v>0</v>
      </c>
      <c r="D145" s="27">
        <v>27</v>
      </c>
      <c r="E145" s="27">
        <v>12</v>
      </c>
      <c r="F145" s="27">
        <v>15</v>
      </c>
      <c r="G145" s="27">
        <v>1</v>
      </c>
      <c r="H145" s="27">
        <v>4</v>
      </c>
      <c r="I145" s="27">
        <v>2</v>
      </c>
      <c r="J145" s="27">
        <v>2</v>
      </c>
      <c r="K145" s="27">
        <v>2</v>
      </c>
      <c r="L145" s="27">
        <v>2</v>
      </c>
      <c r="M145" s="27">
        <v>2</v>
      </c>
      <c r="N145" s="27">
        <v>0</v>
      </c>
      <c r="O145" s="27">
        <v>2</v>
      </c>
      <c r="P145" s="27">
        <v>3</v>
      </c>
      <c r="Q145" s="27">
        <v>3</v>
      </c>
      <c r="R145" s="27">
        <v>4</v>
      </c>
    </row>
    <row r="146" spans="1:18" s="20" customFormat="1" ht="14.25" hidden="1" customHeight="1" x14ac:dyDescent="0.2">
      <c r="A146" s="86" t="s">
        <v>19</v>
      </c>
      <c r="B146" s="28" t="s">
        <v>56</v>
      </c>
      <c r="C146" s="29" t="s">
        <v>2</v>
      </c>
      <c r="D146" s="21">
        <v>27</v>
      </c>
      <c r="E146" s="21">
        <v>12</v>
      </c>
      <c r="F146" s="21">
        <v>15</v>
      </c>
      <c r="G146" s="21">
        <v>1</v>
      </c>
      <c r="H146" s="21">
        <v>4</v>
      </c>
      <c r="I146" s="21">
        <v>2</v>
      </c>
      <c r="J146" s="21">
        <v>2</v>
      </c>
      <c r="K146" s="21">
        <v>2</v>
      </c>
      <c r="L146" s="21">
        <v>2</v>
      </c>
      <c r="M146" s="21">
        <v>2</v>
      </c>
      <c r="N146" s="21">
        <v>0</v>
      </c>
      <c r="O146" s="21">
        <v>2</v>
      </c>
      <c r="P146" s="21">
        <v>3</v>
      </c>
      <c r="Q146" s="21">
        <v>3</v>
      </c>
      <c r="R146" s="21">
        <v>4</v>
      </c>
    </row>
    <row r="147" spans="1:18" s="20" customFormat="1" ht="14.25" hidden="1" customHeight="1" x14ac:dyDescent="0.2">
      <c r="A147" s="87"/>
      <c r="B147" s="30" t="s">
        <v>57</v>
      </c>
      <c r="C147" s="31" t="s">
        <v>225</v>
      </c>
      <c r="D147" s="21">
        <v>0</v>
      </c>
      <c r="E147" s="21">
        <v>0</v>
      </c>
      <c r="F147" s="21">
        <v>0</v>
      </c>
      <c r="G147" s="21">
        <v>0</v>
      </c>
      <c r="H147" s="21">
        <v>0</v>
      </c>
      <c r="I147" s="21">
        <v>0</v>
      </c>
      <c r="J147" s="21">
        <v>0</v>
      </c>
      <c r="K147" s="21">
        <v>0</v>
      </c>
      <c r="L147" s="21">
        <v>0</v>
      </c>
      <c r="M147" s="21">
        <v>0</v>
      </c>
      <c r="N147" s="21">
        <v>0</v>
      </c>
      <c r="O147" s="21">
        <v>0</v>
      </c>
      <c r="P147" s="21">
        <v>0</v>
      </c>
      <c r="Q147" s="21">
        <v>0</v>
      </c>
      <c r="R147" s="21">
        <v>0</v>
      </c>
    </row>
    <row r="148" spans="1:18" s="20" customFormat="1" ht="14.25" hidden="1" customHeight="1" x14ac:dyDescent="0.2">
      <c r="A148" s="64" t="s">
        <v>209</v>
      </c>
      <c r="B148" s="25" t="s">
        <v>55</v>
      </c>
      <c r="C148" s="26" t="s">
        <v>0</v>
      </c>
      <c r="D148" s="27">
        <v>4</v>
      </c>
      <c r="E148" s="27">
        <v>1</v>
      </c>
      <c r="F148" s="27">
        <v>3</v>
      </c>
      <c r="G148" s="27">
        <v>0</v>
      </c>
      <c r="H148" s="27">
        <v>0</v>
      </c>
      <c r="I148" s="27">
        <v>0</v>
      </c>
      <c r="J148" s="27">
        <v>0</v>
      </c>
      <c r="K148" s="27">
        <v>0</v>
      </c>
      <c r="L148" s="27">
        <v>0</v>
      </c>
      <c r="M148" s="27">
        <v>0</v>
      </c>
      <c r="N148" s="27">
        <v>2</v>
      </c>
      <c r="O148" s="27">
        <v>1</v>
      </c>
      <c r="P148" s="27">
        <v>1</v>
      </c>
      <c r="Q148" s="27">
        <v>0</v>
      </c>
      <c r="R148" s="27">
        <v>0</v>
      </c>
    </row>
    <row r="149" spans="1:18" s="20" customFormat="1" ht="14.25" hidden="1" customHeight="1" x14ac:dyDescent="0.2">
      <c r="A149" s="86" t="s">
        <v>20</v>
      </c>
      <c r="B149" s="28" t="s">
        <v>56</v>
      </c>
      <c r="C149" s="29" t="s">
        <v>2</v>
      </c>
      <c r="D149" s="21">
        <v>2</v>
      </c>
      <c r="E149" s="21">
        <v>1</v>
      </c>
      <c r="F149" s="21">
        <v>1</v>
      </c>
      <c r="G149" s="21">
        <v>0</v>
      </c>
      <c r="H149" s="21">
        <v>0</v>
      </c>
      <c r="I149" s="21">
        <v>0</v>
      </c>
      <c r="J149" s="21">
        <v>0</v>
      </c>
      <c r="K149" s="21">
        <v>0</v>
      </c>
      <c r="L149" s="21">
        <v>0</v>
      </c>
      <c r="M149" s="21">
        <v>0</v>
      </c>
      <c r="N149" s="21">
        <v>0</v>
      </c>
      <c r="O149" s="21">
        <v>1</v>
      </c>
      <c r="P149" s="21">
        <v>1</v>
      </c>
      <c r="Q149" s="21">
        <v>0</v>
      </c>
      <c r="R149" s="21">
        <v>0</v>
      </c>
    </row>
    <row r="150" spans="1:18" s="20" customFormat="1" ht="14.25" hidden="1" customHeight="1" x14ac:dyDescent="0.2">
      <c r="A150" s="87"/>
      <c r="B150" s="30" t="s">
        <v>57</v>
      </c>
      <c r="C150" s="31" t="s">
        <v>225</v>
      </c>
      <c r="D150" s="22">
        <v>2</v>
      </c>
      <c r="E150" s="22">
        <v>0</v>
      </c>
      <c r="F150" s="22">
        <v>2</v>
      </c>
      <c r="G150" s="22">
        <v>0</v>
      </c>
      <c r="H150" s="22">
        <v>0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  <c r="N150" s="22">
        <v>2</v>
      </c>
      <c r="O150" s="22">
        <v>0</v>
      </c>
      <c r="P150" s="22">
        <v>0</v>
      </c>
      <c r="Q150" s="22">
        <v>0</v>
      </c>
      <c r="R150" s="22">
        <v>0</v>
      </c>
    </row>
    <row r="151" spans="1:18" ht="11.1" hidden="1" customHeight="1" x14ac:dyDescent="0.2"/>
    <row r="152" spans="1:18" s="59" customFormat="1" ht="18" hidden="1" customHeight="1" x14ac:dyDescent="0.2">
      <c r="A152" s="63" t="s">
        <v>186</v>
      </c>
      <c r="B152" s="56" t="s">
        <v>187</v>
      </c>
      <c r="C152" s="57" t="s">
        <v>0</v>
      </c>
      <c r="D152" s="58" t="str">
        <f>IF(D82=D8,"","*")</f>
        <v>*</v>
      </c>
      <c r="E152" s="58" t="str">
        <f t="shared" ref="E152:R167" si="1">IF(E82=E8,"","*")</f>
        <v>*</v>
      </c>
      <c r="F152" s="58" t="str">
        <f t="shared" si="1"/>
        <v>*</v>
      </c>
      <c r="G152" s="58" t="str">
        <f t="shared" si="1"/>
        <v>*</v>
      </c>
      <c r="H152" s="58" t="str">
        <f t="shared" si="1"/>
        <v>*</v>
      </c>
      <c r="I152" s="58" t="str">
        <f t="shared" si="1"/>
        <v>*</v>
      </c>
      <c r="J152" s="58" t="str">
        <f t="shared" si="1"/>
        <v>*</v>
      </c>
      <c r="K152" s="58" t="str">
        <f t="shared" si="1"/>
        <v>*</v>
      </c>
      <c r="L152" s="58" t="str">
        <f t="shared" si="1"/>
        <v>*</v>
      </c>
      <c r="M152" s="58" t="str">
        <f t="shared" si="1"/>
        <v>*</v>
      </c>
      <c r="N152" s="58" t="str">
        <f t="shared" si="1"/>
        <v>*</v>
      </c>
      <c r="O152" s="58" t="str">
        <f t="shared" si="1"/>
        <v>*</v>
      </c>
      <c r="P152" s="58" t="str">
        <f t="shared" si="1"/>
        <v>*</v>
      </c>
      <c r="Q152" s="58" t="str">
        <f t="shared" si="1"/>
        <v>*</v>
      </c>
      <c r="R152" s="58" t="str">
        <f t="shared" si="1"/>
        <v>*</v>
      </c>
    </row>
    <row r="153" spans="1:18" s="59" customFormat="1" ht="14.25" hidden="1" customHeight="1" x14ac:dyDescent="0.2">
      <c r="A153" s="88" t="s">
        <v>1</v>
      </c>
      <c r="B153" s="60" t="s">
        <v>188</v>
      </c>
      <c r="C153" s="61" t="s">
        <v>2</v>
      </c>
      <c r="D153" s="62" t="str">
        <f t="shared" ref="D153:R168" si="2">IF(D83=D9,"","*")</f>
        <v>*</v>
      </c>
      <c r="E153" s="62" t="str">
        <f t="shared" si="1"/>
        <v>*</v>
      </c>
      <c r="F153" s="62" t="str">
        <f t="shared" si="1"/>
        <v>*</v>
      </c>
      <c r="G153" s="62" t="str">
        <f t="shared" si="1"/>
        <v>*</v>
      </c>
      <c r="H153" s="62" t="str">
        <f t="shared" si="1"/>
        <v>*</v>
      </c>
      <c r="I153" s="62" t="str">
        <f t="shared" si="1"/>
        <v>*</v>
      </c>
      <c r="J153" s="62" t="str">
        <f t="shared" si="1"/>
        <v>*</v>
      </c>
      <c r="K153" s="62" t="str">
        <f t="shared" si="1"/>
        <v>*</v>
      </c>
      <c r="L153" s="62" t="str">
        <f t="shared" si="1"/>
        <v>*</v>
      </c>
      <c r="M153" s="62" t="str">
        <f t="shared" si="1"/>
        <v>*</v>
      </c>
      <c r="N153" s="62" t="str">
        <f t="shared" si="1"/>
        <v>*</v>
      </c>
      <c r="O153" s="62" t="str">
        <f t="shared" si="1"/>
        <v>*</v>
      </c>
      <c r="P153" s="62" t="str">
        <f t="shared" si="1"/>
        <v>*</v>
      </c>
      <c r="Q153" s="62" t="str">
        <f t="shared" si="1"/>
        <v>*</v>
      </c>
      <c r="R153" s="62" t="str">
        <f t="shared" si="1"/>
        <v>*</v>
      </c>
    </row>
    <row r="154" spans="1:18" s="59" customFormat="1" ht="14.25" hidden="1" customHeight="1" x14ac:dyDescent="0.2">
      <c r="A154" s="89"/>
      <c r="B154" s="60" t="s">
        <v>189</v>
      </c>
      <c r="C154" s="61" t="s">
        <v>225</v>
      </c>
      <c r="D154" s="62" t="str">
        <f t="shared" si="2"/>
        <v>*</v>
      </c>
      <c r="E154" s="62" t="str">
        <f t="shared" si="1"/>
        <v>*</v>
      </c>
      <c r="F154" s="62" t="str">
        <f t="shared" si="1"/>
        <v>*</v>
      </c>
      <c r="G154" s="62" t="str">
        <f t="shared" si="1"/>
        <v>*</v>
      </c>
      <c r="H154" s="62" t="str">
        <f t="shared" si="1"/>
        <v>*</v>
      </c>
      <c r="I154" s="62" t="str">
        <f t="shared" si="1"/>
        <v>*</v>
      </c>
      <c r="J154" s="62" t="str">
        <f t="shared" si="1"/>
        <v>*</v>
      </c>
      <c r="K154" s="62" t="str">
        <f t="shared" si="1"/>
        <v>*</v>
      </c>
      <c r="L154" s="62" t="str">
        <f t="shared" si="1"/>
        <v>*</v>
      </c>
      <c r="M154" s="62" t="str">
        <f t="shared" si="1"/>
        <v>*</v>
      </c>
      <c r="N154" s="62" t="str">
        <f t="shared" si="1"/>
        <v>*</v>
      </c>
      <c r="O154" s="62" t="str">
        <f t="shared" si="1"/>
        <v>*</v>
      </c>
      <c r="P154" s="62" t="str">
        <f t="shared" si="1"/>
        <v>*</v>
      </c>
      <c r="Q154" s="62" t="str">
        <f t="shared" si="1"/>
        <v>*</v>
      </c>
      <c r="R154" s="62" t="str">
        <f t="shared" si="1"/>
        <v>*</v>
      </c>
    </row>
    <row r="155" spans="1:18" s="20" customFormat="1" ht="14.25" hidden="1" customHeight="1" x14ac:dyDescent="0.2">
      <c r="A155" s="64" t="s">
        <v>210</v>
      </c>
      <c r="B155" s="25" t="s">
        <v>55</v>
      </c>
      <c r="C155" s="26" t="s">
        <v>0</v>
      </c>
      <c r="D155" s="27" t="str">
        <f t="shared" si="2"/>
        <v>*</v>
      </c>
      <c r="E155" s="27" t="str">
        <f t="shared" si="1"/>
        <v>*</v>
      </c>
      <c r="F155" s="27" t="str">
        <f t="shared" si="1"/>
        <v>*</v>
      </c>
      <c r="G155" s="27" t="str">
        <f t="shared" si="1"/>
        <v>*</v>
      </c>
      <c r="H155" s="27" t="str">
        <f t="shared" si="1"/>
        <v>*</v>
      </c>
      <c r="I155" s="27" t="str">
        <f t="shared" si="1"/>
        <v>*</v>
      </c>
      <c r="J155" s="27" t="str">
        <f t="shared" si="1"/>
        <v>*</v>
      </c>
      <c r="K155" s="27" t="str">
        <f t="shared" si="1"/>
        <v>*</v>
      </c>
      <c r="L155" s="27" t="str">
        <f t="shared" si="1"/>
        <v>*</v>
      </c>
      <c r="M155" s="27" t="str">
        <f t="shared" si="1"/>
        <v>*</v>
      </c>
      <c r="N155" s="27" t="str">
        <f t="shared" si="1"/>
        <v>*</v>
      </c>
      <c r="O155" s="27" t="str">
        <f t="shared" si="1"/>
        <v>*</v>
      </c>
      <c r="P155" s="27" t="str">
        <f t="shared" si="1"/>
        <v>*</v>
      </c>
      <c r="Q155" s="27" t="str">
        <f t="shared" si="1"/>
        <v>*</v>
      </c>
      <c r="R155" s="27" t="str">
        <f t="shared" si="1"/>
        <v>*</v>
      </c>
    </row>
    <row r="156" spans="1:18" s="20" customFormat="1" ht="14.25" hidden="1" customHeight="1" x14ac:dyDescent="0.2">
      <c r="A156" s="86" t="s">
        <v>3</v>
      </c>
      <c r="B156" s="28" t="s">
        <v>56</v>
      </c>
      <c r="C156" s="29" t="s">
        <v>2</v>
      </c>
      <c r="D156" s="21" t="str">
        <f t="shared" si="2"/>
        <v>*</v>
      </c>
      <c r="E156" s="21" t="str">
        <f t="shared" si="1"/>
        <v>*</v>
      </c>
      <c r="F156" s="21" t="str">
        <f t="shared" si="1"/>
        <v>*</v>
      </c>
      <c r="G156" s="21" t="str">
        <f t="shared" si="1"/>
        <v>*</v>
      </c>
      <c r="H156" s="21" t="str">
        <f t="shared" si="1"/>
        <v>*</v>
      </c>
      <c r="I156" s="21" t="str">
        <f t="shared" si="1"/>
        <v>*</v>
      </c>
      <c r="J156" s="21" t="str">
        <f t="shared" si="1"/>
        <v>*</v>
      </c>
      <c r="K156" s="21" t="str">
        <f t="shared" si="1"/>
        <v>*</v>
      </c>
      <c r="L156" s="21" t="str">
        <f t="shared" si="1"/>
        <v>*</v>
      </c>
      <c r="M156" s="21" t="str">
        <f t="shared" si="1"/>
        <v>*</v>
      </c>
      <c r="N156" s="21" t="str">
        <f t="shared" si="1"/>
        <v>*</v>
      </c>
      <c r="O156" s="21" t="str">
        <f t="shared" si="1"/>
        <v>*</v>
      </c>
      <c r="P156" s="21" t="str">
        <f t="shared" si="1"/>
        <v>*</v>
      </c>
      <c r="Q156" s="21" t="str">
        <f t="shared" si="1"/>
        <v>*</v>
      </c>
      <c r="R156" s="21" t="str">
        <f t="shared" si="1"/>
        <v>*</v>
      </c>
    </row>
    <row r="157" spans="1:18" s="20" customFormat="1" ht="14.25" hidden="1" customHeight="1" x14ac:dyDescent="0.2">
      <c r="A157" s="87"/>
      <c r="B157" s="28" t="s">
        <v>57</v>
      </c>
      <c r="C157" s="29" t="s">
        <v>225</v>
      </c>
      <c r="D157" s="21" t="str">
        <f t="shared" si="2"/>
        <v>*</v>
      </c>
      <c r="E157" s="21" t="str">
        <f t="shared" si="1"/>
        <v>*</v>
      </c>
      <c r="F157" s="21" t="str">
        <f t="shared" si="1"/>
        <v>*</v>
      </c>
      <c r="G157" s="21" t="str">
        <f t="shared" si="1"/>
        <v/>
      </c>
      <c r="H157" s="21" t="str">
        <f t="shared" si="1"/>
        <v>*</v>
      </c>
      <c r="I157" s="21" t="str">
        <f t="shared" si="1"/>
        <v>*</v>
      </c>
      <c r="J157" s="21" t="str">
        <f t="shared" si="1"/>
        <v>*</v>
      </c>
      <c r="K157" s="21" t="str">
        <f t="shared" si="1"/>
        <v>*</v>
      </c>
      <c r="L157" s="21" t="str">
        <f t="shared" si="1"/>
        <v>*</v>
      </c>
      <c r="M157" s="21" t="str">
        <f t="shared" si="1"/>
        <v>*</v>
      </c>
      <c r="N157" s="21" t="str">
        <f t="shared" si="1"/>
        <v/>
      </c>
      <c r="O157" s="21" t="str">
        <f t="shared" si="1"/>
        <v>*</v>
      </c>
      <c r="P157" s="21" t="str">
        <f t="shared" si="1"/>
        <v>*</v>
      </c>
      <c r="Q157" s="21" t="str">
        <f t="shared" si="1"/>
        <v>*</v>
      </c>
      <c r="R157" s="21" t="str">
        <f t="shared" si="1"/>
        <v/>
      </c>
    </row>
    <row r="158" spans="1:18" s="20" customFormat="1" ht="14.25" hidden="1" customHeight="1" x14ac:dyDescent="0.2">
      <c r="A158" s="64" t="s">
        <v>211</v>
      </c>
      <c r="B158" s="25" t="s">
        <v>55</v>
      </c>
      <c r="C158" s="26" t="s">
        <v>0</v>
      </c>
      <c r="D158" s="27" t="str">
        <f t="shared" si="2"/>
        <v>*</v>
      </c>
      <c r="E158" s="27" t="str">
        <f t="shared" si="1"/>
        <v>*</v>
      </c>
      <c r="F158" s="27" t="str">
        <f t="shared" si="1"/>
        <v>*</v>
      </c>
      <c r="G158" s="27" t="str">
        <f t="shared" si="1"/>
        <v>*</v>
      </c>
      <c r="H158" s="27" t="str">
        <f t="shared" si="1"/>
        <v>*</v>
      </c>
      <c r="I158" s="27" t="str">
        <f t="shared" si="1"/>
        <v>*</v>
      </c>
      <c r="J158" s="27" t="str">
        <f t="shared" si="1"/>
        <v>*</v>
      </c>
      <c r="K158" s="27" t="str">
        <f t="shared" si="1"/>
        <v>*</v>
      </c>
      <c r="L158" s="27" t="str">
        <f t="shared" si="1"/>
        <v>*</v>
      </c>
      <c r="M158" s="27" t="str">
        <f t="shared" si="1"/>
        <v>*</v>
      </c>
      <c r="N158" s="27" t="str">
        <f t="shared" si="1"/>
        <v>*</v>
      </c>
      <c r="O158" s="27" t="str">
        <f t="shared" si="1"/>
        <v>*</v>
      </c>
      <c r="P158" s="27" t="str">
        <f t="shared" si="1"/>
        <v>*</v>
      </c>
      <c r="Q158" s="27" t="str">
        <f t="shared" si="1"/>
        <v>*</v>
      </c>
      <c r="R158" s="27" t="str">
        <f t="shared" si="1"/>
        <v>*</v>
      </c>
    </row>
    <row r="159" spans="1:18" s="20" customFormat="1" ht="14.25" hidden="1" customHeight="1" x14ac:dyDescent="0.2">
      <c r="A159" s="86" t="s">
        <v>4</v>
      </c>
      <c r="B159" s="28" t="s">
        <v>56</v>
      </c>
      <c r="C159" s="29" t="s">
        <v>2</v>
      </c>
      <c r="D159" s="21" t="str">
        <f t="shared" si="2"/>
        <v>*</v>
      </c>
      <c r="E159" s="21" t="str">
        <f t="shared" si="1"/>
        <v>*</v>
      </c>
      <c r="F159" s="21" t="str">
        <f t="shared" si="1"/>
        <v>*</v>
      </c>
      <c r="G159" s="21" t="str">
        <f t="shared" si="1"/>
        <v>*</v>
      </c>
      <c r="H159" s="21" t="str">
        <f t="shared" si="1"/>
        <v>*</v>
      </c>
      <c r="I159" s="21" t="str">
        <f t="shared" si="1"/>
        <v>*</v>
      </c>
      <c r="J159" s="21" t="str">
        <f t="shared" si="1"/>
        <v>*</v>
      </c>
      <c r="K159" s="21" t="str">
        <f t="shared" si="1"/>
        <v>*</v>
      </c>
      <c r="L159" s="21" t="str">
        <f t="shared" si="1"/>
        <v>*</v>
      </c>
      <c r="M159" s="21" t="str">
        <f t="shared" si="1"/>
        <v>*</v>
      </c>
      <c r="N159" s="21" t="str">
        <f t="shared" si="1"/>
        <v>*</v>
      </c>
      <c r="O159" s="21" t="str">
        <f t="shared" si="1"/>
        <v>*</v>
      </c>
      <c r="P159" s="21" t="str">
        <f t="shared" si="1"/>
        <v>*</v>
      </c>
      <c r="Q159" s="21" t="str">
        <f t="shared" si="1"/>
        <v>*</v>
      </c>
      <c r="R159" s="21" t="str">
        <f t="shared" si="1"/>
        <v>*</v>
      </c>
    </row>
    <row r="160" spans="1:18" s="20" customFormat="1" ht="14.25" hidden="1" customHeight="1" x14ac:dyDescent="0.2">
      <c r="A160" s="87"/>
      <c r="B160" s="30" t="s">
        <v>57</v>
      </c>
      <c r="C160" s="31" t="s">
        <v>225</v>
      </c>
      <c r="D160" s="21" t="str">
        <f t="shared" si="2"/>
        <v>*</v>
      </c>
      <c r="E160" s="21" t="str">
        <f t="shared" si="1"/>
        <v>*</v>
      </c>
      <c r="F160" s="21" t="str">
        <f t="shared" si="1"/>
        <v>*</v>
      </c>
      <c r="G160" s="21" t="str">
        <f t="shared" si="1"/>
        <v>*</v>
      </c>
      <c r="H160" s="21" t="str">
        <f t="shared" si="1"/>
        <v/>
      </c>
      <c r="I160" s="21" t="str">
        <f t="shared" si="1"/>
        <v>*</v>
      </c>
      <c r="J160" s="21" t="str">
        <f t="shared" si="1"/>
        <v>*</v>
      </c>
      <c r="K160" s="21" t="str">
        <f t="shared" si="1"/>
        <v>*</v>
      </c>
      <c r="L160" s="21" t="str">
        <f t="shared" si="1"/>
        <v/>
      </c>
      <c r="M160" s="21" t="str">
        <f t="shared" si="1"/>
        <v>*</v>
      </c>
      <c r="N160" s="21" t="str">
        <f t="shared" si="1"/>
        <v/>
      </c>
      <c r="O160" s="21" t="str">
        <f t="shared" si="1"/>
        <v>*</v>
      </c>
      <c r="P160" s="21" t="str">
        <f t="shared" si="1"/>
        <v>*</v>
      </c>
      <c r="Q160" s="21" t="str">
        <f t="shared" si="1"/>
        <v/>
      </c>
      <c r="R160" s="21" t="str">
        <f t="shared" si="1"/>
        <v>*</v>
      </c>
    </row>
    <row r="161" spans="1:18" s="20" customFormat="1" ht="14.25" hidden="1" customHeight="1" x14ac:dyDescent="0.2">
      <c r="A161" s="64" t="s">
        <v>212</v>
      </c>
      <c r="B161" s="25" t="s">
        <v>55</v>
      </c>
      <c r="C161" s="26" t="s">
        <v>0</v>
      </c>
      <c r="D161" s="27" t="str">
        <f t="shared" si="2"/>
        <v>*</v>
      </c>
      <c r="E161" s="27" t="str">
        <f t="shared" si="1"/>
        <v>*</v>
      </c>
      <c r="F161" s="27" t="str">
        <f t="shared" si="1"/>
        <v>*</v>
      </c>
      <c r="G161" s="27" t="str">
        <f t="shared" si="1"/>
        <v>*</v>
      </c>
      <c r="H161" s="27" t="str">
        <f t="shared" si="1"/>
        <v>*</v>
      </c>
      <c r="I161" s="27" t="str">
        <f t="shared" si="1"/>
        <v>*</v>
      </c>
      <c r="J161" s="27" t="str">
        <f t="shared" si="1"/>
        <v>*</v>
      </c>
      <c r="K161" s="27" t="str">
        <f t="shared" si="1"/>
        <v>*</v>
      </c>
      <c r="L161" s="27" t="str">
        <f t="shared" si="1"/>
        <v>*</v>
      </c>
      <c r="M161" s="27" t="str">
        <f t="shared" si="1"/>
        <v/>
      </c>
      <c r="N161" s="27" t="str">
        <f t="shared" si="1"/>
        <v>*</v>
      </c>
      <c r="O161" s="27" t="str">
        <f t="shared" si="1"/>
        <v>*</v>
      </c>
      <c r="P161" s="27" t="str">
        <f t="shared" si="1"/>
        <v>*</v>
      </c>
      <c r="Q161" s="27" t="str">
        <f t="shared" si="1"/>
        <v>*</v>
      </c>
      <c r="R161" s="27" t="str">
        <f t="shared" si="1"/>
        <v>*</v>
      </c>
    </row>
    <row r="162" spans="1:18" s="20" customFormat="1" ht="14.25" hidden="1" customHeight="1" x14ac:dyDescent="0.2">
      <c r="A162" s="86" t="s">
        <v>25</v>
      </c>
      <c r="B162" s="28" t="s">
        <v>56</v>
      </c>
      <c r="C162" s="29" t="s">
        <v>2</v>
      </c>
      <c r="D162" s="21" t="str">
        <f t="shared" si="2"/>
        <v>*</v>
      </c>
      <c r="E162" s="21" t="str">
        <f t="shared" si="1"/>
        <v>*</v>
      </c>
      <c r="F162" s="21" t="str">
        <f t="shared" si="1"/>
        <v>*</v>
      </c>
      <c r="G162" s="21" t="str">
        <f t="shared" si="1"/>
        <v>*</v>
      </c>
      <c r="H162" s="21" t="str">
        <f t="shared" si="1"/>
        <v>*</v>
      </c>
      <c r="I162" s="21" t="str">
        <f t="shared" si="1"/>
        <v>*</v>
      </c>
      <c r="J162" s="21" t="str">
        <f t="shared" si="1"/>
        <v>*</v>
      </c>
      <c r="K162" s="21" t="str">
        <f t="shared" si="1"/>
        <v>*</v>
      </c>
      <c r="L162" s="21" t="str">
        <f t="shared" si="1"/>
        <v>*</v>
      </c>
      <c r="M162" s="21" t="str">
        <f t="shared" si="1"/>
        <v/>
      </c>
      <c r="N162" s="21" t="str">
        <f t="shared" si="1"/>
        <v>*</v>
      </c>
      <c r="O162" s="21" t="str">
        <f t="shared" si="1"/>
        <v>*</v>
      </c>
      <c r="P162" s="21" t="str">
        <f t="shared" si="1"/>
        <v>*</v>
      </c>
      <c r="Q162" s="21" t="str">
        <f t="shared" si="1"/>
        <v>*</v>
      </c>
      <c r="R162" s="21" t="str">
        <f t="shared" si="1"/>
        <v>*</v>
      </c>
    </row>
    <row r="163" spans="1:18" s="20" customFormat="1" ht="14.25" hidden="1" customHeight="1" x14ac:dyDescent="0.2">
      <c r="A163" s="87"/>
      <c r="B163" s="30" t="s">
        <v>57</v>
      </c>
      <c r="C163" s="31" t="s">
        <v>225</v>
      </c>
      <c r="D163" s="21" t="str">
        <f t="shared" si="2"/>
        <v>*</v>
      </c>
      <c r="E163" s="21" t="str">
        <f t="shared" si="1"/>
        <v>*</v>
      </c>
      <c r="F163" s="21" t="str">
        <f t="shared" si="1"/>
        <v>*</v>
      </c>
      <c r="G163" s="21" t="str">
        <f t="shared" si="1"/>
        <v>*</v>
      </c>
      <c r="H163" s="21" t="str">
        <f t="shared" si="1"/>
        <v>*</v>
      </c>
      <c r="I163" s="21" t="str">
        <f t="shared" si="1"/>
        <v>*</v>
      </c>
      <c r="J163" s="21" t="str">
        <f t="shared" si="1"/>
        <v>*</v>
      </c>
      <c r="K163" s="21" t="str">
        <f t="shared" si="1"/>
        <v>*</v>
      </c>
      <c r="L163" s="21" t="str">
        <f t="shared" si="1"/>
        <v>*</v>
      </c>
      <c r="M163" s="21" t="str">
        <f t="shared" si="1"/>
        <v/>
      </c>
      <c r="N163" s="21" t="str">
        <f t="shared" si="1"/>
        <v>*</v>
      </c>
      <c r="O163" s="21" t="str">
        <f t="shared" si="1"/>
        <v>*</v>
      </c>
      <c r="P163" s="21" t="str">
        <f t="shared" si="1"/>
        <v>*</v>
      </c>
      <c r="Q163" s="21" t="str">
        <f t="shared" si="1"/>
        <v>*</v>
      </c>
      <c r="R163" s="21" t="str">
        <f t="shared" si="1"/>
        <v>*</v>
      </c>
    </row>
    <row r="164" spans="1:18" s="20" customFormat="1" ht="14.25" hidden="1" customHeight="1" x14ac:dyDescent="0.2">
      <c r="A164" s="64" t="s">
        <v>213</v>
      </c>
      <c r="B164" s="25" t="s">
        <v>55</v>
      </c>
      <c r="C164" s="26" t="s">
        <v>0</v>
      </c>
      <c r="D164" s="27" t="str">
        <f t="shared" si="2"/>
        <v>*</v>
      </c>
      <c r="E164" s="27" t="str">
        <f t="shared" si="1"/>
        <v>*</v>
      </c>
      <c r="F164" s="27" t="str">
        <f t="shared" si="1"/>
        <v>*</v>
      </c>
      <c r="G164" s="27" t="str">
        <f t="shared" si="1"/>
        <v>*</v>
      </c>
      <c r="H164" s="27" t="str">
        <f t="shared" si="1"/>
        <v>*</v>
      </c>
      <c r="I164" s="27" t="str">
        <f t="shared" si="1"/>
        <v>*</v>
      </c>
      <c r="J164" s="27" t="str">
        <f t="shared" si="1"/>
        <v>*</v>
      </c>
      <c r="K164" s="27" t="str">
        <f t="shared" si="1"/>
        <v>*</v>
      </c>
      <c r="L164" s="27" t="str">
        <f t="shared" si="1"/>
        <v>*</v>
      </c>
      <c r="M164" s="27" t="str">
        <f t="shared" si="1"/>
        <v>*</v>
      </c>
      <c r="N164" s="27" t="str">
        <f t="shared" si="1"/>
        <v>*</v>
      </c>
      <c r="O164" s="27" t="str">
        <f t="shared" si="1"/>
        <v>*</v>
      </c>
      <c r="P164" s="27" t="str">
        <f t="shared" si="1"/>
        <v>*</v>
      </c>
      <c r="Q164" s="27" t="str">
        <f t="shared" si="1"/>
        <v>*</v>
      </c>
      <c r="R164" s="27" t="str">
        <f t="shared" si="1"/>
        <v>*</v>
      </c>
    </row>
    <row r="165" spans="1:18" s="20" customFormat="1" ht="14.25" hidden="1" customHeight="1" x14ac:dyDescent="0.2">
      <c r="A165" s="86" t="s">
        <v>21</v>
      </c>
      <c r="B165" s="28" t="s">
        <v>56</v>
      </c>
      <c r="C165" s="29" t="s">
        <v>2</v>
      </c>
      <c r="D165" s="21" t="str">
        <f t="shared" si="2"/>
        <v>*</v>
      </c>
      <c r="E165" s="21" t="str">
        <f t="shared" si="1"/>
        <v>*</v>
      </c>
      <c r="F165" s="21" t="str">
        <f t="shared" si="1"/>
        <v>*</v>
      </c>
      <c r="G165" s="21" t="str">
        <f t="shared" si="1"/>
        <v>*</v>
      </c>
      <c r="H165" s="21" t="str">
        <f t="shared" si="1"/>
        <v>*</v>
      </c>
      <c r="I165" s="21" t="str">
        <f t="shared" si="1"/>
        <v>*</v>
      </c>
      <c r="J165" s="21" t="str">
        <f t="shared" si="1"/>
        <v>*</v>
      </c>
      <c r="K165" s="21" t="str">
        <f t="shared" si="1"/>
        <v>*</v>
      </c>
      <c r="L165" s="21" t="str">
        <f t="shared" si="1"/>
        <v>*</v>
      </c>
      <c r="M165" s="21" t="str">
        <f t="shared" si="1"/>
        <v>*</v>
      </c>
      <c r="N165" s="21" t="str">
        <f t="shared" si="1"/>
        <v>*</v>
      </c>
      <c r="O165" s="21" t="str">
        <f t="shared" si="1"/>
        <v>*</v>
      </c>
      <c r="P165" s="21" t="str">
        <f t="shared" si="1"/>
        <v>*</v>
      </c>
      <c r="Q165" s="21" t="str">
        <f t="shared" si="1"/>
        <v>*</v>
      </c>
      <c r="R165" s="21" t="str">
        <f t="shared" si="1"/>
        <v>*</v>
      </c>
    </row>
    <row r="166" spans="1:18" s="20" customFormat="1" ht="14.25" hidden="1" customHeight="1" x14ac:dyDescent="0.2">
      <c r="A166" s="87"/>
      <c r="B166" s="30" t="s">
        <v>57</v>
      </c>
      <c r="C166" s="31" t="s">
        <v>225</v>
      </c>
      <c r="D166" s="21" t="str">
        <f t="shared" si="2"/>
        <v/>
      </c>
      <c r="E166" s="21" t="str">
        <f t="shared" si="1"/>
        <v>*</v>
      </c>
      <c r="F166" s="21" t="str">
        <f t="shared" si="1"/>
        <v>*</v>
      </c>
      <c r="G166" s="21" t="str">
        <f t="shared" si="1"/>
        <v>*</v>
      </c>
      <c r="H166" s="21" t="str">
        <f t="shared" si="1"/>
        <v/>
      </c>
      <c r="I166" s="21" t="str">
        <f t="shared" si="1"/>
        <v/>
      </c>
      <c r="J166" s="21" t="str">
        <f t="shared" si="1"/>
        <v>*</v>
      </c>
      <c r="K166" s="21" t="str">
        <f t="shared" si="1"/>
        <v/>
      </c>
      <c r="L166" s="21" t="str">
        <f t="shared" si="1"/>
        <v>*</v>
      </c>
      <c r="M166" s="21" t="str">
        <f t="shared" si="1"/>
        <v>*</v>
      </c>
      <c r="N166" s="21" t="str">
        <f t="shared" si="1"/>
        <v>*</v>
      </c>
      <c r="O166" s="21" t="str">
        <f t="shared" si="1"/>
        <v>*</v>
      </c>
      <c r="P166" s="21" t="str">
        <f t="shared" si="1"/>
        <v>*</v>
      </c>
      <c r="Q166" s="21" t="str">
        <f t="shared" si="1"/>
        <v>*</v>
      </c>
      <c r="R166" s="21" t="str">
        <f t="shared" si="1"/>
        <v>*</v>
      </c>
    </row>
    <row r="167" spans="1:18" s="20" customFormat="1" ht="14.25" hidden="1" customHeight="1" x14ac:dyDescent="0.2">
      <c r="A167" s="64" t="s">
        <v>214</v>
      </c>
      <c r="B167" s="25" t="s">
        <v>55</v>
      </c>
      <c r="C167" s="26" t="s">
        <v>0</v>
      </c>
      <c r="D167" s="27" t="str">
        <f t="shared" si="2"/>
        <v>*</v>
      </c>
      <c r="E167" s="27" t="str">
        <f t="shared" si="1"/>
        <v>*</v>
      </c>
      <c r="F167" s="27" t="str">
        <f t="shared" si="1"/>
        <v>*</v>
      </c>
      <c r="G167" s="27" t="str">
        <f t="shared" si="1"/>
        <v>*</v>
      </c>
      <c r="H167" s="27" t="str">
        <f t="shared" si="1"/>
        <v>*</v>
      </c>
      <c r="I167" s="27" t="str">
        <f t="shared" si="1"/>
        <v>*</v>
      </c>
      <c r="J167" s="27" t="str">
        <f t="shared" si="1"/>
        <v>*</v>
      </c>
      <c r="K167" s="27" t="str">
        <f t="shared" si="1"/>
        <v>*</v>
      </c>
      <c r="L167" s="27" t="str">
        <f t="shared" si="1"/>
        <v>*</v>
      </c>
      <c r="M167" s="27" t="str">
        <f t="shared" si="1"/>
        <v>*</v>
      </c>
      <c r="N167" s="27" t="str">
        <f t="shared" si="1"/>
        <v>*</v>
      </c>
      <c r="O167" s="27" t="str">
        <f t="shared" si="1"/>
        <v>*</v>
      </c>
      <c r="P167" s="27" t="str">
        <f t="shared" si="1"/>
        <v>*</v>
      </c>
      <c r="Q167" s="27" t="str">
        <f t="shared" si="1"/>
        <v>*</v>
      </c>
      <c r="R167" s="27" t="str">
        <f t="shared" si="1"/>
        <v>*</v>
      </c>
    </row>
    <row r="168" spans="1:18" s="20" customFormat="1" ht="14.25" hidden="1" customHeight="1" x14ac:dyDescent="0.2">
      <c r="A168" s="86" t="s">
        <v>22</v>
      </c>
      <c r="B168" s="28" t="s">
        <v>56</v>
      </c>
      <c r="C168" s="29" t="s">
        <v>2</v>
      </c>
      <c r="D168" s="21" t="str">
        <f t="shared" si="2"/>
        <v>*</v>
      </c>
      <c r="E168" s="21" t="str">
        <f t="shared" si="2"/>
        <v>*</v>
      </c>
      <c r="F168" s="21" t="str">
        <f t="shared" si="2"/>
        <v>*</v>
      </c>
      <c r="G168" s="21" t="str">
        <f t="shared" si="2"/>
        <v>*</v>
      </c>
      <c r="H168" s="21" t="str">
        <f t="shared" si="2"/>
        <v>*</v>
      </c>
      <c r="I168" s="21" t="str">
        <f t="shared" si="2"/>
        <v>*</v>
      </c>
      <c r="J168" s="21" t="str">
        <f t="shared" si="2"/>
        <v>*</v>
      </c>
      <c r="K168" s="21" t="str">
        <f t="shared" si="2"/>
        <v>*</v>
      </c>
      <c r="L168" s="21" t="str">
        <f t="shared" si="2"/>
        <v>*</v>
      </c>
      <c r="M168" s="21" t="str">
        <f t="shared" si="2"/>
        <v>*</v>
      </c>
      <c r="N168" s="21" t="str">
        <f t="shared" si="2"/>
        <v>*</v>
      </c>
      <c r="O168" s="21" t="str">
        <f t="shared" si="2"/>
        <v>*</v>
      </c>
      <c r="P168" s="21" t="str">
        <f t="shared" si="2"/>
        <v>*</v>
      </c>
      <c r="Q168" s="21" t="str">
        <f t="shared" si="2"/>
        <v>*</v>
      </c>
      <c r="R168" s="21" t="str">
        <f t="shared" si="2"/>
        <v>*</v>
      </c>
    </row>
    <row r="169" spans="1:18" s="20" customFormat="1" ht="14.25" hidden="1" customHeight="1" x14ac:dyDescent="0.2">
      <c r="A169" s="87"/>
      <c r="B169" s="30" t="s">
        <v>57</v>
      </c>
      <c r="C169" s="31" t="s">
        <v>225</v>
      </c>
      <c r="D169" s="21" t="str">
        <f t="shared" ref="D169:R184" si="3">IF(D99=D25,"","*")</f>
        <v>*</v>
      </c>
      <c r="E169" s="21" t="str">
        <f t="shared" si="3"/>
        <v>*</v>
      </c>
      <c r="F169" s="21" t="str">
        <f t="shared" si="3"/>
        <v>*</v>
      </c>
      <c r="G169" s="21" t="str">
        <f t="shared" si="3"/>
        <v/>
      </c>
      <c r="H169" s="21" t="str">
        <f t="shared" si="3"/>
        <v/>
      </c>
      <c r="I169" s="21" t="str">
        <f t="shared" si="3"/>
        <v/>
      </c>
      <c r="J169" s="21" t="str">
        <f t="shared" si="3"/>
        <v/>
      </c>
      <c r="K169" s="21" t="str">
        <f t="shared" si="3"/>
        <v>*</v>
      </c>
      <c r="L169" s="21" t="str">
        <f t="shared" si="3"/>
        <v>*</v>
      </c>
      <c r="M169" s="21" t="str">
        <f t="shared" si="3"/>
        <v/>
      </c>
      <c r="N169" s="21" t="str">
        <f t="shared" si="3"/>
        <v>*</v>
      </c>
      <c r="O169" s="21" t="str">
        <f t="shared" si="3"/>
        <v>*</v>
      </c>
      <c r="P169" s="21" t="str">
        <f t="shared" si="3"/>
        <v>*</v>
      </c>
      <c r="Q169" s="21" t="str">
        <f t="shared" si="3"/>
        <v/>
      </c>
      <c r="R169" s="21" t="str">
        <f t="shared" si="3"/>
        <v>*</v>
      </c>
    </row>
    <row r="170" spans="1:18" s="20" customFormat="1" ht="14.25" hidden="1" customHeight="1" x14ac:dyDescent="0.2">
      <c r="A170" s="64" t="s">
        <v>215</v>
      </c>
      <c r="B170" s="25" t="s">
        <v>55</v>
      </c>
      <c r="C170" s="26" t="s">
        <v>0</v>
      </c>
      <c r="D170" s="27" t="str">
        <f t="shared" si="3"/>
        <v>*</v>
      </c>
      <c r="E170" s="27" t="str">
        <f t="shared" si="3"/>
        <v>*</v>
      </c>
      <c r="F170" s="27" t="str">
        <f t="shared" si="3"/>
        <v>*</v>
      </c>
      <c r="G170" s="27" t="str">
        <f t="shared" si="3"/>
        <v>*</v>
      </c>
      <c r="H170" s="27" t="str">
        <f t="shared" si="3"/>
        <v>*</v>
      </c>
      <c r="I170" s="27" t="str">
        <f t="shared" si="3"/>
        <v>*</v>
      </c>
      <c r="J170" s="27" t="str">
        <f t="shared" si="3"/>
        <v>*</v>
      </c>
      <c r="K170" s="27" t="str">
        <f t="shared" si="3"/>
        <v>*</v>
      </c>
      <c r="L170" s="27" t="str">
        <f t="shared" si="3"/>
        <v>*</v>
      </c>
      <c r="M170" s="27" t="str">
        <f t="shared" si="3"/>
        <v>*</v>
      </c>
      <c r="N170" s="27" t="str">
        <f t="shared" si="3"/>
        <v>*</v>
      </c>
      <c r="O170" s="27" t="str">
        <f t="shared" si="3"/>
        <v>*</v>
      </c>
      <c r="P170" s="27" t="str">
        <f t="shared" si="3"/>
        <v>*</v>
      </c>
      <c r="Q170" s="27" t="str">
        <f t="shared" si="3"/>
        <v>*</v>
      </c>
      <c r="R170" s="27" t="str">
        <f t="shared" si="3"/>
        <v>*</v>
      </c>
    </row>
    <row r="171" spans="1:18" s="20" customFormat="1" ht="14.25" hidden="1" customHeight="1" x14ac:dyDescent="0.2">
      <c r="A171" s="86" t="s">
        <v>23</v>
      </c>
      <c r="B171" s="28" t="s">
        <v>56</v>
      </c>
      <c r="C171" s="29" t="s">
        <v>2</v>
      </c>
      <c r="D171" s="21" t="str">
        <f t="shared" si="3"/>
        <v>*</v>
      </c>
      <c r="E171" s="21" t="str">
        <f t="shared" si="3"/>
        <v>*</v>
      </c>
      <c r="F171" s="21" t="str">
        <f t="shared" si="3"/>
        <v>*</v>
      </c>
      <c r="G171" s="21" t="str">
        <f t="shared" si="3"/>
        <v>*</v>
      </c>
      <c r="H171" s="21" t="str">
        <f t="shared" si="3"/>
        <v>*</v>
      </c>
      <c r="I171" s="21" t="str">
        <f t="shared" si="3"/>
        <v>*</v>
      </c>
      <c r="J171" s="21" t="str">
        <f t="shared" si="3"/>
        <v>*</v>
      </c>
      <c r="K171" s="21" t="str">
        <f t="shared" si="3"/>
        <v>*</v>
      </c>
      <c r="L171" s="21" t="str">
        <f t="shared" si="3"/>
        <v>*</v>
      </c>
      <c r="M171" s="21" t="str">
        <f t="shared" si="3"/>
        <v>*</v>
      </c>
      <c r="N171" s="21" t="str">
        <f t="shared" si="3"/>
        <v>*</v>
      </c>
      <c r="O171" s="21" t="str">
        <f t="shared" si="3"/>
        <v>*</v>
      </c>
      <c r="P171" s="21" t="str">
        <f t="shared" si="3"/>
        <v>*</v>
      </c>
      <c r="Q171" s="21" t="str">
        <f t="shared" si="3"/>
        <v>*</v>
      </c>
      <c r="R171" s="21" t="str">
        <f t="shared" si="3"/>
        <v>*</v>
      </c>
    </row>
    <row r="172" spans="1:18" s="20" customFormat="1" ht="14.25" hidden="1" customHeight="1" x14ac:dyDescent="0.2">
      <c r="A172" s="87"/>
      <c r="B172" s="30" t="s">
        <v>57</v>
      </c>
      <c r="C172" s="31" t="s">
        <v>225</v>
      </c>
      <c r="D172" s="21" t="str">
        <f t="shared" si="3"/>
        <v>*</v>
      </c>
      <c r="E172" s="21" t="str">
        <f t="shared" si="3"/>
        <v>*</v>
      </c>
      <c r="F172" s="21" t="str">
        <f t="shared" si="3"/>
        <v>*</v>
      </c>
      <c r="G172" s="21" t="str">
        <f t="shared" si="3"/>
        <v>*</v>
      </c>
      <c r="H172" s="21" t="str">
        <f t="shared" si="3"/>
        <v>*</v>
      </c>
      <c r="I172" s="21" t="str">
        <f t="shared" si="3"/>
        <v>*</v>
      </c>
      <c r="J172" s="21" t="str">
        <f t="shared" si="3"/>
        <v>*</v>
      </c>
      <c r="K172" s="21" t="str">
        <f t="shared" si="3"/>
        <v>*</v>
      </c>
      <c r="L172" s="21" t="str">
        <f t="shared" si="3"/>
        <v>*</v>
      </c>
      <c r="M172" s="21" t="str">
        <f t="shared" si="3"/>
        <v>*</v>
      </c>
      <c r="N172" s="21" t="str">
        <f t="shared" si="3"/>
        <v>*</v>
      </c>
      <c r="O172" s="21" t="str">
        <f t="shared" si="3"/>
        <v>*</v>
      </c>
      <c r="P172" s="21" t="str">
        <f t="shared" si="3"/>
        <v>*</v>
      </c>
      <c r="Q172" s="21" t="str">
        <f t="shared" si="3"/>
        <v/>
      </c>
      <c r="R172" s="21" t="str">
        <f t="shared" si="3"/>
        <v>*</v>
      </c>
    </row>
    <row r="173" spans="1:18" s="20" customFormat="1" ht="14.25" hidden="1" customHeight="1" x14ac:dyDescent="0.2">
      <c r="A173" s="64" t="s">
        <v>194</v>
      </c>
      <c r="B173" s="25" t="s">
        <v>55</v>
      </c>
      <c r="C173" s="26" t="s">
        <v>0</v>
      </c>
      <c r="D173" s="27" t="str">
        <f t="shared" si="3"/>
        <v>*</v>
      </c>
      <c r="E173" s="27" t="str">
        <f t="shared" si="3"/>
        <v>*</v>
      </c>
      <c r="F173" s="27" t="str">
        <f t="shared" si="3"/>
        <v>*</v>
      </c>
      <c r="G173" s="27" t="str">
        <f t="shared" si="3"/>
        <v>*</v>
      </c>
      <c r="H173" s="27" t="str">
        <f t="shared" si="3"/>
        <v>*</v>
      </c>
      <c r="I173" s="27" t="str">
        <f t="shared" si="3"/>
        <v/>
      </c>
      <c r="J173" s="27" t="str">
        <f t="shared" si="3"/>
        <v>*</v>
      </c>
      <c r="K173" s="27" t="str">
        <f t="shared" si="3"/>
        <v>*</v>
      </c>
      <c r="L173" s="27" t="str">
        <f t="shared" si="3"/>
        <v>*</v>
      </c>
      <c r="M173" s="27" t="str">
        <f t="shared" si="3"/>
        <v>*</v>
      </c>
      <c r="N173" s="27" t="str">
        <f t="shared" si="3"/>
        <v>*</v>
      </c>
      <c r="O173" s="27" t="str">
        <f t="shared" si="3"/>
        <v/>
      </c>
      <c r="P173" s="27" t="str">
        <f t="shared" si="3"/>
        <v/>
      </c>
      <c r="Q173" s="27" t="str">
        <f t="shared" si="3"/>
        <v>*</v>
      </c>
      <c r="R173" s="27" t="str">
        <f t="shared" si="3"/>
        <v>*</v>
      </c>
    </row>
    <row r="174" spans="1:18" s="20" customFormat="1" ht="14.25" hidden="1" customHeight="1" x14ac:dyDescent="0.2">
      <c r="A174" s="86" t="s">
        <v>5</v>
      </c>
      <c r="B174" s="28" t="s">
        <v>56</v>
      </c>
      <c r="C174" s="29" t="s">
        <v>2</v>
      </c>
      <c r="D174" s="21" t="str">
        <f t="shared" si="3"/>
        <v>*</v>
      </c>
      <c r="E174" s="21" t="str">
        <f t="shared" si="3"/>
        <v>*</v>
      </c>
      <c r="F174" s="21" t="str">
        <f t="shared" si="3"/>
        <v>*</v>
      </c>
      <c r="G174" s="21" t="str">
        <f t="shared" si="3"/>
        <v>*</v>
      </c>
      <c r="H174" s="21" t="str">
        <f t="shared" si="3"/>
        <v>*</v>
      </c>
      <c r="I174" s="21" t="str">
        <f t="shared" si="3"/>
        <v>*</v>
      </c>
      <c r="J174" s="21" t="str">
        <f t="shared" si="3"/>
        <v>*</v>
      </c>
      <c r="K174" s="21" t="str">
        <f t="shared" si="3"/>
        <v>*</v>
      </c>
      <c r="L174" s="21" t="str">
        <f t="shared" si="3"/>
        <v>*</v>
      </c>
      <c r="M174" s="21" t="str">
        <f t="shared" si="3"/>
        <v>*</v>
      </c>
      <c r="N174" s="21" t="str">
        <f t="shared" si="3"/>
        <v>*</v>
      </c>
      <c r="O174" s="21" t="str">
        <f t="shared" si="3"/>
        <v>*</v>
      </c>
      <c r="P174" s="21" t="str">
        <f t="shared" si="3"/>
        <v/>
      </c>
      <c r="Q174" s="21" t="str">
        <f t="shared" si="3"/>
        <v>*</v>
      </c>
      <c r="R174" s="21" t="str">
        <f t="shared" si="3"/>
        <v>*</v>
      </c>
    </row>
    <row r="175" spans="1:18" s="20" customFormat="1" ht="14.25" hidden="1" customHeight="1" x14ac:dyDescent="0.2">
      <c r="A175" s="87"/>
      <c r="B175" s="30" t="s">
        <v>57</v>
      </c>
      <c r="C175" s="31" t="s">
        <v>225</v>
      </c>
      <c r="D175" s="21" t="str">
        <f t="shared" si="3"/>
        <v>*</v>
      </c>
      <c r="E175" s="21" t="str">
        <f t="shared" si="3"/>
        <v>*</v>
      </c>
      <c r="F175" s="21" t="str">
        <f t="shared" si="3"/>
        <v>*</v>
      </c>
      <c r="G175" s="21" t="str">
        <f t="shared" si="3"/>
        <v/>
      </c>
      <c r="H175" s="21" t="str">
        <f t="shared" si="3"/>
        <v/>
      </c>
      <c r="I175" s="21" t="str">
        <f t="shared" si="3"/>
        <v>*</v>
      </c>
      <c r="J175" s="21" t="str">
        <f t="shared" si="3"/>
        <v/>
      </c>
      <c r="K175" s="21" t="str">
        <f t="shared" si="3"/>
        <v>*</v>
      </c>
      <c r="L175" s="21" t="str">
        <f t="shared" si="3"/>
        <v>*</v>
      </c>
      <c r="M175" s="21" t="str">
        <f t="shared" si="3"/>
        <v>*</v>
      </c>
      <c r="N175" s="21" t="str">
        <f t="shared" si="3"/>
        <v/>
      </c>
      <c r="O175" s="21" t="str">
        <f t="shared" si="3"/>
        <v>*</v>
      </c>
      <c r="P175" s="21" t="str">
        <f t="shared" si="3"/>
        <v/>
      </c>
      <c r="Q175" s="21" t="str">
        <f t="shared" si="3"/>
        <v>*</v>
      </c>
      <c r="R175" s="21" t="str">
        <f t="shared" si="3"/>
        <v>*</v>
      </c>
    </row>
    <row r="176" spans="1:18" s="20" customFormat="1" ht="14.25" hidden="1" customHeight="1" x14ac:dyDescent="0.2">
      <c r="A176" s="64" t="s">
        <v>195</v>
      </c>
      <c r="B176" s="25" t="s">
        <v>55</v>
      </c>
      <c r="C176" s="26" t="s">
        <v>0</v>
      </c>
      <c r="D176" s="27" t="str">
        <f t="shared" si="3"/>
        <v>*</v>
      </c>
      <c r="E176" s="27" t="str">
        <f t="shared" si="3"/>
        <v>*</v>
      </c>
      <c r="F176" s="27" t="str">
        <f t="shared" si="3"/>
        <v>*</v>
      </c>
      <c r="G176" s="27" t="str">
        <f t="shared" si="3"/>
        <v>*</v>
      </c>
      <c r="H176" s="27" t="str">
        <f t="shared" si="3"/>
        <v>*</v>
      </c>
      <c r="I176" s="27" t="str">
        <f t="shared" si="3"/>
        <v>*</v>
      </c>
      <c r="J176" s="27" t="str">
        <f t="shared" si="3"/>
        <v>*</v>
      </c>
      <c r="K176" s="27" t="str">
        <f t="shared" si="3"/>
        <v>*</v>
      </c>
      <c r="L176" s="27" t="str">
        <f t="shared" si="3"/>
        <v>*</v>
      </c>
      <c r="M176" s="27" t="str">
        <f t="shared" si="3"/>
        <v>*</v>
      </c>
      <c r="N176" s="27" t="str">
        <f t="shared" si="3"/>
        <v>*</v>
      </c>
      <c r="O176" s="27" t="str">
        <f t="shared" si="3"/>
        <v>*</v>
      </c>
      <c r="P176" s="27" t="str">
        <f t="shared" si="3"/>
        <v>*</v>
      </c>
      <c r="Q176" s="27" t="str">
        <f t="shared" si="3"/>
        <v>*</v>
      </c>
      <c r="R176" s="27" t="str">
        <f t="shared" si="3"/>
        <v/>
      </c>
    </row>
    <row r="177" spans="1:18" s="20" customFormat="1" ht="14.25" hidden="1" customHeight="1" x14ac:dyDescent="0.2">
      <c r="A177" s="86" t="s">
        <v>6</v>
      </c>
      <c r="B177" s="28" t="s">
        <v>56</v>
      </c>
      <c r="C177" s="29" t="s">
        <v>2</v>
      </c>
      <c r="D177" s="21" t="str">
        <f t="shared" si="3"/>
        <v>*</v>
      </c>
      <c r="E177" s="21" t="str">
        <f t="shared" si="3"/>
        <v>*</v>
      </c>
      <c r="F177" s="21" t="str">
        <f t="shared" si="3"/>
        <v>*</v>
      </c>
      <c r="G177" s="21" t="str">
        <f t="shared" si="3"/>
        <v>*</v>
      </c>
      <c r="H177" s="21" t="str">
        <f t="shared" si="3"/>
        <v/>
      </c>
      <c r="I177" s="21" t="str">
        <f t="shared" si="3"/>
        <v>*</v>
      </c>
      <c r="J177" s="21" t="str">
        <f t="shared" si="3"/>
        <v>*</v>
      </c>
      <c r="K177" s="21" t="str">
        <f t="shared" si="3"/>
        <v>*</v>
      </c>
      <c r="L177" s="21" t="str">
        <f t="shared" si="3"/>
        <v/>
      </c>
      <c r="M177" s="21" t="str">
        <f t="shared" si="3"/>
        <v>*</v>
      </c>
      <c r="N177" s="21" t="str">
        <f t="shared" si="3"/>
        <v>*</v>
      </c>
      <c r="O177" s="21" t="str">
        <f t="shared" si="3"/>
        <v>*</v>
      </c>
      <c r="P177" s="21" t="str">
        <f t="shared" si="3"/>
        <v>*</v>
      </c>
      <c r="Q177" s="21" t="str">
        <f t="shared" si="3"/>
        <v>*</v>
      </c>
      <c r="R177" s="21" t="str">
        <f t="shared" si="3"/>
        <v>*</v>
      </c>
    </row>
    <row r="178" spans="1:18" s="20" customFormat="1" ht="14.25" hidden="1" customHeight="1" x14ac:dyDescent="0.2">
      <c r="A178" s="87"/>
      <c r="B178" s="30" t="s">
        <v>57</v>
      </c>
      <c r="C178" s="31" t="s">
        <v>225</v>
      </c>
      <c r="D178" s="21" t="str">
        <f t="shared" si="3"/>
        <v>*</v>
      </c>
      <c r="E178" s="21" t="str">
        <f t="shared" si="3"/>
        <v>*</v>
      </c>
      <c r="F178" s="21" t="str">
        <f t="shared" si="3"/>
        <v>*</v>
      </c>
      <c r="G178" s="21" t="str">
        <f t="shared" si="3"/>
        <v>*</v>
      </c>
      <c r="H178" s="21" t="str">
        <f t="shared" si="3"/>
        <v>*</v>
      </c>
      <c r="I178" s="21" t="str">
        <f t="shared" si="3"/>
        <v>*</v>
      </c>
      <c r="J178" s="21" t="str">
        <f t="shared" si="3"/>
        <v>*</v>
      </c>
      <c r="K178" s="21" t="str">
        <f t="shared" si="3"/>
        <v>*</v>
      </c>
      <c r="L178" s="21" t="str">
        <f t="shared" si="3"/>
        <v>*</v>
      </c>
      <c r="M178" s="21" t="str">
        <f t="shared" si="3"/>
        <v>*</v>
      </c>
      <c r="N178" s="21" t="str">
        <f t="shared" si="3"/>
        <v/>
      </c>
      <c r="O178" s="21" t="str">
        <f t="shared" si="3"/>
        <v>*</v>
      </c>
      <c r="P178" s="21" t="str">
        <f t="shared" si="3"/>
        <v>*</v>
      </c>
      <c r="Q178" s="21" t="str">
        <f t="shared" si="3"/>
        <v>*</v>
      </c>
      <c r="R178" s="21" t="str">
        <f t="shared" si="3"/>
        <v>*</v>
      </c>
    </row>
    <row r="179" spans="1:18" s="20" customFormat="1" ht="14.25" hidden="1" customHeight="1" x14ac:dyDescent="0.2">
      <c r="A179" s="64" t="s">
        <v>196</v>
      </c>
      <c r="B179" s="25" t="s">
        <v>55</v>
      </c>
      <c r="C179" s="26" t="s">
        <v>0</v>
      </c>
      <c r="D179" s="27" t="str">
        <f t="shared" si="3"/>
        <v>*</v>
      </c>
      <c r="E179" s="27" t="str">
        <f t="shared" si="3"/>
        <v>*</v>
      </c>
      <c r="F179" s="27" t="str">
        <f t="shared" si="3"/>
        <v>*</v>
      </c>
      <c r="G179" s="27" t="str">
        <f t="shared" si="3"/>
        <v>*</v>
      </c>
      <c r="H179" s="27" t="str">
        <f t="shared" si="3"/>
        <v/>
      </c>
      <c r="I179" s="27" t="str">
        <f t="shared" si="3"/>
        <v/>
      </c>
      <c r="J179" s="27" t="str">
        <f t="shared" si="3"/>
        <v>*</v>
      </c>
      <c r="K179" s="27" t="str">
        <f t="shared" si="3"/>
        <v>*</v>
      </c>
      <c r="L179" s="27" t="str">
        <f t="shared" si="3"/>
        <v>*</v>
      </c>
      <c r="M179" s="27" t="str">
        <f t="shared" si="3"/>
        <v>*</v>
      </c>
      <c r="N179" s="27" t="str">
        <f t="shared" si="3"/>
        <v/>
      </c>
      <c r="O179" s="27" t="str">
        <f t="shared" si="3"/>
        <v>*</v>
      </c>
      <c r="P179" s="27" t="str">
        <f t="shared" si="3"/>
        <v>*</v>
      </c>
      <c r="Q179" s="27" t="str">
        <f t="shared" si="3"/>
        <v>*</v>
      </c>
      <c r="R179" s="27" t="str">
        <f t="shared" si="3"/>
        <v>*</v>
      </c>
    </row>
    <row r="180" spans="1:18" s="20" customFormat="1" ht="14.25" hidden="1" customHeight="1" x14ac:dyDescent="0.2">
      <c r="A180" s="86" t="s">
        <v>7</v>
      </c>
      <c r="B180" s="28" t="s">
        <v>56</v>
      </c>
      <c r="C180" s="29" t="s">
        <v>2</v>
      </c>
      <c r="D180" s="21" t="str">
        <f t="shared" si="3"/>
        <v>*</v>
      </c>
      <c r="E180" s="21" t="str">
        <f t="shared" si="3"/>
        <v>*</v>
      </c>
      <c r="F180" s="21" t="str">
        <f t="shared" si="3"/>
        <v>*</v>
      </c>
      <c r="G180" s="21" t="str">
        <f t="shared" si="3"/>
        <v>*</v>
      </c>
      <c r="H180" s="21" t="str">
        <f t="shared" si="3"/>
        <v>*</v>
      </c>
      <c r="I180" s="21" t="str">
        <f t="shared" si="3"/>
        <v>*</v>
      </c>
      <c r="J180" s="21" t="str">
        <f t="shared" si="3"/>
        <v>*</v>
      </c>
      <c r="K180" s="21" t="str">
        <f t="shared" si="3"/>
        <v>*</v>
      </c>
      <c r="L180" s="21" t="str">
        <f t="shared" si="3"/>
        <v>*</v>
      </c>
      <c r="M180" s="21" t="str">
        <f t="shared" si="3"/>
        <v>*</v>
      </c>
      <c r="N180" s="21" t="str">
        <f t="shared" si="3"/>
        <v/>
      </c>
      <c r="O180" s="21" t="str">
        <f t="shared" si="3"/>
        <v>*</v>
      </c>
      <c r="P180" s="21" t="str">
        <f t="shared" si="3"/>
        <v>*</v>
      </c>
      <c r="Q180" s="21" t="str">
        <f t="shared" si="3"/>
        <v>*</v>
      </c>
      <c r="R180" s="21" t="str">
        <f t="shared" si="3"/>
        <v>*</v>
      </c>
    </row>
    <row r="181" spans="1:18" s="20" customFormat="1" ht="14.25" hidden="1" customHeight="1" x14ac:dyDescent="0.2">
      <c r="A181" s="87"/>
      <c r="B181" s="30" t="s">
        <v>57</v>
      </c>
      <c r="C181" s="31" t="s">
        <v>225</v>
      </c>
      <c r="D181" s="21" t="str">
        <f t="shared" si="3"/>
        <v>*</v>
      </c>
      <c r="E181" s="21" t="str">
        <f t="shared" si="3"/>
        <v>*</v>
      </c>
      <c r="F181" s="21" t="str">
        <f t="shared" si="3"/>
        <v>*</v>
      </c>
      <c r="G181" s="21" t="str">
        <f t="shared" si="3"/>
        <v/>
      </c>
      <c r="H181" s="21" t="str">
        <f t="shared" si="3"/>
        <v>*</v>
      </c>
      <c r="I181" s="21" t="str">
        <f t="shared" si="3"/>
        <v>*</v>
      </c>
      <c r="J181" s="21" t="str">
        <f t="shared" si="3"/>
        <v/>
      </c>
      <c r="K181" s="21" t="str">
        <f t="shared" si="3"/>
        <v/>
      </c>
      <c r="L181" s="21" t="str">
        <f t="shared" si="3"/>
        <v>*</v>
      </c>
      <c r="M181" s="21" t="str">
        <f t="shared" si="3"/>
        <v>*</v>
      </c>
      <c r="N181" s="21" t="str">
        <f t="shared" si="3"/>
        <v/>
      </c>
      <c r="O181" s="21" t="str">
        <f t="shared" si="3"/>
        <v>*</v>
      </c>
      <c r="P181" s="21" t="str">
        <f t="shared" si="3"/>
        <v>*</v>
      </c>
      <c r="Q181" s="21" t="str">
        <f t="shared" si="3"/>
        <v/>
      </c>
      <c r="R181" s="21" t="str">
        <f t="shared" si="3"/>
        <v>*</v>
      </c>
    </row>
    <row r="182" spans="1:18" s="20" customFormat="1" ht="14.25" hidden="1" customHeight="1" x14ac:dyDescent="0.2">
      <c r="A182" s="64" t="s">
        <v>197</v>
      </c>
      <c r="B182" s="25" t="s">
        <v>55</v>
      </c>
      <c r="C182" s="26" t="s">
        <v>0</v>
      </c>
      <c r="D182" s="27" t="str">
        <f t="shared" si="3"/>
        <v>*</v>
      </c>
      <c r="E182" s="27" t="str">
        <f t="shared" si="3"/>
        <v>*</v>
      </c>
      <c r="F182" s="27" t="str">
        <f t="shared" si="3"/>
        <v>*</v>
      </c>
      <c r="G182" s="27" t="str">
        <f t="shared" si="3"/>
        <v>*</v>
      </c>
      <c r="H182" s="27" t="str">
        <f t="shared" si="3"/>
        <v>*</v>
      </c>
      <c r="I182" s="27" t="str">
        <f t="shared" si="3"/>
        <v>*</v>
      </c>
      <c r="J182" s="27" t="str">
        <f t="shared" si="3"/>
        <v>*</v>
      </c>
      <c r="K182" s="27" t="str">
        <f t="shared" si="3"/>
        <v>*</v>
      </c>
      <c r="L182" s="27" t="str">
        <f t="shared" si="3"/>
        <v>*</v>
      </c>
      <c r="M182" s="27" t="str">
        <f t="shared" si="3"/>
        <v>*</v>
      </c>
      <c r="N182" s="27" t="str">
        <f t="shared" si="3"/>
        <v>*</v>
      </c>
      <c r="O182" s="27" t="str">
        <f t="shared" si="3"/>
        <v>*</v>
      </c>
      <c r="P182" s="27" t="str">
        <f t="shared" si="3"/>
        <v>*</v>
      </c>
      <c r="Q182" s="27" t="str">
        <f t="shared" si="3"/>
        <v>*</v>
      </c>
      <c r="R182" s="27" t="str">
        <f t="shared" si="3"/>
        <v>*</v>
      </c>
    </row>
    <row r="183" spans="1:18" s="20" customFormat="1" ht="14.25" hidden="1" customHeight="1" x14ac:dyDescent="0.2">
      <c r="A183" s="86" t="s">
        <v>8</v>
      </c>
      <c r="B183" s="28" t="s">
        <v>56</v>
      </c>
      <c r="C183" s="29" t="s">
        <v>2</v>
      </c>
      <c r="D183" s="21" t="str">
        <f t="shared" si="3"/>
        <v>*</v>
      </c>
      <c r="E183" s="21" t="str">
        <f t="shared" si="3"/>
        <v>*</v>
      </c>
      <c r="F183" s="21" t="str">
        <f t="shared" si="3"/>
        <v>*</v>
      </c>
      <c r="G183" s="21" t="str">
        <f t="shared" si="3"/>
        <v>*</v>
      </c>
      <c r="H183" s="21" t="str">
        <f t="shared" si="3"/>
        <v>*</v>
      </c>
      <c r="I183" s="21" t="str">
        <f t="shared" si="3"/>
        <v>*</v>
      </c>
      <c r="J183" s="21" t="str">
        <f t="shared" si="3"/>
        <v>*</v>
      </c>
      <c r="K183" s="21" t="str">
        <f t="shared" si="3"/>
        <v>*</v>
      </c>
      <c r="L183" s="21" t="str">
        <f t="shared" si="3"/>
        <v>*</v>
      </c>
      <c r="M183" s="21" t="str">
        <f t="shared" si="3"/>
        <v>*</v>
      </c>
      <c r="N183" s="21" t="str">
        <f t="shared" si="3"/>
        <v>*</v>
      </c>
      <c r="O183" s="21" t="str">
        <f t="shared" si="3"/>
        <v>*</v>
      </c>
      <c r="P183" s="21" t="str">
        <f t="shared" si="3"/>
        <v>*</v>
      </c>
      <c r="Q183" s="21" t="str">
        <f t="shared" si="3"/>
        <v>*</v>
      </c>
      <c r="R183" s="21" t="str">
        <f t="shared" si="3"/>
        <v>*</v>
      </c>
    </row>
    <row r="184" spans="1:18" s="20" customFormat="1" ht="14.25" hidden="1" customHeight="1" x14ac:dyDescent="0.2">
      <c r="A184" s="87"/>
      <c r="B184" s="30" t="s">
        <v>57</v>
      </c>
      <c r="C184" s="31" t="s">
        <v>225</v>
      </c>
      <c r="D184" s="21" t="str">
        <f t="shared" si="3"/>
        <v>*</v>
      </c>
      <c r="E184" s="21" t="str">
        <f t="shared" si="3"/>
        <v>*</v>
      </c>
      <c r="F184" s="21" t="str">
        <f t="shared" si="3"/>
        <v>*</v>
      </c>
      <c r="G184" s="21" t="str">
        <f t="shared" si="3"/>
        <v>*</v>
      </c>
      <c r="H184" s="21" t="str">
        <f t="shared" si="3"/>
        <v>*</v>
      </c>
      <c r="I184" s="21" t="str">
        <f t="shared" si="3"/>
        <v>*</v>
      </c>
      <c r="J184" s="21" t="str">
        <f t="shared" si="3"/>
        <v>*</v>
      </c>
      <c r="K184" s="21" t="str">
        <f t="shared" si="3"/>
        <v>*</v>
      </c>
      <c r="L184" s="21" t="str">
        <f t="shared" si="3"/>
        <v>*</v>
      </c>
      <c r="M184" s="21" t="str">
        <f t="shared" si="3"/>
        <v>*</v>
      </c>
      <c r="N184" s="21" t="str">
        <f t="shared" si="3"/>
        <v>*</v>
      </c>
      <c r="O184" s="21" t="str">
        <f t="shared" si="3"/>
        <v/>
      </c>
      <c r="P184" s="21" t="str">
        <f t="shared" si="3"/>
        <v>*</v>
      </c>
      <c r="Q184" s="21" t="str">
        <f t="shared" si="3"/>
        <v/>
      </c>
      <c r="R184" s="21" t="str">
        <f t="shared" si="3"/>
        <v/>
      </c>
    </row>
    <row r="185" spans="1:18" s="20" customFormat="1" ht="14.25" hidden="1" customHeight="1" x14ac:dyDescent="0.2">
      <c r="A185" s="64" t="s">
        <v>198</v>
      </c>
      <c r="B185" s="25" t="s">
        <v>55</v>
      </c>
      <c r="C185" s="26" t="s">
        <v>0</v>
      </c>
      <c r="D185" s="27" t="str">
        <f t="shared" ref="D185:R200" si="4">IF(D115=D41,"","*")</f>
        <v>*</v>
      </c>
      <c r="E185" s="27" t="str">
        <f t="shared" si="4"/>
        <v>*</v>
      </c>
      <c r="F185" s="27" t="str">
        <f t="shared" si="4"/>
        <v>*</v>
      </c>
      <c r="G185" s="27" t="str">
        <f t="shared" si="4"/>
        <v>*</v>
      </c>
      <c r="H185" s="27" t="str">
        <f t="shared" si="4"/>
        <v/>
      </c>
      <c r="I185" s="27" t="str">
        <f t="shared" si="4"/>
        <v>*</v>
      </c>
      <c r="J185" s="27" t="str">
        <f t="shared" si="4"/>
        <v>*</v>
      </c>
      <c r="K185" s="27" t="str">
        <f t="shared" si="4"/>
        <v>*</v>
      </c>
      <c r="L185" s="27" t="str">
        <f t="shared" si="4"/>
        <v>*</v>
      </c>
      <c r="M185" s="27" t="str">
        <f t="shared" si="4"/>
        <v>*</v>
      </c>
      <c r="N185" s="27" t="str">
        <f t="shared" si="4"/>
        <v>*</v>
      </c>
      <c r="O185" s="27" t="str">
        <f t="shared" si="4"/>
        <v>*</v>
      </c>
      <c r="P185" s="27" t="str">
        <f t="shared" si="4"/>
        <v>*</v>
      </c>
      <c r="Q185" s="27" t="str">
        <f t="shared" si="4"/>
        <v>*</v>
      </c>
      <c r="R185" s="27" t="str">
        <f t="shared" si="4"/>
        <v>*</v>
      </c>
    </row>
    <row r="186" spans="1:18" s="20" customFormat="1" ht="14.25" hidden="1" customHeight="1" x14ac:dyDescent="0.2">
      <c r="A186" s="86" t="s">
        <v>9</v>
      </c>
      <c r="B186" s="28" t="s">
        <v>56</v>
      </c>
      <c r="C186" s="29" t="s">
        <v>2</v>
      </c>
      <c r="D186" s="21" t="str">
        <f t="shared" si="4"/>
        <v>*</v>
      </c>
      <c r="E186" s="21" t="str">
        <f t="shared" si="4"/>
        <v>*</v>
      </c>
      <c r="F186" s="21" t="str">
        <f t="shared" si="4"/>
        <v>*</v>
      </c>
      <c r="G186" s="21" t="str">
        <f t="shared" si="4"/>
        <v>*</v>
      </c>
      <c r="H186" s="21" t="str">
        <f t="shared" si="4"/>
        <v>*</v>
      </c>
      <c r="I186" s="21" t="str">
        <f t="shared" si="4"/>
        <v>*</v>
      </c>
      <c r="J186" s="21" t="str">
        <f t="shared" si="4"/>
        <v>*</v>
      </c>
      <c r="K186" s="21" t="str">
        <f t="shared" si="4"/>
        <v>*</v>
      </c>
      <c r="L186" s="21" t="str">
        <f t="shared" si="4"/>
        <v>*</v>
      </c>
      <c r="M186" s="21" t="str">
        <f t="shared" si="4"/>
        <v>*</v>
      </c>
      <c r="N186" s="21" t="str">
        <f t="shared" si="4"/>
        <v>*</v>
      </c>
      <c r="O186" s="21" t="str">
        <f t="shared" si="4"/>
        <v>*</v>
      </c>
      <c r="P186" s="21" t="str">
        <f t="shared" si="4"/>
        <v>*</v>
      </c>
      <c r="Q186" s="21" t="str">
        <f t="shared" si="4"/>
        <v>*</v>
      </c>
      <c r="R186" s="21" t="str">
        <f t="shared" si="4"/>
        <v>*</v>
      </c>
    </row>
    <row r="187" spans="1:18" s="20" customFormat="1" ht="14.25" hidden="1" customHeight="1" x14ac:dyDescent="0.2">
      <c r="A187" s="87"/>
      <c r="B187" s="30" t="s">
        <v>57</v>
      </c>
      <c r="C187" s="31" t="s">
        <v>225</v>
      </c>
      <c r="D187" s="21" t="str">
        <f t="shared" si="4"/>
        <v>*</v>
      </c>
      <c r="E187" s="21" t="str">
        <f t="shared" si="4"/>
        <v>*</v>
      </c>
      <c r="F187" s="21" t="str">
        <f t="shared" si="4"/>
        <v>*</v>
      </c>
      <c r="G187" s="21" t="str">
        <f t="shared" si="4"/>
        <v/>
      </c>
      <c r="H187" s="21" t="str">
        <f t="shared" si="4"/>
        <v>*</v>
      </c>
      <c r="I187" s="21" t="str">
        <f t="shared" si="4"/>
        <v>*</v>
      </c>
      <c r="J187" s="21" t="str">
        <f t="shared" si="4"/>
        <v>*</v>
      </c>
      <c r="K187" s="21" t="str">
        <f t="shared" si="4"/>
        <v>*</v>
      </c>
      <c r="L187" s="21" t="str">
        <f t="shared" si="4"/>
        <v/>
      </c>
      <c r="M187" s="21" t="str">
        <f t="shared" si="4"/>
        <v>*</v>
      </c>
      <c r="N187" s="21" t="str">
        <f t="shared" si="4"/>
        <v>*</v>
      </c>
      <c r="O187" s="21" t="str">
        <f t="shared" si="4"/>
        <v>*</v>
      </c>
      <c r="P187" s="21" t="str">
        <f t="shared" si="4"/>
        <v>*</v>
      </c>
      <c r="Q187" s="21" t="str">
        <f t="shared" si="4"/>
        <v>*</v>
      </c>
      <c r="R187" s="21" t="str">
        <f t="shared" si="4"/>
        <v>*</v>
      </c>
    </row>
    <row r="188" spans="1:18" s="20" customFormat="1" ht="14.25" hidden="1" customHeight="1" x14ac:dyDescent="0.2">
      <c r="A188" s="64" t="s">
        <v>199</v>
      </c>
      <c r="B188" s="25" t="s">
        <v>55</v>
      </c>
      <c r="C188" s="26" t="s">
        <v>0</v>
      </c>
      <c r="D188" s="27" t="str">
        <f t="shared" si="4"/>
        <v>*</v>
      </c>
      <c r="E188" s="27" t="str">
        <f t="shared" si="4"/>
        <v>*</v>
      </c>
      <c r="F188" s="27" t="str">
        <f t="shared" si="4"/>
        <v>*</v>
      </c>
      <c r="G188" s="27" t="str">
        <f t="shared" si="4"/>
        <v>*</v>
      </c>
      <c r="H188" s="27" t="str">
        <f t="shared" si="4"/>
        <v>*</v>
      </c>
      <c r="I188" s="27" t="str">
        <f t="shared" si="4"/>
        <v>*</v>
      </c>
      <c r="J188" s="27" t="str">
        <f t="shared" si="4"/>
        <v>*</v>
      </c>
      <c r="K188" s="27" t="str">
        <f t="shared" si="4"/>
        <v>*</v>
      </c>
      <c r="L188" s="27" t="str">
        <f t="shared" si="4"/>
        <v>*</v>
      </c>
      <c r="M188" s="27" t="str">
        <f t="shared" si="4"/>
        <v>*</v>
      </c>
      <c r="N188" s="27" t="str">
        <f t="shared" si="4"/>
        <v>*</v>
      </c>
      <c r="O188" s="27" t="str">
        <f t="shared" si="4"/>
        <v>*</v>
      </c>
      <c r="P188" s="27" t="str">
        <f t="shared" si="4"/>
        <v>*</v>
      </c>
      <c r="Q188" s="27" t="str">
        <f t="shared" si="4"/>
        <v>*</v>
      </c>
      <c r="R188" s="27" t="str">
        <f t="shared" si="4"/>
        <v>*</v>
      </c>
    </row>
    <row r="189" spans="1:18" s="20" customFormat="1" ht="14.25" hidden="1" customHeight="1" x14ac:dyDescent="0.2">
      <c r="A189" s="86" t="s">
        <v>10</v>
      </c>
      <c r="B189" s="28" t="s">
        <v>56</v>
      </c>
      <c r="C189" s="29" t="s">
        <v>2</v>
      </c>
      <c r="D189" s="21" t="str">
        <f t="shared" si="4"/>
        <v>*</v>
      </c>
      <c r="E189" s="21" t="str">
        <f t="shared" si="4"/>
        <v>*</v>
      </c>
      <c r="F189" s="21" t="str">
        <f t="shared" si="4"/>
        <v>*</v>
      </c>
      <c r="G189" s="21" t="str">
        <f t="shared" si="4"/>
        <v>*</v>
      </c>
      <c r="H189" s="21" t="str">
        <f t="shared" si="4"/>
        <v>*</v>
      </c>
      <c r="I189" s="21" t="str">
        <f t="shared" si="4"/>
        <v>*</v>
      </c>
      <c r="J189" s="21" t="str">
        <f t="shared" si="4"/>
        <v>*</v>
      </c>
      <c r="K189" s="21" t="str">
        <f t="shared" si="4"/>
        <v>*</v>
      </c>
      <c r="L189" s="21" t="str">
        <f t="shared" si="4"/>
        <v>*</v>
      </c>
      <c r="M189" s="21" t="str">
        <f t="shared" si="4"/>
        <v>*</v>
      </c>
      <c r="N189" s="21" t="str">
        <f t="shared" si="4"/>
        <v>*</v>
      </c>
      <c r="O189" s="21" t="str">
        <f t="shared" si="4"/>
        <v>*</v>
      </c>
      <c r="P189" s="21" t="str">
        <f t="shared" si="4"/>
        <v>*</v>
      </c>
      <c r="Q189" s="21" t="str">
        <f t="shared" si="4"/>
        <v>*</v>
      </c>
      <c r="R189" s="21" t="str">
        <f t="shared" si="4"/>
        <v>*</v>
      </c>
    </row>
    <row r="190" spans="1:18" s="20" customFormat="1" ht="14.25" hidden="1" customHeight="1" x14ac:dyDescent="0.2">
      <c r="A190" s="87"/>
      <c r="B190" s="30" t="s">
        <v>57</v>
      </c>
      <c r="C190" s="31" t="s">
        <v>225</v>
      </c>
      <c r="D190" s="21" t="str">
        <f t="shared" si="4"/>
        <v/>
      </c>
      <c r="E190" s="21" t="str">
        <f t="shared" si="4"/>
        <v>*</v>
      </c>
      <c r="F190" s="21" t="str">
        <f t="shared" si="4"/>
        <v>*</v>
      </c>
      <c r="G190" s="21" t="str">
        <f t="shared" si="4"/>
        <v/>
      </c>
      <c r="H190" s="21" t="str">
        <f t="shared" si="4"/>
        <v/>
      </c>
      <c r="I190" s="21" t="str">
        <f t="shared" si="4"/>
        <v>*</v>
      </c>
      <c r="J190" s="21" t="str">
        <f t="shared" si="4"/>
        <v>*</v>
      </c>
      <c r="K190" s="21" t="str">
        <f t="shared" si="4"/>
        <v/>
      </c>
      <c r="L190" s="21" t="str">
        <f t="shared" si="4"/>
        <v>*</v>
      </c>
      <c r="M190" s="21" t="str">
        <f t="shared" si="4"/>
        <v/>
      </c>
      <c r="N190" s="21" t="str">
        <f t="shared" si="4"/>
        <v/>
      </c>
      <c r="O190" s="21" t="str">
        <f t="shared" si="4"/>
        <v>*</v>
      </c>
      <c r="P190" s="21" t="str">
        <f t="shared" si="4"/>
        <v/>
      </c>
      <c r="Q190" s="21" t="str">
        <f t="shared" si="4"/>
        <v/>
      </c>
      <c r="R190" s="21" t="str">
        <f t="shared" si="4"/>
        <v/>
      </c>
    </row>
    <row r="191" spans="1:18" s="20" customFormat="1" ht="14.25" hidden="1" customHeight="1" x14ac:dyDescent="0.2">
      <c r="A191" s="64" t="s">
        <v>200</v>
      </c>
      <c r="B191" s="25" t="s">
        <v>55</v>
      </c>
      <c r="C191" s="26" t="s">
        <v>0</v>
      </c>
      <c r="D191" s="27" t="str">
        <f t="shared" si="4"/>
        <v>*</v>
      </c>
      <c r="E191" s="27" t="str">
        <f t="shared" si="4"/>
        <v>*</v>
      </c>
      <c r="F191" s="27" t="str">
        <f t="shared" si="4"/>
        <v>*</v>
      </c>
      <c r="G191" s="27" t="str">
        <f t="shared" si="4"/>
        <v>*</v>
      </c>
      <c r="H191" s="27" t="str">
        <f t="shared" si="4"/>
        <v>*</v>
      </c>
      <c r="I191" s="27" t="str">
        <f t="shared" si="4"/>
        <v>*</v>
      </c>
      <c r="J191" s="27" t="str">
        <f t="shared" si="4"/>
        <v>*</v>
      </c>
      <c r="K191" s="27" t="str">
        <f t="shared" si="4"/>
        <v>*</v>
      </c>
      <c r="L191" s="27" t="str">
        <f t="shared" si="4"/>
        <v>*</v>
      </c>
      <c r="M191" s="27" t="str">
        <f t="shared" si="4"/>
        <v>*</v>
      </c>
      <c r="N191" s="27" t="str">
        <f t="shared" si="4"/>
        <v>*</v>
      </c>
      <c r="O191" s="27" t="str">
        <f t="shared" si="4"/>
        <v>*</v>
      </c>
      <c r="P191" s="27" t="str">
        <f t="shared" si="4"/>
        <v>*</v>
      </c>
      <c r="Q191" s="27" t="str">
        <f t="shared" si="4"/>
        <v>*</v>
      </c>
      <c r="R191" s="27" t="str">
        <f t="shared" si="4"/>
        <v>*</v>
      </c>
    </row>
    <row r="192" spans="1:18" s="20" customFormat="1" ht="14.25" hidden="1" customHeight="1" x14ac:dyDescent="0.2">
      <c r="A192" s="86" t="s">
        <v>11</v>
      </c>
      <c r="B192" s="28" t="s">
        <v>56</v>
      </c>
      <c r="C192" s="29" t="s">
        <v>2</v>
      </c>
      <c r="D192" s="21" t="str">
        <f t="shared" si="4"/>
        <v>*</v>
      </c>
      <c r="E192" s="21" t="str">
        <f t="shared" si="4"/>
        <v>*</v>
      </c>
      <c r="F192" s="21" t="str">
        <f t="shared" si="4"/>
        <v>*</v>
      </c>
      <c r="G192" s="21" t="str">
        <f t="shared" si="4"/>
        <v>*</v>
      </c>
      <c r="H192" s="21" t="str">
        <f t="shared" si="4"/>
        <v>*</v>
      </c>
      <c r="I192" s="21" t="str">
        <f t="shared" si="4"/>
        <v>*</v>
      </c>
      <c r="J192" s="21" t="str">
        <f t="shared" si="4"/>
        <v>*</v>
      </c>
      <c r="K192" s="21" t="str">
        <f t="shared" si="4"/>
        <v>*</v>
      </c>
      <c r="L192" s="21" t="str">
        <f t="shared" si="4"/>
        <v>*</v>
      </c>
      <c r="M192" s="21" t="str">
        <f t="shared" si="4"/>
        <v>*</v>
      </c>
      <c r="N192" s="21" t="str">
        <f t="shared" si="4"/>
        <v>*</v>
      </c>
      <c r="O192" s="21" t="str">
        <f t="shared" si="4"/>
        <v>*</v>
      </c>
      <c r="P192" s="21" t="str">
        <f t="shared" si="4"/>
        <v>*</v>
      </c>
      <c r="Q192" s="21" t="str">
        <f t="shared" si="4"/>
        <v>*</v>
      </c>
      <c r="R192" s="21" t="str">
        <f t="shared" si="4"/>
        <v>*</v>
      </c>
    </row>
    <row r="193" spans="1:18" s="20" customFormat="1" ht="14.25" hidden="1" customHeight="1" x14ac:dyDescent="0.2">
      <c r="A193" s="87"/>
      <c r="B193" s="30" t="s">
        <v>57</v>
      </c>
      <c r="C193" s="31" t="s">
        <v>225</v>
      </c>
      <c r="D193" s="21" t="str">
        <f t="shared" si="4"/>
        <v>*</v>
      </c>
      <c r="E193" s="21" t="str">
        <f t="shared" si="4"/>
        <v/>
      </c>
      <c r="F193" s="21" t="str">
        <f t="shared" si="4"/>
        <v>*</v>
      </c>
      <c r="G193" s="21" t="str">
        <f t="shared" si="4"/>
        <v/>
      </c>
      <c r="H193" s="21" t="str">
        <f t="shared" si="4"/>
        <v/>
      </c>
      <c r="I193" s="21" t="str">
        <f t="shared" si="4"/>
        <v/>
      </c>
      <c r="J193" s="21" t="str">
        <f t="shared" si="4"/>
        <v>*</v>
      </c>
      <c r="K193" s="21" t="str">
        <f t="shared" si="4"/>
        <v/>
      </c>
      <c r="L193" s="21" t="str">
        <f t="shared" si="4"/>
        <v/>
      </c>
      <c r="M193" s="21" t="str">
        <f t="shared" si="4"/>
        <v/>
      </c>
      <c r="N193" s="21" t="str">
        <f t="shared" si="4"/>
        <v>*</v>
      </c>
      <c r="O193" s="21" t="str">
        <f t="shared" si="4"/>
        <v/>
      </c>
      <c r="P193" s="21" t="str">
        <f t="shared" si="4"/>
        <v/>
      </c>
      <c r="Q193" s="21" t="str">
        <f t="shared" si="4"/>
        <v/>
      </c>
      <c r="R193" s="21" t="str">
        <f t="shared" si="4"/>
        <v>*</v>
      </c>
    </row>
    <row r="194" spans="1:18" s="20" customFormat="1" ht="14.25" hidden="1" customHeight="1" x14ac:dyDescent="0.2">
      <c r="A194" s="64" t="s">
        <v>201</v>
      </c>
      <c r="B194" s="25" t="s">
        <v>55</v>
      </c>
      <c r="C194" s="26" t="s">
        <v>0</v>
      </c>
      <c r="D194" s="27" t="str">
        <f t="shared" si="4"/>
        <v>*</v>
      </c>
      <c r="E194" s="27" t="str">
        <f t="shared" si="4"/>
        <v>*</v>
      </c>
      <c r="F194" s="27" t="str">
        <f t="shared" si="4"/>
        <v>*</v>
      </c>
      <c r="G194" s="27" t="str">
        <f t="shared" si="4"/>
        <v/>
      </c>
      <c r="H194" s="27" t="str">
        <f t="shared" si="4"/>
        <v>*</v>
      </c>
      <c r="I194" s="27" t="str">
        <f t="shared" si="4"/>
        <v>*</v>
      </c>
      <c r="J194" s="27" t="str">
        <f t="shared" si="4"/>
        <v>*</v>
      </c>
      <c r="K194" s="27" t="str">
        <f t="shared" si="4"/>
        <v>*</v>
      </c>
      <c r="L194" s="27" t="str">
        <f t="shared" si="4"/>
        <v>*</v>
      </c>
      <c r="M194" s="27" t="str">
        <f t="shared" si="4"/>
        <v>*</v>
      </c>
      <c r="N194" s="27" t="str">
        <f t="shared" si="4"/>
        <v>*</v>
      </c>
      <c r="O194" s="27" t="str">
        <f t="shared" si="4"/>
        <v>*</v>
      </c>
      <c r="P194" s="27" t="str">
        <f t="shared" si="4"/>
        <v>*</v>
      </c>
      <c r="Q194" s="27" t="str">
        <f t="shared" si="4"/>
        <v>*</v>
      </c>
      <c r="R194" s="27" t="str">
        <f t="shared" si="4"/>
        <v>*</v>
      </c>
    </row>
    <row r="195" spans="1:18" s="20" customFormat="1" ht="14.25" hidden="1" customHeight="1" x14ac:dyDescent="0.2">
      <c r="A195" s="86" t="s">
        <v>12</v>
      </c>
      <c r="B195" s="28" t="s">
        <v>56</v>
      </c>
      <c r="C195" s="29" t="s">
        <v>2</v>
      </c>
      <c r="D195" s="21" t="str">
        <f t="shared" si="4"/>
        <v>*</v>
      </c>
      <c r="E195" s="21" t="str">
        <f t="shared" si="4"/>
        <v>*</v>
      </c>
      <c r="F195" s="21" t="str">
        <f t="shared" si="4"/>
        <v>*</v>
      </c>
      <c r="G195" s="21" t="str">
        <f t="shared" si="4"/>
        <v>*</v>
      </c>
      <c r="H195" s="21" t="str">
        <f t="shared" si="4"/>
        <v>*</v>
      </c>
      <c r="I195" s="21" t="str">
        <f t="shared" si="4"/>
        <v>*</v>
      </c>
      <c r="J195" s="21" t="str">
        <f t="shared" si="4"/>
        <v/>
      </c>
      <c r="K195" s="21" t="str">
        <f t="shared" si="4"/>
        <v>*</v>
      </c>
      <c r="L195" s="21" t="str">
        <f t="shared" si="4"/>
        <v>*</v>
      </c>
      <c r="M195" s="21" t="str">
        <f t="shared" si="4"/>
        <v>*</v>
      </c>
      <c r="N195" s="21" t="str">
        <f t="shared" si="4"/>
        <v>*</v>
      </c>
      <c r="O195" s="21" t="str">
        <f t="shared" si="4"/>
        <v>*</v>
      </c>
      <c r="P195" s="21" t="str">
        <f t="shared" si="4"/>
        <v>*</v>
      </c>
      <c r="Q195" s="21" t="str">
        <f t="shared" si="4"/>
        <v>*</v>
      </c>
      <c r="R195" s="21" t="str">
        <f t="shared" si="4"/>
        <v>*</v>
      </c>
    </row>
    <row r="196" spans="1:18" s="20" customFormat="1" ht="14.25" hidden="1" customHeight="1" x14ac:dyDescent="0.2">
      <c r="A196" s="87"/>
      <c r="B196" s="30" t="s">
        <v>57</v>
      </c>
      <c r="C196" s="31" t="s">
        <v>225</v>
      </c>
      <c r="D196" s="21" t="str">
        <f t="shared" si="4"/>
        <v>*</v>
      </c>
      <c r="E196" s="21" t="str">
        <f t="shared" si="4"/>
        <v>*</v>
      </c>
      <c r="F196" s="21" t="str">
        <f t="shared" si="4"/>
        <v>*</v>
      </c>
      <c r="G196" s="21" t="str">
        <f t="shared" si="4"/>
        <v>*</v>
      </c>
      <c r="H196" s="21" t="str">
        <f t="shared" si="4"/>
        <v>*</v>
      </c>
      <c r="I196" s="21" t="str">
        <f t="shared" si="4"/>
        <v>*</v>
      </c>
      <c r="J196" s="21" t="str">
        <f t="shared" si="4"/>
        <v>*</v>
      </c>
      <c r="K196" s="21" t="str">
        <f t="shared" si="4"/>
        <v>*</v>
      </c>
      <c r="L196" s="21" t="str">
        <f t="shared" si="4"/>
        <v/>
      </c>
      <c r="M196" s="21" t="str">
        <f t="shared" si="4"/>
        <v>*</v>
      </c>
      <c r="N196" s="21" t="str">
        <f t="shared" si="4"/>
        <v>*</v>
      </c>
      <c r="O196" s="21" t="str">
        <f t="shared" si="4"/>
        <v>*</v>
      </c>
      <c r="P196" s="21" t="str">
        <f t="shared" si="4"/>
        <v>*</v>
      </c>
      <c r="Q196" s="21" t="str">
        <f t="shared" si="4"/>
        <v/>
      </c>
      <c r="R196" s="21" t="str">
        <f t="shared" si="4"/>
        <v>*</v>
      </c>
    </row>
    <row r="197" spans="1:18" s="20" customFormat="1" ht="14.25" hidden="1" customHeight="1" x14ac:dyDescent="0.2">
      <c r="A197" s="64" t="s">
        <v>202</v>
      </c>
      <c r="B197" s="25" t="s">
        <v>55</v>
      </c>
      <c r="C197" s="26" t="s">
        <v>0</v>
      </c>
      <c r="D197" s="27" t="str">
        <f t="shared" si="4"/>
        <v>*</v>
      </c>
      <c r="E197" s="27" t="str">
        <f t="shared" si="4"/>
        <v>*</v>
      </c>
      <c r="F197" s="27" t="str">
        <f t="shared" si="4"/>
        <v>*</v>
      </c>
      <c r="G197" s="27" t="str">
        <f t="shared" si="4"/>
        <v>*</v>
      </c>
      <c r="H197" s="27" t="str">
        <f t="shared" si="4"/>
        <v>*</v>
      </c>
      <c r="I197" s="27" t="str">
        <f t="shared" si="4"/>
        <v/>
      </c>
      <c r="J197" s="27" t="str">
        <f t="shared" si="4"/>
        <v>*</v>
      </c>
      <c r="K197" s="27" t="str">
        <f t="shared" si="4"/>
        <v>*</v>
      </c>
      <c r="L197" s="27" t="str">
        <f t="shared" si="4"/>
        <v/>
      </c>
      <c r="M197" s="27" t="str">
        <f t="shared" si="4"/>
        <v>*</v>
      </c>
      <c r="N197" s="27" t="str">
        <f t="shared" si="4"/>
        <v/>
      </c>
      <c r="O197" s="27" t="str">
        <f t="shared" si="4"/>
        <v>*</v>
      </c>
      <c r="P197" s="27" t="str">
        <f t="shared" si="4"/>
        <v>*</v>
      </c>
      <c r="Q197" s="27" t="str">
        <f t="shared" si="4"/>
        <v>*</v>
      </c>
      <c r="R197" s="27" t="str">
        <f t="shared" si="4"/>
        <v>*</v>
      </c>
    </row>
    <row r="198" spans="1:18" s="20" customFormat="1" ht="14.25" hidden="1" customHeight="1" x14ac:dyDescent="0.2">
      <c r="A198" s="86" t="s">
        <v>13</v>
      </c>
      <c r="B198" s="28" t="s">
        <v>56</v>
      </c>
      <c r="C198" s="29" t="s">
        <v>2</v>
      </c>
      <c r="D198" s="21" t="str">
        <f t="shared" si="4"/>
        <v>*</v>
      </c>
      <c r="E198" s="21" t="str">
        <f t="shared" si="4"/>
        <v>*</v>
      </c>
      <c r="F198" s="21" t="str">
        <f t="shared" si="4"/>
        <v>*</v>
      </c>
      <c r="G198" s="21" t="str">
        <f t="shared" si="4"/>
        <v>*</v>
      </c>
      <c r="H198" s="21" t="str">
        <f t="shared" si="4"/>
        <v/>
      </c>
      <c r="I198" s="21" t="str">
        <f t="shared" si="4"/>
        <v>*</v>
      </c>
      <c r="J198" s="21" t="str">
        <f t="shared" si="4"/>
        <v>*</v>
      </c>
      <c r="K198" s="21" t="str">
        <f t="shared" si="4"/>
        <v/>
      </c>
      <c r="L198" s="21" t="str">
        <f t="shared" si="4"/>
        <v/>
      </c>
      <c r="M198" s="21" t="str">
        <f t="shared" si="4"/>
        <v>*</v>
      </c>
      <c r="N198" s="21" t="str">
        <f t="shared" si="4"/>
        <v/>
      </c>
      <c r="O198" s="21" t="str">
        <f t="shared" si="4"/>
        <v>*</v>
      </c>
      <c r="P198" s="21" t="str">
        <f t="shared" si="4"/>
        <v>*</v>
      </c>
      <c r="Q198" s="21" t="str">
        <f t="shared" si="4"/>
        <v>*</v>
      </c>
      <c r="R198" s="21" t="str">
        <f t="shared" si="4"/>
        <v>*</v>
      </c>
    </row>
    <row r="199" spans="1:18" s="20" customFormat="1" ht="14.25" hidden="1" customHeight="1" x14ac:dyDescent="0.2">
      <c r="A199" s="87"/>
      <c r="B199" s="30" t="s">
        <v>57</v>
      </c>
      <c r="C199" s="31" t="s">
        <v>225</v>
      </c>
      <c r="D199" s="21" t="str">
        <f t="shared" si="4"/>
        <v>*</v>
      </c>
      <c r="E199" s="21" t="str">
        <f t="shared" si="4"/>
        <v>*</v>
      </c>
      <c r="F199" s="21" t="str">
        <f t="shared" si="4"/>
        <v>*</v>
      </c>
      <c r="G199" s="21" t="str">
        <f t="shared" si="4"/>
        <v>*</v>
      </c>
      <c r="H199" s="21" t="str">
        <f t="shared" si="4"/>
        <v>*</v>
      </c>
      <c r="I199" s="21" t="str">
        <f t="shared" si="4"/>
        <v>*</v>
      </c>
      <c r="J199" s="21" t="str">
        <f t="shared" si="4"/>
        <v>*</v>
      </c>
      <c r="K199" s="21" t="str">
        <f t="shared" si="4"/>
        <v>*</v>
      </c>
      <c r="L199" s="21" t="str">
        <f t="shared" si="4"/>
        <v/>
      </c>
      <c r="M199" s="21" t="str">
        <f t="shared" si="4"/>
        <v/>
      </c>
      <c r="N199" s="21" t="str">
        <f t="shared" si="4"/>
        <v/>
      </c>
      <c r="O199" s="21" t="str">
        <f t="shared" si="4"/>
        <v>*</v>
      </c>
      <c r="P199" s="21" t="str">
        <f t="shared" si="4"/>
        <v>*</v>
      </c>
      <c r="Q199" s="21" t="str">
        <f t="shared" si="4"/>
        <v>*</v>
      </c>
      <c r="R199" s="21" t="str">
        <f t="shared" si="4"/>
        <v>*</v>
      </c>
    </row>
    <row r="200" spans="1:18" s="20" customFormat="1" ht="14.25" hidden="1" customHeight="1" x14ac:dyDescent="0.2">
      <c r="A200" s="64" t="s">
        <v>203</v>
      </c>
      <c r="B200" s="25" t="s">
        <v>55</v>
      </c>
      <c r="C200" s="26" t="s">
        <v>0</v>
      </c>
      <c r="D200" s="27" t="str">
        <f t="shared" si="4"/>
        <v>*</v>
      </c>
      <c r="E200" s="27" t="str">
        <f t="shared" si="4"/>
        <v>*</v>
      </c>
      <c r="F200" s="27" t="str">
        <f t="shared" si="4"/>
        <v>*</v>
      </c>
      <c r="G200" s="27" t="str">
        <f t="shared" si="4"/>
        <v>*</v>
      </c>
      <c r="H200" s="27" t="str">
        <f t="shared" si="4"/>
        <v>*</v>
      </c>
      <c r="I200" s="27" t="str">
        <f t="shared" si="4"/>
        <v>*</v>
      </c>
      <c r="J200" s="27" t="str">
        <f t="shared" si="4"/>
        <v>*</v>
      </c>
      <c r="K200" s="27" t="str">
        <f t="shared" si="4"/>
        <v>*</v>
      </c>
      <c r="L200" s="27" t="str">
        <f t="shared" si="4"/>
        <v>*</v>
      </c>
      <c r="M200" s="27" t="str">
        <f t="shared" si="4"/>
        <v>*</v>
      </c>
      <c r="N200" s="27" t="str">
        <f t="shared" si="4"/>
        <v>*</v>
      </c>
      <c r="O200" s="27" t="str">
        <f t="shared" si="4"/>
        <v>*</v>
      </c>
      <c r="P200" s="27" t="str">
        <f t="shared" si="4"/>
        <v>*</v>
      </c>
      <c r="Q200" s="27" t="str">
        <f t="shared" si="4"/>
        <v>*</v>
      </c>
      <c r="R200" s="27" t="str">
        <f t="shared" si="4"/>
        <v>*</v>
      </c>
    </row>
    <row r="201" spans="1:18" s="20" customFormat="1" ht="14.25" hidden="1" customHeight="1" x14ac:dyDescent="0.2">
      <c r="A201" s="86" t="s">
        <v>14</v>
      </c>
      <c r="B201" s="28" t="s">
        <v>56</v>
      </c>
      <c r="C201" s="29" t="s">
        <v>2</v>
      </c>
      <c r="D201" s="21" t="str">
        <f t="shared" ref="D201:R216" si="5">IF(D131=D57,"","*")</f>
        <v>*</v>
      </c>
      <c r="E201" s="21" t="str">
        <f t="shared" si="5"/>
        <v>*</v>
      </c>
      <c r="F201" s="21" t="str">
        <f t="shared" si="5"/>
        <v>*</v>
      </c>
      <c r="G201" s="21" t="str">
        <f t="shared" si="5"/>
        <v>*</v>
      </c>
      <c r="H201" s="21" t="str">
        <f t="shared" si="5"/>
        <v/>
      </c>
      <c r="I201" s="21" t="str">
        <f t="shared" si="5"/>
        <v/>
      </c>
      <c r="J201" s="21" t="str">
        <f t="shared" si="5"/>
        <v>*</v>
      </c>
      <c r="K201" s="21" t="str">
        <f t="shared" si="5"/>
        <v>*</v>
      </c>
      <c r="L201" s="21" t="str">
        <f t="shared" si="5"/>
        <v>*</v>
      </c>
      <c r="M201" s="21" t="str">
        <f t="shared" si="5"/>
        <v>*</v>
      </c>
      <c r="N201" s="21" t="str">
        <f t="shared" si="5"/>
        <v>*</v>
      </c>
      <c r="O201" s="21" t="str">
        <f t="shared" si="5"/>
        <v>*</v>
      </c>
      <c r="P201" s="21" t="str">
        <f t="shared" si="5"/>
        <v>*</v>
      </c>
      <c r="Q201" s="21" t="str">
        <f t="shared" si="5"/>
        <v/>
      </c>
      <c r="R201" s="21" t="str">
        <f t="shared" si="5"/>
        <v>*</v>
      </c>
    </row>
    <row r="202" spans="1:18" s="20" customFormat="1" ht="14.25" hidden="1" customHeight="1" x14ac:dyDescent="0.2">
      <c r="A202" s="87"/>
      <c r="B202" s="30" t="s">
        <v>57</v>
      </c>
      <c r="C202" s="31" t="s">
        <v>225</v>
      </c>
      <c r="D202" s="21" t="str">
        <f t="shared" si="5"/>
        <v>*</v>
      </c>
      <c r="E202" s="21" t="str">
        <f t="shared" si="5"/>
        <v>*</v>
      </c>
      <c r="F202" s="21" t="str">
        <f t="shared" si="5"/>
        <v>*</v>
      </c>
      <c r="G202" s="21" t="str">
        <f t="shared" si="5"/>
        <v>*</v>
      </c>
      <c r="H202" s="21" t="str">
        <f t="shared" si="5"/>
        <v>*</v>
      </c>
      <c r="I202" s="21" t="str">
        <f t="shared" si="5"/>
        <v>*</v>
      </c>
      <c r="J202" s="21" t="str">
        <f t="shared" si="5"/>
        <v>*</v>
      </c>
      <c r="K202" s="21" t="str">
        <f t="shared" si="5"/>
        <v/>
      </c>
      <c r="L202" s="21" t="str">
        <f t="shared" si="5"/>
        <v>*</v>
      </c>
      <c r="M202" s="21" t="str">
        <f t="shared" si="5"/>
        <v>*</v>
      </c>
      <c r="N202" s="21" t="str">
        <f t="shared" si="5"/>
        <v>*</v>
      </c>
      <c r="O202" s="21" t="str">
        <f t="shared" si="5"/>
        <v/>
      </c>
      <c r="P202" s="21" t="str">
        <f t="shared" si="5"/>
        <v/>
      </c>
      <c r="Q202" s="21" t="str">
        <f t="shared" si="5"/>
        <v>*</v>
      </c>
      <c r="R202" s="21" t="str">
        <f t="shared" si="5"/>
        <v>*</v>
      </c>
    </row>
    <row r="203" spans="1:18" s="20" customFormat="1" ht="14.25" hidden="1" customHeight="1" x14ac:dyDescent="0.2">
      <c r="A203" s="64" t="s">
        <v>204</v>
      </c>
      <c r="B203" s="25" t="s">
        <v>55</v>
      </c>
      <c r="C203" s="26" t="s">
        <v>0</v>
      </c>
      <c r="D203" s="27" t="str">
        <f t="shared" si="5"/>
        <v>*</v>
      </c>
      <c r="E203" s="27" t="str">
        <f t="shared" si="5"/>
        <v>*</v>
      </c>
      <c r="F203" s="27" t="str">
        <f t="shared" si="5"/>
        <v>*</v>
      </c>
      <c r="G203" s="27" t="str">
        <f t="shared" si="5"/>
        <v/>
      </c>
      <c r="H203" s="27" t="str">
        <f t="shared" si="5"/>
        <v>*</v>
      </c>
      <c r="I203" s="27" t="str">
        <f t="shared" si="5"/>
        <v/>
      </c>
      <c r="J203" s="27" t="str">
        <f t="shared" si="5"/>
        <v/>
      </c>
      <c r="K203" s="27" t="str">
        <f t="shared" si="5"/>
        <v>*</v>
      </c>
      <c r="L203" s="27" t="str">
        <f t="shared" si="5"/>
        <v>*</v>
      </c>
      <c r="M203" s="27" t="str">
        <f t="shared" si="5"/>
        <v>*</v>
      </c>
      <c r="N203" s="27" t="str">
        <f t="shared" si="5"/>
        <v>*</v>
      </c>
      <c r="O203" s="27" t="str">
        <f t="shared" si="5"/>
        <v>*</v>
      </c>
      <c r="P203" s="27" t="str">
        <f t="shared" si="5"/>
        <v>*</v>
      </c>
      <c r="Q203" s="27" t="str">
        <f t="shared" si="5"/>
        <v>*</v>
      </c>
      <c r="R203" s="27" t="str">
        <f t="shared" si="5"/>
        <v>*</v>
      </c>
    </row>
    <row r="204" spans="1:18" s="20" customFormat="1" ht="14.25" hidden="1" customHeight="1" x14ac:dyDescent="0.2">
      <c r="A204" s="86" t="s">
        <v>15</v>
      </c>
      <c r="B204" s="28" t="s">
        <v>56</v>
      </c>
      <c r="C204" s="29" t="s">
        <v>2</v>
      </c>
      <c r="D204" s="21" t="str">
        <f t="shared" si="5"/>
        <v>*</v>
      </c>
      <c r="E204" s="21" t="str">
        <f t="shared" si="5"/>
        <v>*</v>
      </c>
      <c r="F204" s="21" t="str">
        <f t="shared" si="5"/>
        <v>*</v>
      </c>
      <c r="G204" s="21" t="str">
        <f t="shared" si="5"/>
        <v/>
      </c>
      <c r="H204" s="21" t="str">
        <f t="shared" si="5"/>
        <v>*</v>
      </c>
      <c r="I204" s="21" t="str">
        <f t="shared" si="5"/>
        <v/>
      </c>
      <c r="J204" s="21" t="str">
        <f t="shared" si="5"/>
        <v/>
      </c>
      <c r="K204" s="21" t="str">
        <f t="shared" si="5"/>
        <v>*</v>
      </c>
      <c r="L204" s="21" t="str">
        <f t="shared" si="5"/>
        <v/>
      </c>
      <c r="M204" s="21" t="str">
        <f t="shared" si="5"/>
        <v>*</v>
      </c>
      <c r="N204" s="21" t="str">
        <f t="shared" si="5"/>
        <v>*</v>
      </c>
      <c r="O204" s="21" t="str">
        <f t="shared" si="5"/>
        <v>*</v>
      </c>
      <c r="P204" s="21" t="str">
        <f t="shared" si="5"/>
        <v>*</v>
      </c>
      <c r="Q204" s="21" t="str">
        <f t="shared" si="5"/>
        <v>*</v>
      </c>
      <c r="R204" s="21" t="str">
        <f t="shared" si="5"/>
        <v>*</v>
      </c>
    </row>
    <row r="205" spans="1:18" s="20" customFormat="1" ht="14.25" hidden="1" customHeight="1" x14ac:dyDescent="0.2">
      <c r="A205" s="87"/>
      <c r="B205" s="30" t="s">
        <v>57</v>
      </c>
      <c r="C205" s="31" t="s">
        <v>225</v>
      </c>
      <c r="D205" s="21" t="str">
        <f t="shared" si="5"/>
        <v/>
      </c>
      <c r="E205" s="21" t="str">
        <f t="shared" si="5"/>
        <v/>
      </c>
      <c r="F205" s="21" t="str">
        <f t="shared" si="5"/>
        <v/>
      </c>
      <c r="G205" s="21" t="str">
        <f t="shared" si="5"/>
        <v/>
      </c>
      <c r="H205" s="21" t="str">
        <f t="shared" si="5"/>
        <v/>
      </c>
      <c r="I205" s="21" t="str">
        <f t="shared" si="5"/>
        <v/>
      </c>
      <c r="J205" s="21" t="str">
        <f t="shared" si="5"/>
        <v/>
      </c>
      <c r="K205" s="21" t="str">
        <f t="shared" si="5"/>
        <v/>
      </c>
      <c r="L205" s="21" t="str">
        <f t="shared" si="5"/>
        <v>*</v>
      </c>
      <c r="M205" s="21" t="str">
        <f t="shared" si="5"/>
        <v/>
      </c>
      <c r="N205" s="21" t="str">
        <f t="shared" si="5"/>
        <v/>
      </c>
      <c r="O205" s="21" t="str">
        <f t="shared" si="5"/>
        <v/>
      </c>
      <c r="P205" s="21" t="str">
        <f t="shared" si="5"/>
        <v>*</v>
      </c>
      <c r="Q205" s="21" t="str">
        <f t="shared" si="5"/>
        <v/>
      </c>
      <c r="R205" s="21" t="str">
        <f t="shared" si="5"/>
        <v/>
      </c>
    </row>
    <row r="206" spans="1:18" s="20" customFormat="1" ht="14.25" hidden="1" customHeight="1" x14ac:dyDescent="0.2">
      <c r="A206" s="64" t="s">
        <v>205</v>
      </c>
      <c r="B206" s="25" t="s">
        <v>55</v>
      </c>
      <c r="C206" s="26" t="s">
        <v>0</v>
      </c>
      <c r="D206" s="27" t="str">
        <f t="shared" si="5"/>
        <v>*</v>
      </c>
      <c r="E206" s="27" t="str">
        <f t="shared" si="5"/>
        <v>*</v>
      </c>
      <c r="F206" s="27" t="str">
        <f t="shared" si="5"/>
        <v>*</v>
      </c>
      <c r="G206" s="27" t="str">
        <f t="shared" si="5"/>
        <v>*</v>
      </c>
      <c r="H206" s="27" t="str">
        <f t="shared" si="5"/>
        <v>*</v>
      </c>
      <c r="I206" s="27" t="str">
        <f t="shared" si="5"/>
        <v>*</v>
      </c>
      <c r="J206" s="27" t="str">
        <f t="shared" si="5"/>
        <v/>
      </c>
      <c r="K206" s="27" t="str">
        <f t="shared" si="5"/>
        <v>*</v>
      </c>
      <c r="L206" s="27" t="str">
        <f t="shared" si="5"/>
        <v>*</v>
      </c>
      <c r="M206" s="27" t="str">
        <f t="shared" si="5"/>
        <v>*</v>
      </c>
      <c r="N206" s="27" t="str">
        <f t="shared" si="5"/>
        <v/>
      </c>
      <c r="O206" s="27" t="str">
        <f t="shared" si="5"/>
        <v>*</v>
      </c>
      <c r="P206" s="27" t="str">
        <f t="shared" si="5"/>
        <v>*</v>
      </c>
      <c r="Q206" s="27" t="str">
        <f t="shared" si="5"/>
        <v>*</v>
      </c>
      <c r="R206" s="27" t="str">
        <f t="shared" si="5"/>
        <v>*</v>
      </c>
    </row>
    <row r="207" spans="1:18" s="20" customFormat="1" ht="14.25" hidden="1" customHeight="1" x14ac:dyDescent="0.2">
      <c r="A207" s="86" t="s">
        <v>16</v>
      </c>
      <c r="B207" s="28" t="s">
        <v>56</v>
      </c>
      <c r="C207" s="29" t="s">
        <v>2</v>
      </c>
      <c r="D207" s="21" t="str">
        <f t="shared" si="5"/>
        <v>*</v>
      </c>
      <c r="E207" s="21" t="str">
        <f t="shared" si="5"/>
        <v>*</v>
      </c>
      <c r="F207" s="21" t="str">
        <f t="shared" si="5"/>
        <v>*</v>
      </c>
      <c r="G207" s="21" t="str">
        <f t="shared" si="5"/>
        <v>*</v>
      </c>
      <c r="H207" s="21" t="str">
        <f t="shared" si="5"/>
        <v>*</v>
      </c>
      <c r="I207" s="21" t="str">
        <f t="shared" si="5"/>
        <v>*</v>
      </c>
      <c r="J207" s="21" t="str">
        <f t="shared" si="5"/>
        <v/>
      </c>
      <c r="K207" s="21" t="str">
        <f t="shared" si="5"/>
        <v>*</v>
      </c>
      <c r="L207" s="21" t="str">
        <f t="shared" si="5"/>
        <v>*</v>
      </c>
      <c r="M207" s="21" t="str">
        <f t="shared" si="5"/>
        <v/>
      </c>
      <c r="N207" s="21" t="str">
        <f t="shared" si="5"/>
        <v/>
      </c>
      <c r="O207" s="21" t="str">
        <f t="shared" si="5"/>
        <v>*</v>
      </c>
      <c r="P207" s="21" t="str">
        <f t="shared" si="5"/>
        <v>*</v>
      </c>
      <c r="Q207" s="21" t="str">
        <f t="shared" si="5"/>
        <v>*</v>
      </c>
      <c r="R207" s="21" t="str">
        <f t="shared" si="5"/>
        <v>*</v>
      </c>
    </row>
    <row r="208" spans="1:18" s="20" customFormat="1" ht="14.25" hidden="1" customHeight="1" x14ac:dyDescent="0.2">
      <c r="A208" s="87"/>
      <c r="B208" s="30" t="s">
        <v>57</v>
      </c>
      <c r="C208" s="31" t="s">
        <v>225</v>
      </c>
      <c r="D208" s="21" t="str">
        <f t="shared" si="5"/>
        <v>*</v>
      </c>
      <c r="E208" s="21" t="str">
        <f t="shared" si="5"/>
        <v>*</v>
      </c>
      <c r="F208" s="21" t="str">
        <f t="shared" si="5"/>
        <v>*</v>
      </c>
      <c r="G208" s="21" t="str">
        <f t="shared" si="5"/>
        <v/>
      </c>
      <c r="H208" s="21" t="str">
        <f t="shared" si="5"/>
        <v/>
      </c>
      <c r="I208" s="21" t="str">
        <f t="shared" si="5"/>
        <v/>
      </c>
      <c r="J208" s="21" t="str">
        <f t="shared" si="5"/>
        <v/>
      </c>
      <c r="K208" s="21" t="str">
        <f t="shared" si="5"/>
        <v/>
      </c>
      <c r="L208" s="21" t="str">
        <f t="shared" si="5"/>
        <v/>
      </c>
      <c r="M208" s="21" t="str">
        <f t="shared" si="5"/>
        <v>*</v>
      </c>
      <c r="N208" s="21" t="str">
        <f t="shared" si="5"/>
        <v/>
      </c>
      <c r="O208" s="21" t="str">
        <f t="shared" si="5"/>
        <v>*</v>
      </c>
      <c r="P208" s="21" t="str">
        <f t="shared" si="5"/>
        <v>*</v>
      </c>
      <c r="Q208" s="21" t="str">
        <f t="shared" si="5"/>
        <v>*</v>
      </c>
      <c r="R208" s="21" t="str">
        <f t="shared" si="5"/>
        <v>*</v>
      </c>
    </row>
    <row r="209" spans="1:18" s="20" customFormat="1" ht="14.25" hidden="1" customHeight="1" x14ac:dyDescent="0.2">
      <c r="A209" s="64" t="s">
        <v>206</v>
      </c>
      <c r="B209" s="25" t="s">
        <v>55</v>
      </c>
      <c r="C209" s="26" t="s">
        <v>0</v>
      </c>
      <c r="D209" s="27" t="str">
        <f t="shared" si="5"/>
        <v>*</v>
      </c>
      <c r="E209" s="27" t="str">
        <f t="shared" si="5"/>
        <v>*</v>
      </c>
      <c r="F209" s="27" t="str">
        <f t="shared" si="5"/>
        <v>*</v>
      </c>
      <c r="G209" s="27" t="str">
        <f t="shared" si="5"/>
        <v>*</v>
      </c>
      <c r="H209" s="27" t="str">
        <f t="shared" si="5"/>
        <v>*</v>
      </c>
      <c r="I209" s="27" t="str">
        <f t="shared" si="5"/>
        <v>*</v>
      </c>
      <c r="J209" s="27" t="str">
        <f t="shared" si="5"/>
        <v>*</v>
      </c>
      <c r="K209" s="27" t="str">
        <f t="shared" si="5"/>
        <v>*</v>
      </c>
      <c r="L209" s="27" t="str">
        <f t="shared" si="5"/>
        <v>*</v>
      </c>
      <c r="M209" s="27" t="str">
        <f t="shared" si="5"/>
        <v/>
      </c>
      <c r="N209" s="27" t="str">
        <f t="shared" si="5"/>
        <v/>
      </c>
      <c r="O209" s="27" t="str">
        <f t="shared" si="5"/>
        <v>*</v>
      </c>
      <c r="P209" s="27" t="str">
        <f t="shared" si="5"/>
        <v/>
      </c>
      <c r="Q209" s="27" t="str">
        <f t="shared" si="5"/>
        <v>*</v>
      </c>
      <c r="R209" s="27" t="str">
        <f t="shared" si="5"/>
        <v>*</v>
      </c>
    </row>
    <row r="210" spans="1:18" s="20" customFormat="1" ht="14.25" hidden="1" customHeight="1" x14ac:dyDescent="0.2">
      <c r="A210" s="86" t="s">
        <v>17</v>
      </c>
      <c r="B210" s="28" t="s">
        <v>56</v>
      </c>
      <c r="C210" s="29" t="s">
        <v>2</v>
      </c>
      <c r="D210" s="21" t="str">
        <f t="shared" si="5"/>
        <v>*</v>
      </c>
      <c r="E210" s="21" t="str">
        <f t="shared" si="5"/>
        <v>*</v>
      </c>
      <c r="F210" s="21" t="str">
        <f t="shared" si="5"/>
        <v>*</v>
      </c>
      <c r="G210" s="21" t="str">
        <f t="shared" si="5"/>
        <v>*</v>
      </c>
      <c r="H210" s="21" t="str">
        <f t="shared" si="5"/>
        <v>*</v>
      </c>
      <c r="I210" s="21" t="str">
        <f t="shared" si="5"/>
        <v>*</v>
      </c>
      <c r="J210" s="21" t="str">
        <f t="shared" si="5"/>
        <v>*</v>
      </c>
      <c r="K210" s="21" t="str">
        <f t="shared" si="5"/>
        <v>*</v>
      </c>
      <c r="L210" s="21" t="str">
        <f t="shared" si="5"/>
        <v>*</v>
      </c>
      <c r="M210" s="21" t="str">
        <f t="shared" si="5"/>
        <v>*</v>
      </c>
      <c r="N210" s="21" t="str">
        <f t="shared" si="5"/>
        <v>*</v>
      </c>
      <c r="O210" s="21" t="str">
        <f t="shared" si="5"/>
        <v>*</v>
      </c>
      <c r="P210" s="21" t="str">
        <f t="shared" si="5"/>
        <v>*</v>
      </c>
      <c r="Q210" s="21" t="str">
        <f t="shared" si="5"/>
        <v>*</v>
      </c>
      <c r="R210" s="21" t="str">
        <f t="shared" si="5"/>
        <v>*</v>
      </c>
    </row>
    <row r="211" spans="1:18" s="20" customFormat="1" ht="14.25" hidden="1" customHeight="1" x14ac:dyDescent="0.2">
      <c r="A211" s="87"/>
      <c r="B211" s="30" t="s">
        <v>57</v>
      </c>
      <c r="C211" s="31" t="s">
        <v>225</v>
      </c>
      <c r="D211" s="21" t="str">
        <f t="shared" si="5"/>
        <v>*</v>
      </c>
      <c r="E211" s="21" t="str">
        <f t="shared" si="5"/>
        <v>*</v>
      </c>
      <c r="F211" s="21" t="str">
        <f t="shared" si="5"/>
        <v>*</v>
      </c>
      <c r="G211" s="21" t="str">
        <f t="shared" si="5"/>
        <v/>
      </c>
      <c r="H211" s="21" t="str">
        <f t="shared" si="5"/>
        <v>*</v>
      </c>
      <c r="I211" s="21" t="str">
        <f t="shared" si="5"/>
        <v/>
      </c>
      <c r="J211" s="21" t="str">
        <f t="shared" si="5"/>
        <v/>
      </c>
      <c r="K211" s="21" t="str">
        <f t="shared" si="5"/>
        <v/>
      </c>
      <c r="L211" s="21" t="str">
        <f t="shared" si="5"/>
        <v>*</v>
      </c>
      <c r="M211" s="21" t="str">
        <f t="shared" si="5"/>
        <v>*</v>
      </c>
      <c r="N211" s="21" t="str">
        <f t="shared" si="5"/>
        <v>*</v>
      </c>
      <c r="O211" s="21" t="str">
        <f t="shared" si="5"/>
        <v/>
      </c>
      <c r="P211" s="21" t="str">
        <f t="shared" si="5"/>
        <v>*</v>
      </c>
      <c r="Q211" s="21" t="str">
        <f t="shared" si="5"/>
        <v/>
      </c>
      <c r="R211" s="21" t="str">
        <f t="shared" si="5"/>
        <v/>
      </c>
    </row>
    <row r="212" spans="1:18" s="20" customFormat="1" ht="14.25" hidden="1" customHeight="1" x14ac:dyDescent="0.2">
      <c r="A212" s="64" t="s">
        <v>207</v>
      </c>
      <c r="B212" s="25" t="s">
        <v>55</v>
      </c>
      <c r="C212" s="26" t="s">
        <v>0</v>
      </c>
      <c r="D212" s="27" t="str">
        <f t="shared" si="5"/>
        <v>*</v>
      </c>
      <c r="E212" s="27" t="str">
        <f t="shared" si="5"/>
        <v/>
      </c>
      <c r="F212" s="27" t="str">
        <f t="shared" si="5"/>
        <v>*</v>
      </c>
      <c r="G212" s="27" t="str">
        <f t="shared" si="5"/>
        <v>*</v>
      </c>
      <c r="H212" s="27" t="str">
        <f t="shared" si="5"/>
        <v/>
      </c>
      <c r="I212" s="27" t="str">
        <f t="shared" si="5"/>
        <v>*</v>
      </c>
      <c r="J212" s="27" t="str">
        <f t="shared" si="5"/>
        <v>*</v>
      </c>
      <c r="K212" s="27" t="str">
        <f t="shared" si="5"/>
        <v>*</v>
      </c>
      <c r="L212" s="27" t="str">
        <f t="shared" si="5"/>
        <v>*</v>
      </c>
      <c r="M212" s="27" t="str">
        <f t="shared" si="5"/>
        <v>*</v>
      </c>
      <c r="N212" s="27" t="str">
        <f t="shared" si="5"/>
        <v>*</v>
      </c>
      <c r="O212" s="27" t="str">
        <f t="shared" si="5"/>
        <v/>
      </c>
      <c r="P212" s="27" t="str">
        <f t="shared" si="5"/>
        <v>*</v>
      </c>
      <c r="Q212" s="27" t="str">
        <f t="shared" si="5"/>
        <v>*</v>
      </c>
      <c r="R212" s="27" t="str">
        <f t="shared" si="5"/>
        <v>*</v>
      </c>
    </row>
    <row r="213" spans="1:18" s="20" customFormat="1" ht="14.25" hidden="1" customHeight="1" x14ac:dyDescent="0.2">
      <c r="A213" s="86" t="s">
        <v>18</v>
      </c>
      <c r="B213" s="28" t="s">
        <v>56</v>
      </c>
      <c r="C213" s="29" t="s">
        <v>2</v>
      </c>
      <c r="D213" s="21" t="str">
        <f t="shared" si="5"/>
        <v>*</v>
      </c>
      <c r="E213" s="21" t="str">
        <f t="shared" si="5"/>
        <v/>
      </c>
      <c r="F213" s="21" t="str">
        <f t="shared" si="5"/>
        <v>*</v>
      </c>
      <c r="G213" s="21" t="str">
        <f t="shared" si="5"/>
        <v>*</v>
      </c>
      <c r="H213" s="21" t="str">
        <f t="shared" si="5"/>
        <v/>
      </c>
      <c r="I213" s="21" t="str">
        <f t="shared" si="5"/>
        <v>*</v>
      </c>
      <c r="J213" s="21" t="str">
        <f t="shared" si="5"/>
        <v>*</v>
      </c>
      <c r="K213" s="21" t="str">
        <f t="shared" si="5"/>
        <v>*</v>
      </c>
      <c r="L213" s="21" t="str">
        <f t="shared" si="5"/>
        <v>*</v>
      </c>
      <c r="M213" s="21" t="str">
        <f t="shared" si="5"/>
        <v>*</v>
      </c>
      <c r="N213" s="21" t="str">
        <f t="shared" si="5"/>
        <v>*</v>
      </c>
      <c r="O213" s="21" t="str">
        <f t="shared" si="5"/>
        <v/>
      </c>
      <c r="P213" s="21" t="str">
        <f t="shared" si="5"/>
        <v>*</v>
      </c>
      <c r="Q213" s="21" t="str">
        <f t="shared" si="5"/>
        <v>*</v>
      </c>
      <c r="R213" s="21" t="str">
        <f t="shared" si="5"/>
        <v>*</v>
      </c>
    </row>
    <row r="214" spans="1:18" s="20" customFormat="1" ht="14.25" hidden="1" customHeight="1" x14ac:dyDescent="0.2">
      <c r="A214" s="87"/>
      <c r="B214" s="30" t="s">
        <v>57</v>
      </c>
      <c r="C214" s="31" t="s">
        <v>225</v>
      </c>
      <c r="D214" s="21" t="str">
        <f t="shared" si="5"/>
        <v/>
      </c>
      <c r="E214" s="21" t="str">
        <f t="shared" si="5"/>
        <v/>
      </c>
      <c r="F214" s="21" t="str">
        <f t="shared" si="5"/>
        <v/>
      </c>
      <c r="G214" s="21" t="str">
        <f t="shared" si="5"/>
        <v/>
      </c>
      <c r="H214" s="21" t="str">
        <f t="shared" si="5"/>
        <v/>
      </c>
      <c r="I214" s="21" t="str">
        <f t="shared" si="5"/>
        <v/>
      </c>
      <c r="J214" s="21" t="str">
        <f t="shared" si="5"/>
        <v/>
      </c>
      <c r="K214" s="21" t="str">
        <f t="shared" si="5"/>
        <v/>
      </c>
      <c r="L214" s="21" t="str">
        <f t="shared" si="5"/>
        <v/>
      </c>
      <c r="M214" s="21" t="str">
        <f t="shared" si="5"/>
        <v/>
      </c>
      <c r="N214" s="21" t="str">
        <f t="shared" si="5"/>
        <v/>
      </c>
      <c r="O214" s="21" t="str">
        <f t="shared" si="5"/>
        <v/>
      </c>
      <c r="P214" s="21" t="str">
        <f t="shared" si="5"/>
        <v/>
      </c>
      <c r="Q214" s="21" t="str">
        <f t="shared" si="5"/>
        <v/>
      </c>
      <c r="R214" s="21" t="str">
        <f t="shared" si="5"/>
        <v/>
      </c>
    </row>
    <row r="215" spans="1:18" s="20" customFormat="1" ht="14.25" hidden="1" customHeight="1" x14ac:dyDescent="0.2">
      <c r="A215" s="64" t="s">
        <v>208</v>
      </c>
      <c r="B215" s="25" t="s">
        <v>55</v>
      </c>
      <c r="C215" s="26" t="s">
        <v>0</v>
      </c>
      <c r="D215" s="27" t="str">
        <f t="shared" si="5"/>
        <v>*</v>
      </c>
      <c r="E215" s="27" t="str">
        <f t="shared" si="5"/>
        <v>*</v>
      </c>
      <c r="F215" s="27" t="str">
        <f t="shared" si="5"/>
        <v>*</v>
      </c>
      <c r="G215" s="27" t="str">
        <f t="shared" si="5"/>
        <v/>
      </c>
      <c r="H215" s="27" t="str">
        <f t="shared" si="5"/>
        <v>*</v>
      </c>
      <c r="I215" s="27" t="str">
        <f t="shared" si="5"/>
        <v>*</v>
      </c>
      <c r="J215" s="27" t="str">
        <f t="shared" si="5"/>
        <v>*</v>
      </c>
      <c r="K215" s="27" t="str">
        <f t="shared" si="5"/>
        <v>*</v>
      </c>
      <c r="L215" s="27" t="str">
        <f t="shared" si="5"/>
        <v>*</v>
      </c>
      <c r="M215" s="27" t="str">
        <f t="shared" si="5"/>
        <v>*</v>
      </c>
      <c r="N215" s="27" t="str">
        <f t="shared" si="5"/>
        <v/>
      </c>
      <c r="O215" s="27" t="str">
        <f t="shared" si="5"/>
        <v>*</v>
      </c>
      <c r="P215" s="27" t="str">
        <f t="shared" si="5"/>
        <v>*</v>
      </c>
      <c r="Q215" s="27" t="str">
        <f t="shared" si="5"/>
        <v>*</v>
      </c>
      <c r="R215" s="27" t="str">
        <f t="shared" si="5"/>
        <v>*</v>
      </c>
    </row>
    <row r="216" spans="1:18" s="20" customFormat="1" ht="14.25" hidden="1" customHeight="1" x14ac:dyDescent="0.2">
      <c r="A216" s="86" t="s">
        <v>19</v>
      </c>
      <c r="B216" s="28" t="s">
        <v>56</v>
      </c>
      <c r="C216" s="29" t="s">
        <v>2</v>
      </c>
      <c r="D216" s="21" t="str">
        <f t="shared" si="5"/>
        <v>*</v>
      </c>
      <c r="E216" s="21" t="str">
        <f t="shared" si="5"/>
        <v>*</v>
      </c>
      <c r="F216" s="21" t="str">
        <f t="shared" si="5"/>
        <v>*</v>
      </c>
      <c r="G216" s="21" t="str">
        <f t="shared" si="5"/>
        <v/>
      </c>
      <c r="H216" s="21" t="str">
        <f t="shared" si="5"/>
        <v>*</v>
      </c>
      <c r="I216" s="21" t="str">
        <f t="shared" si="5"/>
        <v>*</v>
      </c>
      <c r="J216" s="21" t="str">
        <f t="shared" si="5"/>
        <v>*</v>
      </c>
      <c r="K216" s="21" t="str">
        <f t="shared" si="5"/>
        <v>*</v>
      </c>
      <c r="L216" s="21" t="str">
        <f t="shared" si="5"/>
        <v>*</v>
      </c>
      <c r="M216" s="21" t="str">
        <f t="shared" si="5"/>
        <v>*</v>
      </c>
      <c r="N216" s="21" t="str">
        <f t="shared" si="5"/>
        <v/>
      </c>
      <c r="O216" s="21" t="str">
        <f t="shared" si="5"/>
        <v>*</v>
      </c>
      <c r="P216" s="21" t="str">
        <f t="shared" si="5"/>
        <v>*</v>
      </c>
      <c r="Q216" s="21" t="str">
        <f t="shared" si="5"/>
        <v>*</v>
      </c>
      <c r="R216" s="21" t="str">
        <f t="shared" si="5"/>
        <v>*</v>
      </c>
    </row>
    <row r="217" spans="1:18" s="20" customFormat="1" ht="14.25" hidden="1" customHeight="1" x14ac:dyDescent="0.2">
      <c r="A217" s="87"/>
      <c r="B217" s="30" t="s">
        <v>57</v>
      </c>
      <c r="C217" s="31" t="s">
        <v>225</v>
      </c>
      <c r="D217" s="21" t="str">
        <f t="shared" ref="D217:R220" si="6">IF(D147=D73,"","*")</f>
        <v/>
      </c>
      <c r="E217" s="21" t="str">
        <f t="shared" si="6"/>
        <v/>
      </c>
      <c r="F217" s="21" t="str">
        <f t="shared" si="6"/>
        <v/>
      </c>
      <c r="G217" s="21" t="str">
        <f t="shared" si="6"/>
        <v/>
      </c>
      <c r="H217" s="21" t="str">
        <f t="shared" si="6"/>
        <v/>
      </c>
      <c r="I217" s="21" t="str">
        <f t="shared" si="6"/>
        <v/>
      </c>
      <c r="J217" s="21" t="str">
        <f t="shared" si="6"/>
        <v/>
      </c>
      <c r="K217" s="21" t="str">
        <f t="shared" si="6"/>
        <v/>
      </c>
      <c r="L217" s="21" t="str">
        <f t="shared" si="6"/>
        <v/>
      </c>
      <c r="M217" s="21" t="str">
        <f t="shared" si="6"/>
        <v/>
      </c>
      <c r="N217" s="21" t="str">
        <f t="shared" si="6"/>
        <v/>
      </c>
      <c r="O217" s="21" t="str">
        <f t="shared" si="6"/>
        <v/>
      </c>
      <c r="P217" s="21" t="str">
        <f t="shared" si="6"/>
        <v/>
      </c>
      <c r="Q217" s="21" t="str">
        <f t="shared" si="6"/>
        <v/>
      </c>
      <c r="R217" s="21" t="str">
        <f t="shared" si="6"/>
        <v/>
      </c>
    </row>
    <row r="218" spans="1:18" s="20" customFormat="1" ht="14.25" hidden="1" customHeight="1" x14ac:dyDescent="0.2">
      <c r="A218" s="64" t="s">
        <v>209</v>
      </c>
      <c r="B218" s="25" t="s">
        <v>55</v>
      </c>
      <c r="C218" s="26" t="s">
        <v>0</v>
      </c>
      <c r="D218" s="27" t="str">
        <f t="shared" si="6"/>
        <v>*</v>
      </c>
      <c r="E218" s="27" t="str">
        <f t="shared" si="6"/>
        <v>*</v>
      </c>
      <c r="F218" s="27" t="str">
        <f t="shared" si="6"/>
        <v>*</v>
      </c>
      <c r="G218" s="27" t="str">
        <f t="shared" si="6"/>
        <v/>
      </c>
      <c r="H218" s="27" t="str">
        <f t="shared" si="6"/>
        <v/>
      </c>
      <c r="I218" s="27" t="str">
        <f t="shared" si="6"/>
        <v/>
      </c>
      <c r="J218" s="27" t="str">
        <f t="shared" si="6"/>
        <v/>
      </c>
      <c r="K218" s="27" t="str">
        <f t="shared" si="6"/>
        <v/>
      </c>
      <c r="L218" s="27" t="str">
        <f t="shared" si="6"/>
        <v/>
      </c>
      <c r="M218" s="27" t="str">
        <f t="shared" si="6"/>
        <v>*</v>
      </c>
      <c r="N218" s="27" t="str">
        <f t="shared" si="6"/>
        <v/>
      </c>
      <c r="O218" s="27" t="str">
        <f t="shared" si="6"/>
        <v>*</v>
      </c>
      <c r="P218" s="27" t="str">
        <f t="shared" si="6"/>
        <v>*</v>
      </c>
      <c r="Q218" s="27" t="str">
        <f t="shared" si="6"/>
        <v>*</v>
      </c>
      <c r="R218" s="27" t="str">
        <f t="shared" si="6"/>
        <v/>
      </c>
    </row>
    <row r="219" spans="1:18" s="20" customFormat="1" ht="14.25" hidden="1" customHeight="1" x14ac:dyDescent="0.2">
      <c r="A219" s="86" t="s">
        <v>20</v>
      </c>
      <c r="B219" s="28" t="s">
        <v>56</v>
      </c>
      <c r="C219" s="29" t="s">
        <v>2</v>
      </c>
      <c r="D219" s="21" t="str">
        <f t="shared" si="6"/>
        <v>*</v>
      </c>
      <c r="E219" s="21" t="str">
        <f t="shared" si="6"/>
        <v>*</v>
      </c>
      <c r="F219" s="21" t="str">
        <f t="shared" si="6"/>
        <v>*</v>
      </c>
      <c r="G219" s="21" t="str">
        <f t="shared" si="6"/>
        <v/>
      </c>
      <c r="H219" s="21" t="str">
        <f t="shared" si="6"/>
        <v/>
      </c>
      <c r="I219" s="21" t="str">
        <f t="shared" si="6"/>
        <v/>
      </c>
      <c r="J219" s="21" t="str">
        <f t="shared" si="6"/>
        <v/>
      </c>
      <c r="K219" s="21" t="str">
        <f t="shared" si="6"/>
        <v/>
      </c>
      <c r="L219" s="21" t="str">
        <f t="shared" si="6"/>
        <v/>
      </c>
      <c r="M219" s="21" t="str">
        <f t="shared" si="6"/>
        <v>*</v>
      </c>
      <c r="N219" s="21" t="str">
        <f t="shared" si="6"/>
        <v>*</v>
      </c>
      <c r="O219" s="21" t="str">
        <f t="shared" si="6"/>
        <v>*</v>
      </c>
      <c r="P219" s="21" t="str">
        <f t="shared" si="6"/>
        <v>*</v>
      </c>
      <c r="Q219" s="21" t="str">
        <f t="shared" si="6"/>
        <v>*</v>
      </c>
      <c r="R219" s="21" t="str">
        <f t="shared" si="6"/>
        <v/>
      </c>
    </row>
    <row r="220" spans="1:18" s="20" customFormat="1" ht="14.25" hidden="1" customHeight="1" x14ac:dyDescent="0.2">
      <c r="A220" s="87"/>
      <c r="B220" s="30" t="s">
        <v>57</v>
      </c>
      <c r="C220" s="31" t="s">
        <v>225</v>
      </c>
      <c r="D220" s="22" t="str">
        <f t="shared" si="6"/>
        <v>*</v>
      </c>
      <c r="E220" s="22" t="str">
        <f t="shared" si="6"/>
        <v/>
      </c>
      <c r="F220" s="22" t="str">
        <f t="shared" si="6"/>
        <v>*</v>
      </c>
      <c r="G220" s="22" t="str">
        <f t="shared" si="6"/>
        <v/>
      </c>
      <c r="H220" s="22" t="str">
        <f t="shared" si="6"/>
        <v/>
      </c>
      <c r="I220" s="22" t="str">
        <f t="shared" si="6"/>
        <v/>
      </c>
      <c r="J220" s="22" t="str">
        <f t="shared" si="6"/>
        <v/>
      </c>
      <c r="K220" s="22" t="str">
        <f t="shared" si="6"/>
        <v/>
      </c>
      <c r="L220" s="22" t="str">
        <f t="shared" si="6"/>
        <v/>
      </c>
      <c r="M220" s="22" t="str">
        <f t="shared" si="6"/>
        <v/>
      </c>
      <c r="N220" s="22" t="str">
        <f t="shared" si="6"/>
        <v>*</v>
      </c>
      <c r="O220" s="22" t="str">
        <f t="shared" si="6"/>
        <v/>
      </c>
      <c r="P220" s="22" t="str">
        <f t="shared" si="6"/>
        <v>*</v>
      </c>
      <c r="Q220" s="22" t="str">
        <f t="shared" si="6"/>
        <v/>
      </c>
      <c r="R220" s="22" t="str">
        <f t="shared" si="6"/>
        <v/>
      </c>
    </row>
  </sheetData>
  <mergeCells count="93">
    <mergeCell ref="K5:L5"/>
    <mergeCell ref="M5:N5"/>
    <mergeCell ref="O5:P5"/>
    <mergeCell ref="Q5:R5"/>
    <mergeCell ref="D6:D7"/>
    <mergeCell ref="Q6:Q7"/>
    <mergeCell ref="R6:R7"/>
    <mergeCell ref="A18:A19"/>
    <mergeCell ref="K6:K7"/>
    <mergeCell ref="L6:L7"/>
    <mergeCell ref="M6:M7"/>
    <mergeCell ref="N6:N7"/>
    <mergeCell ref="E6:E7"/>
    <mergeCell ref="F6:F7"/>
    <mergeCell ref="G6:G7"/>
    <mergeCell ref="H6:H7"/>
    <mergeCell ref="I6:I7"/>
    <mergeCell ref="J6:J7"/>
    <mergeCell ref="A4:C7"/>
    <mergeCell ref="D4:R4"/>
    <mergeCell ref="D5:F5"/>
    <mergeCell ref="G5:H5"/>
    <mergeCell ref="I5:J5"/>
    <mergeCell ref="A9:A10"/>
    <mergeCell ref="A12:A13"/>
    <mergeCell ref="A15:A16"/>
    <mergeCell ref="O6:O7"/>
    <mergeCell ref="P6:P7"/>
    <mergeCell ref="A54:A55"/>
    <mergeCell ref="A21:A22"/>
    <mergeCell ref="A24:A25"/>
    <mergeCell ref="A27:A28"/>
    <mergeCell ref="A30:A31"/>
    <mergeCell ref="A33:A34"/>
    <mergeCell ref="A36:A37"/>
    <mergeCell ref="A39:A40"/>
    <mergeCell ref="A42:A43"/>
    <mergeCell ref="A45:A46"/>
    <mergeCell ref="A48:A49"/>
    <mergeCell ref="A51:A52"/>
    <mergeCell ref="A95:A96"/>
    <mergeCell ref="A57:A58"/>
    <mergeCell ref="A60:A61"/>
    <mergeCell ref="A63:A64"/>
    <mergeCell ref="A66:A67"/>
    <mergeCell ref="A69:A70"/>
    <mergeCell ref="A72:A73"/>
    <mergeCell ref="A75:A76"/>
    <mergeCell ref="A83:A84"/>
    <mergeCell ref="A86:A87"/>
    <mergeCell ref="A89:A90"/>
    <mergeCell ref="A92:A93"/>
    <mergeCell ref="A131:A132"/>
    <mergeCell ref="A98:A99"/>
    <mergeCell ref="A101:A102"/>
    <mergeCell ref="A104:A105"/>
    <mergeCell ref="A107:A108"/>
    <mergeCell ref="A110:A111"/>
    <mergeCell ref="A113:A114"/>
    <mergeCell ref="A116:A117"/>
    <mergeCell ref="A119:A120"/>
    <mergeCell ref="A122:A123"/>
    <mergeCell ref="A125:A126"/>
    <mergeCell ref="A128:A129"/>
    <mergeCell ref="A168:A169"/>
    <mergeCell ref="A134:A135"/>
    <mergeCell ref="A137:A138"/>
    <mergeCell ref="A140:A141"/>
    <mergeCell ref="A143:A144"/>
    <mergeCell ref="A146:A147"/>
    <mergeCell ref="A149:A150"/>
    <mergeCell ref="A153:A154"/>
    <mergeCell ref="A156:A157"/>
    <mergeCell ref="A159:A160"/>
    <mergeCell ref="A162:A163"/>
    <mergeCell ref="A165:A166"/>
    <mergeCell ref="A204:A205"/>
    <mergeCell ref="A171:A172"/>
    <mergeCell ref="A174:A175"/>
    <mergeCell ref="A177:A178"/>
    <mergeCell ref="A180:A181"/>
    <mergeCell ref="A183:A184"/>
    <mergeCell ref="A186:A187"/>
    <mergeCell ref="A189:A190"/>
    <mergeCell ref="A192:A193"/>
    <mergeCell ref="A195:A196"/>
    <mergeCell ref="A198:A199"/>
    <mergeCell ref="A201:A202"/>
    <mergeCell ref="A207:A208"/>
    <mergeCell ref="A210:A211"/>
    <mergeCell ref="A213:A214"/>
    <mergeCell ref="A216:A217"/>
    <mergeCell ref="A219:A220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 alignWithMargins="0">
    <oddHeader>&amp;L&amp;"微軟正黑體,標準"&amp;16兒童及少年保護執行概況&amp;C&amp;"微軟正黑體,標準"&amp;16
&amp;R&amp;"微軟正黑體,標準"本表共&amp;N頁，第&amp;P頁</oddHeader>
  </headerFooter>
  <rowBreaks count="1" manualBreakCount="1">
    <brk id="43" max="17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80"/>
  <sheetViews>
    <sheetView zoomScaleNormal="100" zoomScaleSheetLayoutView="100" workbookViewId="0">
      <pane xSplit="4" ySplit="8" topLeftCell="E9" activePane="bottomRight" state="frozen"/>
      <selection activeCell="A3" sqref="A3"/>
      <selection pane="topRight" activeCell="A3" sqref="A3"/>
      <selection pane="bottomLeft" activeCell="A3" sqref="A3"/>
      <selection pane="bottomRight" activeCell="G34" sqref="G34"/>
    </sheetView>
  </sheetViews>
  <sheetFormatPr defaultColWidth="5.5" defaultRowHeight="11.1" customHeight="1" x14ac:dyDescent="0.2"/>
  <cols>
    <col min="1" max="1" width="19.1640625" style="4" customWidth="1"/>
    <col min="2" max="2" width="10.33203125" style="4" customWidth="1"/>
    <col min="3" max="3" width="13.1640625" style="4" customWidth="1"/>
    <col min="4" max="18" width="11.5" style="4" customWidth="1"/>
    <col min="19" max="16384" width="5.5" style="4"/>
  </cols>
  <sheetData>
    <row r="1" spans="1:18" ht="20.25" customHeight="1" x14ac:dyDescent="0.2">
      <c r="A1" s="46" t="s">
        <v>174</v>
      </c>
      <c r="B1" s="1"/>
      <c r="C1" s="1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4.25" customHeight="1" x14ac:dyDescent="0.2">
      <c r="A2" s="17" t="s">
        <v>148</v>
      </c>
      <c r="B2"/>
      <c r="C2"/>
      <c r="D2" s="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</row>
    <row r="3" spans="1:18" s="17" customFormat="1" ht="12.75" customHeight="1" x14ac:dyDescent="0.2">
      <c r="A3" s="53" t="s">
        <v>219</v>
      </c>
      <c r="B3" s="16"/>
      <c r="C3" s="16"/>
      <c r="D3" s="4" t="str">
        <f>IF(D8=SUM(D11,D14,D17,D20,D23,D26,D29,D32,D35,D38,D41,D44,D47,D50,D53,D56,D59,D62,D65,D68,D71,D74,),"","*")</f>
        <v/>
      </c>
      <c r="E3" s="4" t="str">
        <f t="shared" ref="E3:R3" si="0">IF(E8=SUM(E11,E14,E17,E20,E23,E26,E29,E32,E35,E38,E41,E44,E47,E50,E53,E56,E59,E62,E65,E68,E71,E74,),"","*")</f>
        <v/>
      </c>
      <c r="F3" s="4" t="str">
        <f t="shared" si="0"/>
        <v/>
      </c>
      <c r="G3" s="4" t="str">
        <f t="shared" si="0"/>
        <v/>
      </c>
      <c r="H3" s="4" t="str">
        <f t="shared" si="0"/>
        <v/>
      </c>
      <c r="I3" s="4" t="str">
        <f t="shared" si="0"/>
        <v/>
      </c>
      <c r="J3" s="4" t="str">
        <f t="shared" si="0"/>
        <v/>
      </c>
      <c r="K3" s="4" t="str">
        <f t="shared" si="0"/>
        <v/>
      </c>
      <c r="L3" s="4" t="str">
        <f t="shared" si="0"/>
        <v/>
      </c>
      <c r="M3" s="4" t="str">
        <f t="shared" si="0"/>
        <v/>
      </c>
      <c r="N3" s="4" t="str">
        <f t="shared" si="0"/>
        <v/>
      </c>
      <c r="O3" s="4" t="str">
        <f t="shared" si="0"/>
        <v/>
      </c>
      <c r="P3" s="4" t="str">
        <f t="shared" si="0"/>
        <v/>
      </c>
      <c r="Q3" s="4" t="str">
        <f t="shared" si="0"/>
        <v/>
      </c>
      <c r="R3" s="4" t="str">
        <f t="shared" si="0"/>
        <v/>
      </c>
    </row>
    <row r="4" spans="1:18" s="18" customFormat="1" ht="15.6" customHeight="1" x14ac:dyDescent="0.2">
      <c r="A4" s="94" t="s">
        <v>42</v>
      </c>
      <c r="B4" s="95"/>
      <c r="C4" s="96"/>
      <c r="D4" s="76" t="s">
        <v>43</v>
      </c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</row>
    <row r="5" spans="1:18" s="18" customFormat="1" ht="28.9" customHeight="1" x14ac:dyDescent="0.2">
      <c r="A5" s="97"/>
      <c r="B5" s="98"/>
      <c r="C5" s="99"/>
      <c r="D5" s="78" t="s">
        <v>44</v>
      </c>
      <c r="E5" s="79"/>
      <c r="F5" s="80"/>
      <c r="G5" s="103" t="s">
        <v>45</v>
      </c>
      <c r="H5" s="104"/>
      <c r="I5" s="103" t="s">
        <v>46</v>
      </c>
      <c r="J5" s="104"/>
      <c r="K5" s="103" t="s">
        <v>47</v>
      </c>
      <c r="L5" s="104"/>
      <c r="M5" s="103" t="s">
        <v>48</v>
      </c>
      <c r="N5" s="104"/>
      <c r="O5" s="103" t="s">
        <v>49</v>
      </c>
      <c r="P5" s="104"/>
      <c r="Q5" s="103" t="s">
        <v>50</v>
      </c>
      <c r="R5" s="105"/>
    </row>
    <row r="6" spans="1:18" s="18" customFormat="1" ht="12.75" x14ac:dyDescent="0.2">
      <c r="A6" s="97"/>
      <c r="B6" s="98"/>
      <c r="C6" s="99"/>
      <c r="D6" s="72" t="s">
        <v>51</v>
      </c>
      <c r="E6" s="92" t="s">
        <v>52</v>
      </c>
      <c r="F6" s="90" t="s">
        <v>53</v>
      </c>
      <c r="G6" s="90" t="s">
        <v>52</v>
      </c>
      <c r="H6" s="90" t="s">
        <v>53</v>
      </c>
      <c r="I6" s="90" t="s">
        <v>52</v>
      </c>
      <c r="J6" s="90" t="s">
        <v>53</v>
      </c>
      <c r="K6" s="90" t="s">
        <v>52</v>
      </c>
      <c r="L6" s="90" t="s">
        <v>53</v>
      </c>
      <c r="M6" s="90" t="s">
        <v>52</v>
      </c>
      <c r="N6" s="90" t="s">
        <v>53</v>
      </c>
      <c r="O6" s="90" t="s">
        <v>52</v>
      </c>
      <c r="P6" s="90" t="s">
        <v>53</v>
      </c>
      <c r="Q6" s="90" t="s">
        <v>52</v>
      </c>
      <c r="R6" s="94" t="s">
        <v>53</v>
      </c>
    </row>
    <row r="7" spans="1:18" s="19" customFormat="1" ht="12.75" x14ac:dyDescent="0.2">
      <c r="A7" s="100"/>
      <c r="B7" s="101"/>
      <c r="C7" s="102"/>
      <c r="D7" s="75"/>
      <c r="E7" s="93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100"/>
    </row>
    <row r="8" spans="1:18" s="59" customFormat="1" ht="18" customHeight="1" x14ac:dyDescent="0.2">
      <c r="A8" s="63" t="s">
        <v>186</v>
      </c>
      <c r="B8" s="56" t="s">
        <v>187</v>
      </c>
      <c r="C8" s="57" t="s">
        <v>0</v>
      </c>
      <c r="D8" s="58">
        <v>12646</v>
      </c>
      <c r="E8" s="58">
        <v>5649</v>
      </c>
      <c r="F8" s="58">
        <v>6997</v>
      </c>
      <c r="G8" s="58">
        <v>668</v>
      </c>
      <c r="H8" s="58">
        <v>534</v>
      </c>
      <c r="I8" s="58">
        <v>968</v>
      </c>
      <c r="J8" s="58">
        <v>698</v>
      </c>
      <c r="K8" s="58">
        <v>1178</v>
      </c>
      <c r="L8" s="58">
        <v>825</v>
      </c>
      <c r="M8" s="58">
        <v>1196</v>
      </c>
      <c r="N8" s="58">
        <v>944</v>
      </c>
      <c r="O8" s="58">
        <v>987</v>
      </c>
      <c r="P8" s="58">
        <v>2178</v>
      </c>
      <c r="Q8" s="58">
        <v>652</v>
      </c>
      <c r="R8" s="58">
        <v>1818</v>
      </c>
    </row>
    <row r="9" spans="1:18" s="59" customFormat="1" ht="14.25" customHeight="1" x14ac:dyDescent="0.2">
      <c r="A9" s="88" t="s">
        <v>1</v>
      </c>
      <c r="B9" s="60" t="s">
        <v>188</v>
      </c>
      <c r="C9" s="61" t="s">
        <v>2</v>
      </c>
      <c r="D9" s="62">
        <v>11345</v>
      </c>
      <c r="E9" s="62">
        <v>5102</v>
      </c>
      <c r="F9" s="62">
        <v>6243</v>
      </c>
      <c r="G9" s="62">
        <v>591</v>
      </c>
      <c r="H9" s="62">
        <v>491</v>
      </c>
      <c r="I9" s="62">
        <v>866</v>
      </c>
      <c r="J9" s="62">
        <v>627</v>
      </c>
      <c r="K9" s="62">
        <v>1052</v>
      </c>
      <c r="L9" s="62">
        <v>734</v>
      </c>
      <c r="M9" s="62">
        <v>1087</v>
      </c>
      <c r="N9" s="62">
        <v>826</v>
      </c>
      <c r="O9" s="62">
        <v>901</v>
      </c>
      <c r="P9" s="62">
        <v>1906</v>
      </c>
      <c r="Q9" s="62">
        <v>605</v>
      </c>
      <c r="R9" s="62">
        <v>1659</v>
      </c>
    </row>
    <row r="10" spans="1:18" s="59" customFormat="1" ht="14.25" customHeight="1" x14ac:dyDescent="0.2">
      <c r="A10" s="89"/>
      <c r="B10" s="60" t="s">
        <v>189</v>
      </c>
      <c r="C10" s="61" t="s">
        <v>225</v>
      </c>
      <c r="D10" s="62">
        <v>1301</v>
      </c>
      <c r="E10" s="62">
        <v>547</v>
      </c>
      <c r="F10" s="62">
        <v>754</v>
      </c>
      <c r="G10" s="62">
        <v>77</v>
      </c>
      <c r="H10" s="62">
        <v>43</v>
      </c>
      <c r="I10" s="62">
        <v>102</v>
      </c>
      <c r="J10" s="62">
        <v>71</v>
      </c>
      <c r="K10" s="62">
        <v>126</v>
      </c>
      <c r="L10" s="62">
        <v>91</v>
      </c>
      <c r="M10" s="62">
        <v>109</v>
      </c>
      <c r="N10" s="62">
        <v>118</v>
      </c>
      <c r="O10" s="62">
        <v>86</v>
      </c>
      <c r="P10" s="62">
        <v>272</v>
      </c>
      <c r="Q10" s="62">
        <v>47</v>
      </c>
      <c r="R10" s="62">
        <v>159</v>
      </c>
    </row>
    <row r="11" spans="1:18" s="20" customFormat="1" ht="14.25" customHeight="1" x14ac:dyDescent="0.2">
      <c r="A11" s="64" t="s">
        <v>210</v>
      </c>
      <c r="B11" s="25" t="s">
        <v>55</v>
      </c>
      <c r="C11" s="26" t="s">
        <v>0</v>
      </c>
      <c r="D11" s="27">
        <v>1936</v>
      </c>
      <c r="E11" s="27">
        <v>821</v>
      </c>
      <c r="F11" s="27">
        <v>1115</v>
      </c>
      <c r="G11" s="27">
        <v>42</v>
      </c>
      <c r="H11" s="27">
        <v>37</v>
      </c>
      <c r="I11" s="27">
        <v>120</v>
      </c>
      <c r="J11" s="27">
        <v>92</v>
      </c>
      <c r="K11" s="27">
        <v>198</v>
      </c>
      <c r="L11" s="27">
        <v>110</v>
      </c>
      <c r="M11" s="27">
        <v>196</v>
      </c>
      <c r="N11" s="27">
        <v>179</v>
      </c>
      <c r="O11" s="27">
        <v>174</v>
      </c>
      <c r="P11" s="27">
        <v>364</v>
      </c>
      <c r="Q11" s="27">
        <v>91</v>
      </c>
      <c r="R11" s="27">
        <v>333</v>
      </c>
    </row>
    <row r="12" spans="1:18" s="20" customFormat="1" ht="14.25" customHeight="1" x14ac:dyDescent="0.2">
      <c r="A12" s="86" t="s">
        <v>3</v>
      </c>
      <c r="B12" s="28" t="s">
        <v>56</v>
      </c>
      <c r="C12" s="29" t="s">
        <v>2</v>
      </c>
      <c r="D12" s="21">
        <v>1836</v>
      </c>
      <c r="E12" s="21">
        <v>784</v>
      </c>
      <c r="F12" s="21">
        <v>1052</v>
      </c>
      <c r="G12" s="21">
        <v>41</v>
      </c>
      <c r="H12" s="21">
        <v>37</v>
      </c>
      <c r="I12" s="21">
        <v>113</v>
      </c>
      <c r="J12" s="21">
        <v>89</v>
      </c>
      <c r="K12" s="21">
        <v>183</v>
      </c>
      <c r="L12" s="21">
        <v>107</v>
      </c>
      <c r="M12" s="21">
        <v>190</v>
      </c>
      <c r="N12" s="21">
        <v>169</v>
      </c>
      <c r="O12" s="21">
        <v>170</v>
      </c>
      <c r="P12" s="21">
        <v>330</v>
      </c>
      <c r="Q12" s="21">
        <v>87</v>
      </c>
      <c r="R12" s="21">
        <v>320</v>
      </c>
    </row>
    <row r="13" spans="1:18" s="20" customFormat="1" ht="14.25" customHeight="1" x14ac:dyDescent="0.2">
      <c r="A13" s="87"/>
      <c r="B13" s="28" t="s">
        <v>57</v>
      </c>
      <c r="C13" s="29" t="s">
        <v>225</v>
      </c>
      <c r="D13" s="21">
        <v>100</v>
      </c>
      <c r="E13" s="21">
        <v>37</v>
      </c>
      <c r="F13" s="21">
        <v>63</v>
      </c>
      <c r="G13" s="21">
        <v>1</v>
      </c>
      <c r="H13" s="21">
        <v>0</v>
      </c>
      <c r="I13" s="21">
        <v>7</v>
      </c>
      <c r="J13" s="21">
        <v>3</v>
      </c>
      <c r="K13" s="21">
        <v>15</v>
      </c>
      <c r="L13" s="21">
        <v>3</v>
      </c>
      <c r="M13" s="21">
        <v>6</v>
      </c>
      <c r="N13" s="21">
        <v>10</v>
      </c>
      <c r="O13" s="21">
        <v>4</v>
      </c>
      <c r="P13" s="21">
        <v>34</v>
      </c>
      <c r="Q13" s="21">
        <v>4</v>
      </c>
      <c r="R13" s="21">
        <v>13</v>
      </c>
    </row>
    <row r="14" spans="1:18" s="20" customFormat="1" ht="14.25" customHeight="1" x14ac:dyDescent="0.2">
      <c r="A14" s="64" t="s">
        <v>211</v>
      </c>
      <c r="B14" s="25" t="s">
        <v>55</v>
      </c>
      <c r="C14" s="26" t="s">
        <v>0</v>
      </c>
      <c r="D14" s="27">
        <v>1068</v>
      </c>
      <c r="E14" s="27">
        <v>473</v>
      </c>
      <c r="F14" s="27">
        <v>595</v>
      </c>
      <c r="G14" s="27">
        <v>47</v>
      </c>
      <c r="H14" s="27">
        <v>47</v>
      </c>
      <c r="I14" s="27">
        <v>85</v>
      </c>
      <c r="J14" s="27">
        <v>75</v>
      </c>
      <c r="K14" s="27">
        <v>75</v>
      </c>
      <c r="L14" s="27">
        <v>51</v>
      </c>
      <c r="M14" s="27">
        <v>107</v>
      </c>
      <c r="N14" s="27">
        <v>63</v>
      </c>
      <c r="O14" s="27">
        <v>93</v>
      </c>
      <c r="P14" s="27">
        <v>198</v>
      </c>
      <c r="Q14" s="27">
        <v>66</v>
      </c>
      <c r="R14" s="27">
        <v>161</v>
      </c>
    </row>
    <row r="15" spans="1:18" s="20" customFormat="1" ht="14.25" customHeight="1" x14ac:dyDescent="0.2">
      <c r="A15" s="86" t="s">
        <v>4</v>
      </c>
      <c r="B15" s="28" t="s">
        <v>56</v>
      </c>
      <c r="C15" s="29" t="s">
        <v>2</v>
      </c>
      <c r="D15" s="21">
        <v>1032</v>
      </c>
      <c r="E15" s="21">
        <v>460</v>
      </c>
      <c r="F15" s="21">
        <v>572</v>
      </c>
      <c r="G15" s="21">
        <v>47</v>
      </c>
      <c r="H15" s="21">
        <v>46</v>
      </c>
      <c r="I15" s="21">
        <v>76</v>
      </c>
      <c r="J15" s="21">
        <v>74</v>
      </c>
      <c r="K15" s="21">
        <v>73</v>
      </c>
      <c r="L15" s="21">
        <v>50</v>
      </c>
      <c r="M15" s="21">
        <v>106</v>
      </c>
      <c r="N15" s="21">
        <v>63</v>
      </c>
      <c r="O15" s="21">
        <v>93</v>
      </c>
      <c r="P15" s="21">
        <v>184</v>
      </c>
      <c r="Q15" s="21">
        <v>65</v>
      </c>
      <c r="R15" s="21">
        <v>155</v>
      </c>
    </row>
    <row r="16" spans="1:18" s="20" customFormat="1" ht="14.25" customHeight="1" x14ac:dyDescent="0.2">
      <c r="A16" s="87"/>
      <c r="B16" s="30" t="s">
        <v>57</v>
      </c>
      <c r="C16" s="31" t="s">
        <v>225</v>
      </c>
      <c r="D16" s="21">
        <v>36</v>
      </c>
      <c r="E16" s="21">
        <v>13</v>
      </c>
      <c r="F16" s="21">
        <v>23</v>
      </c>
      <c r="G16" s="21">
        <v>0</v>
      </c>
      <c r="H16" s="21">
        <v>1</v>
      </c>
      <c r="I16" s="21">
        <v>9</v>
      </c>
      <c r="J16" s="21">
        <v>1</v>
      </c>
      <c r="K16" s="21">
        <v>2</v>
      </c>
      <c r="L16" s="21">
        <v>1</v>
      </c>
      <c r="M16" s="21">
        <v>1</v>
      </c>
      <c r="N16" s="21">
        <v>0</v>
      </c>
      <c r="O16" s="21">
        <v>0</v>
      </c>
      <c r="P16" s="21">
        <v>14</v>
      </c>
      <c r="Q16" s="21">
        <v>1</v>
      </c>
      <c r="R16" s="21">
        <v>6</v>
      </c>
    </row>
    <row r="17" spans="1:18" s="20" customFormat="1" ht="14.25" customHeight="1" x14ac:dyDescent="0.2">
      <c r="A17" s="64" t="s">
        <v>212</v>
      </c>
      <c r="B17" s="25" t="s">
        <v>55</v>
      </c>
      <c r="C17" s="26" t="s">
        <v>0</v>
      </c>
      <c r="D17" s="27">
        <v>1521</v>
      </c>
      <c r="E17" s="27">
        <v>721</v>
      </c>
      <c r="F17" s="27">
        <v>800</v>
      </c>
      <c r="G17" s="27">
        <v>95</v>
      </c>
      <c r="H17" s="27">
        <v>53</v>
      </c>
      <c r="I17" s="27">
        <v>140</v>
      </c>
      <c r="J17" s="27">
        <v>84</v>
      </c>
      <c r="K17" s="27">
        <v>188</v>
      </c>
      <c r="L17" s="27">
        <v>131</v>
      </c>
      <c r="M17" s="27">
        <v>152</v>
      </c>
      <c r="N17" s="27">
        <v>97</v>
      </c>
      <c r="O17" s="27">
        <v>96</v>
      </c>
      <c r="P17" s="27">
        <v>256</v>
      </c>
      <c r="Q17" s="27">
        <v>50</v>
      </c>
      <c r="R17" s="27">
        <v>179</v>
      </c>
    </row>
    <row r="18" spans="1:18" s="20" customFormat="1" ht="14.25" customHeight="1" x14ac:dyDescent="0.2">
      <c r="A18" s="86" t="s">
        <v>25</v>
      </c>
      <c r="B18" s="28" t="s">
        <v>56</v>
      </c>
      <c r="C18" s="29" t="s">
        <v>2</v>
      </c>
      <c r="D18" s="21">
        <v>1265</v>
      </c>
      <c r="E18" s="21">
        <v>604</v>
      </c>
      <c r="F18" s="21">
        <v>661</v>
      </c>
      <c r="G18" s="21">
        <v>76</v>
      </c>
      <c r="H18" s="21">
        <v>47</v>
      </c>
      <c r="I18" s="21">
        <v>115</v>
      </c>
      <c r="J18" s="21">
        <v>67</v>
      </c>
      <c r="K18" s="21">
        <v>157</v>
      </c>
      <c r="L18" s="21">
        <v>99</v>
      </c>
      <c r="M18" s="21">
        <v>135</v>
      </c>
      <c r="N18" s="21">
        <v>75</v>
      </c>
      <c r="O18" s="21">
        <v>81</v>
      </c>
      <c r="P18" s="21">
        <v>219</v>
      </c>
      <c r="Q18" s="21">
        <v>40</v>
      </c>
      <c r="R18" s="21">
        <v>154</v>
      </c>
    </row>
    <row r="19" spans="1:18" s="20" customFormat="1" ht="14.25" customHeight="1" x14ac:dyDescent="0.2">
      <c r="A19" s="87"/>
      <c r="B19" s="30" t="s">
        <v>57</v>
      </c>
      <c r="C19" s="31" t="s">
        <v>225</v>
      </c>
      <c r="D19" s="21">
        <v>256</v>
      </c>
      <c r="E19" s="21">
        <v>117</v>
      </c>
      <c r="F19" s="21">
        <v>139</v>
      </c>
      <c r="G19" s="21">
        <v>19</v>
      </c>
      <c r="H19" s="21">
        <v>6</v>
      </c>
      <c r="I19" s="21">
        <v>25</v>
      </c>
      <c r="J19" s="21">
        <v>17</v>
      </c>
      <c r="K19" s="21">
        <v>31</v>
      </c>
      <c r="L19" s="21">
        <v>32</v>
      </c>
      <c r="M19" s="21">
        <v>17</v>
      </c>
      <c r="N19" s="21">
        <v>22</v>
      </c>
      <c r="O19" s="21">
        <v>15</v>
      </c>
      <c r="P19" s="21">
        <v>37</v>
      </c>
      <c r="Q19" s="21">
        <v>10</v>
      </c>
      <c r="R19" s="21">
        <v>25</v>
      </c>
    </row>
    <row r="20" spans="1:18" s="20" customFormat="1" ht="14.25" customHeight="1" x14ac:dyDescent="0.2">
      <c r="A20" s="64" t="s">
        <v>213</v>
      </c>
      <c r="B20" s="25" t="s">
        <v>55</v>
      </c>
      <c r="C20" s="26" t="s">
        <v>0</v>
      </c>
      <c r="D20" s="27">
        <v>2074</v>
      </c>
      <c r="E20" s="27">
        <v>996</v>
      </c>
      <c r="F20" s="27">
        <v>1078</v>
      </c>
      <c r="G20" s="27">
        <v>132</v>
      </c>
      <c r="H20" s="27">
        <v>124</v>
      </c>
      <c r="I20" s="27">
        <v>203</v>
      </c>
      <c r="J20" s="27">
        <v>134</v>
      </c>
      <c r="K20" s="27">
        <v>197</v>
      </c>
      <c r="L20" s="27">
        <v>138</v>
      </c>
      <c r="M20" s="27">
        <v>208</v>
      </c>
      <c r="N20" s="27">
        <v>150</v>
      </c>
      <c r="O20" s="27">
        <v>146</v>
      </c>
      <c r="P20" s="27">
        <v>274</v>
      </c>
      <c r="Q20" s="27">
        <v>110</v>
      </c>
      <c r="R20" s="27">
        <v>258</v>
      </c>
    </row>
    <row r="21" spans="1:18" s="20" customFormat="1" ht="14.25" customHeight="1" x14ac:dyDescent="0.2">
      <c r="A21" s="86" t="s">
        <v>21</v>
      </c>
      <c r="B21" s="28" t="s">
        <v>56</v>
      </c>
      <c r="C21" s="29" t="s">
        <v>2</v>
      </c>
      <c r="D21" s="21">
        <v>1957</v>
      </c>
      <c r="E21" s="21">
        <v>940</v>
      </c>
      <c r="F21" s="21">
        <v>1017</v>
      </c>
      <c r="G21" s="21">
        <v>121</v>
      </c>
      <c r="H21" s="21">
        <v>118</v>
      </c>
      <c r="I21" s="21">
        <v>194</v>
      </c>
      <c r="J21" s="21">
        <v>127</v>
      </c>
      <c r="K21" s="21">
        <v>188</v>
      </c>
      <c r="L21" s="21">
        <v>136</v>
      </c>
      <c r="M21" s="21">
        <v>193</v>
      </c>
      <c r="N21" s="21">
        <v>140</v>
      </c>
      <c r="O21" s="21">
        <v>141</v>
      </c>
      <c r="P21" s="21">
        <v>248</v>
      </c>
      <c r="Q21" s="21">
        <v>103</v>
      </c>
      <c r="R21" s="21">
        <v>248</v>
      </c>
    </row>
    <row r="22" spans="1:18" s="20" customFormat="1" ht="14.25" customHeight="1" x14ac:dyDescent="0.2">
      <c r="A22" s="87"/>
      <c r="B22" s="30" t="s">
        <v>57</v>
      </c>
      <c r="C22" s="31" t="s">
        <v>225</v>
      </c>
      <c r="D22" s="21">
        <v>117</v>
      </c>
      <c r="E22" s="21">
        <v>56</v>
      </c>
      <c r="F22" s="21">
        <v>61</v>
      </c>
      <c r="G22" s="21">
        <v>11</v>
      </c>
      <c r="H22" s="21">
        <v>6</v>
      </c>
      <c r="I22" s="21">
        <v>9</v>
      </c>
      <c r="J22" s="21">
        <v>7</v>
      </c>
      <c r="K22" s="21">
        <v>9</v>
      </c>
      <c r="L22" s="21">
        <v>2</v>
      </c>
      <c r="M22" s="21">
        <v>15</v>
      </c>
      <c r="N22" s="21">
        <v>10</v>
      </c>
      <c r="O22" s="21">
        <v>5</v>
      </c>
      <c r="P22" s="21">
        <v>26</v>
      </c>
      <c r="Q22" s="21">
        <v>7</v>
      </c>
      <c r="R22" s="21">
        <v>10</v>
      </c>
    </row>
    <row r="23" spans="1:18" s="20" customFormat="1" ht="14.25" customHeight="1" x14ac:dyDescent="0.2">
      <c r="A23" s="64" t="s">
        <v>214</v>
      </c>
      <c r="B23" s="25" t="s">
        <v>55</v>
      </c>
      <c r="C23" s="26" t="s">
        <v>0</v>
      </c>
      <c r="D23" s="27">
        <v>804</v>
      </c>
      <c r="E23" s="27">
        <v>351</v>
      </c>
      <c r="F23" s="27">
        <v>453</v>
      </c>
      <c r="G23" s="27">
        <v>53</v>
      </c>
      <c r="H23" s="27">
        <v>52</v>
      </c>
      <c r="I23" s="27">
        <v>61</v>
      </c>
      <c r="J23" s="27">
        <v>42</v>
      </c>
      <c r="K23" s="27">
        <v>58</v>
      </c>
      <c r="L23" s="27">
        <v>67</v>
      </c>
      <c r="M23" s="27">
        <v>81</v>
      </c>
      <c r="N23" s="27">
        <v>68</v>
      </c>
      <c r="O23" s="27">
        <v>66</v>
      </c>
      <c r="P23" s="27">
        <v>114</v>
      </c>
      <c r="Q23" s="27">
        <v>32</v>
      </c>
      <c r="R23" s="27">
        <v>110</v>
      </c>
    </row>
    <row r="24" spans="1:18" s="20" customFormat="1" ht="14.25" customHeight="1" x14ac:dyDescent="0.2">
      <c r="A24" s="86" t="s">
        <v>22</v>
      </c>
      <c r="B24" s="28" t="s">
        <v>56</v>
      </c>
      <c r="C24" s="29" t="s">
        <v>2</v>
      </c>
      <c r="D24" s="21">
        <v>777</v>
      </c>
      <c r="E24" s="21">
        <v>340</v>
      </c>
      <c r="F24" s="21">
        <v>437</v>
      </c>
      <c r="G24" s="21">
        <v>52</v>
      </c>
      <c r="H24" s="21">
        <v>51</v>
      </c>
      <c r="I24" s="21">
        <v>60</v>
      </c>
      <c r="J24" s="21">
        <v>40</v>
      </c>
      <c r="K24" s="21">
        <v>57</v>
      </c>
      <c r="L24" s="21">
        <v>66</v>
      </c>
      <c r="M24" s="21">
        <v>76</v>
      </c>
      <c r="N24" s="21">
        <v>65</v>
      </c>
      <c r="O24" s="21">
        <v>65</v>
      </c>
      <c r="P24" s="21">
        <v>107</v>
      </c>
      <c r="Q24" s="21">
        <v>30</v>
      </c>
      <c r="R24" s="21">
        <v>108</v>
      </c>
    </row>
    <row r="25" spans="1:18" s="20" customFormat="1" ht="14.25" customHeight="1" x14ac:dyDescent="0.2">
      <c r="A25" s="87"/>
      <c r="B25" s="30" t="s">
        <v>57</v>
      </c>
      <c r="C25" s="31" t="s">
        <v>225</v>
      </c>
      <c r="D25" s="21">
        <v>27</v>
      </c>
      <c r="E25" s="21">
        <v>11</v>
      </c>
      <c r="F25" s="21">
        <v>16</v>
      </c>
      <c r="G25" s="21">
        <v>1</v>
      </c>
      <c r="H25" s="21">
        <v>1</v>
      </c>
      <c r="I25" s="21">
        <v>1</v>
      </c>
      <c r="J25" s="21">
        <v>2</v>
      </c>
      <c r="K25" s="21">
        <v>1</v>
      </c>
      <c r="L25" s="21">
        <v>1</v>
      </c>
      <c r="M25" s="21">
        <v>5</v>
      </c>
      <c r="N25" s="21">
        <v>3</v>
      </c>
      <c r="O25" s="21">
        <v>1</v>
      </c>
      <c r="P25" s="21">
        <v>7</v>
      </c>
      <c r="Q25" s="21">
        <v>2</v>
      </c>
      <c r="R25" s="21">
        <v>2</v>
      </c>
    </row>
    <row r="26" spans="1:18" s="20" customFormat="1" ht="14.25" customHeight="1" x14ac:dyDescent="0.2">
      <c r="A26" s="64" t="s">
        <v>215</v>
      </c>
      <c r="B26" s="25" t="s">
        <v>55</v>
      </c>
      <c r="C26" s="26" t="s">
        <v>0</v>
      </c>
      <c r="D26" s="27">
        <v>1489</v>
      </c>
      <c r="E26" s="27">
        <v>717</v>
      </c>
      <c r="F26" s="27">
        <v>772</v>
      </c>
      <c r="G26" s="27">
        <v>90</v>
      </c>
      <c r="H26" s="27">
        <v>66</v>
      </c>
      <c r="I26" s="27">
        <v>113</v>
      </c>
      <c r="J26" s="27">
        <v>73</v>
      </c>
      <c r="K26" s="27">
        <v>146</v>
      </c>
      <c r="L26" s="27">
        <v>90</v>
      </c>
      <c r="M26" s="27">
        <v>162</v>
      </c>
      <c r="N26" s="27">
        <v>106</v>
      </c>
      <c r="O26" s="27">
        <v>116</v>
      </c>
      <c r="P26" s="27">
        <v>246</v>
      </c>
      <c r="Q26" s="27">
        <v>90</v>
      </c>
      <c r="R26" s="27">
        <v>191</v>
      </c>
    </row>
    <row r="27" spans="1:18" s="20" customFormat="1" ht="14.25" customHeight="1" x14ac:dyDescent="0.2">
      <c r="A27" s="86" t="s">
        <v>23</v>
      </c>
      <c r="B27" s="28" t="s">
        <v>56</v>
      </c>
      <c r="C27" s="29" t="s">
        <v>2</v>
      </c>
      <c r="D27" s="21">
        <v>1397</v>
      </c>
      <c r="E27" s="21">
        <v>678</v>
      </c>
      <c r="F27" s="21">
        <v>719</v>
      </c>
      <c r="G27" s="21">
        <v>89</v>
      </c>
      <c r="H27" s="21">
        <v>62</v>
      </c>
      <c r="I27" s="21">
        <v>106</v>
      </c>
      <c r="J27" s="21">
        <v>68</v>
      </c>
      <c r="K27" s="21">
        <v>138</v>
      </c>
      <c r="L27" s="21">
        <v>87</v>
      </c>
      <c r="M27" s="21">
        <v>147</v>
      </c>
      <c r="N27" s="21">
        <v>100</v>
      </c>
      <c r="O27" s="21">
        <v>111</v>
      </c>
      <c r="P27" s="21">
        <v>224</v>
      </c>
      <c r="Q27" s="21">
        <v>87</v>
      </c>
      <c r="R27" s="21">
        <v>178</v>
      </c>
    </row>
    <row r="28" spans="1:18" s="20" customFormat="1" ht="14.25" customHeight="1" x14ac:dyDescent="0.2">
      <c r="A28" s="87"/>
      <c r="B28" s="30" t="s">
        <v>57</v>
      </c>
      <c r="C28" s="31" t="s">
        <v>225</v>
      </c>
      <c r="D28" s="21">
        <v>92</v>
      </c>
      <c r="E28" s="21">
        <v>39</v>
      </c>
      <c r="F28" s="21">
        <v>53</v>
      </c>
      <c r="G28" s="21">
        <v>1</v>
      </c>
      <c r="H28" s="21">
        <v>4</v>
      </c>
      <c r="I28" s="21">
        <v>7</v>
      </c>
      <c r="J28" s="21">
        <v>5</v>
      </c>
      <c r="K28" s="21">
        <v>8</v>
      </c>
      <c r="L28" s="21">
        <v>3</v>
      </c>
      <c r="M28" s="21">
        <v>15</v>
      </c>
      <c r="N28" s="21">
        <v>6</v>
      </c>
      <c r="O28" s="21">
        <v>5</v>
      </c>
      <c r="P28" s="21">
        <v>22</v>
      </c>
      <c r="Q28" s="21">
        <v>3</v>
      </c>
      <c r="R28" s="21">
        <v>13</v>
      </c>
    </row>
    <row r="29" spans="1:18" s="20" customFormat="1" ht="14.25" customHeight="1" x14ac:dyDescent="0.2">
      <c r="A29" s="64" t="s">
        <v>194</v>
      </c>
      <c r="B29" s="25" t="s">
        <v>55</v>
      </c>
      <c r="C29" s="26" t="s">
        <v>0</v>
      </c>
      <c r="D29" s="27">
        <v>170</v>
      </c>
      <c r="E29" s="27">
        <v>63</v>
      </c>
      <c r="F29" s="27">
        <v>107</v>
      </c>
      <c r="G29" s="27">
        <v>7</v>
      </c>
      <c r="H29" s="27">
        <v>5</v>
      </c>
      <c r="I29" s="27">
        <v>10</v>
      </c>
      <c r="J29" s="27">
        <v>4</v>
      </c>
      <c r="K29" s="27">
        <v>9</v>
      </c>
      <c r="L29" s="27">
        <v>13</v>
      </c>
      <c r="M29" s="27">
        <v>14</v>
      </c>
      <c r="N29" s="27">
        <v>16</v>
      </c>
      <c r="O29" s="27">
        <v>10</v>
      </c>
      <c r="P29" s="27">
        <v>43</v>
      </c>
      <c r="Q29" s="27">
        <v>13</v>
      </c>
      <c r="R29" s="27">
        <v>26</v>
      </c>
    </row>
    <row r="30" spans="1:18" s="20" customFormat="1" ht="14.25" customHeight="1" x14ac:dyDescent="0.2">
      <c r="A30" s="86" t="s">
        <v>5</v>
      </c>
      <c r="B30" s="28" t="s">
        <v>56</v>
      </c>
      <c r="C30" s="29" t="s">
        <v>2</v>
      </c>
      <c r="D30" s="21">
        <v>158</v>
      </c>
      <c r="E30" s="21">
        <v>57</v>
      </c>
      <c r="F30" s="21">
        <v>101</v>
      </c>
      <c r="G30" s="21">
        <v>7</v>
      </c>
      <c r="H30" s="21">
        <v>5</v>
      </c>
      <c r="I30" s="21">
        <v>9</v>
      </c>
      <c r="J30" s="21">
        <v>4</v>
      </c>
      <c r="K30" s="21">
        <v>7</v>
      </c>
      <c r="L30" s="21">
        <v>11</v>
      </c>
      <c r="M30" s="21">
        <v>13</v>
      </c>
      <c r="N30" s="21">
        <v>15</v>
      </c>
      <c r="O30" s="21">
        <v>8</v>
      </c>
      <c r="P30" s="21">
        <v>42</v>
      </c>
      <c r="Q30" s="21">
        <v>13</v>
      </c>
      <c r="R30" s="21">
        <v>24</v>
      </c>
    </row>
    <row r="31" spans="1:18" s="20" customFormat="1" ht="14.25" customHeight="1" x14ac:dyDescent="0.2">
      <c r="A31" s="87"/>
      <c r="B31" s="30" t="s">
        <v>57</v>
      </c>
      <c r="C31" s="31" t="s">
        <v>225</v>
      </c>
      <c r="D31" s="21">
        <v>12</v>
      </c>
      <c r="E31" s="21">
        <v>6</v>
      </c>
      <c r="F31" s="21">
        <v>6</v>
      </c>
      <c r="G31" s="21">
        <v>0</v>
      </c>
      <c r="H31" s="21">
        <v>0</v>
      </c>
      <c r="I31" s="21">
        <v>1</v>
      </c>
      <c r="J31" s="21">
        <v>0</v>
      </c>
      <c r="K31" s="21">
        <v>2</v>
      </c>
      <c r="L31" s="21">
        <v>2</v>
      </c>
      <c r="M31" s="21">
        <v>1</v>
      </c>
      <c r="N31" s="21">
        <v>1</v>
      </c>
      <c r="O31" s="21">
        <v>2</v>
      </c>
      <c r="P31" s="21">
        <v>1</v>
      </c>
      <c r="Q31" s="21">
        <v>0</v>
      </c>
      <c r="R31" s="21">
        <v>2</v>
      </c>
    </row>
    <row r="32" spans="1:18" s="20" customFormat="1" ht="14.25" customHeight="1" x14ac:dyDescent="0.2">
      <c r="A32" s="64" t="s">
        <v>195</v>
      </c>
      <c r="B32" s="25" t="s">
        <v>55</v>
      </c>
      <c r="C32" s="26" t="s">
        <v>0</v>
      </c>
      <c r="D32" s="27">
        <v>307</v>
      </c>
      <c r="E32" s="27">
        <v>133</v>
      </c>
      <c r="F32" s="27">
        <v>174</v>
      </c>
      <c r="G32" s="27">
        <v>15</v>
      </c>
      <c r="H32" s="27">
        <v>20</v>
      </c>
      <c r="I32" s="27">
        <v>16</v>
      </c>
      <c r="J32" s="27">
        <v>15</v>
      </c>
      <c r="K32" s="27">
        <v>26</v>
      </c>
      <c r="L32" s="27">
        <v>25</v>
      </c>
      <c r="M32" s="27">
        <v>32</v>
      </c>
      <c r="N32" s="27">
        <v>28</v>
      </c>
      <c r="O32" s="27">
        <v>32</v>
      </c>
      <c r="P32" s="27">
        <v>48</v>
      </c>
      <c r="Q32" s="27">
        <v>12</v>
      </c>
      <c r="R32" s="27">
        <v>38</v>
      </c>
    </row>
    <row r="33" spans="1:18" s="20" customFormat="1" ht="14.25" customHeight="1" x14ac:dyDescent="0.2">
      <c r="A33" s="86" t="s">
        <v>6</v>
      </c>
      <c r="B33" s="28" t="s">
        <v>56</v>
      </c>
      <c r="C33" s="29" t="s">
        <v>2</v>
      </c>
      <c r="D33" s="21">
        <v>255</v>
      </c>
      <c r="E33" s="21">
        <v>117</v>
      </c>
      <c r="F33" s="21">
        <v>138</v>
      </c>
      <c r="G33" s="21">
        <v>14</v>
      </c>
      <c r="H33" s="21">
        <v>16</v>
      </c>
      <c r="I33" s="21">
        <v>15</v>
      </c>
      <c r="J33" s="21">
        <v>13</v>
      </c>
      <c r="K33" s="21">
        <v>24</v>
      </c>
      <c r="L33" s="21">
        <v>18</v>
      </c>
      <c r="M33" s="21">
        <v>27</v>
      </c>
      <c r="N33" s="21">
        <v>22</v>
      </c>
      <c r="O33" s="21">
        <v>25</v>
      </c>
      <c r="P33" s="21">
        <v>38</v>
      </c>
      <c r="Q33" s="21">
        <v>12</v>
      </c>
      <c r="R33" s="21">
        <v>31</v>
      </c>
    </row>
    <row r="34" spans="1:18" s="20" customFormat="1" ht="14.25" customHeight="1" x14ac:dyDescent="0.2">
      <c r="A34" s="87"/>
      <c r="B34" s="30" t="s">
        <v>57</v>
      </c>
      <c r="C34" s="31" t="s">
        <v>225</v>
      </c>
      <c r="D34" s="21">
        <v>52</v>
      </c>
      <c r="E34" s="21">
        <v>16</v>
      </c>
      <c r="F34" s="21">
        <v>36</v>
      </c>
      <c r="G34" s="21">
        <v>1</v>
      </c>
      <c r="H34" s="21">
        <v>4</v>
      </c>
      <c r="I34" s="21">
        <v>1</v>
      </c>
      <c r="J34" s="21">
        <v>2</v>
      </c>
      <c r="K34" s="21">
        <v>2</v>
      </c>
      <c r="L34" s="21">
        <v>7</v>
      </c>
      <c r="M34" s="21">
        <v>5</v>
      </c>
      <c r="N34" s="21">
        <v>6</v>
      </c>
      <c r="O34" s="21">
        <v>7</v>
      </c>
      <c r="P34" s="21">
        <v>10</v>
      </c>
      <c r="Q34" s="21">
        <v>0</v>
      </c>
      <c r="R34" s="21">
        <v>7</v>
      </c>
    </row>
    <row r="35" spans="1:18" s="20" customFormat="1" ht="14.25" customHeight="1" x14ac:dyDescent="0.2">
      <c r="A35" s="64" t="s">
        <v>196</v>
      </c>
      <c r="B35" s="25" t="s">
        <v>55</v>
      </c>
      <c r="C35" s="26" t="s">
        <v>0</v>
      </c>
      <c r="D35" s="27">
        <v>160</v>
      </c>
      <c r="E35" s="27">
        <v>53</v>
      </c>
      <c r="F35" s="27">
        <v>107</v>
      </c>
      <c r="G35" s="27">
        <v>7</v>
      </c>
      <c r="H35" s="27">
        <v>6</v>
      </c>
      <c r="I35" s="27">
        <v>10</v>
      </c>
      <c r="J35" s="27">
        <v>1</v>
      </c>
      <c r="K35" s="27">
        <v>17</v>
      </c>
      <c r="L35" s="27">
        <v>9</v>
      </c>
      <c r="M35" s="27">
        <v>4</v>
      </c>
      <c r="N35" s="27">
        <v>13</v>
      </c>
      <c r="O35" s="27">
        <v>10</v>
      </c>
      <c r="P35" s="27">
        <v>43</v>
      </c>
      <c r="Q35" s="27">
        <v>5</v>
      </c>
      <c r="R35" s="27">
        <v>35</v>
      </c>
    </row>
    <row r="36" spans="1:18" s="20" customFormat="1" ht="14.25" customHeight="1" x14ac:dyDescent="0.2">
      <c r="A36" s="86" t="s">
        <v>7</v>
      </c>
      <c r="B36" s="28" t="s">
        <v>56</v>
      </c>
      <c r="C36" s="29" t="s">
        <v>2</v>
      </c>
      <c r="D36" s="21">
        <v>142</v>
      </c>
      <c r="E36" s="21">
        <v>41</v>
      </c>
      <c r="F36" s="21">
        <v>101</v>
      </c>
      <c r="G36" s="21">
        <v>6</v>
      </c>
      <c r="H36" s="21">
        <v>6</v>
      </c>
      <c r="I36" s="21">
        <v>4</v>
      </c>
      <c r="J36" s="21">
        <v>1</v>
      </c>
      <c r="K36" s="21">
        <v>12</v>
      </c>
      <c r="L36" s="21">
        <v>9</v>
      </c>
      <c r="M36" s="21">
        <v>4</v>
      </c>
      <c r="N36" s="21">
        <v>12</v>
      </c>
      <c r="O36" s="21">
        <v>10</v>
      </c>
      <c r="P36" s="21">
        <v>39</v>
      </c>
      <c r="Q36" s="21">
        <v>5</v>
      </c>
      <c r="R36" s="21">
        <v>34</v>
      </c>
    </row>
    <row r="37" spans="1:18" s="20" customFormat="1" ht="14.25" customHeight="1" x14ac:dyDescent="0.2">
      <c r="A37" s="87"/>
      <c r="B37" s="30" t="s">
        <v>57</v>
      </c>
      <c r="C37" s="31" t="s">
        <v>225</v>
      </c>
      <c r="D37" s="21">
        <v>18</v>
      </c>
      <c r="E37" s="21">
        <v>12</v>
      </c>
      <c r="F37" s="21">
        <v>6</v>
      </c>
      <c r="G37" s="21">
        <v>1</v>
      </c>
      <c r="H37" s="21">
        <v>0</v>
      </c>
      <c r="I37" s="21">
        <v>6</v>
      </c>
      <c r="J37" s="21">
        <v>0</v>
      </c>
      <c r="K37" s="21">
        <v>5</v>
      </c>
      <c r="L37" s="21">
        <v>0</v>
      </c>
      <c r="M37" s="21">
        <v>0</v>
      </c>
      <c r="N37" s="21">
        <v>1</v>
      </c>
      <c r="O37" s="21">
        <v>0</v>
      </c>
      <c r="P37" s="21">
        <v>4</v>
      </c>
      <c r="Q37" s="21">
        <v>0</v>
      </c>
      <c r="R37" s="21">
        <v>1</v>
      </c>
    </row>
    <row r="38" spans="1:18" s="20" customFormat="1" ht="14.25" customHeight="1" x14ac:dyDescent="0.2">
      <c r="A38" s="64" t="s">
        <v>197</v>
      </c>
      <c r="B38" s="25" t="s">
        <v>55</v>
      </c>
      <c r="C38" s="26" t="s">
        <v>0</v>
      </c>
      <c r="D38" s="27">
        <v>577</v>
      </c>
      <c r="E38" s="27">
        <v>247</v>
      </c>
      <c r="F38" s="27">
        <v>330</v>
      </c>
      <c r="G38" s="27">
        <v>39</v>
      </c>
      <c r="H38" s="27">
        <v>20</v>
      </c>
      <c r="I38" s="27">
        <v>40</v>
      </c>
      <c r="J38" s="27">
        <v>28</v>
      </c>
      <c r="K38" s="27">
        <v>53</v>
      </c>
      <c r="L38" s="27">
        <v>43</v>
      </c>
      <c r="M38" s="27">
        <v>37</v>
      </c>
      <c r="N38" s="27">
        <v>29</v>
      </c>
      <c r="O38" s="27">
        <v>48</v>
      </c>
      <c r="P38" s="27">
        <v>110</v>
      </c>
      <c r="Q38" s="27">
        <v>30</v>
      </c>
      <c r="R38" s="27">
        <v>100</v>
      </c>
    </row>
    <row r="39" spans="1:18" s="20" customFormat="1" ht="14.25" customHeight="1" x14ac:dyDescent="0.2">
      <c r="A39" s="86" t="s">
        <v>8</v>
      </c>
      <c r="B39" s="28" t="s">
        <v>56</v>
      </c>
      <c r="C39" s="29" t="s">
        <v>2</v>
      </c>
      <c r="D39" s="21">
        <v>559</v>
      </c>
      <c r="E39" s="21">
        <v>239</v>
      </c>
      <c r="F39" s="21">
        <v>320</v>
      </c>
      <c r="G39" s="21">
        <v>39</v>
      </c>
      <c r="H39" s="21">
        <v>20</v>
      </c>
      <c r="I39" s="21">
        <v>40</v>
      </c>
      <c r="J39" s="21">
        <v>26</v>
      </c>
      <c r="K39" s="21">
        <v>53</v>
      </c>
      <c r="L39" s="21">
        <v>43</v>
      </c>
      <c r="M39" s="21">
        <v>37</v>
      </c>
      <c r="N39" s="21">
        <v>28</v>
      </c>
      <c r="O39" s="21">
        <v>41</v>
      </c>
      <c r="P39" s="21">
        <v>105</v>
      </c>
      <c r="Q39" s="21">
        <v>29</v>
      </c>
      <c r="R39" s="21">
        <v>98</v>
      </c>
    </row>
    <row r="40" spans="1:18" s="20" customFormat="1" ht="14.25" customHeight="1" x14ac:dyDescent="0.2">
      <c r="A40" s="87"/>
      <c r="B40" s="30" t="s">
        <v>57</v>
      </c>
      <c r="C40" s="31" t="s">
        <v>225</v>
      </c>
      <c r="D40" s="21">
        <v>18</v>
      </c>
      <c r="E40" s="21">
        <v>8</v>
      </c>
      <c r="F40" s="21">
        <v>10</v>
      </c>
      <c r="G40" s="21">
        <v>0</v>
      </c>
      <c r="H40" s="21">
        <v>0</v>
      </c>
      <c r="I40" s="21">
        <v>0</v>
      </c>
      <c r="J40" s="21">
        <v>2</v>
      </c>
      <c r="K40" s="21">
        <v>0</v>
      </c>
      <c r="L40" s="21">
        <v>0</v>
      </c>
      <c r="M40" s="21">
        <v>0</v>
      </c>
      <c r="N40" s="21">
        <v>1</v>
      </c>
      <c r="O40" s="21">
        <v>7</v>
      </c>
      <c r="P40" s="21">
        <v>5</v>
      </c>
      <c r="Q40" s="21">
        <v>1</v>
      </c>
      <c r="R40" s="21">
        <v>2</v>
      </c>
    </row>
    <row r="41" spans="1:18" s="20" customFormat="1" ht="14.25" customHeight="1" x14ac:dyDescent="0.2">
      <c r="A41" s="64" t="s">
        <v>198</v>
      </c>
      <c r="B41" s="25" t="s">
        <v>55</v>
      </c>
      <c r="C41" s="26" t="s">
        <v>0</v>
      </c>
      <c r="D41" s="27">
        <v>299</v>
      </c>
      <c r="E41" s="27">
        <v>112</v>
      </c>
      <c r="F41" s="27">
        <v>187</v>
      </c>
      <c r="G41" s="27">
        <v>13</v>
      </c>
      <c r="H41" s="27">
        <v>18</v>
      </c>
      <c r="I41" s="27">
        <v>22</v>
      </c>
      <c r="J41" s="27">
        <v>27</v>
      </c>
      <c r="K41" s="27">
        <v>24</v>
      </c>
      <c r="L41" s="27">
        <v>19</v>
      </c>
      <c r="M41" s="27">
        <v>23</v>
      </c>
      <c r="N41" s="27">
        <v>25</v>
      </c>
      <c r="O41" s="27">
        <v>15</v>
      </c>
      <c r="P41" s="27">
        <v>53</v>
      </c>
      <c r="Q41" s="27">
        <v>15</v>
      </c>
      <c r="R41" s="27">
        <v>45</v>
      </c>
    </row>
    <row r="42" spans="1:18" s="20" customFormat="1" ht="14.25" customHeight="1" x14ac:dyDescent="0.2">
      <c r="A42" s="86" t="s">
        <v>9</v>
      </c>
      <c r="B42" s="28" t="s">
        <v>56</v>
      </c>
      <c r="C42" s="29" t="s">
        <v>2</v>
      </c>
      <c r="D42" s="21">
        <v>210</v>
      </c>
      <c r="E42" s="21">
        <v>80</v>
      </c>
      <c r="F42" s="21">
        <v>130</v>
      </c>
      <c r="G42" s="21">
        <v>7</v>
      </c>
      <c r="H42" s="21">
        <v>12</v>
      </c>
      <c r="I42" s="21">
        <v>15</v>
      </c>
      <c r="J42" s="21">
        <v>17</v>
      </c>
      <c r="K42" s="21">
        <v>12</v>
      </c>
      <c r="L42" s="21">
        <v>13</v>
      </c>
      <c r="M42" s="21">
        <v>19</v>
      </c>
      <c r="N42" s="21">
        <v>12</v>
      </c>
      <c r="O42" s="21">
        <v>12</v>
      </c>
      <c r="P42" s="21">
        <v>43</v>
      </c>
      <c r="Q42" s="21">
        <v>15</v>
      </c>
      <c r="R42" s="21">
        <v>33</v>
      </c>
    </row>
    <row r="43" spans="1:18" s="20" customFormat="1" ht="14.25" customHeight="1" x14ac:dyDescent="0.2">
      <c r="A43" s="87"/>
      <c r="B43" s="30" t="s">
        <v>57</v>
      </c>
      <c r="C43" s="31" t="s">
        <v>225</v>
      </c>
      <c r="D43" s="21">
        <v>89</v>
      </c>
      <c r="E43" s="21">
        <v>32</v>
      </c>
      <c r="F43" s="21">
        <v>57</v>
      </c>
      <c r="G43" s="21">
        <v>6</v>
      </c>
      <c r="H43" s="21">
        <v>6</v>
      </c>
      <c r="I43" s="21">
        <v>7</v>
      </c>
      <c r="J43" s="21">
        <v>10</v>
      </c>
      <c r="K43" s="21">
        <v>12</v>
      </c>
      <c r="L43" s="21">
        <v>6</v>
      </c>
      <c r="M43" s="21">
        <v>4</v>
      </c>
      <c r="N43" s="21">
        <v>13</v>
      </c>
      <c r="O43" s="21">
        <v>3</v>
      </c>
      <c r="P43" s="21">
        <v>10</v>
      </c>
      <c r="Q43" s="21">
        <v>0</v>
      </c>
      <c r="R43" s="21">
        <v>12</v>
      </c>
    </row>
    <row r="44" spans="1:18" s="20" customFormat="1" ht="14.25" customHeight="1" x14ac:dyDescent="0.2">
      <c r="A44" s="64" t="s">
        <v>199</v>
      </c>
      <c r="B44" s="25" t="s">
        <v>55</v>
      </c>
      <c r="C44" s="26" t="s">
        <v>0</v>
      </c>
      <c r="D44" s="27">
        <v>309</v>
      </c>
      <c r="E44" s="27">
        <v>123</v>
      </c>
      <c r="F44" s="27">
        <v>186</v>
      </c>
      <c r="G44" s="27">
        <v>14</v>
      </c>
      <c r="H44" s="27">
        <v>10</v>
      </c>
      <c r="I44" s="27">
        <v>31</v>
      </c>
      <c r="J44" s="27">
        <v>24</v>
      </c>
      <c r="K44" s="27">
        <v>18</v>
      </c>
      <c r="L44" s="27">
        <v>14</v>
      </c>
      <c r="M44" s="27">
        <v>19</v>
      </c>
      <c r="N44" s="27">
        <v>15</v>
      </c>
      <c r="O44" s="27">
        <v>25</v>
      </c>
      <c r="P44" s="27">
        <v>62</v>
      </c>
      <c r="Q44" s="27">
        <v>16</v>
      </c>
      <c r="R44" s="27">
        <v>61</v>
      </c>
    </row>
    <row r="45" spans="1:18" s="20" customFormat="1" ht="14.25" customHeight="1" x14ac:dyDescent="0.2">
      <c r="A45" s="86" t="s">
        <v>10</v>
      </c>
      <c r="B45" s="28" t="s">
        <v>56</v>
      </c>
      <c r="C45" s="29" t="s">
        <v>2</v>
      </c>
      <c r="D45" s="21">
        <v>307</v>
      </c>
      <c r="E45" s="21">
        <v>122</v>
      </c>
      <c r="F45" s="21">
        <v>185</v>
      </c>
      <c r="G45" s="21">
        <v>14</v>
      </c>
      <c r="H45" s="21">
        <v>10</v>
      </c>
      <c r="I45" s="21">
        <v>31</v>
      </c>
      <c r="J45" s="21">
        <v>24</v>
      </c>
      <c r="K45" s="21">
        <v>17</v>
      </c>
      <c r="L45" s="21">
        <v>14</v>
      </c>
      <c r="M45" s="21">
        <v>19</v>
      </c>
      <c r="N45" s="21">
        <v>15</v>
      </c>
      <c r="O45" s="21">
        <v>25</v>
      </c>
      <c r="P45" s="21">
        <v>62</v>
      </c>
      <c r="Q45" s="21">
        <v>16</v>
      </c>
      <c r="R45" s="21">
        <v>60</v>
      </c>
    </row>
    <row r="46" spans="1:18" s="20" customFormat="1" ht="14.25" customHeight="1" x14ac:dyDescent="0.2">
      <c r="A46" s="87"/>
      <c r="B46" s="30" t="s">
        <v>57</v>
      </c>
      <c r="C46" s="31" t="s">
        <v>225</v>
      </c>
      <c r="D46" s="21">
        <v>2</v>
      </c>
      <c r="E46" s="21">
        <v>1</v>
      </c>
      <c r="F46" s="21">
        <v>1</v>
      </c>
      <c r="G46" s="21">
        <v>0</v>
      </c>
      <c r="H46" s="21">
        <v>0</v>
      </c>
      <c r="I46" s="21">
        <v>0</v>
      </c>
      <c r="J46" s="21">
        <v>0</v>
      </c>
      <c r="K46" s="21">
        <v>1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1</v>
      </c>
    </row>
    <row r="47" spans="1:18" s="20" customFormat="1" ht="14.25" customHeight="1" x14ac:dyDescent="0.2">
      <c r="A47" s="64" t="s">
        <v>200</v>
      </c>
      <c r="B47" s="25" t="s">
        <v>55</v>
      </c>
      <c r="C47" s="26" t="s">
        <v>0</v>
      </c>
      <c r="D47" s="27">
        <v>248</v>
      </c>
      <c r="E47" s="27">
        <v>124</v>
      </c>
      <c r="F47" s="27">
        <v>124</v>
      </c>
      <c r="G47" s="27">
        <v>15</v>
      </c>
      <c r="H47" s="27">
        <v>7</v>
      </c>
      <c r="I47" s="27">
        <v>18</v>
      </c>
      <c r="J47" s="27">
        <v>11</v>
      </c>
      <c r="K47" s="27">
        <v>16</v>
      </c>
      <c r="L47" s="27">
        <v>9</v>
      </c>
      <c r="M47" s="27">
        <v>22</v>
      </c>
      <c r="N47" s="27">
        <v>24</v>
      </c>
      <c r="O47" s="27">
        <v>27</v>
      </c>
      <c r="P47" s="27">
        <v>41</v>
      </c>
      <c r="Q47" s="27">
        <v>26</v>
      </c>
      <c r="R47" s="27">
        <v>32</v>
      </c>
    </row>
    <row r="48" spans="1:18" s="20" customFormat="1" ht="14.25" customHeight="1" x14ac:dyDescent="0.2">
      <c r="A48" s="86" t="s">
        <v>11</v>
      </c>
      <c r="B48" s="28" t="s">
        <v>56</v>
      </c>
      <c r="C48" s="29" t="s">
        <v>2</v>
      </c>
      <c r="D48" s="21">
        <v>232</v>
      </c>
      <c r="E48" s="21">
        <v>120</v>
      </c>
      <c r="F48" s="21">
        <v>112</v>
      </c>
      <c r="G48" s="21">
        <v>14</v>
      </c>
      <c r="H48" s="21">
        <v>7</v>
      </c>
      <c r="I48" s="21">
        <v>18</v>
      </c>
      <c r="J48" s="21">
        <v>9</v>
      </c>
      <c r="K48" s="21">
        <v>16</v>
      </c>
      <c r="L48" s="21">
        <v>9</v>
      </c>
      <c r="M48" s="21">
        <v>22</v>
      </c>
      <c r="N48" s="21">
        <v>23</v>
      </c>
      <c r="O48" s="21">
        <v>24</v>
      </c>
      <c r="P48" s="21">
        <v>34</v>
      </c>
      <c r="Q48" s="21">
        <v>26</v>
      </c>
      <c r="R48" s="21">
        <v>30</v>
      </c>
    </row>
    <row r="49" spans="1:18" s="20" customFormat="1" ht="14.25" customHeight="1" x14ac:dyDescent="0.2">
      <c r="A49" s="87"/>
      <c r="B49" s="30" t="s">
        <v>57</v>
      </c>
      <c r="C49" s="31" t="s">
        <v>225</v>
      </c>
      <c r="D49" s="21">
        <v>16</v>
      </c>
      <c r="E49" s="21">
        <v>4</v>
      </c>
      <c r="F49" s="21">
        <v>12</v>
      </c>
      <c r="G49" s="21">
        <v>1</v>
      </c>
      <c r="H49" s="21">
        <v>0</v>
      </c>
      <c r="I49" s="21">
        <v>0</v>
      </c>
      <c r="J49" s="21">
        <v>2</v>
      </c>
      <c r="K49" s="21">
        <v>0</v>
      </c>
      <c r="L49" s="21">
        <v>0</v>
      </c>
      <c r="M49" s="21">
        <v>0</v>
      </c>
      <c r="N49" s="21">
        <v>1</v>
      </c>
      <c r="O49" s="21">
        <v>3</v>
      </c>
      <c r="P49" s="21">
        <v>7</v>
      </c>
      <c r="Q49" s="21">
        <v>0</v>
      </c>
      <c r="R49" s="21">
        <v>2</v>
      </c>
    </row>
    <row r="50" spans="1:18" s="20" customFormat="1" ht="14.25" customHeight="1" x14ac:dyDescent="0.2">
      <c r="A50" s="64" t="s">
        <v>201</v>
      </c>
      <c r="B50" s="25" t="s">
        <v>55</v>
      </c>
      <c r="C50" s="26" t="s">
        <v>0</v>
      </c>
      <c r="D50" s="27">
        <v>482</v>
      </c>
      <c r="E50" s="27">
        <v>205</v>
      </c>
      <c r="F50" s="27">
        <v>277</v>
      </c>
      <c r="G50" s="27">
        <v>19</v>
      </c>
      <c r="H50" s="27">
        <v>23</v>
      </c>
      <c r="I50" s="27">
        <v>23</v>
      </c>
      <c r="J50" s="27">
        <v>40</v>
      </c>
      <c r="K50" s="27">
        <v>57</v>
      </c>
      <c r="L50" s="27">
        <v>29</v>
      </c>
      <c r="M50" s="27">
        <v>43</v>
      </c>
      <c r="N50" s="27">
        <v>39</v>
      </c>
      <c r="O50" s="27">
        <v>37</v>
      </c>
      <c r="P50" s="27">
        <v>89</v>
      </c>
      <c r="Q50" s="27">
        <v>26</v>
      </c>
      <c r="R50" s="27">
        <v>57</v>
      </c>
    </row>
    <row r="51" spans="1:18" s="20" customFormat="1" ht="14.25" customHeight="1" x14ac:dyDescent="0.2">
      <c r="A51" s="86" t="s">
        <v>12</v>
      </c>
      <c r="B51" s="28" t="s">
        <v>56</v>
      </c>
      <c r="C51" s="29" t="s">
        <v>2</v>
      </c>
      <c r="D51" s="21">
        <v>409</v>
      </c>
      <c r="E51" s="21">
        <v>177</v>
      </c>
      <c r="F51" s="21">
        <v>232</v>
      </c>
      <c r="G51" s="21">
        <v>16</v>
      </c>
      <c r="H51" s="21">
        <v>23</v>
      </c>
      <c r="I51" s="21">
        <v>22</v>
      </c>
      <c r="J51" s="21">
        <v>33</v>
      </c>
      <c r="K51" s="21">
        <v>49</v>
      </c>
      <c r="L51" s="21">
        <v>25</v>
      </c>
      <c r="M51" s="21">
        <v>35</v>
      </c>
      <c r="N51" s="21">
        <v>33</v>
      </c>
      <c r="O51" s="21">
        <v>31</v>
      </c>
      <c r="P51" s="21">
        <v>72</v>
      </c>
      <c r="Q51" s="21">
        <v>24</v>
      </c>
      <c r="R51" s="21">
        <v>46</v>
      </c>
    </row>
    <row r="52" spans="1:18" s="20" customFormat="1" ht="14.25" customHeight="1" x14ac:dyDescent="0.2">
      <c r="A52" s="87"/>
      <c r="B52" s="30" t="s">
        <v>57</v>
      </c>
      <c r="C52" s="31" t="s">
        <v>225</v>
      </c>
      <c r="D52" s="21">
        <v>73</v>
      </c>
      <c r="E52" s="21">
        <v>28</v>
      </c>
      <c r="F52" s="21">
        <v>45</v>
      </c>
      <c r="G52" s="21">
        <v>3</v>
      </c>
      <c r="H52" s="21">
        <v>0</v>
      </c>
      <c r="I52" s="21">
        <v>1</v>
      </c>
      <c r="J52" s="21">
        <v>7</v>
      </c>
      <c r="K52" s="21">
        <v>8</v>
      </c>
      <c r="L52" s="21">
        <v>4</v>
      </c>
      <c r="M52" s="21">
        <v>8</v>
      </c>
      <c r="N52" s="21">
        <v>6</v>
      </c>
      <c r="O52" s="21">
        <v>6</v>
      </c>
      <c r="P52" s="21">
        <v>17</v>
      </c>
      <c r="Q52" s="21">
        <v>2</v>
      </c>
      <c r="R52" s="21">
        <v>11</v>
      </c>
    </row>
    <row r="53" spans="1:18" s="20" customFormat="1" ht="14.25" customHeight="1" x14ac:dyDescent="0.2">
      <c r="A53" s="64" t="s">
        <v>202</v>
      </c>
      <c r="B53" s="25" t="s">
        <v>55</v>
      </c>
      <c r="C53" s="26" t="s">
        <v>0</v>
      </c>
      <c r="D53" s="27">
        <v>193</v>
      </c>
      <c r="E53" s="27">
        <v>82</v>
      </c>
      <c r="F53" s="27">
        <v>111</v>
      </c>
      <c r="G53" s="27">
        <v>18</v>
      </c>
      <c r="H53" s="27">
        <v>9</v>
      </c>
      <c r="I53" s="27">
        <v>12</v>
      </c>
      <c r="J53" s="27">
        <v>6</v>
      </c>
      <c r="K53" s="27">
        <v>13</v>
      </c>
      <c r="L53" s="27">
        <v>9</v>
      </c>
      <c r="M53" s="27">
        <v>14</v>
      </c>
      <c r="N53" s="27">
        <v>24</v>
      </c>
      <c r="O53" s="27">
        <v>16</v>
      </c>
      <c r="P53" s="27">
        <v>39</v>
      </c>
      <c r="Q53" s="27">
        <v>9</v>
      </c>
      <c r="R53" s="27">
        <v>24</v>
      </c>
    </row>
    <row r="54" spans="1:18" s="20" customFormat="1" ht="14.25" customHeight="1" x14ac:dyDescent="0.2">
      <c r="A54" s="86" t="s">
        <v>13</v>
      </c>
      <c r="B54" s="28" t="s">
        <v>56</v>
      </c>
      <c r="C54" s="29" t="s">
        <v>2</v>
      </c>
      <c r="D54" s="21">
        <v>68</v>
      </c>
      <c r="E54" s="21">
        <v>33</v>
      </c>
      <c r="F54" s="21">
        <v>35</v>
      </c>
      <c r="G54" s="21">
        <v>8</v>
      </c>
      <c r="H54" s="21">
        <v>4</v>
      </c>
      <c r="I54" s="21">
        <v>4</v>
      </c>
      <c r="J54" s="21">
        <v>1</v>
      </c>
      <c r="K54" s="21">
        <v>7</v>
      </c>
      <c r="L54" s="21">
        <v>3</v>
      </c>
      <c r="M54" s="21">
        <v>4</v>
      </c>
      <c r="N54" s="21">
        <v>5</v>
      </c>
      <c r="O54" s="21">
        <v>8</v>
      </c>
      <c r="P54" s="21">
        <v>12</v>
      </c>
      <c r="Q54" s="21">
        <v>2</v>
      </c>
      <c r="R54" s="21">
        <v>10</v>
      </c>
    </row>
    <row r="55" spans="1:18" s="20" customFormat="1" ht="14.25" customHeight="1" x14ac:dyDescent="0.2">
      <c r="A55" s="87"/>
      <c r="B55" s="30" t="s">
        <v>57</v>
      </c>
      <c r="C55" s="31" t="s">
        <v>225</v>
      </c>
      <c r="D55" s="21">
        <v>125</v>
      </c>
      <c r="E55" s="21">
        <v>49</v>
      </c>
      <c r="F55" s="21">
        <v>76</v>
      </c>
      <c r="G55" s="21">
        <v>10</v>
      </c>
      <c r="H55" s="21">
        <v>5</v>
      </c>
      <c r="I55" s="21">
        <v>8</v>
      </c>
      <c r="J55" s="21">
        <v>5</v>
      </c>
      <c r="K55" s="21">
        <v>6</v>
      </c>
      <c r="L55" s="21">
        <v>6</v>
      </c>
      <c r="M55" s="21">
        <v>10</v>
      </c>
      <c r="N55" s="21">
        <v>19</v>
      </c>
      <c r="O55" s="21">
        <v>8</v>
      </c>
      <c r="P55" s="21">
        <v>27</v>
      </c>
      <c r="Q55" s="21">
        <v>7</v>
      </c>
      <c r="R55" s="21">
        <v>14</v>
      </c>
    </row>
    <row r="56" spans="1:18" s="20" customFormat="1" ht="14.25" customHeight="1" x14ac:dyDescent="0.2">
      <c r="A56" s="64" t="s">
        <v>203</v>
      </c>
      <c r="B56" s="25" t="s">
        <v>55</v>
      </c>
      <c r="C56" s="26" t="s">
        <v>0</v>
      </c>
      <c r="D56" s="27">
        <v>309</v>
      </c>
      <c r="E56" s="27">
        <v>133</v>
      </c>
      <c r="F56" s="27">
        <v>176</v>
      </c>
      <c r="G56" s="27">
        <v>29</v>
      </c>
      <c r="H56" s="27">
        <v>10</v>
      </c>
      <c r="I56" s="27">
        <v>25</v>
      </c>
      <c r="J56" s="27">
        <v>10</v>
      </c>
      <c r="K56" s="27">
        <v>20</v>
      </c>
      <c r="L56" s="27">
        <v>28</v>
      </c>
      <c r="M56" s="27">
        <v>26</v>
      </c>
      <c r="N56" s="27">
        <v>19</v>
      </c>
      <c r="O56" s="27">
        <v>22</v>
      </c>
      <c r="P56" s="27">
        <v>55</v>
      </c>
      <c r="Q56" s="27">
        <v>11</v>
      </c>
      <c r="R56" s="27">
        <v>54</v>
      </c>
    </row>
    <row r="57" spans="1:18" s="20" customFormat="1" ht="14.25" customHeight="1" x14ac:dyDescent="0.2">
      <c r="A57" s="86" t="s">
        <v>14</v>
      </c>
      <c r="B57" s="28" t="s">
        <v>56</v>
      </c>
      <c r="C57" s="29" t="s">
        <v>2</v>
      </c>
      <c r="D57" s="21">
        <v>109</v>
      </c>
      <c r="E57" s="21">
        <v>44</v>
      </c>
      <c r="F57" s="21">
        <v>65</v>
      </c>
      <c r="G57" s="21">
        <v>13</v>
      </c>
      <c r="H57" s="21">
        <v>3</v>
      </c>
      <c r="I57" s="21">
        <v>8</v>
      </c>
      <c r="J57" s="21">
        <v>4</v>
      </c>
      <c r="K57" s="21">
        <v>4</v>
      </c>
      <c r="L57" s="21">
        <v>9</v>
      </c>
      <c r="M57" s="21">
        <v>10</v>
      </c>
      <c r="N57" s="21">
        <v>8</v>
      </c>
      <c r="O57" s="21">
        <v>5</v>
      </c>
      <c r="P57" s="21">
        <v>18</v>
      </c>
      <c r="Q57" s="21">
        <v>4</v>
      </c>
      <c r="R57" s="21">
        <v>23</v>
      </c>
    </row>
    <row r="58" spans="1:18" s="20" customFormat="1" ht="14.25" customHeight="1" x14ac:dyDescent="0.2">
      <c r="A58" s="87"/>
      <c r="B58" s="30" t="s">
        <v>57</v>
      </c>
      <c r="C58" s="31" t="s">
        <v>225</v>
      </c>
      <c r="D58" s="21">
        <v>200</v>
      </c>
      <c r="E58" s="21">
        <v>89</v>
      </c>
      <c r="F58" s="21">
        <v>111</v>
      </c>
      <c r="G58" s="21">
        <v>16</v>
      </c>
      <c r="H58" s="21">
        <v>7</v>
      </c>
      <c r="I58" s="21">
        <v>17</v>
      </c>
      <c r="J58" s="21">
        <v>6</v>
      </c>
      <c r="K58" s="21">
        <v>16</v>
      </c>
      <c r="L58" s="21">
        <v>19</v>
      </c>
      <c r="M58" s="21">
        <v>16</v>
      </c>
      <c r="N58" s="21">
        <v>11</v>
      </c>
      <c r="O58" s="21">
        <v>17</v>
      </c>
      <c r="P58" s="21">
        <v>37</v>
      </c>
      <c r="Q58" s="21">
        <v>7</v>
      </c>
      <c r="R58" s="21">
        <v>31</v>
      </c>
    </row>
    <row r="59" spans="1:18" s="20" customFormat="1" ht="14.25" customHeight="1" x14ac:dyDescent="0.2">
      <c r="A59" s="64" t="s">
        <v>204</v>
      </c>
      <c r="B59" s="25" t="s">
        <v>55</v>
      </c>
      <c r="C59" s="26" t="s">
        <v>0</v>
      </c>
      <c r="D59" s="27">
        <v>25</v>
      </c>
      <c r="E59" s="27">
        <v>7</v>
      </c>
      <c r="F59" s="27">
        <v>18</v>
      </c>
      <c r="G59" s="27">
        <v>0</v>
      </c>
      <c r="H59" s="27">
        <v>1</v>
      </c>
      <c r="I59" s="27">
        <v>1</v>
      </c>
      <c r="J59" s="27">
        <v>0</v>
      </c>
      <c r="K59" s="27">
        <v>2</v>
      </c>
      <c r="L59" s="27">
        <v>1</v>
      </c>
      <c r="M59" s="27">
        <v>2</v>
      </c>
      <c r="N59" s="27">
        <v>3</v>
      </c>
      <c r="O59" s="27">
        <v>2</v>
      </c>
      <c r="P59" s="27">
        <v>6</v>
      </c>
      <c r="Q59" s="27">
        <v>0</v>
      </c>
      <c r="R59" s="27">
        <v>7</v>
      </c>
    </row>
    <row r="60" spans="1:18" s="20" customFormat="1" ht="14.25" customHeight="1" x14ac:dyDescent="0.2">
      <c r="A60" s="86" t="s">
        <v>15</v>
      </c>
      <c r="B60" s="28" t="s">
        <v>56</v>
      </c>
      <c r="C60" s="29" t="s">
        <v>2</v>
      </c>
      <c r="D60" s="21">
        <v>22</v>
      </c>
      <c r="E60" s="21">
        <v>6</v>
      </c>
      <c r="F60" s="21">
        <v>16</v>
      </c>
      <c r="G60" s="21">
        <v>0</v>
      </c>
      <c r="H60" s="21">
        <v>1</v>
      </c>
      <c r="I60" s="21">
        <v>1</v>
      </c>
      <c r="J60" s="21">
        <v>0</v>
      </c>
      <c r="K60" s="21">
        <v>2</v>
      </c>
      <c r="L60" s="21">
        <v>1</v>
      </c>
      <c r="M60" s="21">
        <v>2</v>
      </c>
      <c r="N60" s="21">
        <v>3</v>
      </c>
      <c r="O60" s="21">
        <v>1</v>
      </c>
      <c r="P60" s="21">
        <v>5</v>
      </c>
      <c r="Q60" s="21">
        <v>0</v>
      </c>
      <c r="R60" s="21">
        <v>6</v>
      </c>
    </row>
    <row r="61" spans="1:18" s="20" customFormat="1" ht="14.25" customHeight="1" x14ac:dyDescent="0.2">
      <c r="A61" s="87"/>
      <c r="B61" s="30" t="s">
        <v>57</v>
      </c>
      <c r="C61" s="31" t="s">
        <v>225</v>
      </c>
      <c r="D61" s="21">
        <v>3</v>
      </c>
      <c r="E61" s="21">
        <v>1</v>
      </c>
      <c r="F61" s="21">
        <v>2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1</v>
      </c>
      <c r="P61" s="21">
        <v>1</v>
      </c>
      <c r="Q61" s="21">
        <v>0</v>
      </c>
      <c r="R61" s="21">
        <v>1</v>
      </c>
    </row>
    <row r="62" spans="1:18" s="20" customFormat="1" ht="14.25" customHeight="1" x14ac:dyDescent="0.2">
      <c r="A62" s="64" t="s">
        <v>205</v>
      </c>
      <c r="B62" s="25" t="s">
        <v>55</v>
      </c>
      <c r="C62" s="26" t="s">
        <v>0</v>
      </c>
      <c r="D62" s="27">
        <v>267</v>
      </c>
      <c r="E62" s="27">
        <v>100</v>
      </c>
      <c r="F62" s="27">
        <v>167</v>
      </c>
      <c r="G62" s="27">
        <v>9</v>
      </c>
      <c r="H62" s="27">
        <v>7</v>
      </c>
      <c r="I62" s="27">
        <v>11</v>
      </c>
      <c r="J62" s="27">
        <v>13</v>
      </c>
      <c r="K62" s="27">
        <v>18</v>
      </c>
      <c r="L62" s="27">
        <v>9</v>
      </c>
      <c r="M62" s="27">
        <v>17</v>
      </c>
      <c r="N62" s="27">
        <v>21</v>
      </c>
      <c r="O62" s="27">
        <v>25</v>
      </c>
      <c r="P62" s="27">
        <v>72</v>
      </c>
      <c r="Q62" s="27">
        <v>20</v>
      </c>
      <c r="R62" s="27">
        <v>45</v>
      </c>
    </row>
    <row r="63" spans="1:18" s="20" customFormat="1" ht="14.25" customHeight="1" x14ac:dyDescent="0.2">
      <c r="A63" s="86" t="s">
        <v>16</v>
      </c>
      <c r="B63" s="28" t="s">
        <v>56</v>
      </c>
      <c r="C63" s="29" t="s">
        <v>2</v>
      </c>
      <c r="D63" s="21">
        <v>230</v>
      </c>
      <c r="E63" s="21">
        <v>88</v>
      </c>
      <c r="F63" s="21">
        <v>142</v>
      </c>
      <c r="G63" s="21">
        <v>8</v>
      </c>
      <c r="H63" s="21">
        <v>5</v>
      </c>
      <c r="I63" s="21">
        <v>10</v>
      </c>
      <c r="J63" s="21">
        <v>12</v>
      </c>
      <c r="K63" s="21">
        <v>14</v>
      </c>
      <c r="L63" s="21">
        <v>7</v>
      </c>
      <c r="M63" s="21">
        <v>16</v>
      </c>
      <c r="N63" s="21">
        <v>14</v>
      </c>
      <c r="O63" s="21">
        <v>23</v>
      </c>
      <c r="P63" s="21">
        <v>61</v>
      </c>
      <c r="Q63" s="21">
        <v>17</v>
      </c>
      <c r="R63" s="21">
        <v>43</v>
      </c>
    </row>
    <row r="64" spans="1:18" s="20" customFormat="1" ht="14.25" customHeight="1" x14ac:dyDescent="0.2">
      <c r="A64" s="87"/>
      <c r="B64" s="30" t="s">
        <v>57</v>
      </c>
      <c r="C64" s="31" t="s">
        <v>225</v>
      </c>
      <c r="D64" s="21">
        <v>37</v>
      </c>
      <c r="E64" s="21">
        <v>12</v>
      </c>
      <c r="F64" s="21">
        <v>25</v>
      </c>
      <c r="G64" s="21">
        <v>1</v>
      </c>
      <c r="H64" s="21">
        <v>2</v>
      </c>
      <c r="I64" s="21">
        <v>1</v>
      </c>
      <c r="J64" s="21">
        <v>1</v>
      </c>
      <c r="K64" s="21">
        <v>4</v>
      </c>
      <c r="L64" s="21">
        <v>2</v>
      </c>
      <c r="M64" s="21">
        <v>1</v>
      </c>
      <c r="N64" s="21">
        <v>7</v>
      </c>
      <c r="O64" s="21">
        <v>2</v>
      </c>
      <c r="P64" s="21">
        <v>11</v>
      </c>
      <c r="Q64" s="21">
        <v>3</v>
      </c>
      <c r="R64" s="21">
        <v>2</v>
      </c>
    </row>
    <row r="65" spans="1:18" s="20" customFormat="1" ht="14.25" customHeight="1" x14ac:dyDescent="0.2">
      <c r="A65" s="64" t="s">
        <v>206</v>
      </c>
      <c r="B65" s="25" t="s">
        <v>55</v>
      </c>
      <c r="C65" s="26" t="s">
        <v>0</v>
      </c>
      <c r="D65" s="27">
        <v>233</v>
      </c>
      <c r="E65" s="27">
        <v>110</v>
      </c>
      <c r="F65" s="27">
        <v>123</v>
      </c>
      <c r="G65" s="27">
        <v>16</v>
      </c>
      <c r="H65" s="27">
        <v>10</v>
      </c>
      <c r="I65" s="27">
        <v>16</v>
      </c>
      <c r="J65" s="27">
        <v>12</v>
      </c>
      <c r="K65" s="27">
        <v>21</v>
      </c>
      <c r="L65" s="27">
        <v>17</v>
      </c>
      <c r="M65" s="27">
        <v>27</v>
      </c>
      <c r="N65" s="27">
        <v>17</v>
      </c>
      <c r="O65" s="27">
        <v>14</v>
      </c>
      <c r="P65" s="27">
        <v>29</v>
      </c>
      <c r="Q65" s="27">
        <v>16</v>
      </c>
      <c r="R65" s="27">
        <v>38</v>
      </c>
    </row>
    <row r="66" spans="1:18" s="20" customFormat="1" ht="14.25" customHeight="1" x14ac:dyDescent="0.2">
      <c r="A66" s="86" t="s">
        <v>17</v>
      </c>
      <c r="B66" s="28" t="s">
        <v>56</v>
      </c>
      <c r="C66" s="29" t="s">
        <v>2</v>
      </c>
      <c r="D66" s="21">
        <v>209</v>
      </c>
      <c r="E66" s="21">
        <v>97</v>
      </c>
      <c r="F66" s="21">
        <v>112</v>
      </c>
      <c r="G66" s="21">
        <v>11</v>
      </c>
      <c r="H66" s="21">
        <v>9</v>
      </c>
      <c r="I66" s="21">
        <v>16</v>
      </c>
      <c r="J66" s="21">
        <v>11</v>
      </c>
      <c r="K66" s="21">
        <v>17</v>
      </c>
      <c r="L66" s="21">
        <v>14</v>
      </c>
      <c r="M66" s="21">
        <v>23</v>
      </c>
      <c r="N66" s="21">
        <v>16</v>
      </c>
      <c r="O66" s="21">
        <v>14</v>
      </c>
      <c r="P66" s="21">
        <v>28</v>
      </c>
      <c r="Q66" s="21">
        <v>16</v>
      </c>
      <c r="R66" s="21">
        <v>34</v>
      </c>
    </row>
    <row r="67" spans="1:18" s="20" customFormat="1" ht="14.25" customHeight="1" x14ac:dyDescent="0.2">
      <c r="A67" s="87"/>
      <c r="B67" s="30" t="s">
        <v>57</v>
      </c>
      <c r="C67" s="31" t="s">
        <v>225</v>
      </c>
      <c r="D67" s="21">
        <v>24</v>
      </c>
      <c r="E67" s="21">
        <v>13</v>
      </c>
      <c r="F67" s="21">
        <v>11</v>
      </c>
      <c r="G67" s="21">
        <v>5</v>
      </c>
      <c r="H67" s="21">
        <v>1</v>
      </c>
      <c r="I67" s="21">
        <v>0</v>
      </c>
      <c r="J67" s="21">
        <v>1</v>
      </c>
      <c r="K67" s="21">
        <v>4</v>
      </c>
      <c r="L67" s="21">
        <v>3</v>
      </c>
      <c r="M67" s="21">
        <v>4</v>
      </c>
      <c r="N67" s="21">
        <v>1</v>
      </c>
      <c r="O67" s="21">
        <v>0</v>
      </c>
      <c r="P67" s="21">
        <v>1</v>
      </c>
      <c r="Q67" s="21">
        <v>0</v>
      </c>
      <c r="R67" s="21">
        <v>4</v>
      </c>
    </row>
    <row r="68" spans="1:18" s="20" customFormat="1" ht="14.25" customHeight="1" x14ac:dyDescent="0.2">
      <c r="A68" s="64" t="s">
        <v>207</v>
      </c>
      <c r="B68" s="25" t="s">
        <v>55</v>
      </c>
      <c r="C68" s="26" t="s">
        <v>0</v>
      </c>
      <c r="D68" s="27">
        <v>119</v>
      </c>
      <c r="E68" s="27">
        <v>56</v>
      </c>
      <c r="F68" s="27">
        <v>63</v>
      </c>
      <c r="G68" s="27">
        <v>6</v>
      </c>
      <c r="H68" s="27">
        <v>6</v>
      </c>
      <c r="I68" s="27">
        <v>9</v>
      </c>
      <c r="J68" s="27">
        <v>5</v>
      </c>
      <c r="K68" s="27">
        <v>14</v>
      </c>
      <c r="L68" s="27">
        <v>10</v>
      </c>
      <c r="M68" s="27">
        <v>7</v>
      </c>
      <c r="N68" s="27">
        <v>7</v>
      </c>
      <c r="O68" s="27">
        <v>9</v>
      </c>
      <c r="P68" s="27">
        <v>20</v>
      </c>
      <c r="Q68" s="27">
        <v>11</v>
      </c>
      <c r="R68" s="27">
        <v>15</v>
      </c>
    </row>
    <row r="69" spans="1:18" s="20" customFormat="1" ht="14.25" customHeight="1" x14ac:dyDescent="0.2">
      <c r="A69" s="86" t="s">
        <v>18</v>
      </c>
      <c r="B69" s="28" t="s">
        <v>56</v>
      </c>
      <c r="C69" s="29" t="s">
        <v>2</v>
      </c>
      <c r="D69" s="21">
        <v>117</v>
      </c>
      <c r="E69" s="21">
        <v>54</v>
      </c>
      <c r="F69" s="21">
        <v>63</v>
      </c>
      <c r="G69" s="21">
        <v>6</v>
      </c>
      <c r="H69" s="21">
        <v>6</v>
      </c>
      <c r="I69" s="21">
        <v>7</v>
      </c>
      <c r="J69" s="21">
        <v>5</v>
      </c>
      <c r="K69" s="21">
        <v>14</v>
      </c>
      <c r="L69" s="21">
        <v>10</v>
      </c>
      <c r="M69" s="21">
        <v>7</v>
      </c>
      <c r="N69" s="21">
        <v>7</v>
      </c>
      <c r="O69" s="21">
        <v>9</v>
      </c>
      <c r="P69" s="21">
        <v>20</v>
      </c>
      <c r="Q69" s="21">
        <v>11</v>
      </c>
      <c r="R69" s="21">
        <v>15</v>
      </c>
    </row>
    <row r="70" spans="1:18" s="20" customFormat="1" ht="14.25" customHeight="1" x14ac:dyDescent="0.2">
      <c r="A70" s="87"/>
      <c r="B70" s="30" t="s">
        <v>57</v>
      </c>
      <c r="C70" s="31" t="s">
        <v>225</v>
      </c>
      <c r="D70" s="21">
        <v>2</v>
      </c>
      <c r="E70" s="21">
        <v>2</v>
      </c>
      <c r="F70" s="21">
        <v>0</v>
      </c>
      <c r="G70" s="21">
        <v>0</v>
      </c>
      <c r="H70" s="21">
        <v>0</v>
      </c>
      <c r="I70" s="21">
        <v>2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</row>
    <row r="71" spans="1:18" s="20" customFormat="1" ht="14.25" customHeight="1" x14ac:dyDescent="0.2">
      <c r="A71" s="64" t="s">
        <v>208</v>
      </c>
      <c r="B71" s="25" t="s">
        <v>55</v>
      </c>
      <c r="C71" s="26" t="s">
        <v>0</v>
      </c>
      <c r="D71" s="27">
        <v>50</v>
      </c>
      <c r="E71" s="27">
        <v>21</v>
      </c>
      <c r="F71" s="27">
        <v>29</v>
      </c>
      <c r="G71" s="27">
        <v>2</v>
      </c>
      <c r="H71" s="27">
        <v>3</v>
      </c>
      <c r="I71" s="27">
        <v>1</v>
      </c>
      <c r="J71" s="27">
        <v>2</v>
      </c>
      <c r="K71" s="27">
        <v>8</v>
      </c>
      <c r="L71" s="27">
        <v>3</v>
      </c>
      <c r="M71" s="27">
        <v>3</v>
      </c>
      <c r="N71" s="27">
        <v>1</v>
      </c>
      <c r="O71" s="27">
        <v>4</v>
      </c>
      <c r="P71" s="27">
        <v>12</v>
      </c>
      <c r="Q71" s="27">
        <v>3</v>
      </c>
      <c r="R71" s="27">
        <v>8</v>
      </c>
    </row>
    <row r="72" spans="1:18" s="20" customFormat="1" ht="14.25" customHeight="1" x14ac:dyDescent="0.2">
      <c r="A72" s="86" t="s">
        <v>19</v>
      </c>
      <c r="B72" s="28" t="s">
        <v>56</v>
      </c>
      <c r="C72" s="29" t="s">
        <v>2</v>
      </c>
      <c r="D72" s="21">
        <v>48</v>
      </c>
      <c r="E72" s="21">
        <v>20</v>
      </c>
      <c r="F72" s="21">
        <v>28</v>
      </c>
      <c r="G72" s="21">
        <v>2</v>
      </c>
      <c r="H72" s="21">
        <v>3</v>
      </c>
      <c r="I72" s="21">
        <v>1</v>
      </c>
      <c r="J72" s="21">
        <v>2</v>
      </c>
      <c r="K72" s="21">
        <v>8</v>
      </c>
      <c r="L72" s="21">
        <v>3</v>
      </c>
      <c r="M72" s="21">
        <v>2</v>
      </c>
      <c r="N72" s="21">
        <v>1</v>
      </c>
      <c r="O72" s="21">
        <v>4</v>
      </c>
      <c r="P72" s="21">
        <v>11</v>
      </c>
      <c r="Q72" s="21">
        <v>3</v>
      </c>
      <c r="R72" s="21">
        <v>8</v>
      </c>
    </row>
    <row r="73" spans="1:18" s="20" customFormat="1" ht="14.25" customHeight="1" x14ac:dyDescent="0.2">
      <c r="A73" s="87"/>
      <c r="B73" s="30" t="s">
        <v>57</v>
      </c>
      <c r="C73" s="31" t="s">
        <v>225</v>
      </c>
      <c r="D73" s="21">
        <v>2</v>
      </c>
      <c r="E73" s="21">
        <v>1</v>
      </c>
      <c r="F73" s="21">
        <v>1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1</v>
      </c>
      <c r="N73" s="21">
        <v>0</v>
      </c>
      <c r="O73" s="21">
        <v>0</v>
      </c>
      <c r="P73" s="21">
        <v>1</v>
      </c>
      <c r="Q73" s="21">
        <v>0</v>
      </c>
      <c r="R73" s="21">
        <v>0</v>
      </c>
    </row>
    <row r="74" spans="1:18" s="20" customFormat="1" ht="14.25" customHeight="1" x14ac:dyDescent="0.2">
      <c r="A74" s="64" t="s">
        <v>209</v>
      </c>
      <c r="B74" s="25" t="s">
        <v>55</v>
      </c>
      <c r="C74" s="26" t="s">
        <v>0</v>
      </c>
      <c r="D74" s="27">
        <v>6</v>
      </c>
      <c r="E74" s="27">
        <v>1</v>
      </c>
      <c r="F74" s="27">
        <v>5</v>
      </c>
      <c r="G74" s="27">
        <v>0</v>
      </c>
      <c r="H74" s="27">
        <v>0</v>
      </c>
      <c r="I74" s="27">
        <v>1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4</v>
      </c>
      <c r="Q74" s="27">
        <v>0</v>
      </c>
      <c r="R74" s="27">
        <v>1</v>
      </c>
    </row>
    <row r="75" spans="1:18" s="20" customFormat="1" ht="14.25" customHeight="1" x14ac:dyDescent="0.2">
      <c r="A75" s="86" t="s">
        <v>20</v>
      </c>
      <c r="B75" s="28" t="s">
        <v>56</v>
      </c>
      <c r="C75" s="29" t="s">
        <v>2</v>
      </c>
      <c r="D75" s="21">
        <v>6</v>
      </c>
      <c r="E75" s="21">
        <v>1</v>
      </c>
      <c r="F75" s="21">
        <v>5</v>
      </c>
      <c r="G75" s="21">
        <v>0</v>
      </c>
      <c r="H75" s="21">
        <v>0</v>
      </c>
      <c r="I75" s="21">
        <v>1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4</v>
      </c>
      <c r="Q75" s="21">
        <v>0</v>
      </c>
      <c r="R75" s="21">
        <v>1</v>
      </c>
    </row>
    <row r="76" spans="1:18" s="20" customFormat="1" ht="14.25" customHeight="1" x14ac:dyDescent="0.2">
      <c r="A76" s="87"/>
      <c r="B76" s="30" t="s">
        <v>57</v>
      </c>
      <c r="C76" s="31" t="s">
        <v>225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</row>
    <row r="77" spans="1:18" s="17" customFormat="1" ht="14.25" customHeight="1" x14ac:dyDescent="0.2">
      <c r="A77" s="17" t="s">
        <v>80</v>
      </c>
    </row>
    <row r="78" spans="1:18" s="17" customFormat="1" ht="14.25" customHeight="1" x14ac:dyDescent="0.2">
      <c r="A78" s="23" t="s">
        <v>24</v>
      </c>
    </row>
    <row r="79" spans="1:18" s="17" customFormat="1" ht="14.25" customHeight="1" x14ac:dyDescent="0.2">
      <c r="A79" s="4"/>
    </row>
    <row r="80" spans="1:18" s="17" customFormat="1" ht="14.25" customHeight="1" x14ac:dyDescent="0.2">
      <c r="A80" s="52" t="s">
        <v>220</v>
      </c>
    </row>
  </sheetData>
  <mergeCells count="47">
    <mergeCell ref="A75:A76"/>
    <mergeCell ref="A57:A58"/>
    <mergeCell ref="A60:A61"/>
    <mergeCell ref="A63:A64"/>
    <mergeCell ref="A66:A67"/>
    <mergeCell ref="A69:A70"/>
    <mergeCell ref="A72:A73"/>
    <mergeCell ref="A54:A55"/>
    <mergeCell ref="A21:A22"/>
    <mergeCell ref="A24:A25"/>
    <mergeCell ref="A27:A28"/>
    <mergeCell ref="A30:A31"/>
    <mergeCell ref="A33:A34"/>
    <mergeCell ref="A36:A37"/>
    <mergeCell ref="A39:A40"/>
    <mergeCell ref="A42:A43"/>
    <mergeCell ref="A45:A46"/>
    <mergeCell ref="A48:A49"/>
    <mergeCell ref="A51:A52"/>
    <mergeCell ref="A9:A10"/>
    <mergeCell ref="A12:A13"/>
    <mergeCell ref="A15:A16"/>
    <mergeCell ref="O6:O7"/>
    <mergeCell ref="P6:P7"/>
    <mergeCell ref="A18:A19"/>
    <mergeCell ref="K6:K7"/>
    <mergeCell ref="L6:L7"/>
    <mergeCell ref="M6:M7"/>
    <mergeCell ref="N6:N7"/>
    <mergeCell ref="E6:E7"/>
    <mergeCell ref="F6:F7"/>
    <mergeCell ref="G6:G7"/>
    <mergeCell ref="H6:H7"/>
    <mergeCell ref="I6:I7"/>
    <mergeCell ref="J6:J7"/>
    <mergeCell ref="A4:C7"/>
    <mergeCell ref="D4:R4"/>
    <mergeCell ref="D5:F5"/>
    <mergeCell ref="G5:H5"/>
    <mergeCell ref="I5:J5"/>
    <mergeCell ref="K5:L5"/>
    <mergeCell ref="M5:N5"/>
    <mergeCell ref="O5:P5"/>
    <mergeCell ref="Q5:R5"/>
    <mergeCell ref="D6:D7"/>
    <mergeCell ref="Q6:Q7"/>
    <mergeCell ref="R6:R7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 alignWithMargins="0">
    <oddHeader>&amp;L&amp;"微軟正黑體,標準"&amp;16兒童及少年保護執行概況&amp;C&amp;"微軟正黑體,標準"&amp;16
&amp;R&amp;"微軟正黑體,標準"本表共&amp;N頁，第&amp;P頁</oddHeader>
  </headerFooter>
  <rowBreaks count="1" manualBreakCount="1">
    <brk id="43" max="17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80"/>
  <sheetViews>
    <sheetView zoomScaleNormal="100" zoomScaleSheetLayoutView="100" workbookViewId="0">
      <pane xSplit="4" ySplit="8" topLeftCell="E9" activePane="bottomRight" state="frozen"/>
      <selection activeCell="A3" sqref="A3"/>
      <selection pane="topRight" activeCell="A3" sqref="A3"/>
      <selection pane="bottomLeft" activeCell="A3" sqref="A3"/>
      <selection pane="bottomRight" activeCell="L25" sqref="L25"/>
    </sheetView>
  </sheetViews>
  <sheetFormatPr defaultColWidth="5.5" defaultRowHeight="11.1" customHeight="1" x14ac:dyDescent="0.2"/>
  <cols>
    <col min="1" max="1" width="19.1640625" style="4" customWidth="1"/>
    <col min="2" max="2" width="10.33203125" style="4" customWidth="1"/>
    <col min="3" max="3" width="13.1640625" style="4" customWidth="1"/>
    <col min="4" max="18" width="11.5" style="4" customWidth="1"/>
    <col min="19" max="16384" width="5.5" style="4"/>
  </cols>
  <sheetData>
    <row r="1" spans="1:18" ht="20.25" customHeight="1" x14ac:dyDescent="0.2">
      <c r="A1" s="46" t="s">
        <v>174</v>
      </c>
      <c r="B1" s="1"/>
      <c r="C1" s="1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4.25" customHeight="1" x14ac:dyDescent="0.2">
      <c r="A2" s="17" t="s">
        <v>148</v>
      </c>
      <c r="B2"/>
      <c r="C2"/>
      <c r="D2" s="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</row>
    <row r="3" spans="1:18" s="17" customFormat="1" ht="12.75" customHeight="1" x14ac:dyDescent="0.2">
      <c r="A3" s="53" t="s">
        <v>217</v>
      </c>
      <c r="B3" s="16"/>
      <c r="C3" s="16"/>
      <c r="D3" s="4" t="str">
        <f>IF(D8=SUM(D11,D14,D17,D20,D23,D26,D29,D32,D35,D38,D41,D44,D47,D50,D53,D56,D59,D62,D65,D68,D71,D74,),"","*")</f>
        <v/>
      </c>
      <c r="E3" s="4" t="str">
        <f t="shared" ref="E3:R3" si="0">IF(E8=SUM(E11,E14,E17,E20,E23,E26,E29,E32,E35,E38,E41,E44,E47,E50,E53,E56,E59,E62,E65,E68,E71,E74,),"","*")</f>
        <v/>
      </c>
      <c r="F3" s="4" t="str">
        <f t="shared" si="0"/>
        <v/>
      </c>
      <c r="G3" s="4" t="str">
        <f t="shared" si="0"/>
        <v/>
      </c>
      <c r="H3" s="4" t="str">
        <f t="shared" si="0"/>
        <v/>
      </c>
      <c r="I3" s="4" t="str">
        <f t="shared" si="0"/>
        <v/>
      </c>
      <c r="J3" s="4" t="str">
        <f t="shared" si="0"/>
        <v/>
      </c>
      <c r="K3" s="4" t="str">
        <f t="shared" si="0"/>
        <v/>
      </c>
      <c r="L3" s="4" t="str">
        <f t="shared" si="0"/>
        <v/>
      </c>
      <c r="M3" s="4" t="str">
        <f t="shared" si="0"/>
        <v/>
      </c>
      <c r="N3" s="4" t="str">
        <f t="shared" si="0"/>
        <v/>
      </c>
      <c r="O3" s="4" t="str">
        <f t="shared" si="0"/>
        <v/>
      </c>
      <c r="P3" s="4" t="str">
        <f t="shared" si="0"/>
        <v/>
      </c>
      <c r="Q3" s="4" t="str">
        <f t="shared" si="0"/>
        <v/>
      </c>
      <c r="R3" s="4" t="str">
        <f t="shared" si="0"/>
        <v/>
      </c>
    </row>
    <row r="4" spans="1:18" s="18" customFormat="1" ht="15.6" customHeight="1" x14ac:dyDescent="0.2">
      <c r="A4" s="94" t="s">
        <v>42</v>
      </c>
      <c r="B4" s="95"/>
      <c r="C4" s="96"/>
      <c r="D4" s="76" t="s">
        <v>43</v>
      </c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</row>
    <row r="5" spans="1:18" s="18" customFormat="1" ht="28.9" customHeight="1" x14ac:dyDescent="0.2">
      <c r="A5" s="97"/>
      <c r="B5" s="98"/>
      <c r="C5" s="99"/>
      <c r="D5" s="78" t="s">
        <v>44</v>
      </c>
      <c r="E5" s="79"/>
      <c r="F5" s="80"/>
      <c r="G5" s="103" t="s">
        <v>45</v>
      </c>
      <c r="H5" s="104"/>
      <c r="I5" s="103" t="s">
        <v>46</v>
      </c>
      <c r="J5" s="104"/>
      <c r="K5" s="103" t="s">
        <v>47</v>
      </c>
      <c r="L5" s="104"/>
      <c r="M5" s="103" t="s">
        <v>48</v>
      </c>
      <c r="N5" s="104"/>
      <c r="O5" s="103" t="s">
        <v>49</v>
      </c>
      <c r="P5" s="104"/>
      <c r="Q5" s="103" t="s">
        <v>50</v>
      </c>
      <c r="R5" s="105"/>
    </row>
    <row r="6" spans="1:18" s="18" customFormat="1" ht="12.75" x14ac:dyDescent="0.2">
      <c r="A6" s="97"/>
      <c r="B6" s="98"/>
      <c r="C6" s="99"/>
      <c r="D6" s="72" t="s">
        <v>51</v>
      </c>
      <c r="E6" s="92" t="s">
        <v>52</v>
      </c>
      <c r="F6" s="90" t="s">
        <v>53</v>
      </c>
      <c r="G6" s="90" t="s">
        <v>52</v>
      </c>
      <c r="H6" s="90" t="s">
        <v>53</v>
      </c>
      <c r="I6" s="90" t="s">
        <v>52</v>
      </c>
      <c r="J6" s="90" t="s">
        <v>53</v>
      </c>
      <c r="K6" s="90" t="s">
        <v>52</v>
      </c>
      <c r="L6" s="90" t="s">
        <v>53</v>
      </c>
      <c r="M6" s="90" t="s">
        <v>52</v>
      </c>
      <c r="N6" s="90" t="s">
        <v>53</v>
      </c>
      <c r="O6" s="90" t="s">
        <v>52</v>
      </c>
      <c r="P6" s="90" t="s">
        <v>53</v>
      </c>
      <c r="Q6" s="90" t="s">
        <v>52</v>
      </c>
      <c r="R6" s="94" t="s">
        <v>53</v>
      </c>
    </row>
    <row r="7" spans="1:18" s="19" customFormat="1" ht="12.75" x14ac:dyDescent="0.2">
      <c r="A7" s="100"/>
      <c r="B7" s="101"/>
      <c r="C7" s="102"/>
      <c r="D7" s="75"/>
      <c r="E7" s="93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100"/>
    </row>
    <row r="8" spans="1:18" s="59" customFormat="1" ht="18" customHeight="1" x14ac:dyDescent="0.2">
      <c r="A8" s="63" t="s">
        <v>186</v>
      </c>
      <c r="B8" s="56" t="s">
        <v>187</v>
      </c>
      <c r="C8" s="57" t="s">
        <v>0</v>
      </c>
      <c r="D8" s="58">
        <v>11950</v>
      </c>
      <c r="E8" s="58">
        <v>5281</v>
      </c>
      <c r="F8" s="58">
        <v>6669</v>
      </c>
      <c r="G8" s="58">
        <v>655</v>
      </c>
      <c r="H8" s="58">
        <v>497</v>
      </c>
      <c r="I8" s="58">
        <v>812</v>
      </c>
      <c r="J8" s="58">
        <v>695</v>
      </c>
      <c r="K8" s="58">
        <v>1025</v>
      </c>
      <c r="L8" s="58">
        <v>683</v>
      </c>
      <c r="M8" s="58">
        <v>1026</v>
      </c>
      <c r="N8" s="58">
        <v>783</v>
      </c>
      <c r="O8" s="58">
        <v>985</v>
      </c>
      <c r="P8" s="58">
        <v>2088</v>
      </c>
      <c r="Q8" s="58">
        <v>778</v>
      </c>
      <c r="R8" s="58">
        <v>1923</v>
      </c>
    </row>
    <row r="9" spans="1:18" s="59" customFormat="1" ht="14.25" customHeight="1" x14ac:dyDescent="0.2">
      <c r="A9" s="88" t="s">
        <v>1</v>
      </c>
      <c r="B9" s="60" t="s">
        <v>188</v>
      </c>
      <c r="C9" s="61" t="s">
        <v>2</v>
      </c>
      <c r="D9" s="62">
        <v>10620</v>
      </c>
      <c r="E9" s="62">
        <v>4726</v>
      </c>
      <c r="F9" s="62">
        <v>5894</v>
      </c>
      <c r="G9" s="62">
        <v>583</v>
      </c>
      <c r="H9" s="62">
        <v>453</v>
      </c>
      <c r="I9" s="62">
        <v>717</v>
      </c>
      <c r="J9" s="62">
        <v>600</v>
      </c>
      <c r="K9" s="62">
        <v>926</v>
      </c>
      <c r="L9" s="62">
        <v>591</v>
      </c>
      <c r="M9" s="62">
        <v>901</v>
      </c>
      <c r="N9" s="62">
        <v>680</v>
      </c>
      <c r="O9" s="62">
        <v>871</v>
      </c>
      <c r="P9" s="62">
        <v>1815</v>
      </c>
      <c r="Q9" s="62">
        <v>728</v>
      </c>
      <c r="R9" s="62">
        <v>1755</v>
      </c>
    </row>
    <row r="10" spans="1:18" s="59" customFormat="1" ht="14.25" customHeight="1" x14ac:dyDescent="0.2">
      <c r="A10" s="89"/>
      <c r="B10" s="60" t="s">
        <v>189</v>
      </c>
      <c r="C10" s="61" t="s">
        <v>225</v>
      </c>
      <c r="D10" s="62">
        <v>1330</v>
      </c>
      <c r="E10" s="62">
        <v>555</v>
      </c>
      <c r="F10" s="62">
        <v>775</v>
      </c>
      <c r="G10" s="62">
        <v>72</v>
      </c>
      <c r="H10" s="62">
        <v>44</v>
      </c>
      <c r="I10" s="62">
        <v>95</v>
      </c>
      <c r="J10" s="62">
        <v>95</v>
      </c>
      <c r="K10" s="62">
        <v>99</v>
      </c>
      <c r="L10" s="62">
        <v>92</v>
      </c>
      <c r="M10" s="62">
        <v>125</v>
      </c>
      <c r="N10" s="62">
        <v>103</v>
      </c>
      <c r="O10" s="62">
        <v>114</v>
      </c>
      <c r="P10" s="62">
        <v>273</v>
      </c>
      <c r="Q10" s="62">
        <v>50</v>
      </c>
      <c r="R10" s="62">
        <v>168</v>
      </c>
    </row>
    <row r="11" spans="1:18" s="20" customFormat="1" ht="14.25" customHeight="1" x14ac:dyDescent="0.2">
      <c r="A11" s="64" t="s">
        <v>210</v>
      </c>
      <c r="B11" s="25" t="s">
        <v>55</v>
      </c>
      <c r="C11" s="26" t="s">
        <v>0</v>
      </c>
      <c r="D11" s="27">
        <v>2142</v>
      </c>
      <c r="E11" s="27">
        <v>894</v>
      </c>
      <c r="F11" s="27">
        <v>1248</v>
      </c>
      <c r="G11" s="27">
        <v>61</v>
      </c>
      <c r="H11" s="27">
        <v>47</v>
      </c>
      <c r="I11" s="27">
        <v>93</v>
      </c>
      <c r="J11" s="27">
        <v>81</v>
      </c>
      <c r="K11" s="27">
        <v>192</v>
      </c>
      <c r="L11" s="27">
        <v>125</v>
      </c>
      <c r="M11" s="27">
        <v>200</v>
      </c>
      <c r="N11" s="27">
        <v>145</v>
      </c>
      <c r="O11" s="27">
        <v>213</v>
      </c>
      <c r="P11" s="27">
        <v>483</v>
      </c>
      <c r="Q11" s="27">
        <v>135</v>
      </c>
      <c r="R11" s="27">
        <v>367</v>
      </c>
    </row>
    <row r="12" spans="1:18" s="20" customFormat="1" ht="14.25" customHeight="1" x14ac:dyDescent="0.2">
      <c r="A12" s="86" t="s">
        <v>3</v>
      </c>
      <c r="B12" s="28" t="s">
        <v>56</v>
      </c>
      <c r="C12" s="29" t="s">
        <v>2</v>
      </c>
      <c r="D12" s="21">
        <v>2020</v>
      </c>
      <c r="E12" s="21">
        <v>853</v>
      </c>
      <c r="F12" s="21">
        <v>1167</v>
      </c>
      <c r="G12" s="21">
        <v>58</v>
      </c>
      <c r="H12" s="21">
        <v>45</v>
      </c>
      <c r="I12" s="21">
        <v>88</v>
      </c>
      <c r="J12" s="21">
        <v>74</v>
      </c>
      <c r="K12" s="21">
        <v>187</v>
      </c>
      <c r="L12" s="21">
        <v>113</v>
      </c>
      <c r="M12" s="21">
        <v>193</v>
      </c>
      <c r="N12" s="21">
        <v>133</v>
      </c>
      <c r="O12" s="21">
        <v>198</v>
      </c>
      <c r="P12" s="21">
        <v>453</v>
      </c>
      <c r="Q12" s="21">
        <v>129</v>
      </c>
      <c r="R12" s="21">
        <v>349</v>
      </c>
    </row>
    <row r="13" spans="1:18" s="20" customFormat="1" ht="14.25" customHeight="1" x14ac:dyDescent="0.2">
      <c r="A13" s="87"/>
      <c r="B13" s="28" t="s">
        <v>57</v>
      </c>
      <c r="C13" s="29" t="s">
        <v>225</v>
      </c>
      <c r="D13" s="21">
        <v>122</v>
      </c>
      <c r="E13" s="21">
        <v>41</v>
      </c>
      <c r="F13" s="21">
        <v>81</v>
      </c>
      <c r="G13" s="21">
        <v>3</v>
      </c>
      <c r="H13" s="21">
        <v>2</v>
      </c>
      <c r="I13" s="21">
        <v>5</v>
      </c>
      <c r="J13" s="21">
        <v>7</v>
      </c>
      <c r="K13" s="21">
        <v>5</v>
      </c>
      <c r="L13" s="21">
        <v>12</v>
      </c>
      <c r="M13" s="21">
        <v>7</v>
      </c>
      <c r="N13" s="21">
        <v>12</v>
      </c>
      <c r="O13" s="21">
        <v>15</v>
      </c>
      <c r="P13" s="21">
        <v>30</v>
      </c>
      <c r="Q13" s="21">
        <v>6</v>
      </c>
      <c r="R13" s="21">
        <v>18</v>
      </c>
    </row>
    <row r="14" spans="1:18" s="20" customFormat="1" ht="14.25" customHeight="1" x14ac:dyDescent="0.2">
      <c r="A14" s="64" t="s">
        <v>211</v>
      </c>
      <c r="B14" s="25" t="s">
        <v>55</v>
      </c>
      <c r="C14" s="26" t="s">
        <v>0</v>
      </c>
      <c r="D14" s="27">
        <v>911</v>
      </c>
      <c r="E14" s="27">
        <v>391</v>
      </c>
      <c r="F14" s="27">
        <v>520</v>
      </c>
      <c r="G14" s="27">
        <v>27</v>
      </c>
      <c r="H14" s="27">
        <v>25</v>
      </c>
      <c r="I14" s="27">
        <v>51</v>
      </c>
      <c r="J14" s="27">
        <v>50</v>
      </c>
      <c r="K14" s="27">
        <v>92</v>
      </c>
      <c r="L14" s="27">
        <v>54</v>
      </c>
      <c r="M14" s="27">
        <v>80</v>
      </c>
      <c r="N14" s="27">
        <v>81</v>
      </c>
      <c r="O14" s="27">
        <v>97</v>
      </c>
      <c r="P14" s="27">
        <v>151</v>
      </c>
      <c r="Q14" s="27">
        <v>44</v>
      </c>
      <c r="R14" s="27">
        <v>159</v>
      </c>
    </row>
    <row r="15" spans="1:18" s="20" customFormat="1" ht="14.25" customHeight="1" x14ac:dyDescent="0.2">
      <c r="A15" s="86" t="s">
        <v>4</v>
      </c>
      <c r="B15" s="28" t="s">
        <v>56</v>
      </c>
      <c r="C15" s="29" t="s">
        <v>2</v>
      </c>
      <c r="D15" s="21">
        <v>893</v>
      </c>
      <c r="E15" s="21">
        <v>385</v>
      </c>
      <c r="F15" s="21">
        <v>508</v>
      </c>
      <c r="G15" s="21">
        <v>27</v>
      </c>
      <c r="H15" s="21">
        <v>24</v>
      </c>
      <c r="I15" s="21">
        <v>48</v>
      </c>
      <c r="J15" s="21">
        <v>48</v>
      </c>
      <c r="K15" s="21">
        <v>90</v>
      </c>
      <c r="L15" s="21">
        <v>54</v>
      </c>
      <c r="M15" s="21">
        <v>79</v>
      </c>
      <c r="N15" s="21">
        <v>80</v>
      </c>
      <c r="O15" s="21">
        <v>97</v>
      </c>
      <c r="P15" s="21">
        <v>146</v>
      </c>
      <c r="Q15" s="21">
        <v>44</v>
      </c>
      <c r="R15" s="21">
        <v>156</v>
      </c>
    </row>
    <row r="16" spans="1:18" s="20" customFormat="1" ht="14.25" customHeight="1" x14ac:dyDescent="0.2">
      <c r="A16" s="87"/>
      <c r="B16" s="30" t="s">
        <v>57</v>
      </c>
      <c r="C16" s="31" t="s">
        <v>225</v>
      </c>
      <c r="D16" s="21">
        <v>18</v>
      </c>
      <c r="E16" s="21">
        <v>6</v>
      </c>
      <c r="F16" s="21">
        <v>12</v>
      </c>
      <c r="G16" s="21">
        <v>0</v>
      </c>
      <c r="H16" s="21">
        <v>1</v>
      </c>
      <c r="I16" s="21">
        <v>3</v>
      </c>
      <c r="J16" s="21">
        <v>2</v>
      </c>
      <c r="K16" s="21">
        <v>2</v>
      </c>
      <c r="L16" s="21">
        <v>0</v>
      </c>
      <c r="M16" s="21">
        <v>1</v>
      </c>
      <c r="N16" s="21">
        <v>1</v>
      </c>
      <c r="O16" s="21">
        <v>0</v>
      </c>
      <c r="P16" s="21">
        <v>5</v>
      </c>
      <c r="Q16" s="21">
        <v>0</v>
      </c>
      <c r="R16" s="21">
        <v>3</v>
      </c>
    </row>
    <row r="17" spans="1:18" s="20" customFormat="1" ht="14.25" customHeight="1" x14ac:dyDescent="0.2">
      <c r="A17" s="64" t="s">
        <v>212</v>
      </c>
      <c r="B17" s="25" t="s">
        <v>55</v>
      </c>
      <c r="C17" s="26" t="s">
        <v>0</v>
      </c>
      <c r="D17" s="27">
        <v>1395</v>
      </c>
      <c r="E17" s="27">
        <v>622</v>
      </c>
      <c r="F17" s="27">
        <v>773</v>
      </c>
      <c r="G17" s="27">
        <v>97</v>
      </c>
      <c r="H17" s="27">
        <v>52</v>
      </c>
      <c r="I17" s="27">
        <v>104</v>
      </c>
      <c r="J17" s="27">
        <v>114</v>
      </c>
      <c r="K17" s="27">
        <v>123</v>
      </c>
      <c r="L17" s="27">
        <v>82</v>
      </c>
      <c r="M17" s="27">
        <v>127</v>
      </c>
      <c r="N17" s="27">
        <v>82</v>
      </c>
      <c r="O17" s="27">
        <v>96</v>
      </c>
      <c r="P17" s="27">
        <v>232</v>
      </c>
      <c r="Q17" s="27">
        <v>75</v>
      </c>
      <c r="R17" s="27">
        <v>211</v>
      </c>
    </row>
    <row r="18" spans="1:18" s="20" customFormat="1" ht="14.25" customHeight="1" x14ac:dyDescent="0.2">
      <c r="A18" s="86" t="s">
        <v>25</v>
      </c>
      <c r="B18" s="28" t="s">
        <v>56</v>
      </c>
      <c r="C18" s="29" t="s">
        <v>2</v>
      </c>
      <c r="D18" s="21">
        <v>1144</v>
      </c>
      <c r="E18" s="21">
        <v>517</v>
      </c>
      <c r="F18" s="21">
        <v>627</v>
      </c>
      <c r="G18" s="21">
        <v>79</v>
      </c>
      <c r="H18" s="21">
        <v>46</v>
      </c>
      <c r="I18" s="21">
        <v>81</v>
      </c>
      <c r="J18" s="21">
        <v>82</v>
      </c>
      <c r="K18" s="21">
        <v>104</v>
      </c>
      <c r="L18" s="21">
        <v>64</v>
      </c>
      <c r="M18" s="21">
        <v>109</v>
      </c>
      <c r="N18" s="21">
        <v>63</v>
      </c>
      <c r="O18" s="21">
        <v>75</v>
      </c>
      <c r="P18" s="21">
        <v>190</v>
      </c>
      <c r="Q18" s="21">
        <v>69</v>
      </c>
      <c r="R18" s="21">
        <v>182</v>
      </c>
    </row>
    <row r="19" spans="1:18" s="20" customFormat="1" ht="14.25" customHeight="1" x14ac:dyDescent="0.2">
      <c r="A19" s="87"/>
      <c r="B19" s="30" t="s">
        <v>57</v>
      </c>
      <c r="C19" s="31" t="s">
        <v>225</v>
      </c>
      <c r="D19" s="21">
        <v>251</v>
      </c>
      <c r="E19" s="21">
        <v>105</v>
      </c>
      <c r="F19" s="21">
        <v>146</v>
      </c>
      <c r="G19" s="21">
        <v>18</v>
      </c>
      <c r="H19" s="21">
        <v>6</v>
      </c>
      <c r="I19" s="21">
        <v>23</v>
      </c>
      <c r="J19" s="21">
        <v>32</v>
      </c>
      <c r="K19" s="21">
        <v>19</v>
      </c>
      <c r="L19" s="21">
        <v>18</v>
      </c>
      <c r="M19" s="21">
        <v>18</v>
      </c>
      <c r="N19" s="21">
        <v>19</v>
      </c>
      <c r="O19" s="21">
        <v>21</v>
      </c>
      <c r="P19" s="21">
        <v>42</v>
      </c>
      <c r="Q19" s="21">
        <v>6</v>
      </c>
      <c r="R19" s="21">
        <v>29</v>
      </c>
    </row>
    <row r="20" spans="1:18" s="20" customFormat="1" ht="14.25" customHeight="1" x14ac:dyDescent="0.2">
      <c r="A20" s="64" t="s">
        <v>213</v>
      </c>
      <c r="B20" s="25" t="s">
        <v>55</v>
      </c>
      <c r="C20" s="26" t="s">
        <v>0</v>
      </c>
      <c r="D20" s="27">
        <v>2023</v>
      </c>
      <c r="E20" s="27">
        <v>1018</v>
      </c>
      <c r="F20" s="27">
        <v>1005</v>
      </c>
      <c r="G20" s="27">
        <v>163</v>
      </c>
      <c r="H20" s="27">
        <v>130</v>
      </c>
      <c r="I20" s="27">
        <v>201</v>
      </c>
      <c r="J20" s="27">
        <v>161</v>
      </c>
      <c r="K20" s="27">
        <v>227</v>
      </c>
      <c r="L20" s="27">
        <v>106</v>
      </c>
      <c r="M20" s="27">
        <v>189</v>
      </c>
      <c r="N20" s="27">
        <v>108</v>
      </c>
      <c r="O20" s="27">
        <v>134</v>
      </c>
      <c r="P20" s="27">
        <v>229</v>
      </c>
      <c r="Q20" s="27">
        <v>104</v>
      </c>
      <c r="R20" s="27">
        <v>271</v>
      </c>
    </row>
    <row r="21" spans="1:18" s="20" customFormat="1" ht="14.25" customHeight="1" x14ac:dyDescent="0.2">
      <c r="A21" s="86" t="s">
        <v>21</v>
      </c>
      <c r="B21" s="28" t="s">
        <v>56</v>
      </c>
      <c r="C21" s="29" t="s">
        <v>2</v>
      </c>
      <c r="D21" s="21">
        <v>1915</v>
      </c>
      <c r="E21" s="21">
        <v>957</v>
      </c>
      <c r="F21" s="21">
        <v>958</v>
      </c>
      <c r="G21" s="21">
        <v>153</v>
      </c>
      <c r="H21" s="21">
        <v>128</v>
      </c>
      <c r="I21" s="21">
        <v>192</v>
      </c>
      <c r="J21" s="21">
        <v>149</v>
      </c>
      <c r="K21" s="21">
        <v>211</v>
      </c>
      <c r="L21" s="21">
        <v>104</v>
      </c>
      <c r="M21" s="21">
        <v>174</v>
      </c>
      <c r="N21" s="21">
        <v>101</v>
      </c>
      <c r="O21" s="21">
        <v>128</v>
      </c>
      <c r="P21" s="21">
        <v>216</v>
      </c>
      <c r="Q21" s="21">
        <v>99</v>
      </c>
      <c r="R21" s="21">
        <v>260</v>
      </c>
    </row>
    <row r="22" spans="1:18" s="20" customFormat="1" ht="14.25" customHeight="1" x14ac:dyDescent="0.2">
      <c r="A22" s="87"/>
      <c r="B22" s="30" t="s">
        <v>57</v>
      </c>
      <c r="C22" s="31" t="s">
        <v>225</v>
      </c>
      <c r="D22" s="21">
        <v>108</v>
      </c>
      <c r="E22" s="21">
        <v>61</v>
      </c>
      <c r="F22" s="21">
        <v>47</v>
      </c>
      <c r="G22" s="21">
        <v>10</v>
      </c>
      <c r="H22" s="21">
        <v>2</v>
      </c>
      <c r="I22" s="21">
        <v>9</v>
      </c>
      <c r="J22" s="21">
        <v>12</v>
      </c>
      <c r="K22" s="21">
        <v>16</v>
      </c>
      <c r="L22" s="21">
        <v>2</v>
      </c>
      <c r="M22" s="21">
        <v>15</v>
      </c>
      <c r="N22" s="21">
        <v>7</v>
      </c>
      <c r="O22" s="21">
        <v>6</v>
      </c>
      <c r="P22" s="21">
        <v>13</v>
      </c>
      <c r="Q22" s="21">
        <v>5</v>
      </c>
      <c r="R22" s="21">
        <v>11</v>
      </c>
    </row>
    <row r="23" spans="1:18" s="20" customFormat="1" ht="14.25" customHeight="1" x14ac:dyDescent="0.2">
      <c r="A23" s="64" t="s">
        <v>214</v>
      </c>
      <c r="B23" s="25" t="s">
        <v>55</v>
      </c>
      <c r="C23" s="26" t="s">
        <v>0</v>
      </c>
      <c r="D23" s="27">
        <v>707</v>
      </c>
      <c r="E23" s="27">
        <v>329</v>
      </c>
      <c r="F23" s="27">
        <v>378</v>
      </c>
      <c r="G23" s="27">
        <v>36</v>
      </c>
      <c r="H23" s="27">
        <v>23</v>
      </c>
      <c r="I23" s="27">
        <v>51</v>
      </c>
      <c r="J23" s="27">
        <v>37</v>
      </c>
      <c r="K23" s="27">
        <v>54</v>
      </c>
      <c r="L23" s="27">
        <v>38</v>
      </c>
      <c r="M23" s="27">
        <v>71</v>
      </c>
      <c r="N23" s="27">
        <v>49</v>
      </c>
      <c r="O23" s="27">
        <v>60</v>
      </c>
      <c r="P23" s="27">
        <v>128</v>
      </c>
      <c r="Q23" s="27">
        <v>57</v>
      </c>
      <c r="R23" s="27">
        <v>103</v>
      </c>
    </row>
    <row r="24" spans="1:18" s="20" customFormat="1" ht="14.25" customHeight="1" x14ac:dyDescent="0.2">
      <c r="A24" s="86" t="s">
        <v>22</v>
      </c>
      <c r="B24" s="28" t="s">
        <v>56</v>
      </c>
      <c r="C24" s="29" t="s">
        <v>2</v>
      </c>
      <c r="D24" s="21">
        <v>687</v>
      </c>
      <c r="E24" s="21">
        <v>321</v>
      </c>
      <c r="F24" s="21">
        <v>366</v>
      </c>
      <c r="G24" s="21">
        <v>35</v>
      </c>
      <c r="H24" s="21">
        <v>23</v>
      </c>
      <c r="I24" s="21">
        <v>50</v>
      </c>
      <c r="J24" s="21">
        <v>34</v>
      </c>
      <c r="K24" s="21">
        <v>51</v>
      </c>
      <c r="L24" s="21">
        <v>37</v>
      </c>
      <c r="M24" s="21">
        <v>70</v>
      </c>
      <c r="N24" s="21">
        <v>47</v>
      </c>
      <c r="O24" s="21">
        <v>58</v>
      </c>
      <c r="P24" s="21">
        <v>125</v>
      </c>
      <c r="Q24" s="21">
        <v>57</v>
      </c>
      <c r="R24" s="21">
        <v>100</v>
      </c>
    </row>
    <row r="25" spans="1:18" s="20" customFormat="1" ht="14.25" customHeight="1" x14ac:dyDescent="0.2">
      <c r="A25" s="87"/>
      <c r="B25" s="30" t="s">
        <v>57</v>
      </c>
      <c r="C25" s="31" t="s">
        <v>225</v>
      </c>
      <c r="D25" s="21">
        <v>20</v>
      </c>
      <c r="E25" s="21">
        <v>8</v>
      </c>
      <c r="F25" s="21">
        <v>12</v>
      </c>
      <c r="G25" s="21">
        <v>1</v>
      </c>
      <c r="H25" s="21">
        <v>0</v>
      </c>
      <c r="I25" s="21">
        <v>1</v>
      </c>
      <c r="J25" s="21">
        <v>3</v>
      </c>
      <c r="K25" s="21">
        <v>3</v>
      </c>
      <c r="L25" s="21">
        <v>1</v>
      </c>
      <c r="M25" s="21">
        <v>1</v>
      </c>
      <c r="N25" s="21">
        <v>2</v>
      </c>
      <c r="O25" s="21">
        <v>2</v>
      </c>
      <c r="P25" s="21">
        <v>3</v>
      </c>
      <c r="Q25" s="21">
        <v>0</v>
      </c>
      <c r="R25" s="21">
        <v>3</v>
      </c>
    </row>
    <row r="26" spans="1:18" s="20" customFormat="1" ht="14.25" customHeight="1" x14ac:dyDescent="0.2">
      <c r="A26" s="64" t="s">
        <v>215</v>
      </c>
      <c r="B26" s="25" t="s">
        <v>55</v>
      </c>
      <c r="C26" s="26" t="s">
        <v>0</v>
      </c>
      <c r="D26" s="27">
        <v>1278</v>
      </c>
      <c r="E26" s="27">
        <v>568</v>
      </c>
      <c r="F26" s="27">
        <v>710</v>
      </c>
      <c r="G26" s="27">
        <v>79</v>
      </c>
      <c r="H26" s="27">
        <v>73</v>
      </c>
      <c r="I26" s="27">
        <v>73</v>
      </c>
      <c r="J26" s="27">
        <v>64</v>
      </c>
      <c r="K26" s="27">
        <v>95</v>
      </c>
      <c r="L26" s="27">
        <v>76</v>
      </c>
      <c r="M26" s="27">
        <v>103</v>
      </c>
      <c r="N26" s="27">
        <v>91</v>
      </c>
      <c r="O26" s="27">
        <v>105</v>
      </c>
      <c r="P26" s="27">
        <v>191</v>
      </c>
      <c r="Q26" s="27">
        <v>113</v>
      </c>
      <c r="R26" s="27">
        <v>215</v>
      </c>
    </row>
    <row r="27" spans="1:18" s="20" customFormat="1" ht="14.25" customHeight="1" x14ac:dyDescent="0.2">
      <c r="A27" s="86" t="s">
        <v>23</v>
      </c>
      <c r="B27" s="28" t="s">
        <v>56</v>
      </c>
      <c r="C27" s="29" t="s">
        <v>2</v>
      </c>
      <c r="D27" s="21">
        <v>1192</v>
      </c>
      <c r="E27" s="21">
        <v>534</v>
      </c>
      <c r="F27" s="21">
        <v>658</v>
      </c>
      <c r="G27" s="21">
        <v>73</v>
      </c>
      <c r="H27" s="21">
        <v>64</v>
      </c>
      <c r="I27" s="21">
        <v>65</v>
      </c>
      <c r="J27" s="21">
        <v>57</v>
      </c>
      <c r="K27" s="21">
        <v>88</v>
      </c>
      <c r="L27" s="21">
        <v>71</v>
      </c>
      <c r="M27" s="21">
        <v>100</v>
      </c>
      <c r="N27" s="21">
        <v>88</v>
      </c>
      <c r="O27" s="21">
        <v>96</v>
      </c>
      <c r="P27" s="21">
        <v>178</v>
      </c>
      <c r="Q27" s="21">
        <v>112</v>
      </c>
      <c r="R27" s="21">
        <v>200</v>
      </c>
    </row>
    <row r="28" spans="1:18" s="20" customFormat="1" ht="14.25" customHeight="1" x14ac:dyDescent="0.2">
      <c r="A28" s="87"/>
      <c r="B28" s="30" t="s">
        <v>57</v>
      </c>
      <c r="C28" s="31" t="s">
        <v>225</v>
      </c>
      <c r="D28" s="21">
        <v>86</v>
      </c>
      <c r="E28" s="21">
        <v>34</v>
      </c>
      <c r="F28" s="21">
        <v>52</v>
      </c>
      <c r="G28" s="21">
        <v>6</v>
      </c>
      <c r="H28" s="21">
        <v>9</v>
      </c>
      <c r="I28" s="21">
        <v>8</v>
      </c>
      <c r="J28" s="21">
        <v>7</v>
      </c>
      <c r="K28" s="21">
        <v>7</v>
      </c>
      <c r="L28" s="21">
        <v>5</v>
      </c>
      <c r="M28" s="21">
        <v>3</v>
      </c>
      <c r="N28" s="21">
        <v>3</v>
      </c>
      <c r="O28" s="21">
        <v>9</v>
      </c>
      <c r="P28" s="21">
        <v>13</v>
      </c>
      <c r="Q28" s="21">
        <v>1</v>
      </c>
      <c r="R28" s="21">
        <v>15</v>
      </c>
    </row>
    <row r="29" spans="1:18" s="20" customFormat="1" ht="14.25" customHeight="1" x14ac:dyDescent="0.2">
      <c r="A29" s="64" t="s">
        <v>194</v>
      </c>
      <c r="B29" s="25" t="s">
        <v>55</v>
      </c>
      <c r="C29" s="26" t="s">
        <v>0</v>
      </c>
      <c r="D29" s="27">
        <v>140</v>
      </c>
      <c r="E29" s="27">
        <v>49</v>
      </c>
      <c r="F29" s="27">
        <v>91</v>
      </c>
      <c r="G29" s="27">
        <v>6</v>
      </c>
      <c r="H29" s="27">
        <v>6</v>
      </c>
      <c r="I29" s="27">
        <v>4</v>
      </c>
      <c r="J29" s="27">
        <v>5</v>
      </c>
      <c r="K29" s="27">
        <v>11</v>
      </c>
      <c r="L29" s="27">
        <v>7</v>
      </c>
      <c r="M29" s="27">
        <v>3</v>
      </c>
      <c r="N29" s="27">
        <v>12</v>
      </c>
      <c r="O29" s="27">
        <v>16</v>
      </c>
      <c r="P29" s="27">
        <v>30</v>
      </c>
      <c r="Q29" s="27">
        <v>9</v>
      </c>
      <c r="R29" s="27">
        <v>31</v>
      </c>
    </row>
    <row r="30" spans="1:18" s="20" customFormat="1" ht="14.25" customHeight="1" x14ac:dyDescent="0.2">
      <c r="A30" s="86" t="s">
        <v>5</v>
      </c>
      <c r="B30" s="28" t="s">
        <v>56</v>
      </c>
      <c r="C30" s="29" t="s">
        <v>2</v>
      </c>
      <c r="D30" s="21">
        <v>111</v>
      </c>
      <c r="E30" s="21">
        <v>39</v>
      </c>
      <c r="F30" s="21">
        <v>72</v>
      </c>
      <c r="G30" s="21">
        <v>5</v>
      </c>
      <c r="H30" s="21">
        <v>6</v>
      </c>
      <c r="I30" s="21">
        <v>2</v>
      </c>
      <c r="J30" s="21">
        <v>5</v>
      </c>
      <c r="K30" s="21">
        <v>11</v>
      </c>
      <c r="L30" s="21">
        <v>5</v>
      </c>
      <c r="M30" s="21">
        <v>2</v>
      </c>
      <c r="N30" s="21">
        <v>11</v>
      </c>
      <c r="O30" s="21">
        <v>13</v>
      </c>
      <c r="P30" s="21">
        <v>23</v>
      </c>
      <c r="Q30" s="21">
        <v>6</v>
      </c>
      <c r="R30" s="21">
        <v>22</v>
      </c>
    </row>
    <row r="31" spans="1:18" s="20" customFormat="1" ht="14.25" customHeight="1" x14ac:dyDescent="0.2">
      <c r="A31" s="87"/>
      <c r="B31" s="30" t="s">
        <v>57</v>
      </c>
      <c r="C31" s="31" t="s">
        <v>225</v>
      </c>
      <c r="D31" s="21">
        <v>29</v>
      </c>
      <c r="E31" s="21">
        <v>10</v>
      </c>
      <c r="F31" s="21">
        <v>19</v>
      </c>
      <c r="G31" s="21">
        <v>1</v>
      </c>
      <c r="H31" s="21">
        <v>0</v>
      </c>
      <c r="I31" s="21">
        <v>2</v>
      </c>
      <c r="J31" s="21">
        <v>0</v>
      </c>
      <c r="K31" s="21">
        <v>0</v>
      </c>
      <c r="L31" s="21">
        <v>2</v>
      </c>
      <c r="M31" s="21">
        <v>1</v>
      </c>
      <c r="N31" s="21">
        <v>1</v>
      </c>
      <c r="O31" s="21">
        <v>3</v>
      </c>
      <c r="P31" s="21">
        <v>7</v>
      </c>
      <c r="Q31" s="21">
        <v>3</v>
      </c>
      <c r="R31" s="21">
        <v>9</v>
      </c>
    </row>
    <row r="32" spans="1:18" s="20" customFormat="1" ht="14.25" customHeight="1" x14ac:dyDescent="0.2">
      <c r="A32" s="64" t="s">
        <v>195</v>
      </c>
      <c r="B32" s="25" t="s">
        <v>55</v>
      </c>
      <c r="C32" s="26" t="s">
        <v>0</v>
      </c>
      <c r="D32" s="27">
        <v>284</v>
      </c>
      <c r="E32" s="27">
        <v>112</v>
      </c>
      <c r="F32" s="27">
        <v>172</v>
      </c>
      <c r="G32" s="27">
        <v>13</v>
      </c>
      <c r="H32" s="27">
        <v>14</v>
      </c>
      <c r="I32" s="27">
        <v>19</v>
      </c>
      <c r="J32" s="27">
        <v>16</v>
      </c>
      <c r="K32" s="27">
        <v>18</v>
      </c>
      <c r="L32" s="27">
        <v>25</v>
      </c>
      <c r="M32" s="27">
        <v>26</v>
      </c>
      <c r="N32" s="27">
        <v>14</v>
      </c>
      <c r="O32" s="27">
        <v>12</v>
      </c>
      <c r="P32" s="27">
        <v>68</v>
      </c>
      <c r="Q32" s="27">
        <v>24</v>
      </c>
      <c r="R32" s="27">
        <v>35</v>
      </c>
    </row>
    <row r="33" spans="1:18" s="20" customFormat="1" ht="14.25" customHeight="1" x14ac:dyDescent="0.2">
      <c r="A33" s="86" t="s">
        <v>6</v>
      </c>
      <c r="B33" s="28" t="s">
        <v>56</v>
      </c>
      <c r="C33" s="29" t="s">
        <v>2</v>
      </c>
      <c r="D33" s="21">
        <v>217</v>
      </c>
      <c r="E33" s="21">
        <v>83</v>
      </c>
      <c r="F33" s="21">
        <v>134</v>
      </c>
      <c r="G33" s="21">
        <v>11</v>
      </c>
      <c r="H33" s="21">
        <v>13</v>
      </c>
      <c r="I33" s="21">
        <v>14</v>
      </c>
      <c r="J33" s="21">
        <v>11</v>
      </c>
      <c r="K33" s="21">
        <v>9</v>
      </c>
      <c r="L33" s="21">
        <v>21</v>
      </c>
      <c r="M33" s="21">
        <v>21</v>
      </c>
      <c r="N33" s="21">
        <v>10</v>
      </c>
      <c r="O33" s="21">
        <v>8</v>
      </c>
      <c r="P33" s="21">
        <v>51</v>
      </c>
      <c r="Q33" s="21">
        <v>20</v>
      </c>
      <c r="R33" s="21">
        <v>28</v>
      </c>
    </row>
    <row r="34" spans="1:18" s="20" customFormat="1" ht="14.25" customHeight="1" x14ac:dyDescent="0.2">
      <c r="A34" s="87"/>
      <c r="B34" s="30" t="s">
        <v>57</v>
      </c>
      <c r="C34" s="31" t="s">
        <v>225</v>
      </c>
      <c r="D34" s="21">
        <v>67</v>
      </c>
      <c r="E34" s="21">
        <v>29</v>
      </c>
      <c r="F34" s="21">
        <v>38</v>
      </c>
      <c r="G34" s="21">
        <v>2</v>
      </c>
      <c r="H34" s="21">
        <v>1</v>
      </c>
      <c r="I34" s="21">
        <v>5</v>
      </c>
      <c r="J34" s="21">
        <v>5</v>
      </c>
      <c r="K34" s="21">
        <v>9</v>
      </c>
      <c r="L34" s="21">
        <v>4</v>
      </c>
      <c r="M34" s="21">
        <v>5</v>
      </c>
      <c r="N34" s="21">
        <v>4</v>
      </c>
      <c r="O34" s="21">
        <v>4</v>
      </c>
      <c r="P34" s="21">
        <v>17</v>
      </c>
      <c r="Q34" s="21">
        <v>4</v>
      </c>
      <c r="R34" s="21">
        <v>7</v>
      </c>
    </row>
    <row r="35" spans="1:18" s="20" customFormat="1" ht="14.25" customHeight="1" x14ac:dyDescent="0.2">
      <c r="A35" s="64" t="s">
        <v>196</v>
      </c>
      <c r="B35" s="25" t="s">
        <v>55</v>
      </c>
      <c r="C35" s="26" t="s">
        <v>0</v>
      </c>
      <c r="D35" s="27">
        <v>141</v>
      </c>
      <c r="E35" s="27">
        <v>41</v>
      </c>
      <c r="F35" s="27">
        <v>100</v>
      </c>
      <c r="G35" s="27">
        <v>3</v>
      </c>
      <c r="H35" s="27">
        <v>6</v>
      </c>
      <c r="I35" s="27">
        <v>13</v>
      </c>
      <c r="J35" s="27">
        <v>5</v>
      </c>
      <c r="K35" s="27">
        <v>9</v>
      </c>
      <c r="L35" s="27">
        <v>10</v>
      </c>
      <c r="M35" s="27">
        <v>5</v>
      </c>
      <c r="N35" s="27">
        <v>11</v>
      </c>
      <c r="O35" s="27">
        <v>4</v>
      </c>
      <c r="P35" s="27">
        <v>30</v>
      </c>
      <c r="Q35" s="27">
        <v>7</v>
      </c>
      <c r="R35" s="27">
        <v>38</v>
      </c>
    </row>
    <row r="36" spans="1:18" s="20" customFormat="1" ht="14.25" customHeight="1" x14ac:dyDescent="0.2">
      <c r="A36" s="86" t="s">
        <v>7</v>
      </c>
      <c r="B36" s="28" t="s">
        <v>56</v>
      </c>
      <c r="C36" s="29" t="s">
        <v>2</v>
      </c>
      <c r="D36" s="21">
        <v>127</v>
      </c>
      <c r="E36" s="21">
        <v>36</v>
      </c>
      <c r="F36" s="21">
        <v>91</v>
      </c>
      <c r="G36" s="21">
        <v>2</v>
      </c>
      <c r="H36" s="21">
        <v>4</v>
      </c>
      <c r="I36" s="21">
        <v>12</v>
      </c>
      <c r="J36" s="21">
        <v>5</v>
      </c>
      <c r="K36" s="21">
        <v>7</v>
      </c>
      <c r="L36" s="21">
        <v>10</v>
      </c>
      <c r="M36" s="21">
        <v>4</v>
      </c>
      <c r="N36" s="21">
        <v>11</v>
      </c>
      <c r="O36" s="21">
        <v>4</v>
      </c>
      <c r="P36" s="21">
        <v>24</v>
      </c>
      <c r="Q36" s="21">
        <v>7</v>
      </c>
      <c r="R36" s="21">
        <v>37</v>
      </c>
    </row>
    <row r="37" spans="1:18" s="20" customFormat="1" ht="14.25" customHeight="1" x14ac:dyDescent="0.2">
      <c r="A37" s="87"/>
      <c r="B37" s="30" t="s">
        <v>57</v>
      </c>
      <c r="C37" s="31" t="s">
        <v>225</v>
      </c>
      <c r="D37" s="21">
        <v>14</v>
      </c>
      <c r="E37" s="21">
        <v>5</v>
      </c>
      <c r="F37" s="21">
        <v>9</v>
      </c>
      <c r="G37" s="21">
        <v>1</v>
      </c>
      <c r="H37" s="21">
        <v>2</v>
      </c>
      <c r="I37" s="21">
        <v>1</v>
      </c>
      <c r="J37" s="21">
        <v>0</v>
      </c>
      <c r="K37" s="21">
        <v>2</v>
      </c>
      <c r="L37" s="21">
        <v>0</v>
      </c>
      <c r="M37" s="21">
        <v>1</v>
      </c>
      <c r="N37" s="21">
        <v>0</v>
      </c>
      <c r="O37" s="21">
        <v>0</v>
      </c>
      <c r="P37" s="21">
        <v>6</v>
      </c>
      <c r="Q37" s="21">
        <v>0</v>
      </c>
      <c r="R37" s="21">
        <v>1</v>
      </c>
    </row>
    <row r="38" spans="1:18" s="20" customFormat="1" ht="14.25" customHeight="1" x14ac:dyDescent="0.2">
      <c r="A38" s="64" t="s">
        <v>197</v>
      </c>
      <c r="B38" s="25" t="s">
        <v>55</v>
      </c>
      <c r="C38" s="26" t="s">
        <v>0</v>
      </c>
      <c r="D38" s="27">
        <v>467</v>
      </c>
      <c r="E38" s="27">
        <v>204</v>
      </c>
      <c r="F38" s="27">
        <v>263</v>
      </c>
      <c r="G38" s="27">
        <v>30</v>
      </c>
      <c r="H38" s="27">
        <v>22</v>
      </c>
      <c r="I38" s="27">
        <v>33</v>
      </c>
      <c r="J38" s="27">
        <v>23</v>
      </c>
      <c r="K38" s="27">
        <v>46</v>
      </c>
      <c r="L38" s="27">
        <v>27</v>
      </c>
      <c r="M38" s="27">
        <v>28</v>
      </c>
      <c r="N38" s="27">
        <v>40</v>
      </c>
      <c r="O38" s="27">
        <v>34</v>
      </c>
      <c r="P38" s="27">
        <v>65</v>
      </c>
      <c r="Q38" s="27">
        <v>33</v>
      </c>
      <c r="R38" s="27">
        <v>86</v>
      </c>
    </row>
    <row r="39" spans="1:18" s="20" customFormat="1" ht="14.25" customHeight="1" x14ac:dyDescent="0.2">
      <c r="A39" s="86" t="s">
        <v>8</v>
      </c>
      <c r="B39" s="28" t="s">
        <v>56</v>
      </c>
      <c r="C39" s="29" t="s">
        <v>2</v>
      </c>
      <c r="D39" s="21">
        <v>450</v>
      </c>
      <c r="E39" s="21">
        <v>198</v>
      </c>
      <c r="F39" s="21">
        <v>252</v>
      </c>
      <c r="G39" s="21">
        <v>29</v>
      </c>
      <c r="H39" s="21">
        <v>19</v>
      </c>
      <c r="I39" s="21">
        <v>31</v>
      </c>
      <c r="J39" s="21">
        <v>21</v>
      </c>
      <c r="K39" s="21">
        <v>46</v>
      </c>
      <c r="L39" s="21">
        <v>25</v>
      </c>
      <c r="M39" s="21">
        <v>26</v>
      </c>
      <c r="N39" s="21">
        <v>38</v>
      </c>
      <c r="O39" s="21">
        <v>34</v>
      </c>
      <c r="P39" s="21">
        <v>65</v>
      </c>
      <c r="Q39" s="21">
        <v>32</v>
      </c>
      <c r="R39" s="21">
        <v>84</v>
      </c>
    </row>
    <row r="40" spans="1:18" s="20" customFormat="1" ht="14.25" customHeight="1" x14ac:dyDescent="0.2">
      <c r="A40" s="87"/>
      <c r="B40" s="30" t="s">
        <v>57</v>
      </c>
      <c r="C40" s="31" t="s">
        <v>225</v>
      </c>
      <c r="D40" s="21">
        <v>17</v>
      </c>
      <c r="E40" s="21">
        <v>6</v>
      </c>
      <c r="F40" s="21">
        <v>11</v>
      </c>
      <c r="G40" s="21">
        <v>1</v>
      </c>
      <c r="H40" s="21">
        <v>3</v>
      </c>
      <c r="I40" s="21">
        <v>2</v>
      </c>
      <c r="J40" s="21">
        <v>2</v>
      </c>
      <c r="K40" s="21">
        <v>0</v>
      </c>
      <c r="L40" s="21">
        <v>2</v>
      </c>
      <c r="M40" s="21">
        <v>2</v>
      </c>
      <c r="N40" s="21">
        <v>2</v>
      </c>
      <c r="O40" s="21">
        <v>0</v>
      </c>
      <c r="P40" s="21">
        <v>0</v>
      </c>
      <c r="Q40" s="21">
        <v>1</v>
      </c>
      <c r="R40" s="21">
        <v>2</v>
      </c>
    </row>
    <row r="41" spans="1:18" s="20" customFormat="1" ht="14.25" customHeight="1" x14ac:dyDescent="0.2">
      <c r="A41" s="64" t="s">
        <v>198</v>
      </c>
      <c r="B41" s="25" t="s">
        <v>55</v>
      </c>
      <c r="C41" s="26" t="s">
        <v>0</v>
      </c>
      <c r="D41" s="27">
        <v>273</v>
      </c>
      <c r="E41" s="27">
        <v>124</v>
      </c>
      <c r="F41" s="27">
        <v>149</v>
      </c>
      <c r="G41" s="27">
        <v>16</v>
      </c>
      <c r="H41" s="27">
        <v>6</v>
      </c>
      <c r="I41" s="27">
        <v>11</v>
      </c>
      <c r="J41" s="27">
        <v>12</v>
      </c>
      <c r="K41" s="27">
        <v>20</v>
      </c>
      <c r="L41" s="27">
        <v>18</v>
      </c>
      <c r="M41" s="27">
        <v>25</v>
      </c>
      <c r="N41" s="27">
        <v>15</v>
      </c>
      <c r="O41" s="27">
        <v>22</v>
      </c>
      <c r="P41" s="27">
        <v>62</v>
      </c>
      <c r="Q41" s="27">
        <v>30</v>
      </c>
      <c r="R41" s="27">
        <v>36</v>
      </c>
    </row>
    <row r="42" spans="1:18" s="20" customFormat="1" ht="14.25" customHeight="1" x14ac:dyDescent="0.2">
      <c r="A42" s="86" t="s">
        <v>9</v>
      </c>
      <c r="B42" s="28" t="s">
        <v>56</v>
      </c>
      <c r="C42" s="29" t="s">
        <v>2</v>
      </c>
      <c r="D42" s="21">
        <v>190</v>
      </c>
      <c r="E42" s="21">
        <v>81</v>
      </c>
      <c r="F42" s="21">
        <v>109</v>
      </c>
      <c r="G42" s="21">
        <v>15</v>
      </c>
      <c r="H42" s="21">
        <v>5</v>
      </c>
      <c r="I42" s="21">
        <v>4</v>
      </c>
      <c r="J42" s="21">
        <v>9</v>
      </c>
      <c r="K42" s="21">
        <v>15</v>
      </c>
      <c r="L42" s="21">
        <v>15</v>
      </c>
      <c r="M42" s="21">
        <v>9</v>
      </c>
      <c r="N42" s="21">
        <v>12</v>
      </c>
      <c r="O42" s="21">
        <v>13</v>
      </c>
      <c r="P42" s="21">
        <v>43</v>
      </c>
      <c r="Q42" s="21">
        <v>25</v>
      </c>
      <c r="R42" s="21">
        <v>25</v>
      </c>
    </row>
    <row r="43" spans="1:18" s="20" customFormat="1" ht="14.25" customHeight="1" x14ac:dyDescent="0.2">
      <c r="A43" s="87"/>
      <c r="B43" s="30" t="s">
        <v>57</v>
      </c>
      <c r="C43" s="31" t="s">
        <v>225</v>
      </c>
      <c r="D43" s="21">
        <v>83</v>
      </c>
      <c r="E43" s="21">
        <v>43</v>
      </c>
      <c r="F43" s="21">
        <v>40</v>
      </c>
      <c r="G43" s="21">
        <v>1</v>
      </c>
      <c r="H43" s="21">
        <v>1</v>
      </c>
      <c r="I43" s="21">
        <v>7</v>
      </c>
      <c r="J43" s="21">
        <v>3</v>
      </c>
      <c r="K43" s="21">
        <v>5</v>
      </c>
      <c r="L43" s="21">
        <v>3</v>
      </c>
      <c r="M43" s="21">
        <v>16</v>
      </c>
      <c r="N43" s="21">
        <v>3</v>
      </c>
      <c r="O43" s="21">
        <v>9</v>
      </c>
      <c r="P43" s="21">
        <v>19</v>
      </c>
      <c r="Q43" s="21">
        <v>5</v>
      </c>
      <c r="R43" s="21">
        <v>11</v>
      </c>
    </row>
    <row r="44" spans="1:18" s="20" customFormat="1" ht="14.25" customHeight="1" x14ac:dyDescent="0.2">
      <c r="A44" s="64" t="s">
        <v>199</v>
      </c>
      <c r="B44" s="25" t="s">
        <v>55</v>
      </c>
      <c r="C44" s="26" t="s">
        <v>0</v>
      </c>
      <c r="D44" s="27">
        <v>309</v>
      </c>
      <c r="E44" s="27">
        <v>133</v>
      </c>
      <c r="F44" s="27">
        <v>176</v>
      </c>
      <c r="G44" s="27">
        <v>16</v>
      </c>
      <c r="H44" s="27">
        <v>14</v>
      </c>
      <c r="I44" s="27">
        <v>24</v>
      </c>
      <c r="J44" s="27">
        <v>26</v>
      </c>
      <c r="K44" s="27">
        <v>17</v>
      </c>
      <c r="L44" s="27">
        <v>17</v>
      </c>
      <c r="M44" s="27">
        <v>13</v>
      </c>
      <c r="N44" s="27">
        <v>14</v>
      </c>
      <c r="O44" s="27">
        <v>39</v>
      </c>
      <c r="P44" s="27">
        <v>58</v>
      </c>
      <c r="Q44" s="27">
        <v>24</v>
      </c>
      <c r="R44" s="27">
        <v>47</v>
      </c>
    </row>
    <row r="45" spans="1:18" s="20" customFormat="1" ht="14.25" customHeight="1" x14ac:dyDescent="0.2">
      <c r="A45" s="86" t="s">
        <v>10</v>
      </c>
      <c r="B45" s="28" t="s">
        <v>56</v>
      </c>
      <c r="C45" s="29" t="s">
        <v>2</v>
      </c>
      <c r="D45" s="21">
        <v>305</v>
      </c>
      <c r="E45" s="21">
        <v>129</v>
      </c>
      <c r="F45" s="21">
        <v>176</v>
      </c>
      <c r="G45" s="21">
        <v>16</v>
      </c>
      <c r="H45" s="21">
        <v>14</v>
      </c>
      <c r="I45" s="21">
        <v>23</v>
      </c>
      <c r="J45" s="21">
        <v>26</v>
      </c>
      <c r="K45" s="21">
        <v>17</v>
      </c>
      <c r="L45" s="21">
        <v>17</v>
      </c>
      <c r="M45" s="21">
        <v>13</v>
      </c>
      <c r="N45" s="21">
        <v>14</v>
      </c>
      <c r="O45" s="21">
        <v>36</v>
      </c>
      <c r="P45" s="21">
        <v>58</v>
      </c>
      <c r="Q45" s="21">
        <v>24</v>
      </c>
      <c r="R45" s="21">
        <v>47</v>
      </c>
    </row>
    <row r="46" spans="1:18" s="20" customFormat="1" ht="14.25" customHeight="1" x14ac:dyDescent="0.2">
      <c r="A46" s="87"/>
      <c r="B46" s="30" t="s">
        <v>57</v>
      </c>
      <c r="C46" s="31" t="s">
        <v>225</v>
      </c>
      <c r="D46" s="21">
        <v>4</v>
      </c>
      <c r="E46" s="21">
        <v>4</v>
      </c>
      <c r="F46" s="21">
        <v>0</v>
      </c>
      <c r="G46" s="21">
        <v>0</v>
      </c>
      <c r="H46" s="21">
        <v>0</v>
      </c>
      <c r="I46" s="21">
        <v>1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3</v>
      </c>
      <c r="P46" s="21">
        <v>0</v>
      </c>
      <c r="Q46" s="21">
        <v>0</v>
      </c>
      <c r="R46" s="21">
        <v>0</v>
      </c>
    </row>
    <row r="47" spans="1:18" s="20" customFormat="1" ht="14.25" customHeight="1" x14ac:dyDescent="0.2">
      <c r="A47" s="64" t="s">
        <v>200</v>
      </c>
      <c r="B47" s="25" t="s">
        <v>55</v>
      </c>
      <c r="C47" s="26" t="s">
        <v>0</v>
      </c>
      <c r="D47" s="27">
        <v>204</v>
      </c>
      <c r="E47" s="27">
        <v>91</v>
      </c>
      <c r="F47" s="27">
        <v>113</v>
      </c>
      <c r="G47" s="27">
        <v>15</v>
      </c>
      <c r="H47" s="27">
        <v>3</v>
      </c>
      <c r="I47" s="27">
        <v>17</v>
      </c>
      <c r="J47" s="27">
        <v>13</v>
      </c>
      <c r="K47" s="27">
        <v>9</v>
      </c>
      <c r="L47" s="27">
        <v>7</v>
      </c>
      <c r="M47" s="27">
        <v>8</v>
      </c>
      <c r="N47" s="27">
        <v>16</v>
      </c>
      <c r="O47" s="27">
        <v>26</v>
      </c>
      <c r="P47" s="27">
        <v>34</v>
      </c>
      <c r="Q47" s="27">
        <v>16</v>
      </c>
      <c r="R47" s="27">
        <v>40</v>
      </c>
    </row>
    <row r="48" spans="1:18" s="20" customFormat="1" ht="14.25" customHeight="1" x14ac:dyDescent="0.2">
      <c r="A48" s="86" t="s">
        <v>11</v>
      </c>
      <c r="B48" s="28" t="s">
        <v>56</v>
      </c>
      <c r="C48" s="29" t="s">
        <v>2</v>
      </c>
      <c r="D48" s="21">
        <v>200</v>
      </c>
      <c r="E48" s="21">
        <v>90</v>
      </c>
      <c r="F48" s="21">
        <v>110</v>
      </c>
      <c r="G48" s="21">
        <v>14</v>
      </c>
      <c r="H48" s="21">
        <v>3</v>
      </c>
      <c r="I48" s="21">
        <v>17</v>
      </c>
      <c r="J48" s="21">
        <v>12</v>
      </c>
      <c r="K48" s="21">
        <v>9</v>
      </c>
      <c r="L48" s="21">
        <v>7</v>
      </c>
      <c r="M48" s="21">
        <v>8</v>
      </c>
      <c r="N48" s="21">
        <v>16</v>
      </c>
      <c r="O48" s="21">
        <v>26</v>
      </c>
      <c r="P48" s="21">
        <v>33</v>
      </c>
      <c r="Q48" s="21">
        <v>16</v>
      </c>
      <c r="R48" s="21">
        <v>39</v>
      </c>
    </row>
    <row r="49" spans="1:18" s="20" customFormat="1" ht="14.25" customHeight="1" x14ac:dyDescent="0.2">
      <c r="A49" s="87"/>
      <c r="B49" s="30" t="s">
        <v>57</v>
      </c>
      <c r="C49" s="31" t="s">
        <v>225</v>
      </c>
      <c r="D49" s="21">
        <v>4</v>
      </c>
      <c r="E49" s="21">
        <v>1</v>
      </c>
      <c r="F49" s="21">
        <v>3</v>
      </c>
      <c r="G49" s="21">
        <v>1</v>
      </c>
      <c r="H49" s="21">
        <v>0</v>
      </c>
      <c r="I49" s="21">
        <v>0</v>
      </c>
      <c r="J49" s="21">
        <v>1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1</v>
      </c>
      <c r="Q49" s="21">
        <v>0</v>
      </c>
      <c r="R49" s="21">
        <v>1</v>
      </c>
    </row>
    <row r="50" spans="1:18" s="20" customFormat="1" ht="14.25" customHeight="1" x14ac:dyDescent="0.2">
      <c r="A50" s="64" t="s">
        <v>201</v>
      </c>
      <c r="B50" s="25" t="s">
        <v>55</v>
      </c>
      <c r="C50" s="26" t="s">
        <v>0</v>
      </c>
      <c r="D50" s="27">
        <v>445</v>
      </c>
      <c r="E50" s="27">
        <v>187</v>
      </c>
      <c r="F50" s="27">
        <v>258</v>
      </c>
      <c r="G50" s="27">
        <v>21</v>
      </c>
      <c r="H50" s="27">
        <v>10</v>
      </c>
      <c r="I50" s="27">
        <v>32</v>
      </c>
      <c r="J50" s="27">
        <v>31</v>
      </c>
      <c r="K50" s="27">
        <v>33</v>
      </c>
      <c r="L50" s="27">
        <v>25</v>
      </c>
      <c r="M50" s="27">
        <v>27</v>
      </c>
      <c r="N50" s="27">
        <v>26</v>
      </c>
      <c r="O50" s="27">
        <v>45</v>
      </c>
      <c r="P50" s="27">
        <v>82</v>
      </c>
      <c r="Q50" s="27">
        <v>29</v>
      </c>
      <c r="R50" s="27">
        <v>84</v>
      </c>
    </row>
    <row r="51" spans="1:18" s="20" customFormat="1" ht="14.25" customHeight="1" x14ac:dyDescent="0.2">
      <c r="A51" s="86" t="s">
        <v>12</v>
      </c>
      <c r="B51" s="28" t="s">
        <v>56</v>
      </c>
      <c r="C51" s="29" t="s">
        <v>2</v>
      </c>
      <c r="D51" s="21">
        <v>385</v>
      </c>
      <c r="E51" s="21">
        <v>167</v>
      </c>
      <c r="F51" s="21">
        <v>218</v>
      </c>
      <c r="G51" s="21">
        <v>19</v>
      </c>
      <c r="H51" s="21">
        <v>9</v>
      </c>
      <c r="I51" s="21">
        <v>31</v>
      </c>
      <c r="J51" s="21">
        <v>26</v>
      </c>
      <c r="K51" s="21">
        <v>30</v>
      </c>
      <c r="L51" s="21">
        <v>21</v>
      </c>
      <c r="M51" s="21">
        <v>20</v>
      </c>
      <c r="N51" s="21">
        <v>20</v>
      </c>
      <c r="O51" s="21">
        <v>40</v>
      </c>
      <c r="P51" s="21">
        <v>72</v>
      </c>
      <c r="Q51" s="21">
        <v>27</v>
      </c>
      <c r="R51" s="21">
        <v>70</v>
      </c>
    </row>
    <row r="52" spans="1:18" s="20" customFormat="1" ht="14.25" customHeight="1" x14ac:dyDescent="0.2">
      <c r="A52" s="87"/>
      <c r="B52" s="30" t="s">
        <v>57</v>
      </c>
      <c r="C52" s="31" t="s">
        <v>225</v>
      </c>
      <c r="D52" s="21">
        <v>60</v>
      </c>
      <c r="E52" s="21">
        <v>20</v>
      </c>
      <c r="F52" s="21">
        <v>40</v>
      </c>
      <c r="G52" s="21">
        <v>2</v>
      </c>
      <c r="H52" s="21">
        <v>1</v>
      </c>
      <c r="I52" s="21">
        <v>1</v>
      </c>
      <c r="J52" s="21">
        <v>5</v>
      </c>
      <c r="K52" s="21">
        <v>3</v>
      </c>
      <c r="L52" s="21">
        <v>4</v>
      </c>
      <c r="M52" s="21">
        <v>7</v>
      </c>
      <c r="N52" s="21">
        <v>6</v>
      </c>
      <c r="O52" s="21">
        <v>5</v>
      </c>
      <c r="P52" s="21">
        <v>10</v>
      </c>
      <c r="Q52" s="21">
        <v>2</v>
      </c>
      <c r="R52" s="21">
        <v>14</v>
      </c>
    </row>
    <row r="53" spans="1:18" s="20" customFormat="1" ht="14.25" customHeight="1" x14ac:dyDescent="0.2">
      <c r="A53" s="64" t="s">
        <v>202</v>
      </c>
      <c r="B53" s="25" t="s">
        <v>55</v>
      </c>
      <c r="C53" s="26" t="s">
        <v>0</v>
      </c>
      <c r="D53" s="27">
        <v>278</v>
      </c>
      <c r="E53" s="27">
        <v>134</v>
      </c>
      <c r="F53" s="27">
        <v>144</v>
      </c>
      <c r="G53" s="27">
        <v>19</v>
      </c>
      <c r="H53" s="27">
        <v>8</v>
      </c>
      <c r="I53" s="27">
        <v>16</v>
      </c>
      <c r="J53" s="27">
        <v>9</v>
      </c>
      <c r="K53" s="27">
        <v>12</v>
      </c>
      <c r="L53" s="27">
        <v>28</v>
      </c>
      <c r="M53" s="27">
        <v>39</v>
      </c>
      <c r="N53" s="27">
        <v>27</v>
      </c>
      <c r="O53" s="27">
        <v>36</v>
      </c>
      <c r="P53" s="27">
        <v>45</v>
      </c>
      <c r="Q53" s="27">
        <v>12</v>
      </c>
      <c r="R53" s="27">
        <v>27</v>
      </c>
    </row>
    <row r="54" spans="1:18" s="20" customFormat="1" ht="14.25" customHeight="1" x14ac:dyDescent="0.2">
      <c r="A54" s="86" t="s">
        <v>13</v>
      </c>
      <c r="B54" s="28" t="s">
        <v>56</v>
      </c>
      <c r="C54" s="29" t="s">
        <v>2</v>
      </c>
      <c r="D54" s="21">
        <v>98</v>
      </c>
      <c r="E54" s="21">
        <v>54</v>
      </c>
      <c r="F54" s="21">
        <v>44</v>
      </c>
      <c r="G54" s="21">
        <v>3</v>
      </c>
      <c r="H54" s="21">
        <v>5</v>
      </c>
      <c r="I54" s="21">
        <v>11</v>
      </c>
      <c r="J54" s="21">
        <v>5</v>
      </c>
      <c r="K54" s="21">
        <v>4</v>
      </c>
      <c r="L54" s="21">
        <v>6</v>
      </c>
      <c r="M54" s="21">
        <v>23</v>
      </c>
      <c r="N54" s="21">
        <v>4</v>
      </c>
      <c r="O54" s="21">
        <v>7</v>
      </c>
      <c r="P54" s="21">
        <v>7</v>
      </c>
      <c r="Q54" s="21">
        <v>6</v>
      </c>
      <c r="R54" s="21">
        <v>17</v>
      </c>
    </row>
    <row r="55" spans="1:18" s="20" customFormat="1" ht="14.25" customHeight="1" x14ac:dyDescent="0.2">
      <c r="A55" s="87"/>
      <c r="B55" s="30" t="s">
        <v>57</v>
      </c>
      <c r="C55" s="31" t="s">
        <v>225</v>
      </c>
      <c r="D55" s="21">
        <v>180</v>
      </c>
      <c r="E55" s="21">
        <v>80</v>
      </c>
      <c r="F55" s="21">
        <v>100</v>
      </c>
      <c r="G55" s="21">
        <v>16</v>
      </c>
      <c r="H55" s="21">
        <v>3</v>
      </c>
      <c r="I55" s="21">
        <v>5</v>
      </c>
      <c r="J55" s="21">
        <v>4</v>
      </c>
      <c r="K55" s="21">
        <v>8</v>
      </c>
      <c r="L55" s="21">
        <v>22</v>
      </c>
      <c r="M55" s="21">
        <v>16</v>
      </c>
      <c r="N55" s="21">
        <v>23</v>
      </c>
      <c r="O55" s="21">
        <v>29</v>
      </c>
      <c r="P55" s="21">
        <v>38</v>
      </c>
      <c r="Q55" s="21">
        <v>6</v>
      </c>
      <c r="R55" s="21">
        <v>10</v>
      </c>
    </row>
    <row r="56" spans="1:18" s="20" customFormat="1" ht="14.25" customHeight="1" x14ac:dyDescent="0.2">
      <c r="A56" s="64" t="s">
        <v>203</v>
      </c>
      <c r="B56" s="25" t="s">
        <v>55</v>
      </c>
      <c r="C56" s="26" t="s">
        <v>0</v>
      </c>
      <c r="D56" s="27">
        <v>306</v>
      </c>
      <c r="E56" s="27">
        <v>128</v>
      </c>
      <c r="F56" s="27">
        <v>178</v>
      </c>
      <c r="G56" s="27">
        <v>19</v>
      </c>
      <c r="H56" s="27">
        <v>14</v>
      </c>
      <c r="I56" s="27">
        <v>25</v>
      </c>
      <c r="J56" s="27">
        <v>11</v>
      </c>
      <c r="K56" s="27">
        <v>24</v>
      </c>
      <c r="L56" s="27">
        <v>21</v>
      </c>
      <c r="M56" s="27">
        <v>39</v>
      </c>
      <c r="N56" s="27">
        <v>19</v>
      </c>
      <c r="O56" s="27">
        <v>9</v>
      </c>
      <c r="P56" s="27">
        <v>80</v>
      </c>
      <c r="Q56" s="27">
        <v>12</v>
      </c>
      <c r="R56" s="27">
        <v>33</v>
      </c>
    </row>
    <row r="57" spans="1:18" s="20" customFormat="1" ht="14.25" customHeight="1" x14ac:dyDescent="0.2">
      <c r="A57" s="86" t="s">
        <v>14</v>
      </c>
      <c r="B57" s="28" t="s">
        <v>56</v>
      </c>
      <c r="C57" s="29" t="s">
        <v>2</v>
      </c>
      <c r="D57" s="21">
        <v>93</v>
      </c>
      <c r="E57" s="21">
        <v>37</v>
      </c>
      <c r="F57" s="21">
        <v>56</v>
      </c>
      <c r="G57" s="21">
        <v>10</v>
      </c>
      <c r="H57" s="21">
        <v>2</v>
      </c>
      <c r="I57" s="21">
        <v>5</v>
      </c>
      <c r="J57" s="21">
        <v>4</v>
      </c>
      <c r="K57" s="21">
        <v>5</v>
      </c>
      <c r="L57" s="21">
        <v>5</v>
      </c>
      <c r="M57" s="21">
        <v>11</v>
      </c>
      <c r="N57" s="21">
        <v>7</v>
      </c>
      <c r="O57" s="21">
        <v>3</v>
      </c>
      <c r="P57" s="21">
        <v>25</v>
      </c>
      <c r="Q57" s="21">
        <v>3</v>
      </c>
      <c r="R57" s="21">
        <v>13</v>
      </c>
    </row>
    <row r="58" spans="1:18" s="20" customFormat="1" ht="14.25" customHeight="1" x14ac:dyDescent="0.2">
      <c r="A58" s="87"/>
      <c r="B58" s="30" t="s">
        <v>57</v>
      </c>
      <c r="C58" s="31" t="s">
        <v>225</v>
      </c>
      <c r="D58" s="21">
        <v>213</v>
      </c>
      <c r="E58" s="21">
        <v>91</v>
      </c>
      <c r="F58" s="21">
        <v>122</v>
      </c>
      <c r="G58" s="21">
        <v>9</v>
      </c>
      <c r="H58" s="21">
        <v>12</v>
      </c>
      <c r="I58" s="21">
        <v>20</v>
      </c>
      <c r="J58" s="21">
        <v>7</v>
      </c>
      <c r="K58" s="21">
        <v>19</v>
      </c>
      <c r="L58" s="21">
        <v>16</v>
      </c>
      <c r="M58" s="21">
        <v>28</v>
      </c>
      <c r="N58" s="21">
        <v>12</v>
      </c>
      <c r="O58" s="21">
        <v>6</v>
      </c>
      <c r="P58" s="21">
        <v>55</v>
      </c>
      <c r="Q58" s="21">
        <v>9</v>
      </c>
      <c r="R58" s="21">
        <v>20</v>
      </c>
    </row>
    <row r="59" spans="1:18" s="20" customFormat="1" ht="14.25" customHeight="1" x14ac:dyDescent="0.2">
      <c r="A59" s="64" t="s">
        <v>204</v>
      </c>
      <c r="B59" s="25" t="s">
        <v>55</v>
      </c>
      <c r="C59" s="26" t="s">
        <v>0</v>
      </c>
      <c r="D59" s="27">
        <v>31</v>
      </c>
      <c r="E59" s="27">
        <v>8</v>
      </c>
      <c r="F59" s="27">
        <v>23</v>
      </c>
      <c r="G59" s="27">
        <v>0</v>
      </c>
      <c r="H59" s="27">
        <v>3</v>
      </c>
      <c r="I59" s="27">
        <v>3</v>
      </c>
      <c r="J59" s="27">
        <v>1</v>
      </c>
      <c r="K59" s="27">
        <v>2</v>
      </c>
      <c r="L59" s="27">
        <v>0</v>
      </c>
      <c r="M59" s="27">
        <v>0</v>
      </c>
      <c r="N59" s="27">
        <v>6</v>
      </c>
      <c r="O59" s="27">
        <v>3</v>
      </c>
      <c r="P59" s="27">
        <v>5</v>
      </c>
      <c r="Q59" s="27">
        <v>0</v>
      </c>
      <c r="R59" s="27">
        <v>8</v>
      </c>
    </row>
    <row r="60" spans="1:18" s="20" customFormat="1" ht="14.25" customHeight="1" x14ac:dyDescent="0.2">
      <c r="A60" s="86" t="s">
        <v>15</v>
      </c>
      <c r="B60" s="28" t="s">
        <v>56</v>
      </c>
      <c r="C60" s="29" t="s">
        <v>2</v>
      </c>
      <c r="D60" s="21">
        <v>29</v>
      </c>
      <c r="E60" s="21">
        <v>8</v>
      </c>
      <c r="F60" s="21">
        <v>21</v>
      </c>
      <c r="G60" s="21">
        <v>0</v>
      </c>
      <c r="H60" s="21">
        <v>3</v>
      </c>
      <c r="I60" s="21">
        <v>3</v>
      </c>
      <c r="J60" s="21">
        <v>1</v>
      </c>
      <c r="K60" s="21">
        <v>2</v>
      </c>
      <c r="L60" s="21">
        <v>0</v>
      </c>
      <c r="M60" s="21">
        <v>0</v>
      </c>
      <c r="N60" s="21">
        <v>6</v>
      </c>
      <c r="O60" s="21">
        <v>3</v>
      </c>
      <c r="P60" s="21">
        <v>4</v>
      </c>
      <c r="Q60" s="21">
        <v>0</v>
      </c>
      <c r="R60" s="21">
        <v>7</v>
      </c>
    </row>
    <row r="61" spans="1:18" s="20" customFormat="1" ht="14.25" customHeight="1" x14ac:dyDescent="0.2">
      <c r="A61" s="87"/>
      <c r="B61" s="30" t="s">
        <v>57</v>
      </c>
      <c r="C61" s="31" t="s">
        <v>225</v>
      </c>
      <c r="D61" s="21">
        <v>2</v>
      </c>
      <c r="E61" s="21">
        <v>0</v>
      </c>
      <c r="F61" s="21">
        <v>2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1</v>
      </c>
      <c r="Q61" s="21">
        <v>0</v>
      </c>
      <c r="R61" s="21">
        <v>1</v>
      </c>
    </row>
    <row r="62" spans="1:18" s="20" customFormat="1" ht="14.25" customHeight="1" x14ac:dyDescent="0.2">
      <c r="A62" s="64" t="s">
        <v>205</v>
      </c>
      <c r="B62" s="25" t="s">
        <v>55</v>
      </c>
      <c r="C62" s="26" t="s">
        <v>0</v>
      </c>
      <c r="D62" s="27">
        <v>230</v>
      </c>
      <c r="E62" s="27">
        <v>89</v>
      </c>
      <c r="F62" s="27">
        <v>141</v>
      </c>
      <c r="G62" s="27">
        <v>5</v>
      </c>
      <c r="H62" s="27">
        <v>15</v>
      </c>
      <c r="I62" s="27">
        <v>14</v>
      </c>
      <c r="J62" s="27">
        <v>9</v>
      </c>
      <c r="K62" s="27">
        <v>14</v>
      </c>
      <c r="L62" s="27">
        <v>4</v>
      </c>
      <c r="M62" s="27">
        <v>20</v>
      </c>
      <c r="N62" s="27">
        <v>7</v>
      </c>
      <c r="O62" s="27">
        <v>13</v>
      </c>
      <c r="P62" s="27">
        <v>50</v>
      </c>
      <c r="Q62" s="27">
        <v>23</v>
      </c>
      <c r="R62" s="27">
        <v>56</v>
      </c>
    </row>
    <row r="63" spans="1:18" s="20" customFormat="1" ht="14.25" customHeight="1" x14ac:dyDescent="0.2">
      <c r="A63" s="86" t="s">
        <v>16</v>
      </c>
      <c r="B63" s="28" t="s">
        <v>56</v>
      </c>
      <c r="C63" s="29" t="s">
        <v>2</v>
      </c>
      <c r="D63" s="21">
        <v>195</v>
      </c>
      <c r="E63" s="21">
        <v>79</v>
      </c>
      <c r="F63" s="21">
        <v>116</v>
      </c>
      <c r="G63" s="21">
        <v>5</v>
      </c>
      <c r="H63" s="21">
        <v>15</v>
      </c>
      <c r="I63" s="21">
        <v>12</v>
      </c>
      <c r="J63" s="21">
        <v>7</v>
      </c>
      <c r="K63" s="21">
        <v>13</v>
      </c>
      <c r="L63" s="21">
        <v>3</v>
      </c>
      <c r="M63" s="21">
        <v>17</v>
      </c>
      <c r="N63" s="21">
        <v>5</v>
      </c>
      <c r="O63" s="21">
        <v>11</v>
      </c>
      <c r="P63" s="21">
        <v>43</v>
      </c>
      <c r="Q63" s="21">
        <v>21</v>
      </c>
      <c r="R63" s="21">
        <v>43</v>
      </c>
    </row>
    <row r="64" spans="1:18" s="20" customFormat="1" ht="14.25" customHeight="1" x14ac:dyDescent="0.2">
      <c r="A64" s="87"/>
      <c r="B64" s="30" t="s">
        <v>57</v>
      </c>
      <c r="C64" s="31" t="s">
        <v>225</v>
      </c>
      <c r="D64" s="21">
        <v>35</v>
      </c>
      <c r="E64" s="21">
        <v>10</v>
      </c>
      <c r="F64" s="21">
        <v>25</v>
      </c>
      <c r="G64" s="21">
        <v>0</v>
      </c>
      <c r="H64" s="21">
        <v>0</v>
      </c>
      <c r="I64" s="21">
        <v>2</v>
      </c>
      <c r="J64" s="21">
        <v>2</v>
      </c>
      <c r="K64" s="21">
        <v>1</v>
      </c>
      <c r="L64" s="21">
        <v>1</v>
      </c>
      <c r="M64" s="21">
        <v>3</v>
      </c>
      <c r="N64" s="21">
        <v>2</v>
      </c>
      <c r="O64" s="21">
        <v>2</v>
      </c>
      <c r="P64" s="21">
        <v>7</v>
      </c>
      <c r="Q64" s="21">
        <v>2</v>
      </c>
      <c r="R64" s="21">
        <v>13</v>
      </c>
    </row>
    <row r="65" spans="1:18" s="20" customFormat="1" ht="14.25" customHeight="1" x14ac:dyDescent="0.2">
      <c r="A65" s="64" t="s">
        <v>206</v>
      </c>
      <c r="B65" s="25" t="s">
        <v>55</v>
      </c>
      <c r="C65" s="26" t="s">
        <v>0</v>
      </c>
      <c r="D65" s="27">
        <v>190</v>
      </c>
      <c r="E65" s="27">
        <v>68</v>
      </c>
      <c r="F65" s="27">
        <v>122</v>
      </c>
      <c r="G65" s="27">
        <v>11</v>
      </c>
      <c r="H65" s="27">
        <v>15</v>
      </c>
      <c r="I65" s="27">
        <v>4</v>
      </c>
      <c r="J65" s="27">
        <v>9</v>
      </c>
      <c r="K65" s="27">
        <v>9</v>
      </c>
      <c r="L65" s="27">
        <v>5</v>
      </c>
      <c r="M65" s="27">
        <v>14</v>
      </c>
      <c r="N65" s="27">
        <v>14</v>
      </c>
      <c r="O65" s="27">
        <v>11</v>
      </c>
      <c r="P65" s="27">
        <v>29</v>
      </c>
      <c r="Q65" s="27">
        <v>19</v>
      </c>
      <c r="R65" s="27">
        <v>50</v>
      </c>
    </row>
    <row r="66" spans="1:18" s="20" customFormat="1" ht="14.25" customHeight="1" x14ac:dyDescent="0.2">
      <c r="A66" s="86" t="s">
        <v>17</v>
      </c>
      <c r="B66" s="28" t="s">
        <v>56</v>
      </c>
      <c r="C66" s="29" t="s">
        <v>2</v>
      </c>
      <c r="D66" s="21">
        <v>177</v>
      </c>
      <c r="E66" s="21">
        <v>67</v>
      </c>
      <c r="F66" s="21">
        <v>110</v>
      </c>
      <c r="G66" s="21">
        <v>11</v>
      </c>
      <c r="H66" s="21">
        <v>14</v>
      </c>
      <c r="I66" s="21">
        <v>4</v>
      </c>
      <c r="J66" s="21">
        <v>7</v>
      </c>
      <c r="K66" s="21">
        <v>9</v>
      </c>
      <c r="L66" s="21">
        <v>5</v>
      </c>
      <c r="M66" s="21">
        <v>13</v>
      </c>
      <c r="N66" s="21">
        <v>10</v>
      </c>
      <c r="O66" s="21">
        <v>11</v>
      </c>
      <c r="P66" s="21">
        <v>24</v>
      </c>
      <c r="Q66" s="21">
        <v>19</v>
      </c>
      <c r="R66" s="21">
        <v>50</v>
      </c>
    </row>
    <row r="67" spans="1:18" s="20" customFormat="1" ht="14.25" customHeight="1" x14ac:dyDescent="0.2">
      <c r="A67" s="87"/>
      <c r="B67" s="30" t="s">
        <v>57</v>
      </c>
      <c r="C67" s="31" t="s">
        <v>225</v>
      </c>
      <c r="D67" s="21">
        <v>13</v>
      </c>
      <c r="E67" s="21">
        <v>1</v>
      </c>
      <c r="F67" s="21">
        <v>12</v>
      </c>
      <c r="G67" s="21">
        <v>0</v>
      </c>
      <c r="H67" s="21">
        <v>1</v>
      </c>
      <c r="I67" s="21">
        <v>0</v>
      </c>
      <c r="J67" s="21">
        <v>2</v>
      </c>
      <c r="K67" s="21">
        <v>0</v>
      </c>
      <c r="L67" s="21">
        <v>0</v>
      </c>
      <c r="M67" s="21">
        <v>1</v>
      </c>
      <c r="N67" s="21">
        <v>4</v>
      </c>
      <c r="O67" s="21">
        <v>0</v>
      </c>
      <c r="P67" s="21">
        <v>5</v>
      </c>
      <c r="Q67" s="21">
        <v>0</v>
      </c>
      <c r="R67" s="21">
        <v>0</v>
      </c>
    </row>
    <row r="68" spans="1:18" s="20" customFormat="1" ht="14.25" customHeight="1" x14ac:dyDescent="0.2">
      <c r="A68" s="64" t="s">
        <v>207</v>
      </c>
      <c r="B68" s="25" t="s">
        <v>55</v>
      </c>
      <c r="C68" s="26" t="s">
        <v>0</v>
      </c>
      <c r="D68" s="27">
        <v>146</v>
      </c>
      <c r="E68" s="27">
        <v>74</v>
      </c>
      <c r="F68" s="27">
        <v>72</v>
      </c>
      <c r="G68" s="27">
        <v>17</v>
      </c>
      <c r="H68" s="27">
        <v>7</v>
      </c>
      <c r="I68" s="27">
        <v>21</v>
      </c>
      <c r="J68" s="27">
        <v>14</v>
      </c>
      <c r="K68" s="27">
        <v>16</v>
      </c>
      <c r="L68" s="27">
        <v>4</v>
      </c>
      <c r="M68" s="27">
        <v>7</v>
      </c>
      <c r="N68" s="27">
        <v>4</v>
      </c>
      <c r="O68" s="27">
        <v>6</v>
      </c>
      <c r="P68" s="27">
        <v>24</v>
      </c>
      <c r="Q68" s="27">
        <v>7</v>
      </c>
      <c r="R68" s="27">
        <v>19</v>
      </c>
    </row>
    <row r="69" spans="1:18" s="20" customFormat="1" ht="14.25" customHeight="1" x14ac:dyDescent="0.2">
      <c r="A69" s="86" t="s">
        <v>18</v>
      </c>
      <c r="B69" s="28" t="s">
        <v>56</v>
      </c>
      <c r="C69" s="29" t="s">
        <v>2</v>
      </c>
      <c r="D69" s="21">
        <v>145</v>
      </c>
      <c r="E69" s="21">
        <v>74</v>
      </c>
      <c r="F69" s="21">
        <v>71</v>
      </c>
      <c r="G69" s="21">
        <v>17</v>
      </c>
      <c r="H69" s="21">
        <v>7</v>
      </c>
      <c r="I69" s="21">
        <v>21</v>
      </c>
      <c r="J69" s="21">
        <v>13</v>
      </c>
      <c r="K69" s="21">
        <v>16</v>
      </c>
      <c r="L69" s="21">
        <v>4</v>
      </c>
      <c r="M69" s="21">
        <v>7</v>
      </c>
      <c r="N69" s="21">
        <v>4</v>
      </c>
      <c r="O69" s="21">
        <v>6</v>
      </c>
      <c r="P69" s="21">
        <v>24</v>
      </c>
      <c r="Q69" s="21">
        <v>7</v>
      </c>
      <c r="R69" s="21">
        <v>19</v>
      </c>
    </row>
    <row r="70" spans="1:18" s="20" customFormat="1" ht="14.25" customHeight="1" x14ac:dyDescent="0.2">
      <c r="A70" s="87"/>
      <c r="B70" s="30" t="s">
        <v>57</v>
      </c>
      <c r="C70" s="31" t="s">
        <v>225</v>
      </c>
      <c r="D70" s="21">
        <v>1</v>
      </c>
      <c r="E70" s="21">
        <v>0</v>
      </c>
      <c r="F70" s="21">
        <v>1</v>
      </c>
      <c r="G70" s="21">
        <v>0</v>
      </c>
      <c r="H70" s="21">
        <v>0</v>
      </c>
      <c r="I70" s="21">
        <v>0</v>
      </c>
      <c r="J70" s="21">
        <v>1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</row>
    <row r="71" spans="1:18" s="20" customFormat="1" ht="14.25" customHeight="1" x14ac:dyDescent="0.2">
      <c r="A71" s="64" t="s">
        <v>208</v>
      </c>
      <c r="B71" s="25" t="s">
        <v>55</v>
      </c>
      <c r="C71" s="26" t="s">
        <v>0</v>
      </c>
      <c r="D71" s="27">
        <v>41</v>
      </c>
      <c r="E71" s="27">
        <v>15</v>
      </c>
      <c r="F71" s="27">
        <v>26</v>
      </c>
      <c r="G71" s="27">
        <v>1</v>
      </c>
      <c r="H71" s="27">
        <v>4</v>
      </c>
      <c r="I71" s="27">
        <v>3</v>
      </c>
      <c r="J71" s="27">
        <v>3</v>
      </c>
      <c r="K71" s="27">
        <v>2</v>
      </c>
      <c r="L71" s="27">
        <v>4</v>
      </c>
      <c r="M71" s="27">
        <v>2</v>
      </c>
      <c r="N71" s="27">
        <v>0</v>
      </c>
      <c r="O71" s="27">
        <v>3</v>
      </c>
      <c r="P71" s="27">
        <v>10</v>
      </c>
      <c r="Q71" s="27">
        <v>4</v>
      </c>
      <c r="R71" s="27">
        <v>5</v>
      </c>
    </row>
    <row r="72" spans="1:18" s="20" customFormat="1" ht="14.25" customHeight="1" x14ac:dyDescent="0.2">
      <c r="A72" s="86" t="s">
        <v>19</v>
      </c>
      <c r="B72" s="28" t="s">
        <v>56</v>
      </c>
      <c r="C72" s="29" t="s">
        <v>2</v>
      </c>
      <c r="D72" s="21">
        <v>41</v>
      </c>
      <c r="E72" s="21">
        <v>15</v>
      </c>
      <c r="F72" s="21">
        <v>26</v>
      </c>
      <c r="G72" s="21">
        <v>1</v>
      </c>
      <c r="H72" s="21">
        <v>4</v>
      </c>
      <c r="I72" s="21">
        <v>3</v>
      </c>
      <c r="J72" s="21">
        <v>3</v>
      </c>
      <c r="K72" s="21">
        <v>2</v>
      </c>
      <c r="L72" s="21">
        <v>4</v>
      </c>
      <c r="M72" s="21">
        <v>2</v>
      </c>
      <c r="N72" s="21">
        <v>0</v>
      </c>
      <c r="O72" s="21">
        <v>3</v>
      </c>
      <c r="P72" s="21">
        <v>10</v>
      </c>
      <c r="Q72" s="21">
        <v>4</v>
      </c>
      <c r="R72" s="21">
        <v>5</v>
      </c>
    </row>
    <row r="73" spans="1:18" s="20" customFormat="1" ht="14.25" customHeight="1" x14ac:dyDescent="0.2">
      <c r="A73" s="87"/>
      <c r="B73" s="30" t="s">
        <v>57</v>
      </c>
      <c r="C73" s="31" t="s">
        <v>225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</row>
    <row r="74" spans="1:18" s="20" customFormat="1" ht="14.25" customHeight="1" x14ac:dyDescent="0.2">
      <c r="A74" s="64" t="s">
        <v>209</v>
      </c>
      <c r="B74" s="25" t="s">
        <v>55</v>
      </c>
      <c r="C74" s="26" t="s">
        <v>0</v>
      </c>
      <c r="D74" s="27">
        <v>9</v>
      </c>
      <c r="E74" s="27">
        <v>2</v>
      </c>
      <c r="F74" s="27">
        <v>7</v>
      </c>
      <c r="G74" s="27">
        <v>0</v>
      </c>
      <c r="H74" s="27">
        <v>0</v>
      </c>
      <c r="I74" s="27">
        <v>0</v>
      </c>
      <c r="J74" s="27">
        <v>1</v>
      </c>
      <c r="K74" s="27">
        <v>0</v>
      </c>
      <c r="L74" s="27">
        <v>0</v>
      </c>
      <c r="M74" s="27">
        <v>0</v>
      </c>
      <c r="N74" s="27">
        <v>2</v>
      </c>
      <c r="O74" s="27">
        <v>1</v>
      </c>
      <c r="P74" s="27">
        <v>2</v>
      </c>
      <c r="Q74" s="27">
        <v>1</v>
      </c>
      <c r="R74" s="27">
        <v>2</v>
      </c>
    </row>
    <row r="75" spans="1:18" s="20" customFormat="1" ht="14.25" customHeight="1" x14ac:dyDescent="0.2">
      <c r="A75" s="86" t="s">
        <v>20</v>
      </c>
      <c r="B75" s="28" t="s">
        <v>56</v>
      </c>
      <c r="C75" s="29" t="s">
        <v>2</v>
      </c>
      <c r="D75" s="21">
        <v>6</v>
      </c>
      <c r="E75" s="21">
        <v>2</v>
      </c>
      <c r="F75" s="21">
        <v>4</v>
      </c>
      <c r="G75" s="21">
        <v>0</v>
      </c>
      <c r="H75" s="21">
        <v>0</v>
      </c>
      <c r="I75" s="21">
        <v>0</v>
      </c>
      <c r="J75" s="21">
        <v>1</v>
      </c>
      <c r="K75" s="21">
        <v>0</v>
      </c>
      <c r="L75" s="21">
        <v>0</v>
      </c>
      <c r="M75" s="21">
        <v>0</v>
      </c>
      <c r="N75" s="21">
        <v>0</v>
      </c>
      <c r="O75" s="21">
        <v>1</v>
      </c>
      <c r="P75" s="21">
        <v>1</v>
      </c>
      <c r="Q75" s="21">
        <v>1</v>
      </c>
      <c r="R75" s="21">
        <v>2</v>
      </c>
    </row>
    <row r="76" spans="1:18" s="20" customFormat="1" ht="14.25" customHeight="1" x14ac:dyDescent="0.2">
      <c r="A76" s="87"/>
      <c r="B76" s="30" t="s">
        <v>57</v>
      </c>
      <c r="C76" s="31" t="s">
        <v>225</v>
      </c>
      <c r="D76" s="22">
        <v>3</v>
      </c>
      <c r="E76" s="22">
        <v>0</v>
      </c>
      <c r="F76" s="22">
        <v>3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2</v>
      </c>
      <c r="O76" s="22">
        <v>0</v>
      </c>
      <c r="P76" s="22">
        <v>1</v>
      </c>
      <c r="Q76" s="22">
        <v>0</v>
      </c>
      <c r="R76" s="22">
        <v>0</v>
      </c>
    </row>
    <row r="77" spans="1:18" s="17" customFormat="1" ht="14.25" customHeight="1" x14ac:dyDescent="0.2">
      <c r="A77" s="17" t="s">
        <v>80</v>
      </c>
    </row>
    <row r="78" spans="1:18" s="17" customFormat="1" ht="14.25" customHeight="1" x14ac:dyDescent="0.2">
      <c r="A78" s="23" t="s">
        <v>24</v>
      </c>
    </row>
    <row r="79" spans="1:18" s="17" customFormat="1" ht="14.25" customHeight="1" x14ac:dyDescent="0.2">
      <c r="A79" s="4"/>
    </row>
    <row r="80" spans="1:18" s="17" customFormat="1" ht="14.25" customHeight="1" x14ac:dyDescent="0.2">
      <c r="A80" s="52" t="s">
        <v>216</v>
      </c>
    </row>
  </sheetData>
  <mergeCells count="47">
    <mergeCell ref="K5:L5"/>
    <mergeCell ref="M5:N5"/>
    <mergeCell ref="O5:P5"/>
    <mergeCell ref="Q5:R5"/>
    <mergeCell ref="D6:D7"/>
    <mergeCell ref="Q6:Q7"/>
    <mergeCell ref="R6:R7"/>
    <mergeCell ref="A18:A19"/>
    <mergeCell ref="K6:K7"/>
    <mergeCell ref="L6:L7"/>
    <mergeCell ref="M6:M7"/>
    <mergeCell ref="N6:N7"/>
    <mergeCell ref="E6:E7"/>
    <mergeCell ref="F6:F7"/>
    <mergeCell ref="G6:G7"/>
    <mergeCell ref="H6:H7"/>
    <mergeCell ref="I6:I7"/>
    <mergeCell ref="J6:J7"/>
    <mergeCell ref="A4:C7"/>
    <mergeCell ref="D4:R4"/>
    <mergeCell ref="D5:F5"/>
    <mergeCell ref="G5:H5"/>
    <mergeCell ref="I5:J5"/>
    <mergeCell ref="A9:A10"/>
    <mergeCell ref="A12:A13"/>
    <mergeCell ref="A15:A16"/>
    <mergeCell ref="O6:O7"/>
    <mergeCell ref="P6:P7"/>
    <mergeCell ref="A54:A55"/>
    <mergeCell ref="A21:A22"/>
    <mergeCell ref="A24:A25"/>
    <mergeCell ref="A27:A28"/>
    <mergeCell ref="A30:A31"/>
    <mergeCell ref="A33:A34"/>
    <mergeCell ref="A36:A37"/>
    <mergeCell ref="A39:A40"/>
    <mergeCell ref="A42:A43"/>
    <mergeCell ref="A45:A46"/>
    <mergeCell ref="A48:A49"/>
    <mergeCell ref="A51:A52"/>
    <mergeCell ref="A75:A76"/>
    <mergeCell ref="A57:A58"/>
    <mergeCell ref="A60:A61"/>
    <mergeCell ref="A63:A64"/>
    <mergeCell ref="A66:A67"/>
    <mergeCell ref="A69:A70"/>
    <mergeCell ref="A72:A73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 alignWithMargins="0">
    <oddHeader>&amp;L&amp;"微軟正黑體,標準"&amp;16兒童及少年保護執行概況&amp;C&amp;"微軟正黑體,標準"&amp;16
&amp;R&amp;"微軟正黑體,標準"本表共&amp;N頁，第&amp;P頁</oddHeader>
  </headerFooter>
  <rowBreaks count="1" manualBreakCount="1">
    <brk id="43" max="17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80"/>
  <sheetViews>
    <sheetView zoomScaleNormal="100" zoomScaleSheetLayoutView="100" workbookViewId="0">
      <pane xSplit="4" ySplit="8" topLeftCell="E9" activePane="bottomRight" state="frozen"/>
      <selection activeCell="A3" sqref="A3"/>
      <selection pane="topRight" activeCell="A3" sqref="A3"/>
      <selection pane="bottomLeft" activeCell="A3" sqref="A3"/>
      <selection pane="bottomRight" activeCell="A3" sqref="A3"/>
    </sheetView>
  </sheetViews>
  <sheetFormatPr defaultColWidth="5.5" defaultRowHeight="11.1" customHeight="1" x14ac:dyDescent="0.2"/>
  <cols>
    <col min="1" max="1" width="19.1640625" style="4" customWidth="1"/>
    <col min="2" max="2" width="10.33203125" style="4" customWidth="1"/>
    <col min="3" max="3" width="13.1640625" style="4" customWidth="1"/>
    <col min="4" max="18" width="11.5" style="4" customWidth="1"/>
    <col min="19" max="16384" width="5.5" style="4"/>
  </cols>
  <sheetData>
    <row r="1" spans="1:18" ht="20.25" customHeight="1" x14ac:dyDescent="0.2">
      <c r="A1" s="46" t="s">
        <v>174</v>
      </c>
      <c r="B1" s="1"/>
      <c r="C1" s="1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4.25" customHeight="1" x14ac:dyDescent="0.2">
      <c r="A2" s="17" t="s">
        <v>148</v>
      </c>
      <c r="B2"/>
      <c r="C2"/>
      <c r="D2" s="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</row>
    <row r="3" spans="1:18" s="17" customFormat="1" ht="12.75" customHeight="1" x14ac:dyDescent="0.2">
      <c r="A3" s="53" t="s">
        <v>184</v>
      </c>
      <c r="B3" s="16"/>
      <c r="C3" s="16"/>
      <c r="D3" s="4" t="str">
        <f>IF(D8=SUM(D11,D14,D17,D20,D23,D26,D29,D32,D35,D38,D41,D44,D47,D50,D53,D56,D59,D62,D65,D68,D71,D74,),"","*")</f>
        <v/>
      </c>
      <c r="E3" s="4" t="str">
        <f t="shared" ref="E3:R3" si="0">IF(E8=SUM(E11,E14,E17,E20,E23,E26,E29,E32,E35,E38,E41,E44,E47,E50,E53,E56,E59,E62,E65,E68,E71,E74,),"","*")</f>
        <v/>
      </c>
      <c r="F3" s="4" t="str">
        <f t="shared" si="0"/>
        <v/>
      </c>
      <c r="G3" s="4" t="str">
        <f t="shared" si="0"/>
        <v/>
      </c>
      <c r="H3" s="4" t="str">
        <f t="shared" si="0"/>
        <v/>
      </c>
      <c r="I3" s="4" t="str">
        <f t="shared" si="0"/>
        <v/>
      </c>
      <c r="J3" s="4" t="str">
        <f t="shared" si="0"/>
        <v/>
      </c>
      <c r="K3" s="4" t="str">
        <f t="shared" si="0"/>
        <v/>
      </c>
      <c r="L3" s="4" t="str">
        <f t="shared" si="0"/>
        <v/>
      </c>
      <c r="M3" s="4" t="str">
        <f t="shared" si="0"/>
        <v/>
      </c>
      <c r="N3" s="4" t="str">
        <f t="shared" si="0"/>
        <v/>
      </c>
      <c r="O3" s="4" t="str">
        <f t="shared" si="0"/>
        <v/>
      </c>
      <c r="P3" s="4" t="str">
        <f t="shared" si="0"/>
        <v/>
      </c>
      <c r="Q3" s="4" t="str">
        <f t="shared" si="0"/>
        <v/>
      </c>
      <c r="R3" s="4" t="str">
        <f t="shared" si="0"/>
        <v/>
      </c>
    </row>
    <row r="4" spans="1:18" s="18" customFormat="1" ht="15.6" customHeight="1" x14ac:dyDescent="0.2">
      <c r="A4" s="94" t="s">
        <v>42</v>
      </c>
      <c r="B4" s="95"/>
      <c r="C4" s="96"/>
      <c r="D4" s="76" t="s">
        <v>43</v>
      </c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</row>
    <row r="5" spans="1:18" s="18" customFormat="1" ht="28.9" customHeight="1" x14ac:dyDescent="0.2">
      <c r="A5" s="97"/>
      <c r="B5" s="98"/>
      <c r="C5" s="99"/>
      <c r="D5" s="78" t="s">
        <v>44</v>
      </c>
      <c r="E5" s="79"/>
      <c r="F5" s="80"/>
      <c r="G5" s="103" t="s">
        <v>45</v>
      </c>
      <c r="H5" s="104"/>
      <c r="I5" s="103" t="s">
        <v>46</v>
      </c>
      <c r="J5" s="104"/>
      <c r="K5" s="103" t="s">
        <v>47</v>
      </c>
      <c r="L5" s="104"/>
      <c r="M5" s="103" t="s">
        <v>48</v>
      </c>
      <c r="N5" s="104"/>
      <c r="O5" s="103" t="s">
        <v>49</v>
      </c>
      <c r="P5" s="104"/>
      <c r="Q5" s="103" t="s">
        <v>50</v>
      </c>
      <c r="R5" s="105"/>
    </row>
    <row r="6" spans="1:18" s="18" customFormat="1" ht="12.75" x14ac:dyDescent="0.2">
      <c r="A6" s="97"/>
      <c r="B6" s="98"/>
      <c r="C6" s="99"/>
      <c r="D6" s="72" t="s">
        <v>51</v>
      </c>
      <c r="E6" s="92" t="s">
        <v>52</v>
      </c>
      <c r="F6" s="90" t="s">
        <v>53</v>
      </c>
      <c r="G6" s="90" t="s">
        <v>52</v>
      </c>
      <c r="H6" s="90" t="s">
        <v>53</v>
      </c>
      <c r="I6" s="90" t="s">
        <v>52</v>
      </c>
      <c r="J6" s="90" t="s">
        <v>53</v>
      </c>
      <c r="K6" s="90" t="s">
        <v>52</v>
      </c>
      <c r="L6" s="90" t="s">
        <v>53</v>
      </c>
      <c r="M6" s="90" t="s">
        <v>52</v>
      </c>
      <c r="N6" s="90" t="s">
        <v>53</v>
      </c>
      <c r="O6" s="90" t="s">
        <v>52</v>
      </c>
      <c r="P6" s="90" t="s">
        <v>53</v>
      </c>
      <c r="Q6" s="90" t="s">
        <v>52</v>
      </c>
      <c r="R6" s="94" t="s">
        <v>53</v>
      </c>
    </row>
    <row r="7" spans="1:18" s="19" customFormat="1" ht="12.75" x14ac:dyDescent="0.2">
      <c r="A7" s="100"/>
      <c r="B7" s="101"/>
      <c r="C7" s="102"/>
      <c r="D7" s="75"/>
      <c r="E7" s="93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100"/>
    </row>
    <row r="8" spans="1:18" s="59" customFormat="1" ht="18" customHeight="1" x14ac:dyDescent="0.2">
      <c r="A8" s="63" t="s">
        <v>186</v>
      </c>
      <c r="B8" s="56" t="s">
        <v>187</v>
      </c>
      <c r="C8" s="57" t="s">
        <v>0</v>
      </c>
      <c r="D8" s="58">
        <v>11523</v>
      </c>
      <c r="E8" s="58">
        <v>5108</v>
      </c>
      <c r="F8" s="58">
        <v>6415</v>
      </c>
      <c r="G8" s="58">
        <v>595</v>
      </c>
      <c r="H8" s="58">
        <v>482</v>
      </c>
      <c r="I8" s="58">
        <v>774</v>
      </c>
      <c r="J8" s="58">
        <v>615</v>
      </c>
      <c r="K8" s="58">
        <v>1022</v>
      </c>
      <c r="L8" s="58">
        <v>760</v>
      </c>
      <c r="M8" s="58">
        <v>937</v>
      </c>
      <c r="N8" s="58">
        <v>779</v>
      </c>
      <c r="O8" s="58">
        <v>953</v>
      </c>
      <c r="P8" s="58">
        <v>1920</v>
      </c>
      <c r="Q8" s="58">
        <v>827</v>
      </c>
      <c r="R8" s="58">
        <v>1859</v>
      </c>
    </row>
    <row r="9" spans="1:18" s="59" customFormat="1" ht="14.25" customHeight="1" x14ac:dyDescent="0.2">
      <c r="A9" s="88" t="s">
        <v>1</v>
      </c>
      <c r="B9" s="60" t="s">
        <v>188</v>
      </c>
      <c r="C9" s="61" t="s">
        <v>2</v>
      </c>
      <c r="D9" s="62">
        <v>10227</v>
      </c>
      <c r="E9" s="62">
        <v>4555</v>
      </c>
      <c r="F9" s="62">
        <v>5672</v>
      </c>
      <c r="G9" s="62">
        <v>520</v>
      </c>
      <c r="H9" s="62">
        <v>405</v>
      </c>
      <c r="I9" s="62">
        <v>675</v>
      </c>
      <c r="J9" s="62">
        <v>536</v>
      </c>
      <c r="K9" s="62">
        <v>906</v>
      </c>
      <c r="L9" s="62">
        <v>668</v>
      </c>
      <c r="M9" s="62">
        <v>831</v>
      </c>
      <c r="N9" s="62">
        <v>682</v>
      </c>
      <c r="O9" s="62">
        <v>864</v>
      </c>
      <c r="P9" s="62">
        <v>1676</v>
      </c>
      <c r="Q9" s="62">
        <v>759</v>
      </c>
      <c r="R9" s="62">
        <v>1705</v>
      </c>
    </row>
    <row r="10" spans="1:18" s="59" customFormat="1" ht="14.25" customHeight="1" x14ac:dyDescent="0.2">
      <c r="A10" s="89"/>
      <c r="B10" s="60" t="s">
        <v>189</v>
      </c>
      <c r="C10" s="61" t="s">
        <v>225</v>
      </c>
      <c r="D10" s="62">
        <v>1296</v>
      </c>
      <c r="E10" s="62">
        <v>553</v>
      </c>
      <c r="F10" s="62">
        <v>743</v>
      </c>
      <c r="G10" s="62">
        <v>75</v>
      </c>
      <c r="H10" s="62">
        <v>77</v>
      </c>
      <c r="I10" s="62">
        <v>99</v>
      </c>
      <c r="J10" s="62">
        <v>79</v>
      </c>
      <c r="K10" s="62">
        <v>116</v>
      </c>
      <c r="L10" s="62">
        <v>92</v>
      </c>
      <c r="M10" s="62">
        <v>106</v>
      </c>
      <c r="N10" s="62">
        <v>97</v>
      </c>
      <c r="O10" s="62">
        <v>89</v>
      </c>
      <c r="P10" s="62">
        <v>244</v>
      </c>
      <c r="Q10" s="62">
        <v>68</v>
      </c>
      <c r="R10" s="62">
        <v>154</v>
      </c>
    </row>
    <row r="11" spans="1:18" s="20" customFormat="1" ht="14.25" customHeight="1" x14ac:dyDescent="0.2">
      <c r="A11" s="64" t="s">
        <v>210</v>
      </c>
      <c r="B11" s="25" t="s">
        <v>55</v>
      </c>
      <c r="C11" s="26" t="s">
        <v>0</v>
      </c>
      <c r="D11" s="27">
        <v>2018</v>
      </c>
      <c r="E11" s="27">
        <v>842</v>
      </c>
      <c r="F11" s="27">
        <v>1176</v>
      </c>
      <c r="G11" s="27">
        <v>76</v>
      </c>
      <c r="H11" s="27">
        <v>37</v>
      </c>
      <c r="I11" s="27">
        <v>78</v>
      </c>
      <c r="J11" s="27">
        <v>72</v>
      </c>
      <c r="K11" s="27">
        <v>202</v>
      </c>
      <c r="L11" s="27">
        <v>133</v>
      </c>
      <c r="M11" s="27">
        <v>182</v>
      </c>
      <c r="N11" s="27">
        <v>174</v>
      </c>
      <c r="O11" s="27">
        <v>171</v>
      </c>
      <c r="P11" s="27">
        <v>383</v>
      </c>
      <c r="Q11" s="27">
        <v>133</v>
      </c>
      <c r="R11" s="27">
        <v>377</v>
      </c>
    </row>
    <row r="12" spans="1:18" s="20" customFormat="1" ht="14.25" customHeight="1" x14ac:dyDescent="0.2">
      <c r="A12" s="86" t="s">
        <v>3</v>
      </c>
      <c r="B12" s="28" t="s">
        <v>56</v>
      </c>
      <c r="C12" s="29" t="s">
        <v>2</v>
      </c>
      <c r="D12" s="21">
        <v>1903</v>
      </c>
      <c r="E12" s="21">
        <v>802</v>
      </c>
      <c r="F12" s="21">
        <v>1101</v>
      </c>
      <c r="G12" s="21">
        <v>72</v>
      </c>
      <c r="H12" s="21">
        <v>36</v>
      </c>
      <c r="I12" s="21">
        <v>70</v>
      </c>
      <c r="J12" s="21">
        <v>68</v>
      </c>
      <c r="K12" s="21">
        <v>190</v>
      </c>
      <c r="L12" s="21">
        <v>122</v>
      </c>
      <c r="M12" s="21">
        <v>175</v>
      </c>
      <c r="N12" s="21">
        <v>165</v>
      </c>
      <c r="O12" s="21">
        <v>164</v>
      </c>
      <c r="P12" s="21">
        <v>360</v>
      </c>
      <c r="Q12" s="21">
        <v>131</v>
      </c>
      <c r="R12" s="21">
        <v>350</v>
      </c>
    </row>
    <row r="13" spans="1:18" s="20" customFormat="1" ht="14.25" customHeight="1" x14ac:dyDescent="0.2">
      <c r="A13" s="87"/>
      <c r="B13" s="28" t="s">
        <v>57</v>
      </c>
      <c r="C13" s="29" t="s">
        <v>225</v>
      </c>
      <c r="D13" s="21">
        <v>115</v>
      </c>
      <c r="E13" s="21">
        <v>40</v>
      </c>
      <c r="F13" s="21">
        <v>75</v>
      </c>
      <c r="G13" s="21">
        <v>4</v>
      </c>
      <c r="H13" s="21">
        <v>1</v>
      </c>
      <c r="I13" s="21">
        <v>8</v>
      </c>
      <c r="J13" s="21">
        <v>4</v>
      </c>
      <c r="K13" s="21">
        <v>12</v>
      </c>
      <c r="L13" s="21">
        <v>11</v>
      </c>
      <c r="M13" s="21">
        <v>7</v>
      </c>
      <c r="N13" s="21">
        <v>9</v>
      </c>
      <c r="O13" s="21">
        <v>7</v>
      </c>
      <c r="P13" s="21">
        <v>23</v>
      </c>
      <c r="Q13" s="21">
        <v>2</v>
      </c>
      <c r="R13" s="21">
        <v>27</v>
      </c>
    </row>
    <row r="14" spans="1:18" s="20" customFormat="1" ht="14.25" customHeight="1" x14ac:dyDescent="0.2">
      <c r="A14" s="64" t="s">
        <v>211</v>
      </c>
      <c r="B14" s="25" t="s">
        <v>55</v>
      </c>
      <c r="C14" s="26" t="s">
        <v>0</v>
      </c>
      <c r="D14" s="27">
        <v>984</v>
      </c>
      <c r="E14" s="27">
        <v>454</v>
      </c>
      <c r="F14" s="27">
        <v>530</v>
      </c>
      <c r="G14" s="27">
        <v>45</v>
      </c>
      <c r="H14" s="27">
        <v>35</v>
      </c>
      <c r="I14" s="27">
        <v>70</v>
      </c>
      <c r="J14" s="27">
        <v>51</v>
      </c>
      <c r="K14" s="27">
        <v>93</v>
      </c>
      <c r="L14" s="27">
        <v>55</v>
      </c>
      <c r="M14" s="27">
        <v>82</v>
      </c>
      <c r="N14" s="27">
        <v>62</v>
      </c>
      <c r="O14" s="27">
        <v>105</v>
      </c>
      <c r="P14" s="27">
        <v>152</v>
      </c>
      <c r="Q14" s="27">
        <v>59</v>
      </c>
      <c r="R14" s="27">
        <v>175</v>
      </c>
    </row>
    <row r="15" spans="1:18" s="20" customFormat="1" ht="14.25" customHeight="1" x14ac:dyDescent="0.2">
      <c r="A15" s="86" t="s">
        <v>4</v>
      </c>
      <c r="B15" s="28" t="s">
        <v>56</v>
      </c>
      <c r="C15" s="29" t="s">
        <v>2</v>
      </c>
      <c r="D15" s="21">
        <v>959</v>
      </c>
      <c r="E15" s="21">
        <v>444</v>
      </c>
      <c r="F15" s="21">
        <v>515</v>
      </c>
      <c r="G15" s="21">
        <v>44</v>
      </c>
      <c r="H15" s="21">
        <v>35</v>
      </c>
      <c r="I15" s="21">
        <v>67</v>
      </c>
      <c r="J15" s="21">
        <v>50</v>
      </c>
      <c r="K15" s="21">
        <v>92</v>
      </c>
      <c r="L15" s="21">
        <v>54</v>
      </c>
      <c r="M15" s="21">
        <v>81</v>
      </c>
      <c r="N15" s="21">
        <v>62</v>
      </c>
      <c r="O15" s="21">
        <v>103</v>
      </c>
      <c r="P15" s="21">
        <v>148</v>
      </c>
      <c r="Q15" s="21">
        <v>57</v>
      </c>
      <c r="R15" s="21">
        <v>166</v>
      </c>
    </row>
    <row r="16" spans="1:18" s="20" customFormat="1" ht="14.25" customHeight="1" x14ac:dyDescent="0.2">
      <c r="A16" s="87"/>
      <c r="B16" s="30" t="s">
        <v>57</v>
      </c>
      <c r="C16" s="31" t="s">
        <v>225</v>
      </c>
      <c r="D16" s="21">
        <v>25</v>
      </c>
      <c r="E16" s="21">
        <v>10</v>
      </c>
      <c r="F16" s="21">
        <v>15</v>
      </c>
      <c r="G16" s="21">
        <v>1</v>
      </c>
      <c r="H16" s="21">
        <v>0</v>
      </c>
      <c r="I16" s="21">
        <v>3</v>
      </c>
      <c r="J16" s="21">
        <v>1</v>
      </c>
      <c r="K16" s="21">
        <v>1</v>
      </c>
      <c r="L16" s="21">
        <v>1</v>
      </c>
      <c r="M16" s="21">
        <v>1</v>
      </c>
      <c r="N16" s="21">
        <v>0</v>
      </c>
      <c r="O16" s="21">
        <v>2</v>
      </c>
      <c r="P16" s="21">
        <v>4</v>
      </c>
      <c r="Q16" s="21">
        <v>2</v>
      </c>
      <c r="R16" s="21">
        <v>9</v>
      </c>
    </row>
    <row r="17" spans="1:18" s="20" customFormat="1" ht="14.25" customHeight="1" x14ac:dyDescent="0.2">
      <c r="A17" s="64" t="s">
        <v>212</v>
      </c>
      <c r="B17" s="25" t="s">
        <v>55</v>
      </c>
      <c r="C17" s="26" t="s">
        <v>0</v>
      </c>
      <c r="D17" s="27">
        <v>1288</v>
      </c>
      <c r="E17" s="27">
        <v>561</v>
      </c>
      <c r="F17" s="27">
        <v>727</v>
      </c>
      <c r="G17" s="27">
        <v>64</v>
      </c>
      <c r="H17" s="27">
        <v>56</v>
      </c>
      <c r="I17" s="27">
        <v>84</v>
      </c>
      <c r="J17" s="27">
        <v>68</v>
      </c>
      <c r="K17" s="27">
        <v>128</v>
      </c>
      <c r="L17" s="27">
        <v>86</v>
      </c>
      <c r="M17" s="27">
        <v>107</v>
      </c>
      <c r="N17" s="27">
        <v>87</v>
      </c>
      <c r="O17" s="27">
        <v>93</v>
      </c>
      <c r="P17" s="27">
        <v>210</v>
      </c>
      <c r="Q17" s="27">
        <v>85</v>
      </c>
      <c r="R17" s="27">
        <v>220</v>
      </c>
    </row>
    <row r="18" spans="1:18" s="20" customFormat="1" ht="14.25" customHeight="1" x14ac:dyDescent="0.2">
      <c r="A18" s="86" t="s">
        <v>25</v>
      </c>
      <c r="B18" s="28" t="s">
        <v>56</v>
      </c>
      <c r="C18" s="29" t="s">
        <v>2</v>
      </c>
      <c r="D18" s="21">
        <v>1051</v>
      </c>
      <c r="E18" s="21">
        <v>462</v>
      </c>
      <c r="F18" s="21">
        <v>589</v>
      </c>
      <c r="G18" s="21">
        <v>56</v>
      </c>
      <c r="H18" s="21">
        <v>38</v>
      </c>
      <c r="I18" s="21">
        <v>73</v>
      </c>
      <c r="J18" s="21">
        <v>49</v>
      </c>
      <c r="K18" s="21">
        <v>104</v>
      </c>
      <c r="L18" s="21">
        <v>72</v>
      </c>
      <c r="M18" s="21">
        <v>84</v>
      </c>
      <c r="N18" s="21">
        <v>71</v>
      </c>
      <c r="O18" s="21">
        <v>76</v>
      </c>
      <c r="P18" s="21">
        <v>168</v>
      </c>
      <c r="Q18" s="21">
        <v>69</v>
      </c>
      <c r="R18" s="21">
        <v>191</v>
      </c>
    </row>
    <row r="19" spans="1:18" s="20" customFormat="1" ht="14.25" customHeight="1" x14ac:dyDescent="0.2">
      <c r="A19" s="87"/>
      <c r="B19" s="30" t="s">
        <v>57</v>
      </c>
      <c r="C19" s="31" t="s">
        <v>225</v>
      </c>
      <c r="D19" s="21">
        <v>237</v>
      </c>
      <c r="E19" s="21">
        <v>99</v>
      </c>
      <c r="F19" s="21">
        <v>138</v>
      </c>
      <c r="G19" s="21">
        <v>8</v>
      </c>
      <c r="H19" s="21">
        <v>18</v>
      </c>
      <c r="I19" s="21">
        <v>11</v>
      </c>
      <c r="J19" s="21">
        <v>19</v>
      </c>
      <c r="K19" s="21">
        <v>24</v>
      </c>
      <c r="L19" s="21">
        <v>14</v>
      </c>
      <c r="M19" s="21">
        <v>23</v>
      </c>
      <c r="N19" s="21">
        <v>16</v>
      </c>
      <c r="O19" s="21">
        <v>17</v>
      </c>
      <c r="P19" s="21">
        <v>42</v>
      </c>
      <c r="Q19" s="21">
        <v>16</v>
      </c>
      <c r="R19" s="21">
        <v>29</v>
      </c>
    </row>
    <row r="20" spans="1:18" s="20" customFormat="1" ht="14.25" customHeight="1" x14ac:dyDescent="0.2">
      <c r="A20" s="64" t="s">
        <v>213</v>
      </c>
      <c r="B20" s="25" t="s">
        <v>55</v>
      </c>
      <c r="C20" s="26" t="s">
        <v>0</v>
      </c>
      <c r="D20" s="27">
        <v>1401</v>
      </c>
      <c r="E20" s="27">
        <v>662</v>
      </c>
      <c r="F20" s="27">
        <v>739</v>
      </c>
      <c r="G20" s="27">
        <v>84</v>
      </c>
      <c r="H20" s="27">
        <v>62</v>
      </c>
      <c r="I20" s="27">
        <v>138</v>
      </c>
      <c r="J20" s="27">
        <v>92</v>
      </c>
      <c r="K20" s="27">
        <v>113</v>
      </c>
      <c r="L20" s="27">
        <v>96</v>
      </c>
      <c r="M20" s="27">
        <v>140</v>
      </c>
      <c r="N20" s="27">
        <v>76</v>
      </c>
      <c r="O20" s="27">
        <v>101</v>
      </c>
      <c r="P20" s="27">
        <v>211</v>
      </c>
      <c r="Q20" s="27">
        <v>86</v>
      </c>
      <c r="R20" s="27">
        <v>202</v>
      </c>
    </row>
    <row r="21" spans="1:18" s="20" customFormat="1" ht="14.25" customHeight="1" x14ac:dyDescent="0.2">
      <c r="A21" s="86" t="s">
        <v>21</v>
      </c>
      <c r="B21" s="28" t="s">
        <v>56</v>
      </c>
      <c r="C21" s="29" t="s">
        <v>2</v>
      </c>
      <c r="D21" s="21">
        <v>1294</v>
      </c>
      <c r="E21" s="21">
        <v>617</v>
      </c>
      <c r="F21" s="21">
        <v>677</v>
      </c>
      <c r="G21" s="21">
        <v>79</v>
      </c>
      <c r="H21" s="21">
        <v>52</v>
      </c>
      <c r="I21" s="21">
        <v>120</v>
      </c>
      <c r="J21" s="21">
        <v>86</v>
      </c>
      <c r="K21" s="21">
        <v>109</v>
      </c>
      <c r="L21" s="21">
        <v>89</v>
      </c>
      <c r="M21" s="21">
        <v>131</v>
      </c>
      <c r="N21" s="21">
        <v>68</v>
      </c>
      <c r="O21" s="21">
        <v>95</v>
      </c>
      <c r="P21" s="21">
        <v>193</v>
      </c>
      <c r="Q21" s="21">
        <v>83</v>
      </c>
      <c r="R21" s="21">
        <v>189</v>
      </c>
    </row>
    <row r="22" spans="1:18" s="20" customFormat="1" ht="14.25" customHeight="1" x14ac:dyDescent="0.2">
      <c r="A22" s="87"/>
      <c r="B22" s="30" t="s">
        <v>57</v>
      </c>
      <c r="C22" s="31" t="s">
        <v>225</v>
      </c>
      <c r="D22" s="21">
        <v>107</v>
      </c>
      <c r="E22" s="21">
        <v>45</v>
      </c>
      <c r="F22" s="21">
        <v>62</v>
      </c>
      <c r="G22" s="21">
        <v>5</v>
      </c>
      <c r="H22" s="21">
        <v>10</v>
      </c>
      <c r="I22" s="21">
        <v>18</v>
      </c>
      <c r="J22" s="21">
        <v>6</v>
      </c>
      <c r="K22" s="21">
        <v>4</v>
      </c>
      <c r="L22" s="21">
        <v>7</v>
      </c>
      <c r="M22" s="21">
        <v>9</v>
      </c>
      <c r="N22" s="21">
        <v>8</v>
      </c>
      <c r="O22" s="21">
        <v>6</v>
      </c>
      <c r="P22" s="21">
        <v>18</v>
      </c>
      <c r="Q22" s="21">
        <v>3</v>
      </c>
      <c r="R22" s="21">
        <v>13</v>
      </c>
    </row>
    <row r="23" spans="1:18" s="20" customFormat="1" ht="14.25" customHeight="1" x14ac:dyDescent="0.2">
      <c r="A23" s="64" t="s">
        <v>214</v>
      </c>
      <c r="B23" s="25" t="s">
        <v>55</v>
      </c>
      <c r="C23" s="26" t="s">
        <v>0</v>
      </c>
      <c r="D23" s="27">
        <v>753</v>
      </c>
      <c r="E23" s="27">
        <v>309</v>
      </c>
      <c r="F23" s="27">
        <v>444</v>
      </c>
      <c r="G23" s="27">
        <v>42</v>
      </c>
      <c r="H23" s="27">
        <v>29</v>
      </c>
      <c r="I23" s="27">
        <v>41</v>
      </c>
      <c r="J23" s="27">
        <v>44</v>
      </c>
      <c r="K23" s="27">
        <v>56</v>
      </c>
      <c r="L23" s="27">
        <v>62</v>
      </c>
      <c r="M23" s="27">
        <v>51</v>
      </c>
      <c r="N23" s="27">
        <v>44</v>
      </c>
      <c r="O23" s="27">
        <v>58</v>
      </c>
      <c r="P23" s="27">
        <v>142</v>
      </c>
      <c r="Q23" s="27">
        <v>61</v>
      </c>
      <c r="R23" s="27">
        <v>123</v>
      </c>
    </row>
    <row r="24" spans="1:18" s="20" customFormat="1" ht="14.25" customHeight="1" x14ac:dyDescent="0.2">
      <c r="A24" s="86" t="s">
        <v>22</v>
      </c>
      <c r="B24" s="28" t="s">
        <v>56</v>
      </c>
      <c r="C24" s="29" t="s">
        <v>2</v>
      </c>
      <c r="D24" s="21">
        <v>710</v>
      </c>
      <c r="E24" s="21">
        <v>290</v>
      </c>
      <c r="F24" s="21">
        <v>420</v>
      </c>
      <c r="G24" s="21">
        <v>37</v>
      </c>
      <c r="H24" s="21">
        <v>29</v>
      </c>
      <c r="I24" s="21">
        <v>38</v>
      </c>
      <c r="J24" s="21">
        <v>38</v>
      </c>
      <c r="K24" s="21">
        <v>55</v>
      </c>
      <c r="L24" s="21">
        <v>59</v>
      </c>
      <c r="M24" s="21">
        <v>48</v>
      </c>
      <c r="N24" s="21">
        <v>43</v>
      </c>
      <c r="O24" s="21">
        <v>56</v>
      </c>
      <c r="P24" s="21">
        <v>133</v>
      </c>
      <c r="Q24" s="21">
        <v>56</v>
      </c>
      <c r="R24" s="21">
        <v>118</v>
      </c>
    </row>
    <row r="25" spans="1:18" s="20" customFormat="1" ht="14.25" customHeight="1" x14ac:dyDescent="0.2">
      <c r="A25" s="87"/>
      <c r="B25" s="30" t="s">
        <v>57</v>
      </c>
      <c r="C25" s="31" t="s">
        <v>225</v>
      </c>
      <c r="D25" s="21">
        <v>43</v>
      </c>
      <c r="E25" s="21">
        <v>19</v>
      </c>
      <c r="F25" s="21">
        <v>24</v>
      </c>
      <c r="G25" s="21">
        <v>5</v>
      </c>
      <c r="H25" s="21">
        <v>0</v>
      </c>
      <c r="I25" s="21">
        <v>3</v>
      </c>
      <c r="J25" s="21">
        <v>6</v>
      </c>
      <c r="K25" s="21">
        <v>1</v>
      </c>
      <c r="L25" s="21">
        <v>3</v>
      </c>
      <c r="M25" s="21">
        <v>3</v>
      </c>
      <c r="N25" s="21">
        <v>1</v>
      </c>
      <c r="O25" s="21">
        <v>2</v>
      </c>
      <c r="P25" s="21">
        <v>9</v>
      </c>
      <c r="Q25" s="21">
        <v>5</v>
      </c>
      <c r="R25" s="21">
        <v>5</v>
      </c>
    </row>
    <row r="26" spans="1:18" s="20" customFormat="1" ht="14.25" customHeight="1" x14ac:dyDescent="0.2">
      <c r="A26" s="64" t="s">
        <v>215</v>
      </c>
      <c r="B26" s="25" t="s">
        <v>55</v>
      </c>
      <c r="C26" s="26" t="s">
        <v>0</v>
      </c>
      <c r="D26" s="27">
        <v>1622</v>
      </c>
      <c r="E26" s="27">
        <v>805</v>
      </c>
      <c r="F26" s="27">
        <v>817</v>
      </c>
      <c r="G26" s="27">
        <v>109</v>
      </c>
      <c r="H26" s="27">
        <v>89</v>
      </c>
      <c r="I26" s="27">
        <v>137</v>
      </c>
      <c r="J26" s="27">
        <v>101</v>
      </c>
      <c r="K26" s="27">
        <v>148</v>
      </c>
      <c r="L26" s="27">
        <v>111</v>
      </c>
      <c r="M26" s="27">
        <v>127</v>
      </c>
      <c r="N26" s="27">
        <v>86</v>
      </c>
      <c r="O26" s="27">
        <v>151</v>
      </c>
      <c r="P26" s="27">
        <v>219</v>
      </c>
      <c r="Q26" s="27">
        <v>133</v>
      </c>
      <c r="R26" s="27">
        <v>211</v>
      </c>
    </row>
    <row r="27" spans="1:18" s="20" customFormat="1" ht="14.25" customHeight="1" x14ac:dyDescent="0.2">
      <c r="A27" s="86" t="s">
        <v>23</v>
      </c>
      <c r="B27" s="28" t="s">
        <v>56</v>
      </c>
      <c r="C27" s="29" t="s">
        <v>2</v>
      </c>
      <c r="D27" s="21">
        <v>1517</v>
      </c>
      <c r="E27" s="21">
        <v>764</v>
      </c>
      <c r="F27" s="21">
        <v>753</v>
      </c>
      <c r="G27" s="21">
        <v>104</v>
      </c>
      <c r="H27" s="21">
        <v>79</v>
      </c>
      <c r="I27" s="21">
        <v>126</v>
      </c>
      <c r="J27" s="21">
        <v>96</v>
      </c>
      <c r="K27" s="21">
        <v>134</v>
      </c>
      <c r="L27" s="21">
        <v>96</v>
      </c>
      <c r="M27" s="21">
        <v>121</v>
      </c>
      <c r="N27" s="21">
        <v>83</v>
      </c>
      <c r="O27" s="21">
        <v>147</v>
      </c>
      <c r="P27" s="21">
        <v>198</v>
      </c>
      <c r="Q27" s="21">
        <v>132</v>
      </c>
      <c r="R27" s="21">
        <v>201</v>
      </c>
    </row>
    <row r="28" spans="1:18" s="20" customFormat="1" ht="14.25" customHeight="1" x14ac:dyDescent="0.2">
      <c r="A28" s="87"/>
      <c r="B28" s="30" t="s">
        <v>57</v>
      </c>
      <c r="C28" s="31" t="s">
        <v>225</v>
      </c>
      <c r="D28" s="21">
        <v>105</v>
      </c>
      <c r="E28" s="21">
        <v>41</v>
      </c>
      <c r="F28" s="21">
        <v>64</v>
      </c>
      <c r="G28" s="21">
        <v>5</v>
      </c>
      <c r="H28" s="21">
        <v>10</v>
      </c>
      <c r="I28" s="21">
        <v>11</v>
      </c>
      <c r="J28" s="21">
        <v>5</v>
      </c>
      <c r="K28" s="21">
        <v>14</v>
      </c>
      <c r="L28" s="21">
        <v>15</v>
      </c>
      <c r="M28" s="21">
        <v>6</v>
      </c>
      <c r="N28" s="21">
        <v>3</v>
      </c>
      <c r="O28" s="21">
        <v>4</v>
      </c>
      <c r="P28" s="21">
        <v>21</v>
      </c>
      <c r="Q28" s="21">
        <v>1</v>
      </c>
      <c r="R28" s="21">
        <v>10</v>
      </c>
    </row>
    <row r="29" spans="1:18" s="20" customFormat="1" ht="14.25" customHeight="1" x14ac:dyDescent="0.2">
      <c r="A29" s="64" t="s">
        <v>194</v>
      </c>
      <c r="B29" s="25" t="s">
        <v>55</v>
      </c>
      <c r="C29" s="26" t="s">
        <v>0</v>
      </c>
      <c r="D29" s="27">
        <v>163</v>
      </c>
      <c r="E29" s="27">
        <v>62</v>
      </c>
      <c r="F29" s="27">
        <v>101</v>
      </c>
      <c r="G29" s="27">
        <v>4</v>
      </c>
      <c r="H29" s="27">
        <v>2</v>
      </c>
      <c r="I29" s="27">
        <v>8</v>
      </c>
      <c r="J29" s="27">
        <v>7</v>
      </c>
      <c r="K29" s="27">
        <v>10</v>
      </c>
      <c r="L29" s="27">
        <v>3</v>
      </c>
      <c r="M29" s="27">
        <v>6</v>
      </c>
      <c r="N29" s="27">
        <v>11</v>
      </c>
      <c r="O29" s="27">
        <v>21</v>
      </c>
      <c r="P29" s="27">
        <v>44</v>
      </c>
      <c r="Q29" s="27">
        <v>13</v>
      </c>
      <c r="R29" s="27">
        <v>34</v>
      </c>
    </row>
    <row r="30" spans="1:18" s="20" customFormat="1" ht="14.25" customHeight="1" x14ac:dyDescent="0.2">
      <c r="A30" s="86" t="s">
        <v>5</v>
      </c>
      <c r="B30" s="28" t="s">
        <v>56</v>
      </c>
      <c r="C30" s="29" t="s">
        <v>2</v>
      </c>
      <c r="D30" s="21">
        <v>139</v>
      </c>
      <c r="E30" s="21">
        <v>49</v>
      </c>
      <c r="F30" s="21">
        <v>90</v>
      </c>
      <c r="G30" s="21">
        <v>4</v>
      </c>
      <c r="H30" s="21">
        <v>2</v>
      </c>
      <c r="I30" s="21">
        <v>6</v>
      </c>
      <c r="J30" s="21">
        <v>6</v>
      </c>
      <c r="K30" s="21">
        <v>8</v>
      </c>
      <c r="L30" s="21">
        <v>3</v>
      </c>
      <c r="M30" s="21">
        <v>4</v>
      </c>
      <c r="N30" s="21">
        <v>9</v>
      </c>
      <c r="O30" s="21">
        <v>14</v>
      </c>
      <c r="P30" s="21">
        <v>38</v>
      </c>
      <c r="Q30" s="21">
        <v>13</v>
      </c>
      <c r="R30" s="21">
        <v>32</v>
      </c>
    </row>
    <row r="31" spans="1:18" s="20" customFormat="1" ht="14.25" customHeight="1" x14ac:dyDescent="0.2">
      <c r="A31" s="87"/>
      <c r="B31" s="30" t="s">
        <v>57</v>
      </c>
      <c r="C31" s="31" t="s">
        <v>225</v>
      </c>
      <c r="D31" s="21">
        <v>24</v>
      </c>
      <c r="E31" s="21">
        <v>13</v>
      </c>
      <c r="F31" s="21">
        <v>11</v>
      </c>
      <c r="G31" s="21">
        <v>0</v>
      </c>
      <c r="H31" s="21">
        <v>0</v>
      </c>
      <c r="I31" s="21">
        <v>2</v>
      </c>
      <c r="J31" s="21">
        <v>1</v>
      </c>
      <c r="K31" s="21">
        <v>2</v>
      </c>
      <c r="L31" s="21">
        <v>0</v>
      </c>
      <c r="M31" s="21">
        <v>2</v>
      </c>
      <c r="N31" s="21">
        <v>2</v>
      </c>
      <c r="O31" s="21">
        <v>7</v>
      </c>
      <c r="P31" s="21">
        <v>6</v>
      </c>
      <c r="Q31" s="21">
        <v>0</v>
      </c>
      <c r="R31" s="21">
        <v>2</v>
      </c>
    </row>
    <row r="32" spans="1:18" s="20" customFormat="1" ht="14.25" customHeight="1" x14ac:dyDescent="0.2">
      <c r="A32" s="64" t="s">
        <v>195</v>
      </c>
      <c r="B32" s="25" t="s">
        <v>55</v>
      </c>
      <c r="C32" s="26" t="s">
        <v>0</v>
      </c>
      <c r="D32" s="27">
        <v>239</v>
      </c>
      <c r="E32" s="27">
        <v>103</v>
      </c>
      <c r="F32" s="27">
        <v>136</v>
      </c>
      <c r="G32" s="27">
        <v>17</v>
      </c>
      <c r="H32" s="27">
        <v>8</v>
      </c>
      <c r="I32" s="27">
        <v>16</v>
      </c>
      <c r="J32" s="27">
        <v>10</v>
      </c>
      <c r="K32" s="27">
        <v>15</v>
      </c>
      <c r="L32" s="27">
        <v>23</v>
      </c>
      <c r="M32" s="27">
        <v>16</v>
      </c>
      <c r="N32" s="27">
        <v>9</v>
      </c>
      <c r="O32" s="27">
        <v>26</v>
      </c>
      <c r="P32" s="27">
        <v>54</v>
      </c>
      <c r="Q32" s="27">
        <v>13</v>
      </c>
      <c r="R32" s="27">
        <v>32</v>
      </c>
    </row>
    <row r="33" spans="1:18" s="20" customFormat="1" ht="14.25" customHeight="1" x14ac:dyDescent="0.2">
      <c r="A33" s="86" t="s">
        <v>6</v>
      </c>
      <c r="B33" s="28" t="s">
        <v>56</v>
      </c>
      <c r="C33" s="29" t="s">
        <v>2</v>
      </c>
      <c r="D33" s="21">
        <v>193</v>
      </c>
      <c r="E33" s="21">
        <v>79</v>
      </c>
      <c r="F33" s="21">
        <v>114</v>
      </c>
      <c r="G33" s="21">
        <v>12</v>
      </c>
      <c r="H33" s="21">
        <v>8</v>
      </c>
      <c r="I33" s="21">
        <v>12</v>
      </c>
      <c r="J33" s="21">
        <v>9</v>
      </c>
      <c r="K33" s="21">
        <v>12</v>
      </c>
      <c r="L33" s="21">
        <v>19</v>
      </c>
      <c r="M33" s="21">
        <v>12</v>
      </c>
      <c r="N33" s="21">
        <v>8</v>
      </c>
      <c r="O33" s="21">
        <v>22</v>
      </c>
      <c r="P33" s="21">
        <v>40</v>
      </c>
      <c r="Q33" s="21">
        <v>9</v>
      </c>
      <c r="R33" s="21">
        <v>30</v>
      </c>
    </row>
    <row r="34" spans="1:18" s="20" customFormat="1" ht="14.25" customHeight="1" x14ac:dyDescent="0.2">
      <c r="A34" s="87"/>
      <c r="B34" s="30" t="s">
        <v>57</v>
      </c>
      <c r="C34" s="31" t="s">
        <v>225</v>
      </c>
      <c r="D34" s="21">
        <v>46</v>
      </c>
      <c r="E34" s="21">
        <v>24</v>
      </c>
      <c r="F34" s="21">
        <v>22</v>
      </c>
      <c r="G34" s="21">
        <v>5</v>
      </c>
      <c r="H34" s="21">
        <v>0</v>
      </c>
      <c r="I34" s="21">
        <v>4</v>
      </c>
      <c r="J34" s="21">
        <v>1</v>
      </c>
      <c r="K34" s="21">
        <v>3</v>
      </c>
      <c r="L34" s="21">
        <v>4</v>
      </c>
      <c r="M34" s="21">
        <v>4</v>
      </c>
      <c r="N34" s="21">
        <v>1</v>
      </c>
      <c r="O34" s="21">
        <v>4</v>
      </c>
      <c r="P34" s="21">
        <v>14</v>
      </c>
      <c r="Q34" s="21">
        <v>4</v>
      </c>
      <c r="R34" s="21">
        <v>2</v>
      </c>
    </row>
    <row r="35" spans="1:18" s="20" customFormat="1" ht="14.25" customHeight="1" x14ac:dyDescent="0.2">
      <c r="A35" s="64" t="s">
        <v>196</v>
      </c>
      <c r="B35" s="25" t="s">
        <v>55</v>
      </c>
      <c r="C35" s="26" t="s">
        <v>0</v>
      </c>
      <c r="D35" s="27">
        <v>165</v>
      </c>
      <c r="E35" s="27">
        <v>53</v>
      </c>
      <c r="F35" s="27">
        <v>112</v>
      </c>
      <c r="G35" s="27">
        <v>8</v>
      </c>
      <c r="H35" s="27">
        <v>10</v>
      </c>
      <c r="I35" s="27">
        <v>9</v>
      </c>
      <c r="J35" s="27">
        <v>7</v>
      </c>
      <c r="K35" s="27">
        <v>9</v>
      </c>
      <c r="L35" s="27">
        <v>12</v>
      </c>
      <c r="M35" s="27">
        <v>5</v>
      </c>
      <c r="N35" s="27">
        <v>14</v>
      </c>
      <c r="O35" s="27">
        <v>9</v>
      </c>
      <c r="P35" s="27">
        <v>33</v>
      </c>
      <c r="Q35" s="27">
        <v>13</v>
      </c>
      <c r="R35" s="27">
        <v>36</v>
      </c>
    </row>
    <row r="36" spans="1:18" s="20" customFormat="1" ht="14.25" customHeight="1" x14ac:dyDescent="0.2">
      <c r="A36" s="86" t="s">
        <v>7</v>
      </c>
      <c r="B36" s="28" t="s">
        <v>56</v>
      </c>
      <c r="C36" s="29" t="s">
        <v>2</v>
      </c>
      <c r="D36" s="21">
        <v>143</v>
      </c>
      <c r="E36" s="21">
        <v>45</v>
      </c>
      <c r="F36" s="21">
        <v>98</v>
      </c>
      <c r="G36" s="21">
        <v>7</v>
      </c>
      <c r="H36" s="21">
        <v>8</v>
      </c>
      <c r="I36" s="21">
        <v>7</v>
      </c>
      <c r="J36" s="21">
        <v>7</v>
      </c>
      <c r="K36" s="21">
        <v>6</v>
      </c>
      <c r="L36" s="21">
        <v>11</v>
      </c>
      <c r="M36" s="21">
        <v>3</v>
      </c>
      <c r="N36" s="21">
        <v>13</v>
      </c>
      <c r="O36" s="21">
        <v>9</v>
      </c>
      <c r="P36" s="21">
        <v>31</v>
      </c>
      <c r="Q36" s="21">
        <v>13</v>
      </c>
      <c r="R36" s="21">
        <v>28</v>
      </c>
    </row>
    <row r="37" spans="1:18" s="20" customFormat="1" ht="14.25" customHeight="1" x14ac:dyDescent="0.2">
      <c r="A37" s="87"/>
      <c r="B37" s="30" t="s">
        <v>57</v>
      </c>
      <c r="C37" s="31" t="s">
        <v>225</v>
      </c>
      <c r="D37" s="21">
        <v>22</v>
      </c>
      <c r="E37" s="21">
        <v>8</v>
      </c>
      <c r="F37" s="21">
        <v>14</v>
      </c>
      <c r="G37" s="21">
        <v>1</v>
      </c>
      <c r="H37" s="21">
        <v>2</v>
      </c>
      <c r="I37" s="21">
        <v>2</v>
      </c>
      <c r="J37" s="21">
        <v>0</v>
      </c>
      <c r="K37" s="21">
        <v>3</v>
      </c>
      <c r="L37" s="21">
        <v>1</v>
      </c>
      <c r="M37" s="21">
        <v>2</v>
      </c>
      <c r="N37" s="21">
        <v>1</v>
      </c>
      <c r="O37" s="21">
        <v>0</v>
      </c>
      <c r="P37" s="21">
        <v>2</v>
      </c>
      <c r="Q37" s="21">
        <v>0</v>
      </c>
      <c r="R37" s="21">
        <v>8</v>
      </c>
    </row>
    <row r="38" spans="1:18" s="20" customFormat="1" ht="14.25" customHeight="1" x14ac:dyDescent="0.2">
      <c r="A38" s="64" t="s">
        <v>197</v>
      </c>
      <c r="B38" s="25" t="s">
        <v>55</v>
      </c>
      <c r="C38" s="26" t="s">
        <v>0</v>
      </c>
      <c r="D38" s="27">
        <v>448</v>
      </c>
      <c r="E38" s="27">
        <v>194</v>
      </c>
      <c r="F38" s="27">
        <v>254</v>
      </c>
      <c r="G38" s="27">
        <v>27</v>
      </c>
      <c r="H38" s="27">
        <v>22</v>
      </c>
      <c r="I38" s="27">
        <v>45</v>
      </c>
      <c r="J38" s="27">
        <v>33</v>
      </c>
      <c r="K38" s="27">
        <v>44</v>
      </c>
      <c r="L38" s="27">
        <v>27</v>
      </c>
      <c r="M38" s="27">
        <v>35</v>
      </c>
      <c r="N38" s="27">
        <v>33</v>
      </c>
      <c r="O38" s="27">
        <v>16</v>
      </c>
      <c r="P38" s="27">
        <v>61</v>
      </c>
      <c r="Q38" s="27">
        <v>27</v>
      </c>
      <c r="R38" s="27">
        <v>78</v>
      </c>
    </row>
    <row r="39" spans="1:18" s="20" customFormat="1" ht="14.25" customHeight="1" x14ac:dyDescent="0.2">
      <c r="A39" s="86" t="s">
        <v>8</v>
      </c>
      <c r="B39" s="28" t="s">
        <v>56</v>
      </c>
      <c r="C39" s="29" t="s">
        <v>2</v>
      </c>
      <c r="D39" s="21">
        <v>444</v>
      </c>
      <c r="E39" s="21">
        <v>194</v>
      </c>
      <c r="F39" s="21">
        <v>250</v>
      </c>
      <c r="G39" s="21">
        <v>27</v>
      </c>
      <c r="H39" s="21">
        <v>22</v>
      </c>
      <c r="I39" s="21">
        <v>45</v>
      </c>
      <c r="J39" s="21">
        <v>33</v>
      </c>
      <c r="K39" s="21">
        <v>44</v>
      </c>
      <c r="L39" s="21">
        <v>25</v>
      </c>
      <c r="M39" s="21">
        <v>35</v>
      </c>
      <c r="N39" s="21">
        <v>33</v>
      </c>
      <c r="O39" s="21">
        <v>16</v>
      </c>
      <c r="P39" s="21">
        <v>59</v>
      </c>
      <c r="Q39" s="21">
        <v>27</v>
      </c>
      <c r="R39" s="21">
        <v>78</v>
      </c>
    </row>
    <row r="40" spans="1:18" s="20" customFormat="1" ht="14.25" customHeight="1" x14ac:dyDescent="0.2">
      <c r="A40" s="87"/>
      <c r="B40" s="30" t="s">
        <v>57</v>
      </c>
      <c r="C40" s="31" t="s">
        <v>225</v>
      </c>
      <c r="D40" s="21">
        <v>4</v>
      </c>
      <c r="E40" s="21">
        <v>0</v>
      </c>
      <c r="F40" s="21">
        <v>4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2</v>
      </c>
      <c r="M40" s="21">
        <v>0</v>
      </c>
      <c r="N40" s="21">
        <v>0</v>
      </c>
      <c r="O40" s="21">
        <v>0</v>
      </c>
      <c r="P40" s="21">
        <v>2</v>
      </c>
      <c r="Q40" s="21">
        <v>0</v>
      </c>
      <c r="R40" s="21">
        <v>0</v>
      </c>
    </row>
    <row r="41" spans="1:18" s="20" customFormat="1" ht="14.25" customHeight="1" x14ac:dyDescent="0.2">
      <c r="A41" s="64" t="s">
        <v>198</v>
      </c>
      <c r="B41" s="25" t="s">
        <v>55</v>
      </c>
      <c r="C41" s="26" t="s">
        <v>0</v>
      </c>
      <c r="D41" s="27">
        <v>309</v>
      </c>
      <c r="E41" s="27">
        <v>139</v>
      </c>
      <c r="F41" s="27">
        <v>170</v>
      </c>
      <c r="G41" s="27">
        <v>13</v>
      </c>
      <c r="H41" s="27">
        <v>10</v>
      </c>
      <c r="I41" s="27">
        <v>11</v>
      </c>
      <c r="J41" s="27">
        <v>22</v>
      </c>
      <c r="K41" s="27">
        <v>36</v>
      </c>
      <c r="L41" s="27">
        <v>20</v>
      </c>
      <c r="M41" s="27">
        <v>32</v>
      </c>
      <c r="N41" s="27">
        <v>35</v>
      </c>
      <c r="O41" s="27">
        <v>16</v>
      </c>
      <c r="P41" s="27">
        <v>56</v>
      </c>
      <c r="Q41" s="27">
        <v>31</v>
      </c>
      <c r="R41" s="27">
        <v>27</v>
      </c>
    </row>
    <row r="42" spans="1:18" s="20" customFormat="1" ht="14.25" customHeight="1" x14ac:dyDescent="0.2">
      <c r="A42" s="86" t="s">
        <v>9</v>
      </c>
      <c r="B42" s="28" t="s">
        <v>56</v>
      </c>
      <c r="C42" s="29" t="s">
        <v>2</v>
      </c>
      <c r="D42" s="21">
        <v>233</v>
      </c>
      <c r="E42" s="21">
        <v>111</v>
      </c>
      <c r="F42" s="21">
        <v>122</v>
      </c>
      <c r="G42" s="21">
        <v>11</v>
      </c>
      <c r="H42" s="21">
        <v>9</v>
      </c>
      <c r="I42" s="21">
        <v>8</v>
      </c>
      <c r="J42" s="21">
        <v>18</v>
      </c>
      <c r="K42" s="21">
        <v>26</v>
      </c>
      <c r="L42" s="21">
        <v>14</v>
      </c>
      <c r="M42" s="21">
        <v>23</v>
      </c>
      <c r="N42" s="21">
        <v>24</v>
      </c>
      <c r="O42" s="21">
        <v>14</v>
      </c>
      <c r="P42" s="21">
        <v>36</v>
      </c>
      <c r="Q42" s="21">
        <v>29</v>
      </c>
      <c r="R42" s="21">
        <v>21</v>
      </c>
    </row>
    <row r="43" spans="1:18" s="20" customFormat="1" ht="14.25" customHeight="1" x14ac:dyDescent="0.2">
      <c r="A43" s="87"/>
      <c r="B43" s="30" t="s">
        <v>57</v>
      </c>
      <c r="C43" s="31" t="s">
        <v>225</v>
      </c>
      <c r="D43" s="21">
        <v>76</v>
      </c>
      <c r="E43" s="21">
        <v>28</v>
      </c>
      <c r="F43" s="21">
        <v>48</v>
      </c>
      <c r="G43" s="21">
        <v>2</v>
      </c>
      <c r="H43" s="21">
        <v>1</v>
      </c>
      <c r="I43" s="21">
        <v>3</v>
      </c>
      <c r="J43" s="21">
        <v>4</v>
      </c>
      <c r="K43" s="21">
        <v>10</v>
      </c>
      <c r="L43" s="21">
        <v>6</v>
      </c>
      <c r="M43" s="21">
        <v>9</v>
      </c>
      <c r="N43" s="21">
        <v>11</v>
      </c>
      <c r="O43" s="21">
        <v>2</v>
      </c>
      <c r="P43" s="21">
        <v>20</v>
      </c>
      <c r="Q43" s="21">
        <v>2</v>
      </c>
      <c r="R43" s="21">
        <v>6</v>
      </c>
    </row>
    <row r="44" spans="1:18" s="20" customFormat="1" ht="14.25" customHeight="1" x14ac:dyDescent="0.2">
      <c r="A44" s="64" t="s">
        <v>199</v>
      </c>
      <c r="B44" s="25" t="s">
        <v>55</v>
      </c>
      <c r="C44" s="26" t="s">
        <v>0</v>
      </c>
      <c r="D44" s="27">
        <v>295</v>
      </c>
      <c r="E44" s="27">
        <v>128</v>
      </c>
      <c r="F44" s="27">
        <v>167</v>
      </c>
      <c r="G44" s="27">
        <v>6</v>
      </c>
      <c r="H44" s="27">
        <v>13</v>
      </c>
      <c r="I44" s="27">
        <v>20</v>
      </c>
      <c r="J44" s="27">
        <v>15</v>
      </c>
      <c r="K44" s="27">
        <v>23</v>
      </c>
      <c r="L44" s="27">
        <v>17</v>
      </c>
      <c r="M44" s="27">
        <v>17</v>
      </c>
      <c r="N44" s="27">
        <v>22</v>
      </c>
      <c r="O44" s="27">
        <v>32</v>
      </c>
      <c r="P44" s="27">
        <v>49</v>
      </c>
      <c r="Q44" s="27">
        <v>30</v>
      </c>
      <c r="R44" s="27">
        <v>51</v>
      </c>
    </row>
    <row r="45" spans="1:18" s="20" customFormat="1" ht="14.25" customHeight="1" x14ac:dyDescent="0.2">
      <c r="A45" s="86" t="s">
        <v>10</v>
      </c>
      <c r="B45" s="28" t="s">
        <v>56</v>
      </c>
      <c r="C45" s="29" t="s">
        <v>2</v>
      </c>
      <c r="D45" s="21">
        <v>287</v>
      </c>
      <c r="E45" s="21">
        <v>124</v>
      </c>
      <c r="F45" s="21">
        <v>163</v>
      </c>
      <c r="G45" s="21">
        <v>6</v>
      </c>
      <c r="H45" s="21">
        <v>13</v>
      </c>
      <c r="I45" s="21">
        <v>20</v>
      </c>
      <c r="J45" s="21">
        <v>15</v>
      </c>
      <c r="K45" s="21">
        <v>23</v>
      </c>
      <c r="L45" s="21">
        <v>16</v>
      </c>
      <c r="M45" s="21">
        <v>15</v>
      </c>
      <c r="N45" s="21">
        <v>21</v>
      </c>
      <c r="O45" s="21">
        <v>31</v>
      </c>
      <c r="P45" s="21">
        <v>49</v>
      </c>
      <c r="Q45" s="21">
        <v>29</v>
      </c>
      <c r="R45" s="21">
        <v>49</v>
      </c>
    </row>
    <row r="46" spans="1:18" s="20" customFormat="1" ht="14.25" customHeight="1" x14ac:dyDescent="0.2">
      <c r="A46" s="87"/>
      <c r="B46" s="30" t="s">
        <v>57</v>
      </c>
      <c r="C46" s="31" t="s">
        <v>225</v>
      </c>
      <c r="D46" s="21">
        <v>8</v>
      </c>
      <c r="E46" s="21">
        <v>4</v>
      </c>
      <c r="F46" s="21">
        <v>4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1</v>
      </c>
      <c r="M46" s="21">
        <v>2</v>
      </c>
      <c r="N46" s="21">
        <v>1</v>
      </c>
      <c r="O46" s="21">
        <v>1</v>
      </c>
      <c r="P46" s="21">
        <v>0</v>
      </c>
      <c r="Q46" s="21">
        <v>1</v>
      </c>
      <c r="R46" s="21">
        <v>2</v>
      </c>
    </row>
    <row r="47" spans="1:18" s="20" customFormat="1" ht="14.25" customHeight="1" x14ac:dyDescent="0.2">
      <c r="A47" s="64" t="s">
        <v>200</v>
      </c>
      <c r="B47" s="25" t="s">
        <v>55</v>
      </c>
      <c r="C47" s="26" t="s">
        <v>0</v>
      </c>
      <c r="D47" s="27">
        <v>168</v>
      </c>
      <c r="E47" s="27">
        <v>54</v>
      </c>
      <c r="F47" s="27">
        <v>114</v>
      </c>
      <c r="G47" s="27">
        <v>7</v>
      </c>
      <c r="H47" s="27">
        <v>12</v>
      </c>
      <c r="I47" s="27">
        <v>14</v>
      </c>
      <c r="J47" s="27">
        <v>13</v>
      </c>
      <c r="K47" s="27">
        <v>3</v>
      </c>
      <c r="L47" s="27">
        <v>16</v>
      </c>
      <c r="M47" s="27">
        <v>11</v>
      </c>
      <c r="N47" s="27">
        <v>9</v>
      </c>
      <c r="O47" s="27">
        <v>5</v>
      </c>
      <c r="P47" s="27">
        <v>27</v>
      </c>
      <c r="Q47" s="27">
        <v>14</v>
      </c>
      <c r="R47" s="27">
        <v>37</v>
      </c>
    </row>
    <row r="48" spans="1:18" s="20" customFormat="1" ht="14.25" customHeight="1" x14ac:dyDescent="0.2">
      <c r="A48" s="86" t="s">
        <v>11</v>
      </c>
      <c r="B48" s="28" t="s">
        <v>56</v>
      </c>
      <c r="C48" s="29" t="s">
        <v>2</v>
      </c>
      <c r="D48" s="21">
        <v>158</v>
      </c>
      <c r="E48" s="21">
        <v>53</v>
      </c>
      <c r="F48" s="21">
        <v>105</v>
      </c>
      <c r="G48" s="21">
        <v>7</v>
      </c>
      <c r="H48" s="21">
        <v>11</v>
      </c>
      <c r="I48" s="21">
        <v>13</v>
      </c>
      <c r="J48" s="21">
        <v>13</v>
      </c>
      <c r="K48" s="21">
        <v>3</v>
      </c>
      <c r="L48" s="21">
        <v>15</v>
      </c>
      <c r="M48" s="21">
        <v>11</v>
      </c>
      <c r="N48" s="21">
        <v>8</v>
      </c>
      <c r="O48" s="21">
        <v>5</v>
      </c>
      <c r="P48" s="21">
        <v>26</v>
      </c>
      <c r="Q48" s="21">
        <v>14</v>
      </c>
      <c r="R48" s="21">
        <v>32</v>
      </c>
    </row>
    <row r="49" spans="1:18" s="20" customFormat="1" ht="14.25" customHeight="1" x14ac:dyDescent="0.2">
      <c r="A49" s="87"/>
      <c r="B49" s="30" t="s">
        <v>57</v>
      </c>
      <c r="C49" s="31" t="s">
        <v>225</v>
      </c>
      <c r="D49" s="21">
        <v>10</v>
      </c>
      <c r="E49" s="21">
        <v>1</v>
      </c>
      <c r="F49" s="21">
        <v>9</v>
      </c>
      <c r="G49" s="21">
        <v>0</v>
      </c>
      <c r="H49" s="21">
        <v>1</v>
      </c>
      <c r="I49" s="21">
        <v>1</v>
      </c>
      <c r="J49" s="21">
        <v>0</v>
      </c>
      <c r="K49" s="21">
        <v>0</v>
      </c>
      <c r="L49" s="21">
        <v>1</v>
      </c>
      <c r="M49" s="21">
        <v>0</v>
      </c>
      <c r="N49" s="21">
        <v>1</v>
      </c>
      <c r="O49" s="21">
        <v>0</v>
      </c>
      <c r="P49" s="21">
        <v>1</v>
      </c>
      <c r="Q49" s="21">
        <v>0</v>
      </c>
      <c r="R49" s="21">
        <v>5</v>
      </c>
    </row>
    <row r="50" spans="1:18" s="20" customFormat="1" ht="14.25" customHeight="1" x14ac:dyDescent="0.2">
      <c r="A50" s="64" t="s">
        <v>201</v>
      </c>
      <c r="B50" s="25" t="s">
        <v>55</v>
      </c>
      <c r="C50" s="26" t="s">
        <v>0</v>
      </c>
      <c r="D50" s="27">
        <v>446</v>
      </c>
      <c r="E50" s="27">
        <v>203</v>
      </c>
      <c r="F50" s="27">
        <v>243</v>
      </c>
      <c r="G50" s="27">
        <v>18</v>
      </c>
      <c r="H50" s="27">
        <v>24</v>
      </c>
      <c r="I50" s="27">
        <v>31</v>
      </c>
      <c r="J50" s="27">
        <v>22</v>
      </c>
      <c r="K50" s="27">
        <v>40</v>
      </c>
      <c r="L50" s="27">
        <v>23</v>
      </c>
      <c r="M50" s="27">
        <v>19</v>
      </c>
      <c r="N50" s="27">
        <v>26</v>
      </c>
      <c r="O50" s="27">
        <v>41</v>
      </c>
      <c r="P50" s="27">
        <v>81</v>
      </c>
      <c r="Q50" s="27">
        <v>54</v>
      </c>
      <c r="R50" s="27">
        <v>67</v>
      </c>
    </row>
    <row r="51" spans="1:18" s="20" customFormat="1" ht="14.25" customHeight="1" x14ac:dyDescent="0.2">
      <c r="A51" s="86" t="s">
        <v>12</v>
      </c>
      <c r="B51" s="28" t="s">
        <v>56</v>
      </c>
      <c r="C51" s="29" t="s">
        <v>2</v>
      </c>
      <c r="D51" s="21">
        <v>356</v>
      </c>
      <c r="E51" s="21">
        <v>159</v>
      </c>
      <c r="F51" s="21">
        <v>197</v>
      </c>
      <c r="G51" s="21">
        <v>11</v>
      </c>
      <c r="H51" s="21">
        <v>14</v>
      </c>
      <c r="I51" s="21">
        <v>23</v>
      </c>
      <c r="J51" s="21">
        <v>17</v>
      </c>
      <c r="K51" s="21">
        <v>32</v>
      </c>
      <c r="L51" s="21">
        <v>19</v>
      </c>
      <c r="M51" s="21">
        <v>15</v>
      </c>
      <c r="N51" s="21">
        <v>19</v>
      </c>
      <c r="O51" s="21">
        <v>29</v>
      </c>
      <c r="P51" s="21">
        <v>68</v>
      </c>
      <c r="Q51" s="21">
        <v>49</v>
      </c>
      <c r="R51" s="21">
        <v>60</v>
      </c>
    </row>
    <row r="52" spans="1:18" s="20" customFormat="1" ht="14.25" customHeight="1" x14ac:dyDescent="0.2">
      <c r="A52" s="87"/>
      <c r="B52" s="30" t="s">
        <v>57</v>
      </c>
      <c r="C52" s="31" t="s">
        <v>225</v>
      </c>
      <c r="D52" s="21">
        <v>90</v>
      </c>
      <c r="E52" s="21">
        <v>44</v>
      </c>
      <c r="F52" s="21">
        <v>46</v>
      </c>
      <c r="G52" s="21">
        <v>7</v>
      </c>
      <c r="H52" s="21">
        <v>10</v>
      </c>
      <c r="I52" s="21">
        <v>8</v>
      </c>
      <c r="J52" s="21">
        <v>5</v>
      </c>
      <c r="K52" s="21">
        <v>8</v>
      </c>
      <c r="L52" s="21">
        <v>4</v>
      </c>
      <c r="M52" s="21">
        <v>4</v>
      </c>
      <c r="N52" s="21">
        <v>7</v>
      </c>
      <c r="O52" s="21">
        <v>12</v>
      </c>
      <c r="P52" s="21">
        <v>13</v>
      </c>
      <c r="Q52" s="21">
        <v>5</v>
      </c>
      <c r="R52" s="21">
        <v>7</v>
      </c>
    </row>
    <row r="53" spans="1:18" s="20" customFormat="1" ht="14.25" customHeight="1" x14ac:dyDescent="0.2">
      <c r="A53" s="64" t="s">
        <v>202</v>
      </c>
      <c r="B53" s="25" t="s">
        <v>55</v>
      </c>
      <c r="C53" s="26" t="s">
        <v>0</v>
      </c>
      <c r="D53" s="27">
        <v>265</v>
      </c>
      <c r="E53" s="27">
        <v>119</v>
      </c>
      <c r="F53" s="27">
        <v>146</v>
      </c>
      <c r="G53" s="27">
        <v>17</v>
      </c>
      <c r="H53" s="27">
        <v>17</v>
      </c>
      <c r="I53" s="27">
        <v>13</v>
      </c>
      <c r="J53" s="27">
        <v>17</v>
      </c>
      <c r="K53" s="27">
        <v>17</v>
      </c>
      <c r="L53" s="27">
        <v>25</v>
      </c>
      <c r="M53" s="27">
        <v>21</v>
      </c>
      <c r="N53" s="27">
        <v>25</v>
      </c>
      <c r="O53" s="27">
        <v>28</v>
      </c>
      <c r="P53" s="27">
        <v>42</v>
      </c>
      <c r="Q53" s="27">
        <v>23</v>
      </c>
      <c r="R53" s="27">
        <v>20</v>
      </c>
    </row>
    <row r="54" spans="1:18" s="20" customFormat="1" ht="14.25" customHeight="1" x14ac:dyDescent="0.2">
      <c r="A54" s="86" t="s">
        <v>13</v>
      </c>
      <c r="B54" s="28" t="s">
        <v>56</v>
      </c>
      <c r="C54" s="29" t="s">
        <v>2</v>
      </c>
      <c r="D54" s="21">
        <v>113</v>
      </c>
      <c r="E54" s="21">
        <v>50</v>
      </c>
      <c r="F54" s="21">
        <v>63</v>
      </c>
      <c r="G54" s="21">
        <v>6</v>
      </c>
      <c r="H54" s="21">
        <v>8</v>
      </c>
      <c r="I54" s="21">
        <v>7</v>
      </c>
      <c r="J54" s="21">
        <v>6</v>
      </c>
      <c r="K54" s="21">
        <v>7</v>
      </c>
      <c r="L54" s="21">
        <v>11</v>
      </c>
      <c r="M54" s="21">
        <v>9</v>
      </c>
      <c r="N54" s="21">
        <v>8</v>
      </c>
      <c r="O54" s="21">
        <v>14</v>
      </c>
      <c r="P54" s="21">
        <v>18</v>
      </c>
      <c r="Q54" s="21">
        <v>7</v>
      </c>
      <c r="R54" s="21">
        <v>12</v>
      </c>
    </row>
    <row r="55" spans="1:18" s="20" customFormat="1" ht="14.25" customHeight="1" x14ac:dyDescent="0.2">
      <c r="A55" s="87"/>
      <c r="B55" s="30" t="s">
        <v>57</v>
      </c>
      <c r="C55" s="31" t="s">
        <v>225</v>
      </c>
      <c r="D55" s="21">
        <v>152</v>
      </c>
      <c r="E55" s="21">
        <v>69</v>
      </c>
      <c r="F55" s="21">
        <v>83</v>
      </c>
      <c r="G55" s="21">
        <v>11</v>
      </c>
      <c r="H55" s="21">
        <v>9</v>
      </c>
      <c r="I55" s="21">
        <v>6</v>
      </c>
      <c r="J55" s="21">
        <v>11</v>
      </c>
      <c r="K55" s="21">
        <v>10</v>
      </c>
      <c r="L55" s="21">
        <v>14</v>
      </c>
      <c r="M55" s="21">
        <v>12</v>
      </c>
      <c r="N55" s="21">
        <v>17</v>
      </c>
      <c r="O55" s="21">
        <v>14</v>
      </c>
      <c r="P55" s="21">
        <v>24</v>
      </c>
      <c r="Q55" s="21">
        <v>16</v>
      </c>
      <c r="R55" s="21">
        <v>8</v>
      </c>
    </row>
    <row r="56" spans="1:18" s="20" customFormat="1" ht="14.25" customHeight="1" x14ac:dyDescent="0.2">
      <c r="A56" s="64" t="s">
        <v>203</v>
      </c>
      <c r="B56" s="25" t="s">
        <v>55</v>
      </c>
      <c r="C56" s="26" t="s">
        <v>0</v>
      </c>
      <c r="D56" s="27">
        <v>272</v>
      </c>
      <c r="E56" s="27">
        <v>132</v>
      </c>
      <c r="F56" s="27">
        <v>140</v>
      </c>
      <c r="G56" s="27">
        <v>30</v>
      </c>
      <c r="H56" s="27">
        <v>13</v>
      </c>
      <c r="I56" s="27">
        <v>24</v>
      </c>
      <c r="J56" s="27">
        <v>15</v>
      </c>
      <c r="K56" s="27">
        <v>26</v>
      </c>
      <c r="L56" s="27">
        <v>11</v>
      </c>
      <c r="M56" s="27">
        <v>30</v>
      </c>
      <c r="N56" s="27">
        <v>17</v>
      </c>
      <c r="O56" s="27">
        <v>10</v>
      </c>
      <c r="P56" s="27">
        <v>49</v>
      </c>
      <c r="Q56" s="27">
        <v>12</v>
      </c>
      <c r="R56" s="27">
        <v>35</v>
      </c>
    </row>
    <row r="57" spans="1:18" s="20" customFormat="1" ht="14.25" customHeight="1" x14ac:dyDescent="0.2">
      <c r="A57" s="86" t="s">
        <v>14</v>
      </c>
      <c r="B57" s="28" t="s">
        <v>56</v>
      </c>
      <c r="C57" s="29" t="s">
        <v>2</v>
      </c>
      <c r="D57" s="21">
        <v>98</v>
      </c>
      <c r="E57" s="21">
        <v>47</v>
      </c>
      <c r="F57" s="21">
        <v>51</v>
      </c>
      <c r="G57" s="21">
        <v>9</v>
      </c>
      <c r="H57" s="21">
        <v>3</v>
      </c>
      <c r="I57" s="21">
        <v>9</v>
      </c>
      <c r="J57" s="21">
        <v>3</v>
      </c>
      <c r="K57" s="21">
        <v>6</v>
      </c>
      <c r="L57" s="21">
        <v>4</v>
      </c>
      <c r="M57" s="21">
        <v>14</v>
      </c>
      <c r="N57" s="21">
        <v>6</v>
      </c>
      <c r="O57" s="21">
        <v>5</v>
      </c>
      <c r="P57" s="21">
        <v>16</v>
      </c>
      <c r="Q57" s="21">
        <v>4</v>
      </c>
      <c r="R57" s="21">
        <v>19</v>
      </c>
    </row>
    <row r="58" spans="1:18" s="20" customFormat="1" ht="14.25" customHeight="1" x14ac:dyDescent="0.2">
      <c r="A58" s="87"/>
      <c r="B58" s="30" t="s">
        <v>57</v>
      </c>
      <c r="C58" s="31" t="s">
        <v>225</v>
      </c>
      <c r="D58" s="21">
        <v>174</v>
      </c>
      <c r="E58" s="21">
        <v>85</v>
      </c>
      <c r="F58" s="21">
        <v>89</v>
      </c>
      <c r="G58" s="21">
        <v>21</v>
      </c>
      <c r="H58" s="21">
        <v>10</v>
      </c>
      <c r="I58" s="21">
        <v>15</v>
      </c>
      <c r="J58" s="21">
        <v>12</v>
      </c>
      <c r="K58" s="21">
        <v>20</v>
      </c>
      <c r="L58" s="21">
        <v>7</v>
      </c>
      <c r="M58" s="21">
        <v>16</v>
      </c>
      <c r="N58" s="21">
        <v>11</v>
      </c>
      <c r="O58" s="21">
        <v>5</v>
      </c>
      <c r="P58" s="21">
        <v>33</v>
      </c>
      <c r="Q58" s="21">
        <v>8</v>
      </c>
      <c r="R58" s="21">
        <v>16</v>
      </c>
    </row>
    <row r="59" spans="1:18" s="20" customFormat="1" ht="14.25" customHeight="1" x14ac:dyDescent="0.2">
      <c r="A59" s="64" t="s">
        <v>204</v>
      </c>
      <c r="B59" s="25" t="s">
        <v>55</v>
      </c>
      <c r="C59" s="26" t="s">
        <v>0</v>
      </c>
      <c r="D59" s="27">
        <v>22</v>
      </c>
      <c r="E59" s="27">
        <v>2</v>
      </c>
      <c r="F59" s="27">
        <v>20</v>
      </c>
      <c r="G59" s="27">
        <v>0</v>
      </c>
      <c r="H59" s="27">
        <v>0</v>
      </c>
      <c r="I59" s="27">
        <v>0</v>
      </c>
      <c r="J59" s="27">
        <v>0</v>
      </c>
      <c r="K59" s="27">
        <v>2</v>
      </c>
      <c r="L59" s="27">
        <v>3</v>
      </c>
      <c r="M59" s="27">
        <v>0</v>
      </c>
      <c r="N59" s="27">
        <v>1</v>
      </c>
      <c r="O59" s="27">
        <v>0</v>
      </c>
      <c r="P59" s="27">
        <v>2</v>
      </c>
      <c r="Q59" s="27">
        <v>0</v>
      </c>
      <c r="R59" s="27">
        <v>14</v>
      </c>
    </row>
    <row r="60" spans="1:18" s="20" customFormat="1" ht="14.25" customHeight="1" x14ac:dyDescent="0.2">
      <c r="A60" s="86" t="s">
        <v>15</v>
      </c>
      <c r="B60" s="28" t="s">
        <v>56</v>
      </c>
      <c r="C60" s="29" t="s">
        <v>2</v>
      </c>
      <c r="D60" s="21">
        <v>21</v>
      </c>
      <c r="E60" s="21">
        <v>2</v>
      </c>
      <c r="F60" s="21">
        <v>19</v>
      </c>
      <c r="G60" s="21">
        <v>0</v>
      </c>
      <c r="H60" s="21">
        <v>0</v>
      </c>
      <c r="I60" s="21">
        <v>0</v>
      </c>
      <c r="J60" s="21">
        <v>0</v>
      </c>
      <c r="K60" s="21">
        <v>2</v>
      </c>
      <c r="L60" s="21">
        <v>3</v>
      </c>
      <c r="M60" s="21">
        <v>0</v>
      </c>
      <c r="N60" s="21">
        <v>1</v>
      </c>
      <c r="O60" s="21">
        <v>0</v>
      </c>
      <c r="P60" s="21">
        <v>2</v>
      </c>
      <c r="Q60" s="21">
        <v>0</v>
      </c>
      <c r="R60" s="21">
        <v>13</v>
      </c>
    </row>
    <row r="61" spans="1:18" s="20" customFormat="1" ht="14.25" customHeight="1" x14ac:dyDescent="0.2">
      <c r="A61" s="87"/>
      <c r="B61" s="30" t="s">
        <v>57</v>
      </c>
      <c r="C61" s="31" t="s">
        <v>225</v>
      </c>
      <c r="D61" s="21">
        <v>1</v>
      </c>
      <c r="E61" s="21">
        <v>0</v>
      </c>
      <c r="F61" s="21">
        <v>1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1</v>
      </c>
    </row>
    <row r="62" spans="1:18" s="20" customFormat="1" ht="14.25" customHeight="1" x14ac:dyDescent="0.2">
      <c r="A62" s="64" t="s">
        <v>205</v>
      </c>
      <c r="B62" s="25" t="s">
        <v>55</v>
      </c>
      <c r="C62" s="26" t="s">
        <v>0</v>
      </c>
      <c r="D62" s="27">
        <v>214</v>
      </c>
      <c r="E62" s="27">
        <v>91</v>
      </c>
      <c r="F62" s="27">
        <v>123</v>
      </c>
      <c r="G62" s="27">
        <v>6</v>
      </c>
      <c r="H62" s="27">
        <v>9</v>
      </c>
      <c r="I62" s="27">
        <v>11</v>
      </c>
      <c r="J62" s="27">
        <v>2</v>
      </c>
      <c r="K62" s="27">
        <v>10</v>
      </c>
      <c r="L62" s="27">
        <v>8</v>
      </c>
      <c r="M62" s="27">
        <v>16</v>
      </c>
      <c r="N62" s="27">
        <v>20</v>
      </c>
      <c r="O62" s="27">
        <v>28</v>
      </c>
      <c r="P62" s="27">
        <v>43</v>
      </c>
      <c r="Q62" s="27">
        <v>20</v>
      </c>
      <c r="R62" s="27">
        <v>41</v>
      </c>
    </row>
    <row r="63" spans="1:18" s="20" customFormat="1" ht="14.25" customHeight="1" x14ac:dyDescent="0.2">
      <c r="A63" s="86" t="s">
        <v>16</v>
      </c>
      <c r="B63" s="28" t="s">
        <v>56</v>
      </c>
      <c r="C63" s="29" t="s">
        <v>2</v>
      </c>
      <c r="D63" s="21">
        <v>192</v>
      </c>
      <c r="E63" s="21">
        <v>83</v>
      </c>
      <c r="F63" s="21">
        <v>109</v>
      </c>
      <c r="G63" s="21">
        <v>6</v>
      </c>
      <c r="H63" s="21">
        <v>8</v>
      </c>
      <c r="I63" s="21">
        <v>7</v>
      </c>
      <c r="J63" s="21">
        <v>2</v>
      </c>
      <c r="K63" s="21">
        <v>10</v>
      </c>
      <c r="L63" s="21">
        <v>8</v>
      </c>
      <c r="M63" s="21">
        <v>15</v>
      </c>
      <c r="N63" s="21">
        <v>17</v>
      </c>
      <c r="O63" s="21">
        <v>26</v>
      </c>
      <c r="P63" s="21">
        <v>35</v>
      </c>
      <c r="Q63" s="21">
        <v>19</v>
      </c>
      <c r="R63" s="21">
        <v>39</v>
      </c>
    </row>
    <row r="64" spans="1:18" s="20" customFormat="1" ht="14.25" customHeight="1" x14ac:dyDescent="0.2">
      <c r="A64" s="87"/>
      <c r="B64" s="30" t="s">
        <v>57</v>
      </c>
      <c r="C64" s="31" t="s">
        <v>225</v>
      </c>
      <c r="D64" s="21">
        <v>22</v>
      </c>
      <c r="E64" s="21">
        <v>8</v>
      </c>
      <c r="F64" s="21">
        <v>14</v>
      </c>
      <c r="G64" s="21">
        <v>0</v>
      </c>
      <c r="H64" s="21">
        <v>1</v>
      </c>
      <c r="I64" s="21">
        <v>4</v>
      </c>
      <c r="J64" s="21">
        <v>0</v>
      </c>
      <c r="K64" s="21">
        <v>0</v>
      </c>
      <c r="L64" s="21">
        <v>0</v>
      </c>
      <c r="M64" s="21">
        <v>1</v>
      </c>
      <c r="N64" s="21">
        <v>3</v>
      </c>
      <c r="O64" s="21">
        <v>2</v>
      </c>
      <c r="P64" s="21">
        <v>8</v>
      </c>
      <c r="Q64" s="21">
        <v>1</v>
      </c>
      <c r="R64" s="21">
        <v>2</v>
      </c>
    </row>
    <row r="65" spans="1:18" s="20" customFormat="1" ht="14.25" customHeight="1" x14ac:dyDescent="0.2">
      <c r="A65" s="64" t="s">
        <v>206</v>
      </c>
      <c r="B65" s="25" t="s">
        <v>55</v>
      </c>
      <c r="C65" s="26" t="s">
        <v>0</v>
      </c>
      <c r="D65" s="27">
        <v>294</v>
      </c>
      <c r="E65" s="27">
        <v>129</v>
      </c>
      <c r="F65" s="27">
        <v>165</v>
      </c>
      <c r="G65" s="27">
        <v>19</v>
      </c>
      <c r="H65" s="27">
        <v>17</v>
      </c>
      <c r="I65" s="27">
        <v>16</v>
      </c>
      <c r="J65" s="27">
        <v>18</v>
      </c>
      <c r="K65" s="27">
        <v>30</v>
      </c>
      <c r="L65" s="27">
        <v>20</v>
      </c>
      <c r="M65" s="27">
        <v>24</v>
      </c>
      <c r="N65" s="27">
        <v>17</v>
      </c>
      <c r="O65" s="27">
        <v>28</v>
      </c>
      <c r="P65" s="27">
        <v>38</v>
      </c>
      <c r="Q65" s="27">
        <v>12</v>
      </c>
      <c r="R65" s="27">
        <v>55</v>
      </c>
    </row>
    <row r="66" spans="1:18" s="20" customFormat="1" ht="14.25" customHeight="1" x14ac:dyDescent="0.2">
      <c r="A66" s="86" t="s">
        <v>17</v>
      </c>
      <c r="B66" s="28" t="s">
        <v>56</v>
      </c>
      <c r="C66" s="29" t="s">
        <v>2</v>
      </c>
      <c r="D66" s="21">
        <v>265</v>
      </c>
      <c r="E66" s="21">
        <v>117</v>
      </c>
      <c r="F66" s="21">
        <v>148</v>
      </c>
      <c r="G66" s="21">
        <v>19</v>
      </c>
      <c r="H66" s="21">
        <v>13</v>
      </c>
      <c r="I66" s="21">
        <v>16</v>
      </c>
      <c r="J66" s="21">
        <v>14</v>
      </c>
      <c r="K66" s="21">
        <v>27</v>
      </c>
      <c r="L66" s="21">
        <v>20</v>
      </c>
      <c r="M66" s="21">
        <v>21</v>
      </c>
      <c r="N66" s="21">
        <v>14</v>
      </c>
      <c r="O66" s="21">
        <v>24</v>
      </c>
      <c r="P66" s="21">
        <v>34</v>
      </c>
      <c r="Q66" s="21">
        <v>10</v>
      </c>
      <c r="R66" s="21">
        <v>53</v>
      </c>
    </row>
    <row r="67" spans="1:18" s="20" customFormat="1" ht="14.25" customHeight="1" x14ac:dyDescent="0.2">
      <c r="A67" s="87"/>
      <c r="B67" s="30" t="s">
        <v>57</v>
      </c>
      <c r="C67" s="31" t="s">
        <v>225</v>
      </c>
      <c r="D67" s="21">
        <v>29</v>
      </c>
      <c r="E67" s="21">
        <v>12</v>
      </c>
      <c r="F67" s="21">
        <v>17</v>
      </c>
      <c r="G67" s="21">
        <v>0</v>
      </c>
      <c r="H67" s="21">
        <v>4</v>
      </c>
      <c r="I67" s="21">
        <v>0</v>
      </c>
      <c r="J67" s="21">
        <v>4</v>
      </c>
      <c r="K67" s="21">
        <v>3</v>
      </c>
      <c r="L67" s="21">
        <v>0</v>
      </c>
      <c r="M67" s="21">
        <v>3</v>
      </c>
      <c r="N67" s="21">
        <v>3</v>
      </c>
      <c r="O67" s="21">
        <v>4</v>
      </c>
      <c r="P67" s="21">
        <v>4</v>
      </c>
      <c r="Q67" s="21">
        <v>2</v>
      </c>
      <c r="R67" s="21">
        <v>2</v>
      </c>
    </row>
    <row r="68" spans="1:18" s="20" customFormat="1" ht="14.25" customHeight="1" x14ac:dyDescent="0.2">
      <c r="A68" s="64" t="s">
        <v>207</v>
      </c>
      <c r="B68" s="25" t="s">
        <v>55</v>
      </c>
      <c r="C68" s="26" t="s">
        <v>0</v>
      </c>
      <c r="D68" s="27">
        <v>117</v>
      </c>
      <c r="E68" s="27">
        <v>48</v>
      </c>
      <c r="F68" s="27">
        <v>69</v>
      </c>
      <c r="G68" s="27">
        <v>1</v>
      </c>
      <c r="H68" s="27">
        <v>11</v>
      </c>
      <c r="I68" s="27">
        <v>8</v>
      </c>
      <c r="J68" s="27">
        <v>6</v>
      </c>
      <c r="K68" s="27">
        <v>14</v>
      </c>
      <c r="L68" s="27">
        <v>6</v>
      </c>
      <c r="M68" s="27">
        <v>9</v>
      </c>
      <c r="N68" s="27">
        <v>11</v>
      </c>
      <c r="O68" s="27">
        <v>12</v>
      </c>
      <c r="P68" s="27">
        <v>17</v>
      </c>
      <c r="Q68" s="27">
        <v>4</v>
      </c>
      <c r="R68" s="27">
        <v>18</v>
      </c>
    </row>
    <row r="69" spans="1:18" s="20" customFormat="1" ht="14.25" customHeight="1" x14ac:dyDescent="0.2">
      <c r="A69" s="86" t="s">
        <v>18</v>
      </c>
      <c r="B69" s="28" t="s">
        <v>56</v>
      </c>
      <c r="C69" s="29" t="s">
        <v>2</v>
      </c>
      <c r="D69" s="21">
        <v>113</v>
      </c>
      <c r="E69" s="21">
        <v>46</v>
      </c>
      <c r="F69" s="21">
        <v>67</v>
      </c>
      <c r="G69" s="21">
        <v>1</v>
      </c>
      <c r="H69" s="21">
        <v>11</v>
      </c>
      <c r="I69" s="21">
        <v>8</v>
      </c>
      <c r="J69" s="21">
        <v>6</v>
      </c>
      <c r="K69" s="21">
        <v>14</v>
      </c>
      <c r="L69" s="21">
        <v>6</v>
      </c>
      <c r="M69" s="21">
        <v>7</v>
      </c>
      <c r="N69" s="21">
        <v>9</v>
      </c>
      <c r="O69" s="21">
        <v>12</v>
      </c>
      <c r="P69" s="21">
        <v>17</v>
      </c>
      <c r="Q69" s="21">
        <v>4</v>
      </c>
      <c r="R69" s="21">
        <v>18</v>
      </c>
    </row>
    <row r="70" spans="1:18" s="20" customFormat="1" ht="14.25" customHeight="1" x14ac:dyDescent="0.2">
      <c r="A70" s="87"/>
      <c r="B70" s="30" t="s">
        <v>57</v>
      </c>
      <c r="C70" s="31" t="s">
        <v>225</v>
      </c>
      <c r="D70" s="21">
        <v>4</v>
      </c>
      <c r="E70" s="21">
        <v>2</v>
      </c>
      <c r="F70" s="21">
        <v>2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2</v>
      </c>
      <c r="N70" s="21">
        <v>2</v>
      </c>
      <c r="O70" s="21">
        <v>0</v>
      </c>
      <c r="P70" s="21">
        <v>0</v>
      </c>
      <c r="Q70" s="21">
        <v>0</v>
      </c>
      <c r="R70" s="21">
        <v>0</v>
      </c>
    </row>
    <row r="71" spans="1:18" s="20" customFormat="1" ht="14.25" customHeight="1" x14ac:dyDescent="0.2">
      <c r="A71" s="64" t="s">
        <v>208</v>
      </c>
      <c r="B71" s="25" t="s">
        <v>55</v>
      </c>
      <c r="C71" s="26" t="s">
        <v>0</v>
      </c>
      <c r="D71" s="27">
        <v>33</v>
      </c>
      <c r="E71" s="27">
        <v>14</v>
      </c>
      <c r="F71" s="27">
        <v>19</v>
      </c>
      <c r="G71" s="27">
        <v>2</v>
      </c>
      <c r="H71" s="27">
        <v>6</v>
      </c>
      <c r="I71" s="27">
        <v>0</v>
      </c>
      <c r="J71" s="27">
        <v>0</v>
      </c>
      <c r="K71" s="27">
        <v>1</v>
      </c>
      <c r="L71" s="27">
        <v>0</v>
      </c>
      <c r="M71" s="27">
        <v>5</v>
      </c>
      <c r="N71" s="27">
        <v>0</v>
      </c>
      <c r="O71" s="27">
        <v>2</v>
      </c>
      <c r="P71" s="27">
        <v>7</v>
      </c>
      <c r="Q71" s="27">
        <v>4</v>
      </c>
      <c r="R71" s="27">
        <v>6</v>
      </c>
    </row>
    <row r="72" spans="1:18" s="20" customFormat="1" ht="14.25" customHeight="1" x14ac:dyDescent="0.2">
      <c r="A72" s="86" t="s">
        <v>19</v>
      </c>
      <c r="B72" s="28" t="s">
        <v>56</v>
      </c>
      <c r="C72" s="29" t="s">
        <v>2</v>
      </c>
      <c r="D72" s="21">
        <v>32</v>
      </c>
      <c r="E72" s="21">
        <v>13</v>
      </c>
      <c r="F72" s="21">
        <v>19</v>
      </c>
      <c r="G72" s="21">
        <v>2</v>
      </c>
      <c r="H72" s="21">
        <v>6</v>
      </c>
      <c r="I72" s="21">
        <v>0</v>
      </c>
      <c r="J72" s="21">
        <v>0</v>
      </c>
      <c r="K72" s="21">
        <v>0</v>
      </c>
      <c r="L72" s="21">
        <v>0</v>
      </c>
      <c r="M72" s="21">
        <v>5</v>
      </c>
      <c r="N72" s="21">
        <v>0</v>
      </c>
      <c r="O72" s="21">
        <v>2</v>
      </c>
      <c r="P72" s="21">
        <v>7</v>
      </c>
      <c r="Q72" s="21">
        <v>4</v>
      </c>
      <c r="R72" s="21">
        <v>6</v>
      </c>
    </row>
    <row r="73" spans="1:18" s="20" customFormat="1" ht="14.25" customHeight="1" x14ac:dyDescent="0.2">
      <c r="A73" s="87"/>
      <c r="B73" s="30" t="s">
        <v>57</v>
      </c>
      <c r="C73" s="31" t="s">
        <v>225</v>
      </c>
      <c r="D73" s="21">
        <v>1</v>
      </c>
      <c r="E73" s="21">
        <v>1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1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</row>
    <row r="74" spans="1:18" s="20" customFormat="1" ht="14.25" customHeight="1" x14ac:dyDescent="0.2">
      <c r="A74" s="64" t="s">
        <v>209</v>
      </c>
      <c r="B74" s="25" t="s">
        <v>55</v>
      </c>
      <c r="C74" s="26" t="s">
        <v>0</v>
      </c>
      <c r="D74" s="27">
        <v>7</v>
      </c>
      <c r="E74" s="27">
        <v>4</v>
      </c>
      <c r="F74" s="27">
        <v>3</v>
      </c>
      <c r="G74" s="27">
        <v>0</v>
      </c>
      <c r="H74" s="27">
        <v>0</v>
      </c>
      <c r="I74" s="27">
        <v>0</v>
      </c>
      <c r="J74" s="27">
        <v>0</v>
      </c>
      <c r="K74" s="27">
        <v>2</v>
      </c>
      <c r="L74" s="27">
        <v>3</v>
      </c>
      <c r="M74" s="27">
        <v>2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</row>
    <row r="75" spans="1:18" s="20" customFormat="1" ht="14.25" customHeight="1" x14ac:dyDescent="0.2">
      <c r="A75" s="86" t="s">
        <v>20</v>
      </c>
      <c r="B75" s="28" t="s">
        <v>56</v>
      </c>
      <c r="C75" s="29" t="s">
        <v>2</v>
      </c>
      <c r="D75" s="21">
        <v>6</v>
      </c>
      <c r="E75" s="21">
        <v>4</v>
      </c>
      <c r="F75" s="21">
        <v>2</v>
      </c>
      <c r="G75" s="21">
        <v>0</v>
      </c>
      <c r="H75" s="21">
        <v>0</v>
      </c>
      <c r="I75" s="21">
        <v>0</v>
      </c>
      <c r="J75" s="21">
        <v>0</v>
      </c>
      <c r="K75" s="21">
        <v>2</v>
      </c>
      <c r="L75" s="21">
        <v>2</v>
      </c>
      <c r="M75" s="21">
        <v>2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</row>
    <row r="76" spans="1:18" s="20" customFormat="1" ht="14.25" customHeight="1" x14ac:dyDescent="0.2">
      <c r="A76" s="87"/>
      <c r="B76" s="30" t="s">
        <v>57</v>
      </c>
      <c r="C76" s="31" t="s">
        <v>225</v>
      </c>
      <c r="D76" s="22">
        <v>1</v>
      </c>
      <c r="E76" s="22">
        <v>0</v>
      </c>
      <c r="F76" s="22">
        <v>1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1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</row>
    <row r="77" spans="1:18" s="17" customFormat="1" ht="14.25" customHeight="1" x14ac:dyDescent="0.2">
      <c r="A77" s="17" t="s">
        <v>80</v>
      </c>
    </row>
    <row r="78" spans="1:18" s="17" customFormat="1" ht="14.25" customHeight="1" x14ac:dyDescent="0.2">
      <c r="A78" s="23" t="s">
        <v>24</v>
      </c>
    </row>
    <row r="79" spans="1:18" s="17" customFormat="1" ht="14.25" customHeight="1" x14ac:dyDescent="0.2">
      <c r="A79" s="4"/>
    </row>
    <row r="80" spans="1:18" s="17" customFormat="1" ht="14.25" customHeight="1" x14ac:dyDescent="0.2">
      <c r="A80" s="52" t="s">
        <v>183</v>
      </c>
    </row>
  </sheetData>
  <mergeCells count="47">
    <mergeCell ref="K5:L5"/>
    <mergeCell ref="M5:N5"/>
    <mergeCell ref="O5:P5"/>
    <mergeCell ref="Q5:R5"/>
    <mergeCell ref="D6:D7"/>
    <mergeCell ref="Q6:Q7"/>
    <mergeCell ref="R6:R7"/>
    <mergeCell ref="A18:A19"/>
    <mergeCell ref="K6:K7"/>
    <mergeCell ref="L6:L7"/>
    <mergeCell ref="M6:M7"/>
    <mergeCell ref="N6:N7"/>
    <mergeCell ref="E6:E7"/>
    <mergeCell ref="F6:F7"/>
    <mergeCell ref="G6:G7"/>
    <mergeCell ref="H6:H7"/>
    <mergeCell ref="I6:I7"/>
    <mergeCell ref="J6:J7"/>
    <mergeCell ref="A4:C7"/>
    <mergeCell ref="D4:R4"/>
    <mergeCell ref="D5:F5"/>
    <mergeCell ref="G5:H5"/>
    <mergeCell ref="I5:J5"/>
    <mergeCell ref="A9:A10"/>
    <mergeCell ref="A12:A13"/>
    <mergeCell ref="A15:A16"/>
    <mergeCell ref="O6:O7"/>
    <mergeCell ref="P6:P7"/>
    <mergeCell ref="A54:A55"/>
    <mergeCell ref="A21:A22"/>
    <mergeCell ref="A24:A25"/>
    <mergeCell ref="A27:A28"/>
    <mergeCell ref="A30:A31"/>
    <mergeCell ref="A33:A34"/>
    <mergeCell ref="A36:A37"/>
    <mergeCell ref="A39:A40"/>
    <mergeCell ref="A42:A43"/>
    <mergeCell ref="A45:A46"/>
    <mergeCell ref="A48:A49"/>
    <mergeCell ref="A51:A52"/>
    <mergeCell ref="A75:A76"/>
    <mergeCell ref="A57:A58"/>
    <mergeCell ref="A60:A61"/>
    <mergeCell ref="A63:A64"/>
    <mergeCell ref="A66:A67"/>
    <mergeCell ref="A69:A70"/>
    <mergeCell ref="A72:A73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 alignWithMargins="0">
    <oddHeader>&amp;L&amp;"微軟正黑體,標準"&amp;16兒童及少年保護執行概況&amp;C&amp;"微軟正黑體,標準"&amp;16
&amp;R&amp;"微軟正黑體,標準"本表共&amp;N頁，第&amp;P頁</oddHeader>
  </headerFooter>
  <rowBreaks count="1" manualBreakCount="1">
    <brk id="43" max="17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80"/>
  <sheetViews>
    <sheetView zoomScaleNormal="100" zoomScaleSheetLayoutView="100" workbookViewId="0">
      <pane xSplit="4" ySplit="8" topLeftCell="E9" activePane="bottomRight" state="frozen"/>
      <selection activeCell="A3" sqref="A3"/>
      <selection pane="topRight" activeCell="A3" sqref="A3"/>
      <selection pane="bottomLeft" activeCell="A3" sqref="A3"/>
      <selection pane="bottomRight" activeCell="A3" sqref="A3"/>
    </sheetView>
  </sheetViews>
  <sheetFormatPr defaultColWidth="5.5" defaultRowHeight="11.1" customHeight="1" x14ac:dyDescent="0.2"/>
  <cols>
    <col min="1" max="1" width="19.1640625" style="4" customWidth="1"/>
    <col min="2" max="2" width="10.33203125" style="4" customWidth="1"/>
    <col min="3" max="3" width="13.1640625" style="4" customWidth="1"/>
    <col min="4" max="18" width="11.5" style="4" customWidth="1"/>
    <col min="19" max="16384" width="5.5" style="4"/>
  </cols>
  <sheetData>
    <row r="1" spans="1:18" ht="20.25" customHeight="1" x14ac:dyDescent="0.2">
      <c r="A1" s="46" t="s">
        <v>174</v>
      </c>
      <c r="B1" s="1"/>
      <c r="C1" s="1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4.25" customHeight="1" x14ac:dyDescent="0.2">
      <c r="A2" s="17" t="s">
        <v>148</v>
      </c>
      <c r="B2"/>
      <c r="C2"/>
      <c r="D2" s="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</row>
    <row r="3" spans="1:18" s="17" customFormat="1" ht="12.75" customHeight="1" x14ac:dyDescent="0.2">
      <c r="A3" s="51" t="s">
        <v>181</v>
      </c>
      <c r="B3" s="16"/>
      <c r="C3" s="16"/>
    </row>
    <row r="4" spans="1:18" s="18" customFormat="1" ht="15.6" customHeight="1" x14ac:dyDescent="0.2">
      <c r="A4" s="94" t="s">
        <v>42</v>
      </c>
      <c r="B4" s="95"/>
      <c r="C4" s="96"/>
      <c r="D4" s="76" t="s">
        <v>43</v>
      </c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</row>
    <row r="5" spans="1:18" s="18" customFormat="1" ht="28.9" customHeight="1" x14ac:dyDescent="0.2">
      <c r="A5" s="97"/>
      <c r="B5" s="98"/>
      <c r="C5" s="99"/>
      <c r="D5" s="78" t="s">
        <v>44</v>
      </c>
      <c r="E5" s="79"/>
      <c r="F5" s="80"/>
      <c r="G5" s="103" t="s">
        <v>45</v>
      </c>
      <c r="H5" s="104"/>
      <c r="I5" s="103" t="s">
        <v>46</v>
      </c>
      <c r="J5" s="104"/>
      <c r="K5" s="103" t="s">
        <v>47</v>
      </c>
      <c r="L5" s="104"/>
      <c r="M5" s="103" t="s">
        <v>48</v>
      </c>
      <c r="N5" s="104"/>
      <c r="O5" s="103" t="s">
        <v>49</v>
      </c>
      <c r="P5" s="104"/>
      <c r="Q5" s="103" t="s">
        <v>50</v>
      </c>
      <c r="R5" s="105"/>
    </row>
    <row r="6" spans="1:18" s="18" customFormat="1" ht="12.75" x14ac:dyDescent="0.2">
      <c r="A6" s="97"/>
      <c r="B6" s="98"/>
      <c r="C6" s="99"/>
      <c r="D6" s="72" t="s">
        <v>51</v>
      </c>
      <c r="E6" s="92" t="s">
        <v>52</v>
      </c>
      <c r="F6" s="90" t="s">
        <v>53</v>
      </c>
      <c r="G6" s="90" t="s">
        <v>52</v>
      </c>
      <c r="H6" s="90" t="s">
        <v>53</v>
      </c>
      <c r="I6" s="90" t="s">
        <v>52</v>
      </c>
      <c r="J6" s="90" t="s">
        <v>53</v>
      </c>
      <c r="K6" s="90" t="s">
        <v>52</v>
      </c>
      <c r="L6" s="90" t="s">
        <v>53</v>
      </c>
      <c r="M6" s="90" t="s">
        <v>52</v>
      </c>
      <c r="N6" s="90" t="s">
        <v>53</v>
      </c>
      <c r="O6" s="90" t="s">
        <v>52</v>
      </c>
      <c r="P6" s="90" t="s">
        <v>53</v>
      </c>
      <c r="Q6" s="90" t="s">
        <v>52</v>
      </c>
      <c r="R6" s="94" t="s">
        <v>53</v>
      </c>
    </row>
    <row r="7" spans="1:18" s="19" customFormat="1" ht="12.75" x14ac:dyDescent="0.2">
      <c r="A7" s="100"/>
      <c r="B7" s="101"/>
      <c r="C7" s="102"/>
      <c r="D7" s="75"/>
      <c r="E7" s="93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100"/>
    </row>
    <row r="8" spans="1:18" s="59" customFormat="1" ht="18" customHeight="1" x14ac:dyDescent="0.2">
      <c r="A8" s="63" t="s">
        <v>186</v>
      </c>
      <c r="B8" s="56" t="s">
        <v>191</v>
      </c>
      <c r="C8" s="57" t="s">
        <v>0</v>
      </c>
      <c r="D8" s="58">
        <v>12610</v>
      </c>
      <c r="E8" s="58">
        <v>5475</v>
      </c>
      <c r="F8" s="58">
        <v>7135</v>
      </c>
      <c r="G8" s="58">
        <v>628</v>
      </c>
      <c r="H8" s="58">
        <v>518</v>
      </c>
      <c r="I8" s="58">
        <v>750</v>
      </c>
      <c r="J8" s="58">
        <v>685</v>
      </c>
      <c r="K8" s="58">
        <v>1064</v>
      </c>
      <c r="L8" s="58">
        <v>779</v>
      </c>
      <c r="M8" s="58">
        <v>973</v>
      </c>
      <c r="N8" s="58">
        <v>746</v>
      </c>
      <c r="O8" s="58">
        <v>1076</v>
      </c>
      <c r="P8" s="58">
        <v>2254</v>
      </c>
      <c r="Q8" s="58">
        <v>984</v>
      </c>
      <c r="R8" s="58">
        <v>2153</v>
      </c>
    </row>
    <row r="9" spans="1:18" s="59" customFormat="1" ht="14.25" customHeight="1" x14ac:dyDescent="0.2">
      <c r="A9" s="88" t="s">
        <v>1</v>
      </c>
      <c r="B9" s="60" t="s">
        <v>190</v>
      </c>
      <c r="C9" s="61" t="s">
        <v>2</v>
      </c>
      <c r="D9" s="62">
        <v>11243</v>
      </c>
      <c r="E9" s="62">
        <v>4949</v>
      </c>
      <c r="F9" s="62">
        <v>6294</v>
      </c>
      <c r="G9" s="62">
        <v>574</v>
      </c>
      <c r="H9" s="62">
        <v>460</v>
      </c>
      <c r="I9" s="62">
        <v>661</v>
      </c>
      <c r="J9" s="62">
        <v>618</v>
      </c>
      <c r="K9" s="62">
        <v>949</v>
      </c>
      <c r="L9" s="62">
        <v>693</v>
      </c>
      <c r="M9" s="62">
        <v>876</v>
      </c>
      <c r="N9" s="62">
        <v>634</v>
      </c>
      <c r="O9" s="62">
        <v>973</v>
      </c>
      <c r="P9" s="62">
        <v>1940</v>
      </c>
      <c r="Q9" s="62">
        <v>916</v>
      </c>
      <c r="R9" s="62">
        <v>1949</v>
      </c>
    </row>
    <row r="10" spans="1:18" s="59" customFormat="1" ht="14.25" customHeight="1" x14ac:dyDescent="0.2">
      <c r="A10" s="89"/>
      <c r="B10" s="60" t="s">
        <v>189</v>
      </c>
      <c r="C10" s="61" t="s">
        <v>225</v>
      </c>
      <c r="D10" s="62">
        <v>1367</v>
      </c>
      <c r="E10" s="62">
        <v>526</v>
      </c>
      <c r="F10" s="62">
        <v>841</v>
      </c>
      <c r="G10" s="62">
        <v>54</v>
      </c>
      <c r="H10" s="62">
        <v>58</v>
      </c>
      <c r="I10" s="62">
        <v>89</v>
      </c>
      <c r="J10" s="62">
        <v>67</v>
      </c>
      <c r="K10" s="62">
        <v>115</v>
      </c>
      <c r="L10" s="62">
        <v>86</v>
      </c>
      <c r="M10" s="62">
        <v>97</v>
      </c>
      <c r="N10" s="62">
        <v>112</v>
      </c>
      <c r="O10" s="62">
        <v>103</v>
      </c>
      <c r="P10" s="62">
        <v>314</v>
      </c>
      <c r="Q10" s="62">
        <v>68</v>
      </c>
      <c r="R10" s="62">
        <v>204</v>
      </c>
    </row>
    <row r="11" spans="1:18" s="20" customFormat="1" ht="14.25" customHeight="1" x14ac:dyDescent="0.2">
      <c r="A11" s="64" t="s">
        <v>210</v>
      </c>
      <c r="B11" s="25" t="s">
        <v>55</v>
      </c>
      <c r="C11" s="26" t="s">
        <v>0</v>
      </c>
      <c r="D11" s="27">
        <v>2110</v>
      </c>
      <c r="E11" s="27">
        <v>864</v>
      </c>
      <c r="F11" s="27">
        <v>1246</v>
      </c>
      <c r="G11" s="27">
        <v>64</v>
      </c>
      <c r="H11" s="27">
        <v>58</v>
      </c>
      <c r="I11" s="27">
        <v>94</v>
      </c>
      <c r="J11" s="27">
        <v>90</v>
      </c>
      <c r="K11" s="27">
        <v>182</v>
      </c>
      <c r="L11" s="27">
        <v>136</v>
      </c>
      <c r="M11" s="27">
        <v>170</v>
      </c>
      <c r="N11" s="27">
        <v>157</v>
      </c>
      <c r="O11" s="27">
        <v>193</v>
      </c>
      <c r="P11" s="27">
        <v>423</v>
      </c>
      <c r="Q11" s="27">
        <v>161</v>
      </c>
      <c r="R11" s="27">
        <v>382</v>
      </c>
    </row>
    <row r="12" spans="1:18" s="20" customFormat="1" ht="14.25" customHeight="1" x14ac:dyDescent="0.2">
      <c r="A12" s="86" t="s">
        <v>3</v>
      </c>
      <c r="B12" s="28" t="s">
        <v>56</v>
      </c>
      <c r="C12" s="29" t="s">
        <v>2</v>
      </c>
      <c r="D12" s="21">
        <v>2015</v>
      </c>
      <c r="E12" s="21">
        <v>831</v>
      </c>
      <c r="F12" s="21">
        <v>1184</v>
      </c>
      <c r="G12" s="21">
        <v>62</v>
      </c>
      <c r="H12" s="21">
        <v>57</v>
      </c>
      <c r="I12" s="21">
        <v>89</v>
      </c>
      <c r="J12" s="21">
        <v>90</v>
      </c>
      <c r="K12" s="21">
        <v>178</v>
      </c>
      <c r="L12" s="21">
        <v>134</v>
      </c>
      <c r="M12" s="21">
        <v>158</v>
      </c>
      <c r="N12" s="21">
        <v>151</v>
      </c>
      <c r="O12" s="21">
        <v>186</v>
      </c>
      <c r="P12" s="21">
        <v>394</v>
      </c>
      <c r="Q12" s="21">
        <v>158</v>
      </c>
      <c r="R12" s="21">
        <v>358</v>
      </c>
    </row>
    <row r="13" spans="1:18" s="20" customFormat="1" ht="14.25" customHeight="1" x14ac:dyDescent="0.2">
      <c r="A13" s="87"/>
      <c r="B13" s="28" t="s">
        <v>57</v>
      </c>
      <c r="C13" s="29" t="s">
        <v>225</v>
      </c>
      <c r="D13" s="21">
        <v>95</v>
      </c>
      <c r="E13" s="21">
        <v>33</v>
      </c>
      <c r="F13" s="21">
        <v>62</v>
      </c>
      <c r="G13" s="21">
        <v>2</v>
      </c>
      <c r="H13" s="21">
        <v>1</v>
      </c>
      <c r="I13" s="21">
        <v>5</v>
      </c>
      <c r="J13" s="21">
        <v>0</v>
      </c>
      <c r="K13" s="21">
        <v>4</v>
      </c>
      <c r="L13" s="21">
        <v>2</v>
      </c>
      <c r="M13" s="21">
        <v>12</v>
      </c>
      <c r="N13" s="21">
        <v>6</v>
      </c>
      <c r="O13" s="21">
        <v>7</v>
      </c>
      <c r="P13" s="21">
        <v>29</v>
      </c>
      <c r="Q13" s="21">
        <v>3</v>
      </c>
      <c r="R13" s="21">
        <v>24</v>
      </c>
    </row>
    <row r="14" spans="1:18" s="20" customFormat="1" ht="14.25" customHeight="1" x14ac:dyDescent="0.2">
      <c r="A14" s="64" t="s">
        <v>211</v>
      </c>
      <c r="B14" s="25" t="s">
        <v>55</v>
      </c>
      <c r="C14" s="26" t="s">
        <v>0</v>
      </c>
      <c r="D14" s="27">
        <v>1020</v>
      </c>
      <c r="E14" s="27">
        <v>489</v>
      </c>
      <c r="F14" s="27">
        <v>531</v>
      </c>
      <c r="G14" s="27">
        <v>48</v>
      </c>
      <c r="H14" s="27">
        <v>39</v>
      </c>
      <c r="I14" s="27">
        <v>72</v>
      </c>
      <c r="J14" s="27">
        <v>50</v>
      </c>
      <c r="K14" s="27">
        <v>97</v>
      </c>
      <c r="L14" s="27">
        <v>64</v>
      </c>
      <c r="M14" s="27">
        <v>91</v>
      </c>
      <c r="N14" s="27">
        <v>38</v>
      </c>
      <c r="O14" s="27">
        <v>104</v>
      </c>
      <c r="P14" s="27">
        <v>175</v>
      </c>
      <c r="Q14" s="27">
        <v>77</v>
      </c>
      <c r="R14" s="27">
        <v>165</v>
      </c>
    </row>
    <row r="15" spans="1:18" s="20" customFormat="1" ht="14.25" customHeight="1" x14ac:dyDescent="0.2">
      <c r="A15" s="86" t="s">
        <v>4</v>
      </c>
      <c r="B15" s="28" t="s">
        <v>56</v>
      </c>
      <c r="C15" s="29" t="s">
        <v>2</v>
      </c>
      <c r="D15" s="21">
        <v>995</v>
      </c>
      <c r="E15" s="21">
        <v>476</v>
      </c>
      <c r="F15" s="21">
        <v>519</v>
      </c>
      <c r="G15" s="21">
        <v>47</v>
      </c>
      <c r="H15" s="21">
        <v>38</v>
      </c>
      <c r="I15" s="21">
        <v>71</v>
      </c>
      <c r="J15" s="21">
        <v>48</v>
      </c>
      <c r="K15" s="21">
        <v>91</v>
      </c>
      <c r="L15" s="21">
        <v>62</v>
      </c>
      <c r="M15" s="21">
        <v>88</v>
      </c>
      <c r="N15" s="21">
        <v>37</v>
      </c>
      <c r="O15" s="21">
        <v>102</v>
      </c>
      <c r="P15" s="21">
        <v>173</v>
      </c>
      <c r="Q15" s="21">
        <v>77</v>
      </c>
      <c r="R15" s="21">
        <v>161</v>
      </c>
    </row>
    <row r="16" spans="1:18" s="20" customFormat="1" ht="14.25" customHeight="1" x14ac:dyDescent="0.2">
      <c r="A16" s="87"/>
      <c r="B16" s="30" t="s">
        <v>57</v>
      </c>
      <c r="C16" s="31" t="s">
        <v>225</v>
      </c>
      <c r="D16" s="21">
        <v>25</v>
      </c>
      <c r="E16" s="21">
        <v>13</v>
      </c>
      <c r="F16" s="21">
        <v>12</v>
      </c>
      <c r="G16" s="21">
        <v>1</v>
      </c>
      <c r="H16" s="21">
        <v>1</v>
      </c>
      <c r="I16" s="21">
        <v>1</v>
      </c>
      <c r="J16" s="21">
        <v>2</v>
      </c>
      <c r="K16" s="21">
        <v>6</v>
      </c>
      <c r="L16" s="21">
        <v>2</v>
      </c>
      <c r="M16" s="21">
        <v>3</v>
      </c>
      <c r="N16" s="21">
        <v>1</v>
      </c>
      <c r="O16" s="21">
        <v>2</v>
      </c>
      <c r="P16" s="21">
        <v>2</v>
      </c>
      <c r="Q16" s="21">
        <v>0</v>
      </c>
      <c r="R16" s="21">
        <v>4</v>
      </c>
    </row>
    <row r="17" spans="1:18" s="20" customFormat="1" ht="14.25" customHeight="1" x14ac:dyDescent="0.2">
      <c r="A17" s="64" t="s">
        <v>212</v>
      </c>
      <c r="B17" s="25" t="s">
        <v>55</v>
      </c>
      <c r="C17" s="26" t="s">
        <v>0</v>
      </c>
      <c r="D17" s="27">
        <v>1808</v>
      </c>
      <c r="E17" s="27">
        <v>845</v>
      </c>
      <c r="F17" s="27">
        <v>963</v>
      </c>
      <c r="G17" s="27">
        <v>84</v>
      </c>
      <c r="H17" s="27">
        <v>73</v>
      </c>
      <c r="I17" s="27">
        <v>97</v>
      </c>
      <c r="J17" s="27">
        <v>94</v>
      </c>
      <c r="K17" s="27">
        <v>202</v>
      </c>
      <c r="L17" s="27">
        <v>113</v>
      </c>
      <c r="M17" s="27">
        <v>167</v>
      </c>
      <c r="N17" s="27">
        <v>124</v>
      </c>
      <c r="O17" s="27">
        <v>135</v>
      </c>
      <c r="P17" s="27">
        <v>296</v>
      </c>
      <c r="Q17" s="27">
        <v>160</v>
      </c>
      <c r="R17" s="27">
        <v>263</v>
      </c>
    </row>
    <row r="18" spans="1:18" s="20" customFormat="1" ht="14.25" customHeight="1" x14ac:dyDescent="0.2">
      <c r="A18" s="86" t="s">
        <v>25</v>
      </c>
      <c r="B18" s="28" t="s">
        <v>56</v>
      </c>
      <c r="C18" s="29" t="s">
        <v>2</v>
      </c>
      <c r="D18" s="21">
        <v>1547</v>
      </c>
      <c r="E18" s="21">
        <v>704</v>
      </c>
      <c r="F18" s="21">
        <v>843</v>
      </c>
      <c r="G18" s="21">
        <v>75</v>
      </c>
      <c r="H18" s="21">
        <v>60</v>
      </c>
      <c r="I18" s="21">
        <v>72</v>
      </c>
      <c r="J18" s="21">
        <v>84</v>
      </c>
      <c r="K18" s="21">
        <v>162</v>
      </c>
      <c r="L18" s="21">
        <v>103</v>
      </c>
      <c r="M18" s="21">
        <v>143</v>
      </c>
      <c r="N18" s="21">
        <v>111</v>
      </c>
      <c r="O18" s="21">
        <v>109</v>
      </c>
      <c r="P18" s="21">
        <v>256</v>
      </c>
      <c r="Q18" s="21">
        <v>143</v>
      </c>
      <c r="R18" s="21">
        <v>229</v>
      </c>
    </row>
    <row r="19" spans="1:18" s="20" customFormat="1" ht="14.25" customHeight="1" x14ac:dyDescent="0.2">
      <c r="A19" s="87"/>
      <c r="B19" s="30" t="s">
        <v>57</v>
      </c>
      <c r="C19" s="31" t="s">
        <v>225</v>
      </c>
      <c r="D19" s="21">
        <v>261</v>
      </c>
      <c r="E19" s="21">
        <v>141</v>
      </c>
      <c r="F19" s="21">
        <v>120</v>
      </c>
      <c r="G19" s="21">
        <v>9</v>
      </c>
      <c r="H19" s="21">
        <v>13</v>
      </c>
      <c r="I19" s="21">
        <v>25</v>
      </c>
      <c r="J19" s="21">
        <v>10</v>
      </c>
      <c r="K19" s="21">
        <v>40</v>
      </c>
      <c r="L19" s="21">
        <v>10</v>
      </c>
      <c r="M19" s="21">
        <v>24</v>
      </c>
      <c r="N19" s="21">
        <v>13</v>
      </c>
      <c r="O19" s="21">
        <v>26</v>
      </c>
      <c r="P19" s="21">
        <v>40</v>
      </c>
      <c r="Q19" s="21">
        <v>17</v>
      </c>
      <c r="R19" s="21">
        <v>34</v>
      </c>
    </row>
    <row r="20" spans="1:18" s="20" customFormat="1" ht="14.25" customHeight="1" x14ac:dyDescent="0.2">
      <c r="A20" s="64" t="s">
        <v>213</v>
      </c>
      <c r="B20" s="25" t="s">
        <v>55</v>
      </c>
      <c r="C20" s="26" t="s">
        <v>0</v>
      </c>
      <c r="D20" s="27">
        <v>1202</v>
      </c>
      <c r="E20" s="27">
        <v>512</v>
      </c>
      <c r="F20" s="27">
        <v>690</v>
      </c>
      <c r="G20" s="27">
        <v>92</v>
      </c>
      <c r="H20" s="27">
        <v>78</v>
      </c>
      <c r="I20" s="27">
        <v>95</v>
      </c>
      <c r="J20" s="27">
        <v>102</v>
      </c>
      <c r="K20" s="27">
        <v>107</v>
      </c>
      <c r="L20" s="27">
        <v>67</v>
      </c>
      <c r="M20" s="27">
        <v>68</v>
      </c>
      <c r="N20" s="27">
        <v>61</v>
      </c>
      <c r="O20" s="27">
        <v>89</v>
      </c>
      <c r="P20" s="27">
        <v>163</v>
      </c>
      <c r="Q20" s="27">
        <v>61</v>
      </c>
      <c r="R20" s="27">
        <v>219</v>
      </c>
    </row>
    <row r="21" spans="1:18" s="20" customFormat="1" ht="14.25" customHeight="1" x14ac:dyDescent="0.2">
      <c r="A21" s="86" t="s">
        <v>21</v>
      </c>
      <c r="B21" s="28" t="s">
        <v>56</v>
      </c>
      <c r="C21" s="29" t="s">
        <v>2</v>
      </c>
      <c r="D21" s="21">
        <v>1118</v>
      </c>
      <c r="E21" s="21">
        <v>483</v>
      </c>
      <c r="F21" s="21">
        <v>635</v>
      </c>
      <c r="G21" s="21">
        <v>88</v>
      </c>
      <c r="H21" s="21">
        <v>66</v>
      </c>
      <c r="I21" s="21">
        <v>89</v>
      </c>
      <c r="J21" s="21">
        <v>95</v>
      </c>
      <c r="K21" s="21">
        <v>101</v>
      </c>
      <c r="L21" s="21">
        <v>61</v>
      </c>
      <c r="M21" s="21">
        <v>62</v>
      </c>
      <c r="N21" s="21">
        <v>53</v>
      </c>
      <c r="O21" s="21">
        <v>83</v>
      </c>
      <c r="P21" s="21">
        <v>153</v>
      </c>
      <c r="Q21" s="21">
        <v>60</v>
      </c>
      <c r="R21" s="21">
        <v>207</v>
      </c>
    </row>
    <row r="22" spans="1:18" s="20" customFormat="1" ht="14.25" customHeight="1" x14ac:dyDescent="0.2">
      <c r="A22" s="87"/>
      <c r="B22" s="30" t="s">
        <v>57</v>
      </c>
      <c r="C22" s="31" t="s">
        <v>225</v>
      </c>
      <c r="D22" s="21">
        <v>84</v>
      </c>
      <c r="E22" s="21">
        <v>29</v>
      </c>
      <c r="F22" s="21">
        <v>55</v>
      </c>
      <c r="G22" s="21">
        <v>4</v>
      </c>
      <c r="H22" s="21">
        <v>12</v>
      </c>
      <c r="I22" s="21">
        <v>6</v>
      </c>
      <c r="J22" s="21">
        <v>7</v>
      </c>
      <c r="K22" s="21">
        <v>6</v>
      </c>
      <c r="L22" s="21">
        <v>6</v>
      </c>
      <c r="M22" s="21">
        <v>6</v>
      </c>
      <c r="N22" s="21">
        <v>8</v>
      </c>
      <c r="O22" s="21">
        <v>6</v>
      </c>
      <c r="P22" s="21">
        <v>10</v>
      </c>
      <c r="Q22" s="21">
        <v>1</v>
      </c>
      <c r="R22" s="21">
        <v>12</v>
      </c>
    </row>
    <row r="23" spans="1:18" s="20" customFormat="1" ht="14.25" customHeight="1" x14ac:dyDescent="0.2">
      <c r="A23" s="64" t="s">
        <v>214</v>
      </c>
      <c r="B23" s="25" t="s">
        <v>55</v>
      </c>
      <c r="C23" s="26" t="s">
        <v>0</v>
      </c>
      <c r="D23" s="27">
        <v>818</v>
      </c>
      <c r="E23" s="27">
        <v>341</v>
      </c>
      <c r="F23" s="27">
        <v>477</v>
      </c>
      <c r="G23" s="27">
        <v>47</v>
      </c>
      <c r="H23" s="27">
        <v>41</v>
      </c>
      <c r="I23" s="27">
        <v>41</v>
      </c>
      <c r="J23" s="27">
        <v>47</v>
      </c>
      <c r="K23" s="27">
        <v>82</v>
      </c>
      <c r="L23" s="27">
        <v>67</v>
      </c>
      <c r="M23" s="27">
        <v>55</v>
      </c>
      <c r="N23" s="27">
        <v>63</v>
      </c>
      <c r="O23" s="27">
        <v>77</v>
      </c>
      <c r="P23" s="27">
        <v>141</v>
      </c>
      <c r="Q23" s="27">
        <v>39</v>
      </c>
      <c r="R23" s="27">
        <v>118</v>
      </c>
    </row>
    <row r="24" spans="1:18" s="20" customFormat="1" ht="14.25" customHeight="1" x14ac:dyDescent="0.2">
      <c r="A24" s="86" t="s">
        <v>22</v>
      </c>
      <c r="B24" s="28" t="s">
        <v>56</v>
      </c>
      <c r="C24" s="29" t="s">
        <v>2</v>
      </c>
      <c r="D24" s="21">
        <v>783</v>
      </c>
      <c r="E24" s="21">
        <v>328</v>
      </c>
      <c r="F24" s="21">
        <v>455</v>
      </c>
      <c r="G24" s="21">
        <v>46</v>
      </c>
      <c r="H24" s="21">
        <v>41</v>
      </c>
      <c r="I24" s="21">
        <v>39</v>
      </c>
      <c r="J24" s="21">
        <v>44</v>
      </c>
      <c r="K24" s="21">
        <v>77</v>
      </c>
      <c r="L24" s="21">
        <v>67</v>
      </c>
      <c r="M24" s="21">
        <v>52</v>
      </c>
      <c r="N24" s="21">
        <v>60</v>
      </c>
      <c r="O24" s="21">
        <v>75</v>
      </c>
      <c r="P24" s="21">
        <v>126</v>
      </c>
      <c r="Q24" s="21">
        <v>39</v>
      </c>
      <c r="R24" s="21">
        <v>117</v>
      </c>
    </row>
    <row r="25" spans="1:18" s="20" customFormat="1" ht="14.25" customHeight="1" x14ac:dyDescent="0.2">
      <c r="A25" s="87"/>
      <c r="B25" s="30" t="s">
        <v>57</v>
      </c>
      <c r="C25" s="31" t="s">
        <v>225</v>
      </c>
      <c r="D25" s="21">
        <v>35</v>
      </c>
      <c r="E25" s="21">
        <v>13</v>
      </c>
      <c r="F25" s="21">
        <v>22</v>
      </c>
      <c r="G25" s="21">
        <v>1</v>
      </c>
      <c r="H25" s="21">
        <v>0</v>
      </c>
      <c r="I25" s="21">
        <v>2</v>
      </c>
      <c r="J25" s="21">
        <v>3</v>
      </c>
      <c r="K25" s="21">
        <v>5</v>
      </c>
      <c r="L25" s="21">
        <v>0</v>
      </c>
      <c r="M25" s="21">
        <v>3</v>
      </c>
      <c r="N25" s="21">
        <v>3</v>
      </c>
      <c r="O25" s="21">
        <v>2</v>
      </c>
      <c r="P25" s="21">
        <v>15</v>
      </c>
      <c r="Q25" s="21">
        <v>0</v>
      </c>
      <c r="R25" s="21">
        <v>1</v>
      </c>
    </row>
    <row r="26" spans="1:18" s="20" customFormat="1" ht="14.25" customHeight="1" x14ac:dyDescent="0.2">
      <c r="A26" s="64" t="s">
        <v>215</v>
      </c>
      <c r="B26" s="25" t="s">
        <v>55</v>
      </c>
      <c r="C26" s="26" t="s">
        <v>0</v>
      </c>
      <c r="D26" s="27">
        <v>1620</v>
      </c>
      <c r="E26" s="27">
        <v>792</v>
      </c>
      <c r="F26" s="27">
        <v>828</v>
      </c>
      <c r="G26" s="27">
        <v>104</v>
      </c>
      <c r="H26" s="27">
        <v>66</v>
      </c>
      <c r="I26" s="27">
        <v>114</v>
      </c>
      <c r="J26" s="27">
        <v>97</v>
      </c>
      <c r="K26" s="27">
        <v>145</v>
      </c>
      <c r="L26" s="27">
        <v>85</v>
      </c>
      <c r="M26" s="27">
        <v>134</v>
      </c>
      <c r="N26" s="27">
        <v>78</v>
      </c>
      <c r="O26" s="27">
        <v>136</v>
      </c>
      <c r="P26" s="27">
        <v>254</v>
      </c>
      <c r="Q26" s="27">
        <v>159</v>
      </c>
      <c r="R26" s="27">
        <v>248</v>
      </c>
    </row>
    <row r="27" spans="1:18" s="20" customFormat="1" ht="14.25" customHeight="1" x14ac:dyDescent="0.2">
      <c r="A27" s="86" t="s">
        <v>23</v>
      </c>
      <c r="B27" s="28" t="s">
        <v>56</v>
      </c>
      <c r="C27" s="29" t="s">
        <v>2</v>
      </c>
      <c r="D27" s="21">
        <v>1524</v>
      </c>
      <c r="E27" s="21">
        <v>752</v>
      </c>
      <c r="F27" s="21">
        <v>772</v>
      </c>
      <c r="G27" s="21">
        <v>98</v>
      </c>
      <c r="H27" s="21">
        <v>60</v>
      </c>
      <c r="I27" s="21">
        <v>110</v>
      </c>
      <c r="J27" s="21">
        <v>94</v>
      </c>
      <c r="K27" s="21">
        <v>133</v>
      </c>
      <c r="L27" s="21">
        <v>80</v>
      </c>
      <c r="M27" s="21">
        <v>132</v>
      </c>
      <c r="N27" s="21">
        <v>69</v>
      </c>
      <c r="O27" s="21">
        <v>128</v>
      </c>
      <c r="P27" s="21">
        <v>234</v>
      </c>
      <c r="Q27" s="21">
        <v>151</v>
      </c>
      <c r="R27" s="21">
        <v>235</v>
      </c>
    </row>
    <row r="28" spans="1:18" s="20" customFormat="1" ht="14.25" customHeight="1" x14ac:dyDescent="0.2">
      <c r="A28" s="87"/>
      <c r="B28" s="30" t="s">
        <v>57</v>
      </c>
      <c r="C28" s="31" t="s">
        <v>225</v>
      </c>
      <c r="D28" s="21">
        <v>96</v>
      </c>
      <c r="E28" s="21">
        <v>40</v>
      </c>
      <c r="F28" s="21">
        <v>56</v>
      </c>
      <c r="G28" s="21">
        <v>6</v>
      </c>
      <c r="H28" s="21">
        <v>6</v>
      </c>
      <c r="I28" s="21">
        <v>4</v>
      </c>
      <c r="J28" s="21">
        <v>3</v>
      </c>
      <c r="K28" s="21">
        <v>12</v>
      </c>
      <c r="L28" s="21">
        <v>5</v>
      </c>
      <c r="M28" s="21">
        <v>2</v>
      </c>
      <c r="N28" s="21">
        <v>9</v>
      </c>
      <c r="O28" s="21">
        <v>8</v>
      </c>
      <c r="P28" s="21">
        <v>20</v>
      </c>
      <c r="Q28" s="21">
        <v>8</v>
      </c>
      <c r="R28" s="21">
        <v>13</v>
      </c>
    </row>
    <row r="29" spans="1:18" s="20" customFormat="1" ht="14.25" customHeight="1" x14ac:dyDescent="0.2">
      <c r="A29" s="64" t="s">
        <v>194</v>
      </c>
      <c r="B29" s="25" t="s">
        <v>55</v>
      </c>
      <c r="C29" s="26" t="s">
        <v>0</v>
      </c>
      <c r="D29" s="27">
        <v>161</v>
      </c>
      <c r="E29" s="27">
        <v>68</v>
      </c>
      <c r="F29" s="27">
        <v>93</v>
      </c>
      <c r="G29" s="27">
        <v>7</v>
      </c>
      <c r="H29" s="27">
        <v>3</v>
      </c>
      <c r="I29" s="27">
        <v>8</v>
      </c>
      <c r="J29" s="27">
        <v>9</v>
      </c>
      <c r="K29" s="27">
        <v>9</v>
      </c>
      <c r="L29" s="27">
        <v>4</v>
      </c>
      <c r="M29" s="27">
        <v>17</v>
      </c>
      <c r="N29" s="27">
        <v>10</v>
      </c>
      <c r="O29" s="27">
        <v>5</v>
      </c>
      <c r="P29" s="27">
        <v>33</v>
      </c>
      <c r="Q29" s="27">
        <v>22</v>
      </c>
      <c r="R29" s="27">
        <v>34</v>
      </c>
    </row>
    <row r="30" spans="1:18" s="20" customFormat="1" ht="14.25" customHeight="1" x14ac:dyDescent="0.2">
      <c r="A30" s="86" t="s">
        <v>5</v>
      </c>
      <c r="B30" s="28" t="s">
        <v>56</v>
      </c>
      <c r="C30" s="29" t="s">
        <v>2</v>
      </c>
      <c r="D30" s="21">
        <v>148</v>
      </c>
      <c r="E30" s="21">
        <v>65</v>
      </c>
      <c r="F30" s="21">
        <v>83</v>
      </c>
      <c r="G30" s="21">
        <v>7</v>
      </c>
      <c r="H30" s="21">
        <v>3</v>
      </c>
      <c r="I30" s="21">
        <v>8</v>
      </c>
      <c r="J30" s="21">
        <v>9</v>
      </c>
      <c r="K30" s="21">
        <v>7</v>
      </c>
      <c r="L30" s="21">
        <v>3</v>
      </c>
      <c r="M30" s="21">
        <v>17</v>
      </c>
      <c r="N30" s="21">
        <v>8</v>
      </c>
      <c r="O30" s="21">
        <v>5</v>
      </c>
      <c r="P30" s="21">
        <v>28</v>
      </c>
      <c r="Q30" s="21">
        <v>21</v>
      </c>
      <c r="R30" s="21">
        <v>32</v>
      </c>
    </row>
    <row r="31" spans="1:18" s="20" customFormat="1" ht="14.25" customHeight="1" x14ac:dyDescent="0.2">
      <c r="A31" s="87"/>
      <c r="B31" s="30" t="s">
        <v>57</v>
      </c>
      <c r="C31" s="31" t="s">
        <v>225</v>
      </c>
      <c r="D31" s="21">
        <v>13</v>
      </c>
      <c r="E31" s="21">
        <v>3</v>
      </c>
      <c r="F31" s="21">
        <v>10</v>
      </c>
      <c r="G31" s="21">
        <v>0</v>
      </c>
      <c r="H31" s="21">
        <v>0</v>
      </c>
      <c r="I31" s="21">
        <v>0</v>
      </c>
      <c r="J31" s="21">
        <v>0</v>
      </c>
      <c r="K31" s="21">
        <v>2</v>
      </c>
      <c r="L31" s="21">
        <v>1</v>
      </c>
      <c r="M31" s="21">
        <v>0</v>
      </c>
      <c r="N31" s="21">
        <v>2</v>
      </c>
      <c r="O31" s="21">
        <v>0</v>
      </c>
      <c r="P31" s="21">
        <v>5</v>
      </c>
      <c r="Q31" s="21">
        <v>1</v>
      </c>
      <c r="R31" s="21">
        <v>2</v>
      </c>
    </row>
    <row r="32" spans="1:18" s="20" customFormat="1" ht="14.25" customHeight="1" x14ac:dyDescent="0.2">
      <c r="A32" s="64" t="s">
        <v>195</v>
      </c>
      <c r="B32" s="25" t="s">
        <v>55</v>
      </c>
      <c r="C32" s="26" t="s">
        <v>0</v>
      </c>
      <c r="D32" s="27">
        <v>343</v>
      </c>
      <c r="E32" s="27">
        <v>153</v>
      </c>
      <c r="F32" s="27">
        <v>190</v>
      </c>
      <c r="G32" s="27">
        <v>8</v>
      </c>
      <c r="H32" s="27">
        <v>9</v>
      </c>
      <c r="I32" s="27">
        <v>13</v>
      </c>
      <c r="J32" s="27">
        <v>10</v>
      </c>
      <c r="K32" s="27">
        <v>46</v>
      </c>
      <c r="L32" s="27">
        <v>22</v>
      </c>
      <c r="M32" s="27">
        <v>26</v>
      </c>
      <c r="N32" s="27">
        <v>18</v>
      </c>
      <c r="O32" s="27">
        <v>41</v>
      </c>
      <c r="P32" s="27">
        <v>68</v>
      </c>
      <c r="Q32" s="27">
        <v>19</v>
      </c>
      <c r="R32" s="27">
        <v>63</v>
      </c>
    </row>
    <row r="33" spans="1:18" s="20" customFormat="1" ht="14.25" customHeight="1" x14ac:dyDescent="0.2">
      <c r="A33" s="86" t="s">
        <v>6</v>
      </c>
      <c r="B33" s="28" t="s">
        <v>56</v>
      </c>
      <c r="C33" s="29" t="s">
        <v>2</v>
      </c>
      <c r="D33" s="21">
        <v>296</v>
      </c>
      <c r="E33" s="21">
        <v>139</v>
      </c>
      <c r="F33" s="21">
        <v>157</v>
      </c>
      <c r="G33" s="21">
        <v>8</v>
      </c>
      <c r="H33" s="21">
        <v>7</v>
      </c>
      <c r="I33" s="21">
        <v>10</v>
      </c>
      <c r="J33" s="21">
        <v>8</v>
      </c>
      <c r="K33" s="21">
        <v>41</v>
      </c>
      <c r="L33" s="21">
        <v>20</v>
      </c>
      <c r="M33" s="21">
        <v>24</v>
      </c>
      <c r="N33" s="21">
        <v>14</v>
      </c>
      <c r="O33" s="21">
        <v>37</v>
      </c>
      <c r="P33" s="21">
        <v>53</v>
      </c>
      <c r="Q33" s="21">
        <v>19</v>
      </c>
      <c r="R33" s="21">
        <v>55</v>
      </c>
    </row>
    <row r="34" spans="1:18" s="20" customFormat="1" ht="14.25" customHeight="1" x14ac:dyDescent="0.2">
      <c r="A34" s="87"/>
      <c r="B34" s="30" t="s">
        <v>57</v>
      </c>
      <c r="C34" s="31" t="s">
        <v>225</v>
      </c>
      <c r="D34" s="21">
        <v>47</v>
      </c>
      <c r="E34" s="21">
        <v>14</v>
      </c>
      <c r="F34" s="21">
        <v>33</v>
      </c>
      <c r="G34" s="21">
        <v>0</v>
      </c>
      <c r="H34" s="21">
        <v>2</v>
      </c>
      <c r="I34" s="21">
        <v>3</v>
      </c>
      <c r="J34" s="21">
        <v>2</v>
      </c>
      <c r="K34" s="21">
        <v>5</v>
      </c>
      <c r="L34" s="21">
        <v>2</v>
      </c>
      <c r="M34" s="21">
        <v>2</v>
      </c>
      <c r="N34" s="21">
        <v>4</v>
      </c>
      <c r="O34" s="21">
        <v>4</v>
      </c>
      <c r="P34" s="21">
        <v>15</v>
      </c>
      <c r="Q34" s="21">
        <v>0</v>
      </c>
      <c r="R34" s="21">
        <v>8</v>
      </c>
    </row>
    <row r="35" spans="1:18" s="20" customFormat="1" ht="14.25" customHeight="1" x14ac:dyDescent="0.2">
      <c r="A35" s="64" t="s">
        <v>196</v>
      </c>
      <c r="B35" s="25" t="s">
        <v>55</v>
      </c>
      <c r="C35" s="26" t="s">
        <v>0</v>
      </c>
      <c r="D35" s="27">
        <v>201</v>
      </c>
      <c r="E35" s="27">
        <v>53</v>
      </c>
      <c r="F35" s="27">
        <v>148</v>
      </c>
      <c r="G35" s="27">
        <v>8</v>
      </c>
      <c r="H35" s="27">
        <v>9</v>
      </c>
      <c r="I35" s="27">
        <v>5</v>
      </c>
      <c r="J35" s="27">
        <v>10</v>
      </c>
      <c r="K35" s="27">
        <v>4</v>
      </c>
      <c r="L35" s="27">
        <v>16</v>
      </c>
      <c r="M35" s="27">
        <v>9</v>
      </c>
      <c r="N35" s="27">
        <v>7</v>
      </c>
      <c r="O35" s="27">
        <v>13</v>
      </c>
      <c r="P35" s="27">
        <v>48</v>
      </c>
      <c r="Q35" s="27">
        <v>14</v>
      </c>
      <c r="R35" s="27">
        <v>58</v>
      </c>
    </row>
    <row r="36" spans="1:18" s="20" customFormat="1" ht="14.25" customHeight="1" x14ac:dyDescent="0.2">
      <c r="A36" s="86" t="s">
        <v>7</v>
      </c>
      <c r="B36" s="28" t="s">
        <v>56</v>
      </c>
      <c r="C36" s="29" t="s">
        <v>2</v>
      </c>
      <c r="D36" s="21">
        <v>178</v>
      </c>
      <c r="E36" s="21">
        <v>46</v>
      </c>
      <c r="F36" s="21">
        <v>132</v>
      </c>
      <c r="G36" s="21">
        <v>6</v>
      </c>
      <c r="H36" s="21">
        <v>8</v>
      </c>
      <c r="I36" s="21">
        <v>3</v>
      </c>
      <c r="J36" s="21">
        <v>9</v>
      </c>
      <c r="K36" s="21">
        <v>3</v>
      </c>
      <c r="L36" s="21">
        <v>14</v>
      </c>
      <c r="M36" s="21">
        <v>9</v>
      </c>
      <c r="N36" s="21">
        <v>5</v>
      </c>
      <c r="O36" s="21">
        <v>11</v>
      </c>
      <c r="P36" s="21">
        <v>44</v>
      </c>
      <c r="Q36" s="21">
        <v>14</v>
      </c>
      <c r="R36" s="21">
        <v>52</v>
      </c>
    </row>
    <row r="37" spans="1:18" s="20" customFormat="1" ht="14.25" customHeight="1" x14ac:dyDescent="0.2">
      <c r="A37" s="87"/>
      <c r="B37" s="30" t="s">
        <v>57</v>
      </c>
      <c r="C37" s="31" t="s">
        <v>225</v>
      </c>
      <c r="D37" s="21">
        <v>23</v>
      </c>
      <c r="E37" s="21">
        <v>7</v>
      </c>
      <c r="F37" s="21">
        <v>16</v>
      </c>
      <c r="G37" s="21">
        <v>2</v>
      </c>
      <c r="H37" s="21">
        <v>1</v>
      </c>
      <c r="I37" s="21">
        <v>2</v>
      </c>
      <c r="J37" s="21">
        <v>1</v>
      </c>
      <c r="K37" s="21">
        <v>1</v>
      </c>
      <c r="L37" s="21">
        <v>2</v>
      </c>
      <c r="M37" s="21">
        <v>0</v>
      </c>
      <c r="N37" s="21">
        <v>2</v>
      </c>
      <c r="O37" s="21">
        <v>2</v>
      </c>
      <c r="P37" s="21">
        <v>4</v>
      </c>
      <c r="Q37" s="21">
        <v>0</v>
      </c>
      <c r="R37" s="21">
        <v>6</v>
      </c>
    </row>
    <row r="38" spans="1:18" s="20" customFormat="1" ht="14.25" customHeight="1" x14ac:dyDescent="0.2">
      <c r="A38" s="64" t="s">
        <v>197</v>
      </c>
      <c r="B38" s="25" t="s">
        <v>55</v>
      </c>
      <c r="C38" s="26" t="s">
        <v>0</v>
      </c>
      <c r="D38" s="27">
        <v>528</v>
      </c>
      <c r="E38" s="27">
        <v>208</v>
      </c>
      <c r="F38" s="27">
        <v>320</v>
      </c>
      <c r="G38" s="27">
        <v>32</v>
      </c>
      <c r="H38" s="27">
        <v>25</v>
      </c>
      <c r="I38" s="27">
        <v>22</v>
      </c>
      <c r="J38" s="27">
        <v>30</v>
      </c>
      <c r="K38" s="27">
        <v>36</v>
      </c>
      <c r="L38" s="27">
        <v>28</v>
      </c>
      <c r="M38" s="27">
        <v>33</v>
      </c>
      <c r="N38" s="27">
        <v>17</v>
      </c>
      <c r="O38" s="27">
        <v>40</v>
      </c>
      <c r="P38" s="27">
        <v>95</v>
      </c>
      <c r="Q38" s="27">
        <v>45</v>
      </c>
      <c r="R38" s="27">
        <v>125</v>
      </c>
    </row>
    <row r="39" spans="1:18" s="20" customFormat="1" ht="14.25" customHeight="1" x14ac:dyDescent="0.2">
      <c r="A39" s="86" t="s">
        <v>8</v>
      </c>
      <c r="B39" s="28" t="s">
        <v>56</v>
      </c>
      <c r="C39" s="29" t="s">
        <v>2</v>
      </c>
      <c r="D39" s="21">
        <v>508</v>
      </c>
      <c r="E39" s="21">
        <v>203</v>
      </c>
      <c r="F39" s="21">
        <v>305</v>
      </c>
      <c r="G39" s="21">
        <v>31</v>
      </c>
      <c r="H39" s="21">
        <v>23</v>
      </c>
      <c r="I39" s="21">
        <v>21</v>
      </c>
      <c r="J39" s="21">
        <v>27</v>
      </c>
      <c r="K39" s="21">
        <v>35</v>
      </c>
      <c r="L39" s="21">
        <v>28</v>
      </c>
      <c r="M39" s="21">
        <v>32</v>
      </c>
      <c r="N39" s="21">
        <v>17</v>
      </c>
      <c r="O39" s="21">
        <v>40</v>
      </c>
      <c r="P39" s="21">
        <v>93</v>
      </c>
      <c r="Q39" s="21">
        <v>44</v>
      </c>
      <c r="R39" s="21">
        <v>117</v>
      </c>
    </row>
    <row r="40" spans="1:18" s="20" customFormat="1" ht="14.25" customHeight="1" x14ac:dyDescent="0.2">
      <c r="A40" s="87"/>
      <c r="B40" s="30" t="s">
        <v>57</v>
      </c>
      <c r="C40" s="31" t="s">
        <v>225</v>
      </c>
      <c r="D40" s="21">
        <v>20</v>
      </c>
      <c r="E40" s="21">
        <v>5</v>
      </c>
      <c r="F40" s="21">
        <v>15</v>
      </c>
      <c r="G40" s="21">
        <v>1</v>
      </c>
      <c r="H40" s="21">
        <v>2</v>
      </c>
      <c r="I40" s="21">
        <v>1</v>
      </c>
      <c r="J40" s="21">
        <v>3</v>
      </c>
      <c r="K40" s="21">
        <v>1</v>
      </c>
      <c r="L40" s="21">
        <v>0</v>
      </c>
      <c r="M40" s="21">
        <v>1</v>
      </c>
      <c r="N40" s="21">
        <v>0</v>
      </c>
      <c r="O40" s="21">
        <v>0</v>
      </c>
      <c r="P40" s="21">
        <v>2</v>
      </c>
      <c r="Q40" s="21">
        <v>1</v>
      </c>
      <c r="R40" s="21">
        <v>8</v>
      </c>
    </row>
    <row r="41" spans="1:18" s="20" customFormat="1" ht="14.25" customHeight="1" x14ac:dyDescent="0.2">
      <c r="A41" s="64" t="s">
        <v>198</v>
      </c>
      <c r="B41" s="25" t="s">
        <v>55</v>
      </c>
      <c r="C41" s="26" t="s">
        <v>0</v>
      </c>
      <c r="D41" s="27">
        <v>355</v>
      </c>
      <c r="E41" s="27">
        <v>147</v>
      </c>
      <c r="F41" s="27">
        <v>208</v>
      </c>
      <c r="G41" s="27">
        <v>17</v>
      </c>
      <c r="H41" s="27">
        <v>10</v>
      </c>
      <c r="I41" s="27">
        <v>19</v>
      </c>
      <c r="J41" s="27">
        <v>21</v>
      </c>
      <c r="K41" s="27">
        <v>25</v>
      </c>
      <c r="L41" s="27">
        <v>27</v>
      </c>
      <c r="M41" s="27">
        <v>25</v>
      </c>
      <c r="N41" s="27">
        <v>29</v>
      </c>
      <c r="O41" s="27">
        <v>24</v>
      </c>
      <c r="P41" s="27">
        <v>67</v>
      </c>
      <c r="Q41" s="27">
        <v>37</v>
      </c>
      <c r="R41" s="27">
        <v>54</v>
      </c>
    </row>
    <row r="42" spans="1:18" s="20" customFormat="1" ht="14.25" customHeight="1" x14ac:dyDescent="0.2">
      <c r="A42" s="86" t="s">
        <v>9</v>
      </c>
      <c r="B42" s="28" t="s">
        <v>56</v>
      </c>
      <c r="C42" s="29" t="s">
        <v>2</v>
      </c>
      <c r="D42" s="21">
        <v>297</v>
      </c>
      <c r="E42" s="21">
        <v>133</v>
      </c>
      <c r="F42" s="21">
        <v>164</v>
      </c>
      <c r="G42" s="21">
        <v>16</v>
      </c>
      <c r="H42" s="21">
        <v>9</v>
      </c>
      <c r="I42" s="21">
        <v>18</v>
      </c>
      <c r="J42" s="21">
        <v>20</v>
      </c>
      <c r="K42" s="21">
        <v>23</v>
      </c>
      <c r="L42" s="21">
        <v>23</v>
      </c>
      <c r="M42" s="21">
        <v>22</v>
      </c>
      <c r="N42" s="21">
        <v>18</v>
      </c>
      <c r="O42" s="21">
        <v>19</v>
      </c>
      <c r="P42" s="21">
        <v>50</v>
      </c>
      <c r="Q42" s="21">
        <v>35</v>
      </c>
      <c r="R42" s="21">
        <v>44</v>
      </c>
    </row>
    <row r="43" spans="1:18" s="20" customFormat="1" ht="14.25" customHeight="1" x14ac:dyDescent="0.2">
      <c r="A43" s="87"/>
      <c r="B43" s="30" t="s">
        <v>57</v>
      </c>
      <c r="C43" s="31" t="s">
        <v>225</v>
      </c>
      <c r="D43" s="21">
        <v>58</v>
      </c>
      <c r="E43" s="21">
        <v>14</v>
      </c>
      <c r="F43" s="21">
        <v>44</v>
      </c>
      <c r="G43" s="21">
        <v>1</v>
      </c>
      <c r="H43" s="21">
        <v>1</v>
      </c>
      <c r="I43" s="21">
        <v>1</v>
      </c>
      <c r="J43" s="21">
        <v>1</v>
      </c>
      <c r="K43" s="21">
        <v>2</v>
      </c>
      <c r="L43" s="21">
        <v>4</v>
      </c>
      <c r="M43" s="21">
        <v>3</v>
      </c>
      <c r="N43" s="21">
        <v>11</v>
      </c>
      <c r="O43" s="21">
        <v>5</v>
      </c>
      <c r="P43" s="21">
        <v>17</v>
      </c>
      <c r="Q43" s="21">
        <v>2</v>
      </c>
      <c r="R43" s="21">
        <v>10</v>
      </c>
    </row>
    <row r="44" spans="1:18" s="20" customFormat="1" ht="14.25" customHeight="1" x14ac:dyDescent="0.2">
      <c r="A44" s="64" t="s">
        <v>199</v>
      </c>
      <c r="B44" s="25" t="s">
        <v>55</v>
      </c>
      <c r="C44" s="26" t="s">
        <v>0</v>
      </c>
      <c r="D44" s="27">
        <v>294</v>
      </c>
      <c r="E44" s="27">
        <v>121</v>
      </c>
      <c r="F44" s="27">
        <v>173</v>
      </c>
      <c r="G44" s="27">
        <v>14</v>
      </c>
      <c r="H44" s="27">
        <v>18</v>
      </c>
      <c r="I44" s="27">
        <v>23</v>
      </c>
      <c r="J44" s="27">
        <v>16</v>
      </c>
      <c r="K44" s="27">
        <v>13</v>
      </c>
      <c r="L44" s="27">
        <v>13</v>
      </c>
      <c r="M44" s="27">
        <v>19</v>
      </c>
      <c r="N44" s="27">
        <v>31</v>
      </c>
      <c r="O44" s="27">
        <v>29</v>
      </c>
      <c r="P44" s="27">
        <v>46</v>
      </c>
      <c r="Q44" s="27">
        <v>23</v>
      </c>
      <c r="R44" s="27">
        <v>49</v>
      </c>
    </row>
    <row r="45" spans="1:18" s="20" customFormat="1" ht="14.25" customHeight="1" x14ac:dyDescent="0.2">
      <c r="A45" s="86" t="s">
        <v>10</v>
      </c>
      <c r="B45" s="28" t="s">
        <v>56</v>
      </c>
      <c r="C45" s="29" t="s">
        <v>2</v>
      </c>
      <c r="D45" s="21">
        <v>288</v>
      </c>
      <c r="E45" s="21">
        <v>117</v>
      </c>
      <c r="F45" s="21">
        <v>171</v>
      </c>
      <c r="G45" s="21">
        <v>14</v>
      </c>
      <c r="H45" s="21">
        <v>18</v>
      </c>
      <c r="I45" s="21">
        <v>23</v>
      </c>
      <c r="J45" s="21">
        <v>16</v>
      </c>
      <c r="K45" s="21">
        <v>13</v>
      </c>
      <c r="L45" s="21">
        <v>12</v>
      </c>
      <c r="M45" s="21">
        <v>18</v>
      </c>
      <c r="N45" s="21">
        <v>31</v>
      </c>
      <c r="O45" s="21">
        <v>27</v>
      </c>
      <c r="P45" s="21">
        <v>46</v>
      </c>
      <c r="Q45" s="21">
        <v>22</v>
      </c>
      <c r="R45" s="21">
        <v>48</v>
      </c>
    </row>
    <row r="46" spans="1:18" s="20" customFormat="1" ht="14.25" customHeight="1" x14ac:dyDescent="0.2">
      <c r="A46" s="87"/>
      <c r="B46" s="30" t="s">
        <v>57</v>
      </c>
      <c r="C46" s="31" t="s">
        <v>225</v>
      </c>
      <c r="D46" s="21">
        <v>6</v>
      </c>
      <c r="E46" s="21">
        <v>4</v>
      </c>
      <c r="F46" s="21">
        <v>2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1</v>
      </c>
      <c r="M46" s="21">
        <v>1</v>
      </c>
      <c r="N46" s="21">
        <v>0</v>
      </c>
      <c r="O46" s="21">
        <v>2</v>
      </c>
      <c r="P46" s="21">
        <v>0</v>
      </c>
      <c r="Q46" s="21">
        <v>1</v>
      </c>
      <c r="R46" s="21">
        <v>1</v>
      </c>
    </row>
    <row r="47" spans="1:18" s="20" customFormat="1" ht="14.25" customHeight="1" x14ac:dyDescent="0.2">
      <c r="A47" s="64" t="s">
        <v>200</v>
      </c>
      <c r="B47" s="25" t="s">
        <v>55</v>
      </c>
      <c r="C47" s="26" t="s">
        <v>0</v>
      </c>
      <c r="D47" s="27">
        <v>229</v>
      </c>
      <c r="E47" s="27">
        <v>90</v>
      </c>
      <c r="F47" s="27">
        <v>139</v>
      </c>
      <c r="G47" s="27">
        <v>10</v>
      </c>
      <c r="H47" s="27">
        <v>20</v>
      </c>
      <c r="I47" s="27">
        <v>23</v>
      </c>
      <c r="J47" s="27">
        <v>18</v>
      </c>
      <c r="K47" s="27">
        <v>5</v>
      </c>
      <c r="L47" s="27">
        <v>11</v>
      </c>
      <c r="M47" s="27">
        <v>14</v>
      </c>
      <c r="N47" s="27">
        <v>9</v>
      </c>
      <c r="O47" s="27">
        <v>12</v>
      </c>
      <c r="P47" s="27">
        <v>31</v>
      </c>
      <c r="Q47" s="27">
        <v>26</v>
      </c>
      <c r="R47" s="27">
        <v>50</v>
      </c>
    </row>
    <row r="48" spans="1:18" s="20" customFormat="1" ht="14.25" customHeight="1" x14ac:dyDescent="0.2">
      <c r="A48" s="86" t="s">
        <v>11</v>
      </c>
      <c r="B48" s="28" t="s">
        <v>56</v>
      </c>
      <c r="C48" s="29" t="s">
        <v>2</v>
      </c>
      <c r="D48" s="21">
        <v>220</v>
      </c>
      <c r="E48" s="21">
        <v>84</v>
      </c>
      <c r="F48" s="21">
        <v>136</v>
      </c>
      <c r="G48" s="21">
        <v>9</v>
      </c>
      <c r="H48" s="21">
        <v>20</v>
      </c>
      <c r="I48" s="21">
        <v>23</v>
      </c>
      <c r="J48" s="21">
        <v>18</v>
      </c>
      <c r="K48" s="21">
        <v>5</v>
      </c>
      <c r="L48" s="21">
        <v>11</v>
      </c>
      <c r="M48" s="21">
        <v>14</v>
      </c>
      <c r="N48" s="21">
        <v>9</v>
      </c>
      <c r="O48" s="21">
        <v>10</v>
      </c>
      <c r="P48" s="21">
        <v>30</v>
      </c>
      <c r="Q48" s="21">
        <v>23</v>
      </c>
      <c r="R48" s="21">
        <v>48</v>
      </c>
    </row>
    <row r="49" spans="1:18" s="20" customFormat="1" ht="14.25" customHeight="1" x14ac:dyDescent="0.2">
      <c r="A49" s="87"/>
      <c r="B49" s="30" t="s">
        <v>57</v>
      </c>
      <c r="C49" s="31" t="s">
        <v>225</v>
      </c>
      <c r="D49" s="21">
        <v>9</v>
      </c>
      <c r="E49" s="21">
        <v>6</v>
      </c>
      <c r="F49" s="21">
        <v>3</v>
      </c>
      <c r="G49" s="21">
        <v>1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2</v>
      </c>
      <c r="P49" s="21">
        <v>1</v>
      </c>
      <c r="Q49" s="21">
        <v>3</v>
      </c>
      <c r="R49" s="21">
        <v>2</v>
      </c>
    </row>
    <row r="50" spans="1:18" s="20" customFormat="1" ht="14.25" customHeight="1" x14ac:dyDescent="0.2">
      <c r="A50" s="64" t="s">
        <v>201</v>
      </c>
      <c r="B50" s="25" t="s">
        <v>55</v>
      </c>
      <c r="C50" s="26" t="s">
        <v>0</v>
      </c>
      <c r="D50" s="27">
        <v>635</v>
      </c>
      <c r="E50" s="27">
        <v>292</v>
      </c>
      <c r="F50" s="27">
        <v>343</v>
      </c>
      <c r="G50" s="27">
        <v>29</v>
      </c>
      <c r="H50" s="27">
        <v>25</v>
      </c>
      <c r="I50" s="27">
        <v>46</v>
      </c>
      <c r="J50" s="27">
        <v>27</v>
      </c>
      <c r="K50" s="27">
        <v>43</v>
      </c>
      <c r="L50" s="27">
        <v>34</v>
      </c>
      <c r="M50" s="27">
        <v>63</v>
      </c>
      <c r="N50" s="27">
        <v>41</v>
      </c>
      <c r="O50" s="27">
        <v>62</v>
      </c>
      <c r="P50" s="27">
        <v>108</v>
      </c>
      <c r="Q50" s="27">
        <v>49</v>
      </c>
      <c r="R50" s="27">
        <v>108</v>
      </c>
    </row>
    <row r="51" spans="1:18" s="20" customFormat="1" ht="14.25" customHeight="1" x14ac:dyDescent="0.2">
      <c r="A51" s="86" t="s">
        <v>12</v>
      </c>
      <c r="B51" s="28" t="s">
        <v>56</v>
      </c>
      <c r="C51" s="29" t="s">
        <v>2</v>
      </c>
      <c r="D51" s="21">
        <v>516</v>
      </c>
      <c r="E51" s="21">
        <v>253</v>
      </c>
      <c r="F51" s="21">
        <v>263</v>
      </c>
      <c r="G51" s="21">
        <v>25</v>
      </c>
      <c r="H51" s="21">
        <v>23</v>
      </c>
      <c r="I51" s="21">
        <v>36</v>
      </c>
      <c r="J51" s="21">
        <v>22</v>
      </c>
      <c r="K51" s="21">
        <v>40</v>
      </c>
      <c r="L51" s="21">
        <v>28</v>
      </c>
      <c r="M51" s="21">
        <v>51</v>
      </c>
      <c r="N51" s="21">
        <v>20</v>
      </c>
      <c r="O51" s="21">
        <v>56</v>
      </c>
      <c r="P51" s="21">
        <v>84</v>
      </c>
      <c r="Q51" s="21">
        <v>45</v>
      </c>
      <c r="R51" s="21">
        <v>86</v>
      </c>
    </row>
    <row r="52" spans="1:18" s="20" customFormat="1" ht="14.25" customHeight="1" x14ac:dyDescent="0.2">
      <c r="A52" s="87"/>
      <c r="B52" s="30" t="s">
        <v>57</v>
      </c>
      <c r="C52" s="31" t="s">
        <v>225</v>
      </c>
      <c r="D52" s="21">
        <v>119</v>
      </c>
      <c r="E52" s="21">
        <v>39</v>
      </c>
      <c r="F52" s="21">
        <v>80</v>
      </c>
      <c r="G52" s="21">
        <v>4</v>
      </c>
      <c r="H52" s="21">
        <v>2</v>
      </c>
      <c r="I52" s="21">
        <v>10</v>
      </c>
      <c r="J52" s="21">
        <v>5</v>
      </c>
      <c r="K52" s="21">
        <v>3</v>
      </c>
      <c r="L52" s="21">
        <v>6</v>
      </c>
      <c r="M52" s="21">
        <v>12</v>
      </c>
      <c r="N52" s="21">
        <v>21</v>
      </c>
      <c r="O52" s="21">
        <v>6</v>
      </c>
      <c r="P52" s="21">
        <v>24</v>
      </c>
      <c r="Q52" s="21">
        <v>4</v>
      </c>
      <c r="R52" s="21">
        <v>22</v>
      </c>
    </row>
    <row r="53" spans="1:18" s="20" customFormat="1" ht="14.25" customHeight="1" x14ac:dyDescent="0.2">
      <c r="A53" s="64" t="s">
        <v>202</v>
      </c>
      <c r="B53" s="25" t="s">
        <v>55</v>
      </c>
      <c r="C53" s="26" t="s">
        <v>0</v>
      </c>
      <c r="D53" s="27">
        <v>341</v>
      </c>
      <c r="E53" s="27">
        <v>129</v>
      </c>
      <c r="F53" s="27">
        <v>212</v>
      </c>
      <c r="G53" s="27">
        <v>13</v>
      </c>
      <c r="H53" s="27">
        <v>15</v>
      </c>
      <c r="I53" s="27">
        <v>22</v>
      </c>
      <c r="J53" s="27">
        <v>23</v>
      </c>
      <c r="K53" s="27">
        <v>11</v>
      </c>
      <c r="L53" s="27">
        <v>33</v>
      </c>
      <c r="M53" s="27">
        <v>28</v>
      </c>
      <c r="N53" s="27">
        <v>25</v>
      </c>
      <c r="O53" s="27">
        <v>27</v>
      </c>
      <c r="P53" s="27">
        <v>76</v>
      </c>
      <c r="Q53" s="27">
        <v>28</v>
      </c>
      <c r="R53" s="27">
        <v>40</v>
      </c>
    </row>
    <row r="54" spans="1:18" s="20" customFormat="1" ht="14.25" customHeight="1" x14ac:dyDescent="0.2">
      <c r="A54" s="86" t="s">
        <v>13</v>
      </c>
      <c r="B54" s="28" t="s">
        <v>56</v>
      </c>
      <c r="C54" s="29" t="s">
        <v>2</v>
      </c>
      <c r="D54" s="21">
        <v>111</v>
      </c>
      <c r="E54" s="21">
        <v>56</v>
      </c>
      <c r="F54" s="21">
        <v>55</v>
      </c>
      <c r="G54" s="21">
        <v>7</v>
      </c>
      <c r="H54" s="21">
        <v>5</v>
      </c>
      <c r="I54" s="21">
        <v>9</v>
      </c>
      <c r="J54" s="21">
        <v>5</v>
      </c>
      <c r="K54" s="21">
        <v>3</v>
      </c>
      <c r="L54" s="21">
        <v>5</v>
      </c>
      <c r="M54" s="21">
        <v>13</v>
      </c>
      <c r="N54" s="21">
        <v>6</v>
      </c>
      <c r="O54" s="21">
        <v>10</v>
      </c>
      <c r="P54" s="21">
        <v>17</v>
      </c>
      <c r="Q54" s="21">
        <v>14</v>
      </c>
      <c r="R54" s="21">
        <v>17</v>
      </c>
    </row>
    <row r="55" spans="1:18" s="20" customFormat="1" ht="14.25" customHeight="1" x14ac:dyDescent="0.2">
      <c r="A55" s="87"/>
      <c r="B55" s="30" t="s">
        <v>57</v>
      </c>
      <c r="C55" s="31" t="s">
        <v>225</v>
      </c>
      <c r="D55" s="21">
        <v>230</v>
      </c>
      <c r="E55" s="21">
        <v>73</v>
      </c>
      <c r="F55" s="21">
        <v>157</v>
      </c>
      <c r="G55" s="21">
        <v>6</v>
      </c>
      <c r="H55" s="21">
        <v>10</v>
      </c>
      <c r="I55" s="21">
        <v>13</v>
      </c>
      <c r="J55" s="21">
        <v>18</v>
      </c>
      <c r="K55" s="21">
        <v>8</v>
      </c>
      <c r="L55" s="21">
        <v>28</v>
      </c>
      <c r="M55" s="21">
        <v>15</v>
      </c>
      <c r="N55" s="21">
        <v>19</v>
      </c>
      <c r="O55" s="21">
        <v>17</v>
      </c>
      <c r="P55" s="21">
        <v>59</v>
      </c>
      <c r="Q55" s="21">
        <v>14</v>
      </c>
      <c r="R55" s="21">
        <v>23</v>
      </c>
    </row>
    <row r="56" spans="1:18" s="20" customFormat="1" ht="14.25" customHeight="1" x14ac:dyDescent="0.2">
      <c r="A56" s="64" t="s">
        <v>203</v>
      </c>
      <c r="B56" s="25" t="s">
        <v>55</v>
      </c>
      <c r="C56" s="26" t="s">
        <v>0</v>
      </c>
      <c r="D56" s="27">
        <v>280</v>
      </c>
      <c r="E56" s="27">
        <v>114</v>
      </c>
      <c r="F56" s="27">
        <v>166</v>
      </c>
      <c r="G56" s="27">
        <v>17</v>
      </c>
      <c r="H56" s="27">
        <v>8</v>
      </c>
      <c r="I56" s="27">
        <v>24</v>
      </c>
      <c r="J56" s="27">
        <v>16</v>
      </c>
      <c r="K56" s="27">
        <v>20</v>
      </c>
      <c r="L56" s="27">
        <v>19</v>
      </c>
      <c r="M56" s="27">
        <v>15</v>
      </c>
      <c r="N56" s="27">
        <v>9</v>
      </c>
      <c r="O56" s="27">
        <v>21</v>
      </c>
      <c r="P56" s="27">
        <v>75</v>
      </c>
      <c r="Q56" s="27">
        <v>17</v>
      </c>
      <c r="R56" s="27">
        <v>39</v>
      </c>
    </row>
    <row r="57" spans="1:18" s="20" customFormat="1" ht="14.25" customHeight="1" x14ac:dyDescent="0.2">
      <c r="A57" s="86" t="s">
        <v>14</v>
      </c>
      <c r="B57" s="28" t="s">
        <v>56</v>
      </c>
      <c r="C57" s="29" t="s">
        <v>2</v>
      </c>
      <c r="D57" s="21">
        <v>91</v>
      </c>
      <c r="E57" s="21">
        <v>38</v>
      </c>
      <c r="F57" s="21">
        <v>53</v>
      </c>
      <c r="G57" s="21">
        <v>4</v>
      </c>
      <c r="H57" s="21">
        <v>2</v>
      </c>
      <c r="I57" s="21">
        <v>11</v>
      </c>
      <c r="J57" s="21">
        <v>7</v>
      </c>
      <c r="K57" s="21">
        <v>1</v>
      </c>
      <c r="L57" s="21">
        <v>6</v>
      </c>
      <c r="M57" s="21">
        <v>3</v>
      </c>
      <c r="N57" s="21">
        <v>1</v>
      </c>
      <c r="O57" s="21">
        <v>11</v>
      </c>
      <c r="P57" s="21">
        <v>26</v>
      </c>
      <c r="Q57" s="21">
        <v>8</v>
      </c>
      <c r="R57" s="21">
        <v>11</v>
      </c>
    </row>
    <row r="58" spans="1:18" s="20" customFormat="1" ht="14.25" customHeight="1" x14ac:dyDescent="0.2">
      <c r="A58" s="87"/>
      <c r="B58" s="30" t="s">
        <v>57</v>
      </c>
      <c r="C58" s="31" t="s">
        <v>225</v>
      </c>
      <c r="D58" s="21">
        <v>189</v>
      </c>
      <c r="E58" s="21">
        <v>76</v>
      </c>
      <c r="F58" s="21">
        <v>113</v>
      </c>
      <c r="G58" s="21">
        <v>13</v>
      </c>
      <c r="H58" s="21">
        <v>6</v>
      </c>
      <c r="I58" s="21">
        <v>13</v>
      </c>
      <c r="J58" s="21">
        <v>9</v>
      </c>
      <c r="K58" s="21">
        <v>19</v>
      </c>
      <c r="L58" s="21">
        <v>13</v>
      </c>
      <c r="M58" s="21">
        <v>12</v>
      </c>
      <c r="N58" s="21">
        <v>8</v>
      </c>
      <c r="O58" s="21">
        <v>10</v>
      </c>
      <c r="P58" s="21">
        <v>49</v>
      </c>
      <c r="Q58" s="21">
        <v>9</v>
      </c>
      <c r="R58" s="21">
        <v>28</v>
      </c>
    </row>
    <row r="59" spans="1:18" s="20" customFormat="1" ht="14.25" customHeight="1" x14ac:dyDescent="0.2">
      <c r="A59" s="64" t="s">
        <v>204</v>
      </c>
      <c r="B59" s="25" t="s">
        <v>55</v>
      </c>
      <c r="C59" s="26" t="s">
        <v>0</v>
      </c>
      <c r="D59" s="27">
        <v>36</v>
      </c>
      <c r="E59" s="27">
        <v>9</v>
      </c>
      <c r="F59" s="27">
        <v>27</v>
      </c>
      <c r="G59" s="27">
        <v>0</v>
      </c>
      <c r="H59" s="27">
        <v>0</v>
      </c>
      <c r="I59" s="27">
        <v>3</v>
      </c>
      <c r="J59" s="27">
        <v>1</v>
      </c>
      <c r="K59" s="27">
        <v>3</v>
      </c>
      <c r="L59" s="27">
        <v>3</v>
      </c>
      <c r="M59" s="27">
        <v>2</v>
      </c>
      <c r="N59" s="27">
        <v>2</v>
      </c>
      <c r="O59" s="27">
        <v>0</v>
      </c>
      <c r="P59" s="27">
        <v>8</v>
      </c>
      <c r="Q59" s="27">
        <v>1</v>
      </c>
      <c r="R59" s="27">
        <v>13</v>
      </c>
    </row>
    <row r="60" spans="1:18" s="20" customFormat="1" ht="14.25" customHeight="1" x14ac:dyDescent="0.2">
      <c r="A60" s="86" t="s">
        <v>15</v>
      </c>
      <c r="B60" s="28" t="s">
        <v>56</v>
      </c>
      <c r="C60" s="29" t="s">
        <v>2</v>
      </c>
      <c r="D60" s="21">
        <v>36</v>
      </c>
      <c r="E60" s="21">
        <v>9</v>
      </c>
      <c r="F60" s="21">
        <v>27</v>
      </c>
      <c r="G60" s="21">
        <v>0</v>
      </c>
      <c r="H60" s="21">
        <v>0</v>
      </c>
      <c r="I60" s="21">
        <v>3</v>
      </c>
      <c r="J60" s="21">
        <v>1</v>
      </c>
      <c r="K60" s="21">
        <v>3</v>
      </c>
      <c r="L60" s="21">
        <v>3</v>
      </c>
      <c r="M60" s="21">
        <v>2</v>
      </c>
      <c r="N60" s="21">
        <v>2</v>
      </c>
      <c r="O60" s="21">
        <v>0</v>
      </c>
      <c r="P60" s="21">
        <v>8</v>
      </c>
      <c r="Q60" s="21">
        <v>1</v>
      </c>
      <c r="R60" s="21">
        <v>13</v>
      </c>
    </row>
    <row r="61" spans="1:18" s="20" customFormat="1" ht="14.25" customHeight="1" x14ac:dyDescent="0.2">
      <c r="A61" s="87"/>
      <c r="B61" s="30" t="s">
        <v>57</v>
      </c>
      <c r="C61" s="31" t="s">
        <v>225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</row>
    <row r="62" spans="1:18" s="20" customFormat="1" ht="14.25" customHeight="1" x14ac:dyDescent="0.2">
      <c r="A62" s="64" t="s">
        <v>205</v>
      </c>
      <c r="B62" s="25" t="s">
        <v>55</v>
      </c>
      <c r="C62" s="26" t="s">
        <v>0</v>
      </c>
      <c r="D62" s="27">
        <v>298</v>
      </c>
      <c r="E62" s="27">
        <v>117</v>
      </c>
      <c r="F62" s="27">
        <v>181</v>
      </c>
      <c r="G62" s="27">
        <v>15</v>
      </c>
      <c r="H62" s="27">
        <v>7</v>
      </c>
      <c r="I62" s="27">
        <v>13</v>
      </c>
      <c r="J62" s="27">
        <v>9</v>
      </c>
      <c r="K62" s="27">
        <v>10</v>
      </c>
      <c r="L62" s="27">
        <v>17</v>
      </c>
      <c r="M62" s="27">
        <v>20</v>
      </c>
      <c r="N62" s="27">
        <v>9</v>
      </c>
      <c r="O62" s="27">
        <v>39</v>
      </c>
      <c r="P62" s="27">
        <v>77</v>
      </c>
      <c r="Q62" s="27">
        <v>20</v>
      </c>
      <c r="R62" s="27">
        <v>62</v>
      </c>
    </row>
    <row r="63" spans="1:18" s="20" customFormat="1" ht="14.25" customHeight="1" x14ac:dyDescent="0.2">
      <c r="A63" s="86" t="s">
        <v>16</v>
      </c>
      <c r="B63" s="28" t="s">
        <v>56</v>
      </c>
      <c r="C63" s="29" t="s">
        <v>2</v>
      </c>
      <c r="D63" s="21">
        <v>266</v>
      </c>
      <c r="E63" s="21">
        <v>108</v>
      </c>
      <c r="F63" s="21">
        <v>158</v>
      </c>
      <c r="G63" s="21">
        <v>14</v>
      </c>
      <c r="H63" s="21">
        <v>6</v>
      </c>
      <c r="I63" s="21">
        <v>10</v>
      </c>
      <c r="J63" s="21">
        <v>8</v>
      </c>
      <c r="K63" s="21">
        <v>10</v>
      </c>
      <c r="L63" s="21">
        <v>16</v>
      </c>
      <c r="M63" s="21">
        <v>20</v>
      </c>
      <c r="N63" s="21">
        <v>7</v>
      </c>
      <c r="O63" s="21">
        <v>37</v>
      </c>
      <c r="P63" s="21">
        <v>63</v>
      </c>
      <c r="Q63" s="21">
        <v>17</v>
      </c>
      <c r="R63" s="21">
        <v>58</v>
      </c>
    </row>
    <row r="64" spans="1:18" s="20" customFormat="1" ht="14.25" customHeight="1" x14ac:dyDescent="0.2">
      <c r="A64" s="87"/>
      <c r="B64" s="30" t="s">
        <v>57</v>
      </c>
      <c r="C64" s="31" t="s">
        <v>225</v>
      </c>
      <c r="D64" s="21">
        <v>32</v>
      </c>
      <c r="E64" s="21">
        <v>9</v>
      </c>
      <c r="F64" s="21">
        <v>23</v>
      </c>
      <c r="G64" s="21">
        <v>1</v>
      </c>
      <c r="H64" s="21">
        <v>1</v>
      </c>
      <c r="I64" s="21">
        <v>3</v>
      </c>
      <c r="J64" s="21">
        <v>1</v>
      </c>
      <c r="K64" s="21">
        <v>0</v>
      </c>
      <c r="L64" s="21">
        <v>1</v>
      </c>
      <c r="M64" s="21">
        <v>0</v>
      </c>
      <c r="N64" s="21">
        <v>2</v>
      </c>
      <c r="O64" s="21">
        <v>2</v>
      </c>
      <c r="P64" s="21">
        <v>14</v>
      </c>
      <c r="Q64" s="21">
        <v>3</v>
      </c>
      <c r="R64" s="21">
        <v>4</v>
      </c>
    </row>
    <row r="65" spans="1:18" s="20" customFormat="1" ht="14.25" customHeight="1" x14ac:dyDescent="0.2">
      <c r="A65" s="64" t="s">
        <v>206</v>
      </c>
      <c r="B65" s="25" t="s">
        <v>55</v>
      </c>
      <c r="C65" s="26" t="s">
        <v>0</v>
      </c>
      <c r="D65" s="27">
        <v>164</v>
      </c>
      <c r="E65" s="27">
        <v>46</v>
      </c>
      <c r="F65" s="27">
        <v>118</v>
      </c>
      <c r="G65" s="27">
        <v>11</v>
      </c>
      <c r="H65" s="27">
        <v>5</v>
      </c>
      <c r="I65" s="27">
        <v>4</v>
      </c>
      <c r="J65" s="27">
        <v>7</v>
      </c>
      <c r="K65" s="27">
        <v>8</v>
      </c>
      <c r="L65" s="27">
        <v>12</v>
      </c>
      <c r="M65" s="27">
        <v>5</v>
      </c>
      <c r="N65" s="27">
        <v>10</v>
      </c>
      <c r="O65" s="27">
        <v>12</v>
      </c>
      <c r="P65" s="27">
        <v>50</v>
      </c>
      <c r="Q65" s="27">
        <v>6</v>
      </c>
      <c r="R65" s="27">
        <v>34</v>
      </c>
    </row>
    <row r="66" spans="1:18" s="20" customFormat="1" ht="14.25" customHeight="1" x14ac:dyDescent="0.2">
      <c r="A66" s="86" t="s">
        <v>17</v>
      </c>
      <c r="B66" s="28" t="s">
        <v>56</v>
      </c>
      <c r="C66" s="29" t="s">
        <v>2</v>
      </c>
      <c r="D66" s="21">
        <v>144</v>
      </c>
      <c r="E66" s="21">
        <v>39</v>
      </c>
      <c r="F66" s="21">
        <v>105</v>
      </c>
      <c r="G66" s="21">
        <v>9</v>
      </c>
      <c r="H66" s="21">
        <v>5</v>
      </c>
      <c r="I66" s="21">
        <v>4</v>
      </c>
      <c r="J66" s="21">
        <v>6</v>
      </c>
      <c r="K66" s="21">
        <v>7</v>
      </c>
      <c r="L66" s="21">
        <v>10</v>
      </c>
      <c r="M66" s="21">
        <v>4</v>
      </c>
      <c r="N66" s="21">
        <v>8</v>
      </c>
      <c r="O66" s="21">
        <v>10</v>
      </c>
      <c r="P66" s="21">
        <v>44</v>
      </c>
      <c r="Q66" s="21">
        <v>5</v>
      </c>
      <c r="R66" s="21">
        <v>32</v>
      </c>
    </row>
    <row r="67" spans="1:18" s="20" customFormat="1" ht="14.25" customHeight="1" x14ac:dyDescent="0.2">
      <c r="A67" s="87"/>
      <c r="B67" s="30" t="s">
        <v>57</v>
      </c>
      <c r="C67" s="31" t="s">
        <v>225</v>
      </c>
      <c r="D67" s="21">
        <v>20</v>
      </c>
      <c r="E67" s="21">
        <v>7</v>
      </c>
      <c r="F67" s="21">
        <v>13</v>
      </c>
      <c r="G67" s="21">
        <v>2</v>
      </c>
      <c r="H67" s="21">
        <v>0</v>
      </c>
      <c r="I67" s="21">
        <v>0</v>
      </c>
      <c r="J67" s="21">
        <v>1</v>
      </c>
      <c r="K67" s="21">
        <v>1</v>
      </c>
      <c r="L67" s="21">
        <v>2</v>
      </c>
      <c r="M67" s="21">
        <v>1</v>
      </c>
      <c r="N67" s="21">
        <v>2</v>
      </c>
      <c r="O67" s="21">
        <v>2</v>
      </c>
      <c r="P67" s="21">
        <v>6</v>
      </c>
      <c r="Q67" s="21">
        <v>1</v>
      </c>
      <c r="R67" s="21">
        <v>2</v>
      </c>
    </row>
    <row r="68" spans="1:18" s="20" customFormat="1" ht="14.25" customHeight="1" x14ac:dyDescent="0.2">
      <c r="A68" s="64" t="s">
        <v>207</v>
      </c>
      <c r="B68" s="25" t="s">
        <v>55</v>
      </c>
      <c r="C68" s="26" t="s">
        <v>0</v>
      </c>
      <c r="D68" s="27">
        <v>116</v>
      </c>
      <c r="E68" s="27">
        <v>56</v>
      </c>
      <c r="F68" s="27">
        <v>60</v>
      </c>
      <c r="G68" s="27">
        <v>8</v>
      </c>
      <c r="H68" s="27">
        <v>6</v>
      </c>
      <c r="I68" s="27">
        <v>8</v>
      </c>
      <c r="J68" s="27">
        <v>7</v>
      </c>
      <c r="K68" s="27">
        <v>12</v>
      </c>
      <c r="L68" s="27">
        <v>6</v>
      </c>
      <c r="M68" s="27">
        <v>6</v>
      </c>
      <c r="N68" s="27">
        <v>7</v>
      </c>
      <c r="O68" s="27">
        <v>10</v>
      </c>
      <c r="P68" s="27">
        <v>17</v>
      </c>
      <c r="Q68" s="27">
        <v>12</v>
      </c>
      <c r="R68" s="27">
        <v>17</v>
      </c>
    </row>
    <row r="69" spans="1:18" s="20" customFormat="1" ht="14.25" customHeight="1" x14ac:dyDescent="0.2">
      <c r="A69" s="86" t="s">
        <v>18</v>
      </c>
      <c r="B69" s="28" t="s">
        <v>56</v>
      </c>
      <c r="C69" s="29" t="s">
        <v>2</v>
      </c>
      <c r="D69" s="21">
        <v>113</v>
      </c>
      <c r="E69" s="21">
        <v>56</v>
      </c>
      <c r="F69" s="21">
        <v>57</v>
      </c>
      <c r="G69" s="21">
        <v>8</v>
      </c>
      <c r="H69" s="21">
        <v>6</v>
      </c>
      <c r="I69" s="21">
        <v>8</v>
      </c>
      <c r="J69" s="21">
        <v>7</v>
      </c>
      <c r="K69" s="21">
        <v>12</v>
      </c>
      <c r="L69" s="21">
        <v>5</v>
      </c>
      <c r="M69" s="21">
        <v>6</v>
      </c>
      <c r="N69" s="21">
        <v>6</v>
      </c>
      <c r="O69" s="21">
        <v>10</v>
      </c>
      <c r="P69" s="21">
        <v>16</v>
      </c>
      <c r="Q69" s="21">
        <v>12</v>
      </c>
      <c r="R69" s="21">
        <v>17</v>
      </c>
    </row>
    <row r="70" spans="1:18" s="20" customFormat="1" ht="14.25" customHeight="1" x14ac:dyDescent="0.2">
      <c r="A70" s="87"/>
      <c r="B70" s="30" t="s">
        <v>57</v>
      </c>
      <c r="C70" s="31" t="s">
        <v>225</v>
      </c>
      <c r="D70" s="21">
        <v>3</v>
      </c>
      <c r="E70" s="21">
        <v>0</v>
      </c>
      <c r="F70" s="21">
        <v>3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1</v>
      </c>
      <c r="M70" s="21">
        <v>0</v>
      </c>
      <c r="N70" s="21">
        <v>1</v>
      </c>
      <c r="O70" s="21">
        <v>0</v>
      </c>
      <c r="P70" s="21">
        <v>1</v>
      </c>
      <c r="Q70" s="21">
        <v>0</v>
      </c>
      <c r="R70" s="21">
        <v>0</v>
      </c>
    </row>
    <row r="71" spans="1:18" s="20" customFormat="1" ht="14.25" customHeight="1" x14ac:dyDescent="0.2">
      <c r="A71" s="64" t="s">
        <v>208</v>
      </c>
      <c r="B71" s="25" t="s">
        <v>55</v>
      </c>
      <c r="C71" s="26" t="s">
        <v>0</v>
      </c>
      <c r="D71" s="27">
        <v>42</v>
      </c>
      <c r="E71" s="27">
        <v>23</v>
      </c>
      <c r="F71" s="27">
        <v>19</v>
      </c>
      <c r="G71" s="27">
        <v>0</v>
      </c>
      <c r="H71" s="27">
        <v>3</v>
      </c>
      <c r="I71" s="27">
        <v>4</v>
      </c>
      <c r="J71" s="27">
        <v>0</v>
      </c>
      <c r="K71" s="27">
        <v>3</v>
      </c>
      <c r="L71" s="27">
        <v>1</v>
      </c>
      <c r="M71" s="27">
        <v>5</v>
      </c>
      <c r="N71" s="27">
        <v>1</v>
      </c>
      <c r="O71" s="27">
        <v>5</v>
      </c>
      <c r="P71" s="27">
        <v>2</v>
      </c>
      <c r="Q71" s="27">
        <v>6</v>
      </c>
      <c r="R71" s="27">
        <v>12</v>
      </c>
    </row>
    <row r="72" spans="1:18" s="20" customFormat="1" ht="14.25" customHeight="1" x14ac:dyDescent="0.2">
      <c r="A72" s="86" t="s">
        <v>19</v>
      </c>
      <c r="B72" s="28" t="s">
        <v>56</v>
      </c>
      <c r="C72" s="29" t="s">
        <v>2</v>
      </c>
      <c r="D72" s="21">
        <v>41</v>
      </c>
      <c r="E72" s="21">
        <v>23</v>
      </c>
      <c r="F72" s="21">
        <v>18</v>
      </c>
      <c r="G72" s="21">
        <v>0</v>
      </c>
      <c r="H72" s="21">
        <v>3</v>
      </c>
      <c r="I72" s="21">
        <v>4</v>
      </c>
      <c r="J72" s="21">
        <v>0</v>
      </c>
      <c r="K72" s="21">
        <v>3</v>
      </c>
      <c r="L72" s="21">
        <v>1</v>
      </c>
      <c r="M72" s="21">
        <v>5</v>
      </c>
      <c r="N72" s="21">
        <v>1</v>
      </c>
      <c r="O72" s="21">
        <v>5</v>
      </c>
      <c r="P72" s="21">
        <v>1</v>
      </c>
      <c r="Q72" s="21">
        <v>6</v>
      </c>
      <c r="R72" s="21">
        <v>12</v>
      </c>
    </row>
    <row r="73" spans="1:18" s="20" customFormat="1" ht="14.25" customHeight="1" x14ac:dyDescent="0.2">
      <c r="A73" s="87"/>
      <c r="B73" s="30" t="s">
        <v>57</v>
      </c>
      <c r="C73" s="31" t="s">
        <v>225</v>
      </c>
      <c r="D73" s="21">
        <v>1</v>
      </c>
      <c r="E73" s="21">
        <v>0</v>
      </c>
      <c r="F73" s="21">
        <v>1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1</v>
      </c>
      <c r="Q73" s="21">
        <v>0</v>
      </c>
      <c r="R73" s="21">
        <v>0</v>
      </c>
    </row>
    <row r="74" spans="1:18" s="20" customFormat="1" ht="14.25" customHeight="1" x14ac:dyDescent="0.2">
      <c r="A74" s="64" t="s">
        <v>209</v>
      </c>
      <c r="B74" s="25" t="s">
        <v>55</v>
      </c>
      <c r="C74" s="26" t="s">
        <v>0</v>
      </c>
      <c r="D74" s="27">
        <v>9</v>
      </c>
      <c r="E74" s="27">
        <v>6</v>
      </c>
      <c r="F74" s="27">
        <v>3</v>
      </c>
      <c r="G74" s="27">
        <v>0</v>
      </c>
      <c r="H74" s="27">
        <v>0</v>
      </c>
      <c r="I74" s="27">
        <v>0</v>
      </c>
      <c r="J74" s="27">
        <v>1</v>
      </c>
      <c r="K74" s="27">
        <v>1</v>
      </c>
      <c r="L74" s="27">
        <v>1</v>
      </c>
      <c r="M74" s="27">
        <v>1</v>
      </c>
      <c r="N74" s="27">
        <v>0</v>
      </c>
      <c r="O74" s="27">
        <v>2</v>
      </c>
      <c r="P74" s="27">
        <v>1</v>
      </c>
      <c r="Q74" s="27">
        <v>2</v>
      </c>
      <c r="R74" s="27">
        <v>0</v>
      </c>
    </row>
    <row r="75" spans="1:18" s="20" customFormat="1" ht="14.25" customHeight="1" x14ac:dyDescent="0.2">
      <c r="A75" s="86" t="s">
        <v>20</v>
      </c>
      <c r="B75" s="28" t="s">
        <v>56</v>
      </c>
      <c r="C75" s="29" t="s">
        <v>2</v>
      </c>
      <c r="D75" s="21">
        <v>8</v>
      </c>
      <c r="E75" s="21">
        <v>6</v>
      </c>
      <c r="F75" s="21">
        <v>2</v>
      </c>
      <c r="G75" s="21">
        <v>0</v>
      </c>
      <c r="H75" s="21">
        <v>0</v>
      </c>
      <c r="I75" s="21">
        <v>0</v>
      </c>
      <c r="J75" s="21">
        <v>0</v>
      </c>
      <c r="K75" s="21">
        <v>1</v>
      </c>
      <c r="L75" s="21">
        <v>1</v>
      </c>
      <c r="M75" s="21">
        <v>1</v>
      </c>
      <c r="N75" s="21">
        <v>0</v>
      </c>
      <c r="O75" s="21">
        <v>2</v>
      </c>
      <c r="P75" s="21">
        <v>1</v>
      </c>
      <c r="Q75" s="21">
        <v>2</v>
      </c>
      <c r="R75" s="21">
        <v>0</v>
      </c>
    </row>
    <row r="76" spans="1:18" s="20" customFormat="1" ht="14.25" customHeight="1" x14ac:dyDescent="0.2">
      <c r="A76" s="87"/>
      <c r="B76" s="30" t="s">
        <v>57</v>
      </c>
      <c r="C76" s="31" t="s">
        <v>225</v>
      </c>
      <c r="D76" s="22">
        <v>1</v>
      </c>
      <c r="E76" s="22">
        <v>0</v>
      </c>
      <c r="F76" s="22">
        <v>1</v>
      </c>
      <c r="G76" s="22">
        <v>0</v>
      </c>
      <c r="H76" s="22">
        <v>0</v>
      </c>
      <c r="I76" s="22">
        <v>0</v>
      </c>
      <c r="J76" s="22">
        <v>1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</row>
    <row r="77" spans="1:18" s="17" customFormat="1" ht="14.25" customHeight="1" x14ac:dyDescent="0.2">
      <c r="A77" s="17" t="s">
        <v>80</v>
      </c>
    </row>
    <row r="78" spans="1:18" s="17" customFormat="1" ht="14.25" customHeight="1" x14ac:dyDescent="0.2">
      <c r="A78" s="23" t="s">
        <v>24</v>
      </c>
    </row>
    <row r="79" spans="1:18" s="17" customFormat="1" ht="14.25" customHeight="1" x14ac:dyDescent="0.2">
      <c r="A79" s="4"/>
    </row>
    <row r="80" spans="1:18" s="17" customFormat="1" ht="14.25" customHeight="1" x14ac:dyDescent="0.2">
      <c r="A80" s="17" t="s">
        <v>182</v>
      </c>
    </row>
  </sheetData>
  <mergeCells count="47">
    <mergeCell ref="P6:P7"/>
    <mergeCell ref="E6:E7"/>
    <mergeCell ref="F6:F7"/>
    <mergeCell ref="G6:G7"/>
    <mergeCell ref="H6:H7"/>
    <mergeCell ref="Q6:Q7"/>
    <mergeCell ref="R6:R7"/>
    <mergeCell ref="A9:A10"/>
    <mergeCell ref="M6:M7"/>
    <mergeCell ref="N6:N7"/>
    <mergeCell ref="A4:C7"/>
    <mergeCell ref="D4:R4"/>
    <mergeCell ref="D5:F5"/>
    <mergeCell ref="G5:H5"/>
    <mergeCell ref="I5:J5"/>
    <mergeCell ref="K5:L5"/>
    <mergeCell ref="M5:N5"/>
    <mergeCell ref="O5:P5"/>
    <mergeCell ref="Q5:R5"/>
    <mergeCell ref="D6:D7"/>
    <mergeCell ref="O6:O7"/>
    <mergeCell ref="A12:A13"/>
    <mergeCell ref="A15:A16"/>
    <mergeCell ref="A18:A19"/>
    <mergeCell ref="K6:K7"/>
    <mergeCell ref="L6:L7"/>
    <mergeCell ref="I6:I7"/>
    <mergeCell ref="J6:J7"/>
    <mergeCell ref="A21:A22"/>
    <mergeCell ref="A24:A25"/>
    <mergeCell ref="A27:A28"/>
    <mergeCell ref="A30:A31"/>
    <mergeCell ref="A33:A34"/>
    <mergeCell ref="A36:A37"/>
    <mergeCell ref="A39:A40"/>
    <mergeCell ref="A42:A43"/>
    <mergeCell ref="A45:A46"/>
    <mergeCell ref="A48:A49"/>
    <mergeCell ref="A51:A52"/>
    <mergeCell ref="A54:A55"/>
    <mergeCell ref="A75:A76"/>
    <mergeCell ref="A57:A58"/>
    <mergeCell ref="A60:A61"/>
    <mergeCell ref="A63:A64"/>
    <mergeCell ref="A66:A67"/>
    <mergeCell ref="A69:A70"/>
    <mergeCell ref="A72:A73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 alignWithMargins="0">
    <oddHeader>&amp;L&amp;"微軟正黑體,標準"&amp;16兒童及少年保護執行概況&amp;C&amp;"微軟正黑體,標準"&amp;16
&amp;R&amp;"微軟正黑體,標準"本表共&amp;N頁，第&amp;P頁</oddHeader>
  </headerFooter>
  <rowBreaks count="1" manualBreakCount="1">
    <brk id="43" max="17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80"/>
  <sheetViews>
    <sheetView zoomScaleNormal="100" zoomScaleSheetLayoutView="100" workbookViewId="0">
      <pane xSplit="4" ySplit="8" topLeftCell="E9" activePane="bottomRight" state="frozen"/>
      <selection activeCell="A3" sqref="A3"/>
      <selection pane="topRight" activeCell="A3" sqref="A3"/>
      <selection pane="bottomLeft" activeCell="A3" sqref="A3"/>
      <selection pane="bottomRight" activeCell="A3" sqref="A3"/>
    </sheetView>
  </sheetViews>
  <sheetFormatPr defaultColWidth="5.5" defaultRowHeight="11.1" customHeight="1" x14ac:dyDescent="0.2"/>
  <cols>
    <col min="1" max="1" width="19.1640625" style="4" customWidth="1"/>
    <col min="2" max="2" width="10.33203125" style="4" customWidth="1"/>
    <col min="3" max="3" width="13.1640625" style="4" customWidth="1"/>
    <col min="4" max="18" width="11.5" style="4" customWidth="1"/>
    <col min="19" max="16384" width="5.5" style="4"/>
  </cols>
  <sheetData>
    <row r="1" spans="1:18" ht="20.25" customHeight="1" x14ac:dyDescent="0.2">
      <c r="A1" s="46" t="s">
        <v>175</v>
      </c>
      <c r="B1" s="1"/>
      <c r="C1" s="1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4.25" customHeight="1" x14ac:dyDescent="0.2">
      <c r="A2" s="17" t="s">
        <v>148</v>
      </c>
      <c r="B2"/>
      <c r="C2"/>
      <c r="D2" s="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</row>
    <row r="3" spans="1:18" s="17" customFormat="1" ht="12.75" customHeight="1" x14ac:dyDescent="0.25">
      <c r="A3" s="15" t="s">
        <v>172</v>
      </c>
      <c r="B3" s="16"/>
      <c r="C3" s="16"/>
    </row>
    <row r="4" spans="1:18" s="18" customFormat="1" ht="15.6" customHeight="1" x14ac:dyDescent="0.2">
      <c r="A4" s="94" t="s">
        <v>42</v>
      </c>
      <c r="B4" s="95"/>
      <c r="C4" s="96"/>
      <c r="D4" s="76" t="s">
        <v>43</v>
      </c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</row>
    <row r="5" spans="1:18" s="18" customFormat="1" ht="28.9" customHeight="1" x14ac:dyDescent="0.2">
      <c r="A5" s="97"/>
      <c r="B5" s="98"/>
      <c r="C5" s="99"/>
      <c r="D5" s="78" t="s">
        <v>44</v>
      </c>
      <c r="E5" s="79"/>
      <c r="F5" s="80"/>
      <c r="G5" s="103" t="s">
        <v>45</v>
      </c>
      <c r="H5" s="104"/>
      <c r="I5" s="103" t="s">
        <v>46</v>
      </c>
      <c r="J5" s="104"/>
      <c r="K5" s="103" t="s">
        <v>47</v>
      </c>
      <c r="L5" s="104"/>
      <c r="M5" s="103" t="s">
        <v>48</v>
      </c>
      <c r="N5" s="104"/>
      <c r="O5" s="103" t="s">
        <v>49</v>
      </c>
      <c r="P5" s="104"/>
      <c r="Q5" s="103" t="s">
        <v>50</v>
      </c>
      <c r="R5" s="105"/>
    </row>
    <row r="6" spans="1:18" s="18" customFormat="1" ht="12.75" x14ac:dyDescent="0.2">
      <c r="A6" s="97"/>
      <c r="B6" s="98"/>
      <c r="C6" s="99"/>
      <c r="D6" s="72" t="s">
        <v>51</v>
      </c>
      <c r="E6" s="92" t="s">
        <v>52</v>
      </c>
      <c r="F6" s="90" t="s">
        <v>53</v>
      </c>
      <c r="G6" s="90" t="s">
        <v>52</v>
      </c>
      <c r="H6" s="90" t="s">
        <v>53</v>
      </c>
      <c r="I6" s="90" t="s">
        <v>52</v>
      </c>
      <c r="J6" s="90" t="s">
        <v>53</v>
      </c>
      <c r="K6" s="90" t="s">
        <v>52</v>
      </c>
      <c r="L6" s="90" t="s">
        <v>53</v>
      </c>
      <c r="M6" s="90" t="s">
        <v>52</v>
      </c>
      <c r="N6" s="90" t="s">
        <v>53</v>
      </c>
      <c r="O6" s="90" t="s">
        <v>52</v>
      </c>
      <c r="P6" s="90" t="s">
        <v>53</v>
      </c>
      <c r="Q6" s="90" t="s">
        <v>52</v>
      </c>
      <c r="R6" s="94" t="s">
        <v>53</v>
      </c>
    </row>
    <row r="7" spans="1:18" s="19" customFormat="1" ht="12.75" x14ac:dyDescent="0.2">
      <c r="A7" s="100"/>
      <c r="B7" s="101"/>
      <c r="C7" s="102"/>
      <c r="D7" s="75"/>
      <c r="E7" s="93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100"/>
    </row>
    <row r="8" spans="1:18" s="59" customFormat="1" ht="18" customHeight="1" x14ac:dyDescent="0.2">
      <c r="A8" s="63" t="s">
        <v>186</v>
      </c>
      <c r="B8" s="56" t="s">
        <v>191</v>
      </c>
      <c r="C8" s="57" t="s">
        <v>0</v>
      </c>
      <c r="D8" s="58">
        <v>11113</v>
      </c>
      <c r="E8" s="58">
        <v>4832</v>
      </c>
      <c r="F8" s="58">
        <v>6281</v>
      </c>
      <c r="G8" s="58">
        <v>565</v>
      </c>
      <c r="H8" s="58">
        <v>449</v>
      </c>
      <c r="I8" s="58">
        <v>634</v>
      </c>
      <c r="J8" s="58">
        <v>596</v>
      </c>
      <c r="K8" s="58">
        <v>955</v>
      </c>
      <c r="L8" s="58">
        <v>667</v>
      </c>
      <c r="M8" s="58">
        <v>917</v>
      </c>
      <c r="N8" s="58">
        <v>676</v>
      </c>
      <c r="O8" s="58">
        <v>946</v>
      </c>
      <c r="P8" s="58">
        <v>2010</v>
      </c>
      <c r="Q8" s="58">
        <v>815</v>
      </c>
      <c r="R8" s="58">
        <v>1883</v>
      </c>
    </row>
    <row r="9" spans="1:18" s="59" customFormat="1" ht="14.25" customHeight="1" x14ac:dyDescent="0.2">
      <c r="A9" s="88" t="s">
        <v>1</v>
      </c>
      <c r="B9" s="60" t="s">
        <v>190</v>
      </c>
      <c r="C9" s="61" t="s">
        <v>2</v>
      </c>
      <c r="D9" s="62">
        <v>9983</v>
      </c>
      <c r="E9" s="62">
        <v>4389</v>
      </c>
      <c r="F9" s="62">
        <v>5594</v>
      </c>
      <c r="G9" s="62">
        <v>512</v>
      </c>
      <c r="H9" s="62">
        <v>411</v>
      </c>
      <c r="I9" s="62">
        <v>557</v>
      </c>
      <c r="J9" s="62">
        <v>522</v>
      </c>
      <c r="K9" s="62">
        <v>849</v>
      </c>
      <c r="L9" s="62">
        <v>586</v>
      </c>
      <c r="M9" s="62">
        <v>853</v>
      </c>
      <c r="N9" s="62">
        <v>579</v>
      </c>
      <c r="O9" s="62">
        <v>871</v>
      </c>
      <c r="P9" s="62">
        <v>1751</v>
      </c>
      <c r="Q9" s="62">
        <v>747</v>
      </c>
      <c r="R9" s="62">
        <v>1745</v>
      </c>
    </row>
    <row r="10" spans="1:18" s="59" customFormat="1" ht="14.25" customHeight="1" x14ac:dyDescent="0.2">
      <c r="A10" s="89"/>
      <c r="B10" s="60" t="s">
        <v>192</v>
      </c>
      <c r="C10" s="61" t="s">
        <v>225</v>
      </c>
      <c r="D10" s="62">
        <v>1130</v>
      </c>
      <c r="E10" s="62">
        <v>443</v>
      </c>
      <c r="F10" s="62">
        <v>687</v>
      </c>
      <c r="G10" s="62">
        <v>53</v>
      </c>
      <c r="H10" s="62">
        <v>38</v>
      </c>
      <c r="I10" s="62">
        <v>77</v>
      </c>
      <c r="J10" s="62">
        <v>74</v>
      </c>
      <c r="K10" s="62">
        <v>106</v>
      </c>
      <c r="L10" s="62">
        <v>81</v>
      </c>
      <c r="M10" s="62">
        <v>64</v>
      </c>
      <c r="N10" s="62">
        <v>97</v>
      </c>
      <c r="O10" s="62">
        <v>75</v>
      </c>
      <c r="P10" s="62">
        <v>259</v>
      </c>
      <c r="Q10" s="62">
        <v>68</v>
      </c>
      <c r="R10" s="62">
        <v>138</v>
      </c>
    </row>
    <row r="11" spans="1:18" s="20" customFormat="1" ht="14.25" customHeight="1" x14ac:dyDescent="0.2">
      <c r="A11" s="64" t="s">
        <v>210</v>
      </c>
      <c r="B11" s="25" t="s">
        <v>55</v>
      </c>
      <c r="C11" s="26" t="s">
        <v>0</v>
      </c>
      <c r="D11" s="27">
        <v>1956</v>
      </c>
      <c r="E11" s="27">
        <v>850</v>
      </c>
      <c r="F11" s="27">
        <v>1106</v>
      </c>
      <c r="G11" s="27">
        <v>63</v>
      </c>
      <c r="H11" s="27">
        <v>51</v>
      </c>
      <c r="I11" s="27">
        <v>78</v>
      </c>
      <c r="J11" s="27">
        <v>81</v>
      </c>
      <c r="K11" s="27">
        <v>153</v>
      </c>
      <c r="L11" s="27">
        <v>119</v>
      </c>
      <c r="M11" s="27">
        <v>221</v>
      </c>
      <c r="N11" s="27">
        <v>120</v>
      </c>
      <c r="O11" s="27">
        <v>195</v>
      </c>
      <c r="P11" s="27">
        <v>403</v>
      </c>
      <c r="Q11" s="27">
        <v>140</v>
      </c>
      <c r="R11" s="27">
        <v>332</v>
      </c>
    </row>
    <row r="12" spans="1:18" s="20" customFormat="1" ht="14.25" customHeight="1" x14ac:dyDescent="0.2">
      <c r="A12" s="86" t="s">
        <v>3</v>
      </c>
      <c r="B12" s="28" t="s">
        <v>56</v>
      </c>
      <c r="C12" s="29" t="s">
        <v>2</v>
      </c>
      <c r="D12" s="21">
        <v>1851</v>
      </c>
      <c r="E12" s="21">
        <v>802</v>
      </c>
      <c r="F12" s="21">
        <v>1049</v>
      </c>
      <c r="G12" s="21">
        <v>58</v>
      </c>
      <c r="H12" s="21">
        <v>51</v>
      </c>
      <c r="I12" s="21">
        <v>63</v>
      </c>
      <c r="J12" s="21">
        <v>77</v>
      </c>
      <c r="K12" s="21">
        <v>143</v>
      </c>
      <c r="L12" s="21">
        <v>110</v>
      </c>
      <c r="M12" s="21">
        <v>214</v>
      </c>
      <c r="N12" s="21">
        <v>107</v>
      </c>
      <c r="O12" s="21">
        <v>193</v>
      </c>
      <c r="P12" s="21">
        <v>387</v>
      </c>
      <c r="Q12" s="21">
        <v>131</v>
      </c>
      <c r="R12" s="21">
        <v>317</v>
      </c>
    </row>
    <row r="13" spans="1:18" s="20" customFormat="1" ht="14.25" customHeight="1" x14ac:dyDescent="0.2">
      <c r="A13" s="87"/>
      <c r="B13" s="28" t="s">
        <v>57</v>
      </c>
      <c r="C13" s="29" t="s">
        <v>225</v>
      </c>
      <c r="D13" s="21">
        <v>105</v>
      </c>
      <c r="E13" s="21">
        <v>48</v>
      </c>
      <c r="F13" s="21">
        <v>57</v>
      </c>
      <c r="G13" s="21">
        <v>5</v>
      </c>
      <c r="H13" s="21">
        <v>0</v>
      </c>
      <c r="I13" s="21">
        <v>15</v>
      </c>
      <c r="J13" s="21">
        <v>4</v>
      </c>
      <c r="K13" s="21">
        <v>10</v>
      </c>
      <c r="L13" s="21">
        <v>9</v>
      </c>
      <c r="M13" s="21">
        <v>7</v>
      </c>
      <c r="N13" s="21">
        <v>13</v>
      </c>
      <c r="O13" s="21">
        <v>2</v>
      </c>
      <c r="P13" s="21">
        <v>16</v>
      </c>
      <c r="Q13" s="21">
        <v>9</v>
      </c>
      <c r="R13" s="21">
        <v>15</v>
      </c>
    </row>
    <row r="14" spans="1:18" s="20" customFormat="1" ht="14.25" customHeight="1" x14ac:dyDescent="0.2">
      <c r="A14" s="64" t="s">
        <v>211</v>
      </c>
      <c r="B14" s="25" t="s">
        <v>55</v>
      </c>
      <c r="C14" s="26" t="s">
        <v>0</v>
      </c>
      <c r="D14" s="27">
        <v>829</v>
      </c>
      <c r="E14" s="27">
        <v>380</v>
      </c>
      <c r="F14" s="27">
        <v>449</v>
      </c>
      <c r="G14" s="27">
        <v>40</v>
      </c>
      <c r="H14" s="27">
        <v>22</v>
      </c>
      <c r="I14" s="27">
        <v>46</v>
      </c>
      <c r="J14" s="27">
        <v>42</v>
      </c>
      <c r="K14" s="27">
        <v>86</v>
      </c>
      <c r="L14" s="27">
        <v>30</v>
      </c>
      <c r="M14" s="27">
        <v>75</v>
      </c>
      <c r="N14" s="27">
        <v>51</v>
      </c>
      <c r="O14" s="27">
        <v>69</v>
      </c>
      <c r="P14" s="27">
        <v>156</v>
      </c>
      <c r="Q14" s="27">
        <v>64</v>
      </c>
      <c r="R14" s="27">
        <v>148</v>
      </c>
    </row>
    <row r="15" spans="1:18" s="20" customFormat="1" ht="14.25" customHeight="1" x14ac:dyDescent="0.2">
      <c r="A15" s="86" t="s">
        <v>4</v>
      </c>
      <c r="B15" s="28" t="s">
        <v>56</v>
      </c>
      <c r="C15" s="29" t="s">
        <v>2</v>
      </c>
      <c r="D15" s="21">
        <v>807</v>
      </c>
      <c r="E15" s="21">
        <v>374</v>
      </c>
      <c r="F15" s="21">
        <v>433</v>
      </c>
      <c r="G15" s="21">
        <v>40</v>
      </c>
      <c r="H15" s="21">
        <v>22</v>
      </c>
      <c r="I15" s="21">
        <v>46</v>
      </c>
      <c r="J15" s="21">
        <v>42</v>
      </c>
      <c r="K15" s="21">
        <v>85</v>
      </c>
      <c r="L15" s="21">
        <v>30</v>
      </c>
      <c r="M15" s="21">
        <v>74</v>
      </c>
      <c r="N15" s="21">
        <v>48</v>
      </c>
      <c r="O15" s="21">
        <v>65</v>
      </c>
      <c r="P15" s="21">
        <v>147</v>
      </c>
      <c r="Q15" s="21">
        <v>64</v>
      </c>
      <c r="R15" s="21">
        <v>144</v>
      </c>
    </row>
    <row r="16" spans="1:18" s="20" customFormat="1" ht="14.25" customHeight="1" x14ac:dyDescent="0.2">
      <c r="A16" s="87"/>
      <c r="B16" s="30" t="s">
        <v>57</v>
      </c>
      <c r="C16" s="31" t="s">
        <v>225</v>
      </c>
      <c r="D16" s="21">
        <v>22</v>
      </c>
      <c r="E16" s="21">
        <v>6</v>
      </c>
      <c r="F16" s="21">
        <v>16</v>
      </c>
      <c r="G16" s="21">
        <v>0</v>
      </c>
      <c r="H16" s="21">
        <v>0</v>
      </c>
      <c r="I16" s="21">
        <v>0</v>
      </c>
      <c r="J16" s="21">
        <v>0</v>
      </c>
      <c r="K16" s="21">
        <v>1</v>
      </c>
      <c r="L16" s="21">
        <v>0</v>
      </c>
      <c r="M16" s="21">
        <v>1</v>
      </c>
      <c r="N16" s="21">
        <v>3</v>
      </c>
      <c r="O16" s="21">
        <v>4</v>
      </c>
      <c r="P16" s="21">
        <v>9</v>
      </c>
      <c r="Q16" s="21">
        <v>0</v>
      </c>
      <c r="R16" s="21">
        <v>4</v>
      </c>
    </row>
    <row r="17" spans="1:18" s="20" customFormat="1" ht="14.25" customHeight="1" x14ac:dyDescent="0.2">
      <c r="A17" s="64" t="s">
        <v>212</v>
      </c>
      <c r="B17" s="25" t="s">
        <v>55</v>
      </c>
      <c r="C17" s="26" t="s">
        <v>0</v>
      </c>
      <c r="D17" s="27">
        <v>1592</v>
      </c>
      <c r="E17" s="27">
        <v>752</v>
      </c>
      <c r="F17" s="27">
        <v>840</v>
      </c>
      <c r="G17" s="27">
        <v>87</v>
      </c>
      <c r="H17" s="27">
        <v>55</v>
      </c>
      <c r="I17" s="27">
        <v>116</v>
      </c>
      <c r="J17" s="27">
        <v>89</v>
      </c>
      <c r="K17" s="27">
        <v>159</v>
      </c>
      <c r="L17" s="27">
        <v>92</v>
      </c>
      <c r="M17" s="27">
        <v>140</v>
      </c>
      <c r="N17" s="27">
        <v>73</v>
      </c>
      <c r="O17" s="27">
        <v>131</v>
      </c>
      <c r="P17" s="27">
        <v>268</v>
      </c>
      <c r="Q17" s="27">
        <v>119</v>
      </c>
      <c r="R17" s="27">
        <v>263</v>
      </c>
    </row>
    <row r="18" spans="1:18" s="20" customFormat="1" ht="14.25" customHeight="1" x14ac:dyDescent="0.2">
      <c r="A18" s="86" t="s">
        <v>25</v>
      </c>
      <c r="B18" s="28" t="s">
        <v>56</v>
      </c>
      <c r="C18" s="29" t="s">
        <v>2</v>
      </c>
      <c r="D18" s="21">
        <v>1361</v>
      </c>
      <c r="E18" s="21">
        <v>641</v>
      </c>
      <c r="F18" s="21">
        <v>720</v>
      </c>
      <c r="G18" s="21">
        <v>76</v>
      </c>
      <c r="H18" s="21">
        <v>47</v>
      </c>
      <c r="I18" s="21">
        <v>95</v>
      </c>
      <c r="J18" s="21">
        <v>71</v>
      </c>
      <c r="K18" s="21">
        <v>129</v>
      </c>
      <c r="L18" s="21">
        <v>80</v>
      </c>
      <c r="M18" s="21">
        <v>121</v>
      </c>
      <c r="N18" s="21">
        <v>63</v>
      </c>
      <c r="O18" s="21">
        <v>118</v>
      </c>
      <c r="P18" s="21">
        <v>215</v>
      </c>
      <c r="Q18" s="21">
        <v>102</v>
      </c>
      <c r="R18" s="21">
        <v>244</v>
      </c>
    </row>
    <row r="19" spans="1:18" s="20" customFormat="1" ht="14.25" customHeight="1" x14ac:dyDescent="0.2">
      <c r="A19" s="87"/>
      <c r="B19" s="30" t="s">
        <v>57</v>
      </c>
      <c r="C19" s="31" t="s">
        <v>225</v>
      </c>
      <c r="D19" s="21">
        <v>231</v>
      </c>
      <c r="E19" s="21">
        <v>111</v>
      </c>
      <c r="F19" s="21">
        <v>120</v>
      </c>
      <c r="G19" s="21">
        <v>11</v>
      </c>
      <c r="H19" s="21">
        <v>8</v>
      </c>
      <c r="I19" s="21">
        <v>21</v>
      </c>
      <c r="J19" s="21">
        <v>18</v>
      </c>
      <c r="K19" s="21">
        <v>30</v>
      </c>
      <c r="L19" s="21">
        <v>12</v>
      </c>
      <c r="M19" s="21">
        <v>19</v>
      </c>
      <c r="N19" s="21">
        <v>10</v>
      </c>
      <c r="O19" s="21">
        <v>13</v>
      </c>
      <c r="P19" s="21">
        <v>53</v>
      </c>
      <c r="Q19" s="21">
        <v>17</v>
      </c>
      <c r="R19" s="21">
        <v>19</v>
      </c>
    </row>
    <row r="20" spans="1:18" s="20" customFormat="1" ht="14.25" customHeight="1" x14ac:dyDescent="0.2">
      <c r="A20" s="64" t="s">
        <v>213</v>
      </c>
      <c r="B20" s="25" t="s">
        <v>55</v>
      </c>
      <c r="C20" s="26" t="s">
        <v>0</v>
      </c>
      <c r="D20" s="27">
        <v>1185</v>
      </c>
      <c r="E20" s="27">
        <v>494</v>
      </c>
      <c r="F20" s="27">
        <v>691</v>
      </c>
      <c r="G20" s="27">
        <v>69</v>
      </c>
      <c r="H20" s="27">
        <v>68</v>
      </c>
      <c r="I20" s="27">
        <v>86</v>
      </c>
      <c r="J20" s="27">
        <v>86</v>
      </c>
      <c r="K20" s="27">
        <v>87</v>
      </c>
      <c r="L20" s="27">
        <v>81</v>
      </c>
      <c r="M20" s="27">
        <v>90</v>
      </c>
      <c r="N20" s="27">
        <v>63</v>
      </c>
      <c r="O20" s="27">
        <v>94</v>
      </c>
      <c r="P20" s="27">
        <v>165</v>
      </c>
      <c r="Q20" s="27">
        <v>68</v>
      </c>
      <c r="R20" s="27">
        <v>228</v>
      </c>
    </row>
    <row r="21" spans="1:18" s="20" customFormat="1" ht="14.25" customHeight="1" x14ac:dyDescent="0.2">
      <c r="A21" s="86" t="s">
        <v>21</v>
      </c>
      <c r="B21" s="28" t="s">
        <v>56</v>
      </c>
      <c r="C21" s="29" t="s">
        <v>2</v>
      </c>
      <c r="D21" s="21">
        <v>1109</v>
      </c>
      <c r="E21" s="21">
        <v>463</v>
      </c>
      <c r="F21" s="21">
        <v>646</v>
      </c>
      <c r="G21" s="21">
        <v>62</v>
      </c>
      <c r="H21" s="21">
        <v>63</v>
      </c>
      <c r="I21" s="21">
        <v>75</v>
      </c>
      <c r="J21" s="21">
        <v>81</v>
      </c>
      <c r="K21" s="21">
        <v>84</v>
      </c>
      <c r="L21" s="21">
        <v>75</v>
      </c>
      <c r="M21" s="21">
        <v>85</v>
      </c>
      <c r="N21" s="21">
        <v>57</v>
      </c>
      <c r="O21" s="21">
        <v>90</v>
      </c>
      <c r="P21" s="21">
        <v>154</v>
      </c>
      <c r="Q21" s="21">
        <v>67</v>
      </c>
      <c r="R21" s="21">
        <v>216</v>
      </c>
    </row>
    <row r="22" spans="1:18" s="20" customFormat="1" ht="14.25" customHeight="1" x14ac:dyDescent="0.2">
      <c r="A22" s="87"/>
      <c r="B22" s="30" t="s">
        <v>57</v>
      </c>
      <c r="C22" s="31" t="s">
        <v>225</v>
      </c>
      <c r="D22" s="21">
        <v>76</v>
      </c>
      <c r="E22" s="21">
        <v>31</v>
      </c>
      <c r="F22" s="21">
        <v>45</v>
      </c>
      <c r="G22" s="21">
        <v>7</v>
      </c>
      <c r="H22" s="21">
        <v>5</v>
      </c>
      <c r="I22" s="21">
        <v>11</v>
      </c>
      <c r="J22" s="21">
        <v>5</v>
      </c>
      <c r="K22" s="21">
        <v>3</v>
      </c>
      <c r="L22" s="21">
        <v>6</v>
      </c>
      <c r="M22" s="21">
        <v>5</v>
      </c>
      <c r="N22" s="21">
        <v>6</v>
      </c>
      <c r="O22" s="21">
        <v>4</v>
      </c>
      <c r="P22" s="21">
        <v>11</v>
      </c>
      <c r="Q22" s="21">
        <v>1</v>
      </c>
      <c r="R22" s="21">
        <v>12</v>
      </c>
    </row>
    <row r="23" spans="1:18" s="20" customFormat="1" ht="14.25" customHeight="1" x14ac:dyDescent="0.2">
      <c r="A23" s="64" t="s">
        <v>214</v>
      </c>
      <c r="B23" s="25" t="s">
        <v>55</v>
      </c>
      <c r="C23" s="26" t="s">
        <v>0</v>
      </c>
      <c r="D23" s="27">
        <v>688</v>
      </c>
      <c r="E23" s="27">
        <v>274</v>
      </c>
      <c r="F23" s="27">
        <v>414</v>
      </c>
      <c r="G23" s="27">
        <v>37</v>
      </c>
      <c r="H23" s="27">
        <v>29</v>
      </c>
      <c r="I23" s="27">
        <v>36</v>
      </c>
      <c r="J23" s="27">
        <v>39</v>
      </c>
      <c r="K23" s="27">
        <v>67</v>
      </c>
      <c r="L23" s="27">
        <v>37</v>
      </c>
      <c r="M23" s="27">
        <v>56</v>
      </c>
      <c r="N23" s="27">
        <v>50</v>
      </c>
      <c r="O23" s="27">
        <v>56</v>
      </c>
      <c r="P23" s="27">
        <v>132</v>
      </c>
      <c r="Q23" s="27">
        <v>22</v>
      </c>
      <c r="R23" s="27">
        <v>127</v>
      </c>
    </row>
    <row r="24" spans="1:18" s="20" customFormat="1" ht="14.25" customHeight="1" x14ac:dyDescent="0.2">
      <c r="A24" s="86" t="s">
        <v>22</v>
      </c>
      <c r="B24" s="28" t="s">
        <v>56</v>
      </c>
      <c r="C24" s="29" t="s">
        <v>2</v>
      </c>
      <c r="D24" s="21">
        <v>672</v>
      </c>
      <c r="E24" s="21">
        <v>271</v>
      </c>
      <c r="F24" s="21">
        <v>401</v>
      </c>
      <c r="G24" s="21">
        <v>37</v>
      </c>
      <c r="H24" s="21">
        <v>29</v>
      </c>
      <c r="I24" s="21">
        <v>36</v>
      </c>
      <c r="J24" s="21">
        <v>36</v>
      </c>
      <c r="K24" s="21">
        <v>65</v>
      </c>
      <c r="L24" s="21">
        <v>37</v>
      </c>
      <c r="M24" s="21">
        <v>55</v>
      </c>
      <c r="N24" s="21">
        <v>48</v>
      </c>
      <c r="O24" s="21">
        <v>56</v>
      </c>
      <c r="P24" s="21">
        <v>128</v>
      </c>
      <c r="Q24" s="21">
        <v>22</v>
      </c>
      <c r="R24" s="21">
        <v>123</v>
      </c>
    </row>
    <row r="25" spans="1:18" s="20" customFormat="1" ht="14.25" customHeight="1" x14ac:dyDescent="0.2">
      <c r="A25" s="87"/>
      <c r="B25" s="30" t="s">
        <v>57</v>
      </c>
      <c r="C25" s="31" t="s">
        <v>225</v>
      </c>
      <c r="D25" s="21">
        <v>16</v>
      </c>
      <c r="E25" s="21">
        <v>3</v>
      </c>
      <c r="F25" s="21">
        <v>13</v>
      </c>
      <c r="G25" s="21">
        <v>0</v>
      </c>
      <c r="H25" s="21">
        <v>0</v>
      </c>
      <c r="I25" s="21">
        <v>0</v>
      </c>
      <c r="J25" s="21">
        <v>3</v>
      </c>
      <c r="K25" s="21">
        <v>2</v>
      </c>
      <c r="L25" s="21">
        <v>0</v>
      </c>
      <c r="M25" s="21">
        <v>1</v>
      </c>
      <c r="N25" s="21">
        <v>2</v>
      </c>
      <c r="O25" s="21">
        <v>0</v>
      </c>
      <c r="P25" s="21">
        <v>4</v>
      </c>
      <c r="Q25" s="21">
        <v>0</v>
      </c>
      <c r="R25" s="21">
        <v>4</v>
      </c>
    </row>
    <row r="26" spans="1:18" s="20" customFormat="1" ht="14.25" customHeight="1" x14ac:dyDescent="0.2">
      <c r="A26" s="64" t="s">
        <v>215</v>
      </c>
      <c r="B26" s="25" t="s">
        <v>55</v>
      </c>
      <c r="C26" s="26" t="s">
        <v>0</v>
      </c>
      <c r="D26" s="27">
        <v>1566</v>
      </c>
      <c r="E26" s="27">
        <v>711</v>
      </c>
      <c r="F26" s="27">
        <v>855</v>
      </c>
      <c r="G26" s="27">
        <v>96</v>
      </c>
      <c r="H26" s="27">
        <v>90</v>
      </c>
      <c r="I26" s="27">
        <v>85</v>
      </c>
      <c r="J26" s="27">
        <v>101</v>
      </c>
      <c r="K26" s="27">
        <v>156</v>
      </c>
      <c r="L26" s="27">
        <v>99</v>
      </c>
      <c r="M26" s="27">
        <v>123</v>
      </c>
      <c r="N26" s="27">
        <v>111</v>
      </c>
      <c r="O26" s="27">
        <v>154</v>
      </c>
      <c r="P26" s="27">
        <v>246</v>
      </c>
      <c r="Q26" s="27">
        <v>97</v>
      </c>
      <c r="R26" s="27">
        <v>208</v>
      </c>
    </row>
    <row r="27" spans="1:18" s="20" customFormat="1" ht="14.25" customHeight="1" x14ac:dyDescent="0.2">
      <c r="A27" s="86" t="s">
        <v>23</v>
      </c>
      <c r="B27" s="28" t="s">
        <v>56</v>
      </c>
      <c r="C27" s="29" t="s">
        <v>2</v>
      </c>
      <c r="D27" s="21">
        <v>1442</v>
      </c>
      <c r="E27" s="21">
        <v>671</v>
      </c>
      <c r="F27" s="21">
        <v>771</v>
      </c>
      <c r="G27" s="21">
        <v>92</v>
      </c>
      <c r="H27" s="21">
        <v>85</v>
      </c>
      <c r="I27" s="21">
        <v>82</v>
      </c>
      <c r="J27" s="21">
        <v>89</v>
      </c>
      <c r="K27" s="21">
        <v>138</v>
      </c>
      <c r="L27" s="21">
        <v>92</v>
      </c>
      <c r="M27" s="21">
        <v>119</v>
      </c>
      <c r="N27" s="21">
        <v>96</v>
      </c>
      <c r="O27" s="21">
        <v>146</v>
      </c>
      <c r="P27" s="21">
        <v>222</v>
      </c>
      <c r="Q27" s="21">
        <v>94</v>
      </c>
      <c r="R27" s="21">
        <v>187</v>
      </c>
    </row>
    <row r="28" spans="1:18" s="20" customFormat="1" ht="14.25" customHeight="1" x14ac:dyDescent="0.2">
      <c r="A28" s="87"/>
      <c r="B28" s="30" t="s">
        <v>57</v>
      </c>
      <c r="C28" s="31" t="s">
        <v>225</v>
      </c>
      <c r="D28" s="21">
        <v>124</v>
      </c>
      <c r="E28" s="21">
        <v>40</v>
      </c>
      <c r="F28" s="21">
        <v>84</v>
      </c>
      <c r="G28" s="21">
        <v>4</v>
      </c>
      <c r="H28" s="21">
        <v>5</v>
      </c>
      <c r="I28" s="21">
        <v>3</v>
      </c>
      <c r="J28" s="21">
        <v>12</v>
      </c>
      <c r="K28" s="21">
        <v>18</v>
      </c>
      <c r="L28" s="21">
        <v>7</v>
      </c>
      <c r="M28" s="21">
        <v>4</v>
      </c>
      <c r="N28" s="21">
        <v>15</v>
      </c>
      <c r="O28" s="21">
        <v>8</v>
      </c>
      <c r="P28" s="21">
        <v>24</v>
      </c>
      <c r="Q28" s="21">
        <v>3</v>
      </c>
      <c r="R28" s="21">
        <v>21</v>
      </c>
    </row>
    <row r="29" spans="1:18" s="20" customFormat="1" ht="14.25" customHeight="1" x14ac:dyDescent="0.2">
      <c r="A29" s="64" t="s">
        <v>194</v>
      </c>
      <c r="B29" s="25" t="s">
        <v>55</v>
      </c>
      <c r="C29" s="26" t="s">
        <v>0</v>
      </c>
      <c r="D29" s="27">
        <v>169</v>
      </c>
      <c r="E29" s="27">
        <v>63</v>
      </c>
      <c r="F29" s="27">
        <v>106</v>
      </c>
      <c r="G29" s="27">
        <v>8</v>
      </c>
      <c r="H29" s="27">
        <v>5</v>
      </c>
      <c r="I29" s="27">
        <v>8</v>
      </c>
      <c r="J29" s="27">
        <v>2</v>
      </c>
      <c r="K29" s="27">
        <v>9</v>
      </c>
      <c r="L29" s="27">
        <v>9</v>
      </c>
      <c r="M29" s="27">
        <v>4</v>
      </c>
      <c r="N29" s="27">
        <v>6</v>
      </c>
      <c r="O29" s="27">
        <v>13</v>
      </c>
      <c r="P29" s="27">
        <v>44</v>
      </c>
      <c r="Q29" s="27">
        <v>21</v>
      </c>
      <c r="R29" s="27">
        <v>40</v>
      </c>
    </row>
    <row r="30" spans="1:18" s="20" customFormat="1" ht="14.25" customHeight="1" x14ac:dyDescent="0.2">
      <c r="A30" s="86" t="s">
        <v>5</v>
      </c>
      <c r="B30" s="28" t="s">
        <v>56</v>
      </c>
      <c r="C30" s="29" t="s">
        <v>2</v>
      </c>
      <c r="D30" s="21">
        <v>150</v>
      </c>
      <c r="E30" s="21">
        <v>57</v>
      </c>
      <c r="F30" s="21">
        <v>93</v>
      </c>
      <c r="G30" s="21">
        <v>6</v>
      </c>
      <c r="H30" s="21">
        <v>3</v>
      </c>
      <c r="I30" s="21">
        <v>8</v>
      </c>
      <c r="J30" s="21">
        <v>2</v>
      </c>
      <c r="K30" s="21">
        <v>7</v>
      </c>
      <c r="L30" s="21">
        <v>9</v>
      </c>
      <c r="M30" s="21">
        <v>4</v>
      </c>
      <c r="N30" s="21">
        <v>5</v>
      </c>
      <c r="O30" s="21">
        <v>12</v>
      </c>
      <c r="P30" s="21">
        <v>38</v>
      </c>
      <c r="Q30" s="21">
        <v>20</v>
      </c>
      <c r="R30" s="21">
        <v>36</v>
      </c>
    </row>
    <row r="31" spans="1:18" s="20" customFormat="1" ht="14.25" customHeight="1" x14ac:dyDescent="0.2">
      <c r="A31" s="87"/>
      <c r="B31" s="30" t="s">
        <v>57</v>
      </c>
      <c r="C31" s="31" t="s">
        <v>225</v>
      </c>
      <c r="D31" s="21">
        <v>19</v>
      </c>
      <c r="E31" s="21">
        <v>6</v>
      </c>
      <c r="F31" s="21">
        <v>13</v>
      </c>
      <c r="G31" s="21">
        <v>2</v>
      </c>
      <c r="H31" s="21">
        <v>2</v>
      </c>
      <c r="I31" s="21">
        <v>0</v>
      </c>
      <c r="J31" s="21">
        <v>0</v>
      </c>
      <c r="K31" s="21">
        <v>2</v>
      </c>
      <c r="L31" s="21">
        <v>0</v>
      </c>
      <c r="M31" s="21">
        <v>0</v>
      </c>
      <c r="N31" s="21">
        <v>1</v>
      </c>
      <c r="O31" s="21">
        <v>1</v>
      </c>
      <c r="P31" s="21">
        <v>6</v>
      </c>
      <c r="Q31" s="21">
        <v>1</v>
      </c>
      <c r="R31" s="21">
        <v>4</v>
      </c>
    </row>
    <row r="32" spans="1:18" s="20" customFormat="1" ht="14.25" customHeight="1" x14ac:dyDescent="0.2">
      <c r="A32" s="64" t="s">
        <v>195</v>
      </c>
      <c r="B32" s="25" t="s">
        <v>55</v>
      </c>
      <c r="C32" s="26" t="s">
        <v>0</v>
      </c>
      <c r="D32" s="27">
        <v>334</v>
      </c>
      <c r="E32" s="27">
        <v>139</v>
      </c>
      <c r="F32" s="27">
        <v>195</v>
      </c>
      <c r="G32" s="27">
        <v>14</v>
      </c>
      <c r="H32" s="27">
        <v>13</v>
      </c>
      <c r="I32" s="27">
        <v>13</v>
      </c>
      <c r="J32" s="27">
        <v>14</v>
      </c>
      <c r="K32" s="27">
        <v>29</v>
      </c>
      <c r="L32" s="27">
        <v>25</v>
      </c>
      <c r="M32" s="27">
        <v>34</v>
      </c>
      <c r="N32" s="27">
        <v>32</v>
      </c>
      <c r="O32" s="27">
        <v>34</v>
      </c>
      <c r="P32" s="27">
        <v>69</v>
      </c>
      <c r="Q32" s="27">
        <v>15</v>
      </c>
      <c r="R32" s="27">
        <v>42</v>
      </c>
    </row>
    <row r="33" spans="1:18" s="20" customFormat="1" ht="14.25" customHeight="1" x14ac:dyDescent="0.2">
      <c r="A33" s="86" t="s">
        <v>6</v>
      </c>
      <c r="B33" s="28" t="s">
        <v>56</v>
      </c>
      <c r="C33" s="29" t="s">
        <v>2</v>
      </c>
      <c r="D33" s="21">
        <v>258</v>
      </c>
      <c r="E33" s="21">
        <v>114</v>
      </c>
      <c r="F33" s="21">
        <v>144</v>
      </c>
      <c r="G33" s="21">
        <v>10</v>
      </c>
      <c r="H33" s="21">
        <v>11</v>
      </c>
      <c r="I33" s="21">
        <v>10</v>
      </c>
      <c r="J33" s="21">
        <v>5</v>
      </c>
      <c r="K33" s="21">
        <v>24</v>
      </c>
      <c r="L33" s="21">
        <v>22</v>
      </c>
      <c r="M33" s="21">
        <v>30</v>
      </c>
      <c r="N33" s="21">
        <v>25</v>
      </c>
      <c r="O33" s="21">
        <v>26</v>
      </c>
      <c r="P33" s="21">
        <v>45</v>
      </c>
      <c r="Q33" s="21">
        <v>14</v>
      </c>
      <c r="R33" s="21">
        <v>36</v>
      </c>
    </row>
    <row r="34" spans="1:18" s="20" customFormat="1" ht="14.25" customHeight="1" x14ac:dyDescent="0.2">
      <c r="A34" s="87"/>
      <c r="B34" s="30" t="s">
        <v>57</v>
      </c>
      <c r="C34" s="31" t="s">
        <v>225</v>
      </c>
      <c r="D34" s="21">
        <v>76</v>
      </c>
      <c r="E34" s="21">
        <v>25</v>
      </c>
      <c r="F34" s="21">
        <v>51</v>
      </c>
      <c r="G34" s="21">
        <v>4</v>
      </c>
      <c r="H34" s="21">
        <v>2</v>
      </c>
      <c r="I34" s="21">
        <v>3</v>
      </c>
      <c r="J34" s="21">
        <v>9</v>
      </c>
      <c r="K34" s="21">
        <v>5</v>
      </c>
      <c r="L34" s="21">
        <v>3</v>
      </c>
      <c r="M34" s="21">
        <v>4</v>
      </c>
      <c r="N34" s="21">
        <v>7</v>
      </c>
      <c r="O34" s="21">
        <v>8</v>
      </c>
      <c r="P34" s="21">
        <v>24</v>
      </c>
      <c r="Q34" s="21">
        <v>1</v>
      </c>
      <c r="R34" s="21">
        <v>6</v>
      </c>
    </row>
    <row r="35" spans="1:18" s="20" customFormat="1" ht="14.25" customHeight="1" x14ac:dyDescent="0.2">
      <c r="A35" s="64" t="s">
        <v>196</v>
      </c>
      <c r="B35" s="25" t="s">
        <v>55</v>
      </c>
      <c r="C35" s="26" t="s">
        <v>0</v>
      </c>
      <c r="D35" s="27">
        <v>180</v>
      </c>
      <c r="E35" s="27">
        <v>64</v>
      </c>
      <c r="F35" s="27">
        <v>116</v>
      </c>
      <c r="G35" s="27">
        <v>3</v>
      </c>
      <c r="H35" s="27">
        <v>6</v>
      </c>
      <c r="I35" s="27">
        <v>10</v>
      </c>
      <c r="J35" s="27">
        <v>6</v>
      </c>
      <c r="K35" s="27">
        <v>11</v>
      </c>
      <c r="L35" s="27">
        <v>6</v>
      </c>
      <c r="M35" s="27">
        <v>8</v>
      </c>
      <c r="N35" s="27">
        <v>9</v>
      </c>
      <c r="O35" s="27">
        <v>14</v>
      </c>
      <c r="P35" s="27">
        <v>49</v>
      </c>
      <c r="Q35" s="27">
        <v>18</v>
      </c>
      <c r="R35" s="27">
        <v>40</v>
      </c>
    </row>
    <row r="36" spans="1:18" s="20" customFormat="1" ht="14.25" customHeight="1" x14ac:dyDescent="0.2">
      <c r="A36" s="86" t="s">
        <v>7</v>
      </c>
      <c r="B36" s="28" t="s">
        <v>56</v>
      </c>
      <c r="C36" s="29" t="s">
        <v>2</v>
      </c>
      <c r="D36" s="21">
        <v>160</v>
      </c>
      <c r="E36" s="21">
        <v>53</v>
      </c>
      <c r="F36" s="21">
        <v>107</v>
      </c>
      <c r="G36" s="21">
        <v>3</v>
      </c>
      <c r="H36" s="21">
        <v>5</v>
      </c>
      <c r="I36" s="21">
        <v>6</v>
      </c>
      <c r="J36" s="21">
        <v>6</v>
      </c>
      <c r="K36" s="21">
        <v>11</v>
      </c>
      <c r="L36" s="21">
        <v>5</v>
      </c>
      <c r="M36" s="21">
        <v>6</v>
      </c>
      <c r="N36" s="21">
        <v>7</v>
      </c>
      <c r="O36" s="21">
        <v>12</v>
      </c>
      <c r="P36" s="21">
        <v>45</v>
      </c>
      <c r="Q36" s="21">
        <v>15</v>
      </c>
      <c r="R36" s="21">
        <v>39</v>
      </c>
    </row>
    <row r="37" spans="1:18" s="20" customFormat="1" ht="14.25" customHeight="1" x14ac:dyDescent="0.2">
      <c r="A37" s="87"/>
      <c r="B37" s="30" t="s">
        <v>57</v>
      </c>
      <c r="C37" s="31" t="s">
        <v>225</v>
      </c>
      <c r="D37" s="21">
        <v>20</v>
      </c>
      <c r="E37" s="21">
        <v>11</v>
      </c>
      <c r="F37" s="21">
        <v>9</v>
      </c>
      <c r="G37" s="21">
        <v>0</v>
      </c>
      <c r="H37" s="21">
        <v>1</v>
      </c>
      <c r="I37" s="21">
        <v>4</v>
      </c>
      <c r="J37" s="21">
        <v>0</v>
      </c>
      <c r="K37" s="21">
        <v>0</v>
      </c>
      <c r="L37" s="21">
        <v>1</v>
      </c>
      <c r="M37" s="21">
        <v>2</v>
      </c>
      <c r="N37" s="21">
        <v>2</v>
      </c>
      <c r="O37" s="21">
        <v>2</v>
      </c>
      <c r="P37" s="21">
        <v>4</v>
      </c>
      <c r="Q37" s="21">
        <v>3</v>
      </c>
      <c r="R37" s="21">
        <v>1</v>
      </c>
    </row>
    <row r="38" spans="1:18" s="20" customFormat="1" ht="14.25" customHeight="1" x14ac:dyDescent="0.2">
      <c r="A38" s="64" t="s">
        <v>197</v>
      </c>
      <c r="B38" s="25" t="s">
        <v>55</v>
      </c>
      <c r="C38" s="26" t="s">
        <v>0</v>
      </c>
      <c r="D38" s="27">
        <v>431</v>
      </c>
      <c r="E38" s="27">
        <v>167</v>
      </c>
      <c r="F38" s="27">
        <v>264</v>
      </c>
      <c r="G38" s="27">
        <v>24</v>
      </c>
      <c r="H38" s="27">
        <v>18</v>
      </c>
      <c r="I38" s="27">
        <v>29</v>
      </c>
      <c r="J38" s="27">
        <v>21</v>
      </c>
      <c r="K38" s="27">
        <v>29</v>
      </c>
      <c r="L38" s="27">
        <v>30</v>
      </c>
      <c r="M38" s="27">
        <v>34</v>
      </c>
      <c r="N38" s="27">
        <v>25</v>
      </c>
      <c r="O38" s="27">
        <v>24</v>
      </c>
      <c r="P38" s="27">
        <v>81</v>
      </c>
      <c r="Q38" s="27">
        <v>27</v>
      </c>
      <c r="R38" s="27">
        <v>89</v>
      </c>
    </row>
    <row r="39" spans="1:18" s="20" customFormat="1" ht="14.25" customHeight="1" x14ac:dyDescent="0.2">
      <c r="A39" s="86" t="s">
        <v>8</v>
      </c>
      <c r="B39" s="28" t="s">
        <v>56</v>
      </c>
      <c r="C39" s="29" t="s">
        <v>2</v>
      </c>
      <c r="D39" s="21">
        <v>420</v>
      </c>
      <c r="E39" s="21">
        <v>164</v>
      </c>
      <c r="F39" s="21">
        <v>256</v>
      </c>
      <c r="G39" s="21">
        <v>24</v>
      </c>
      <c r="H39" s="21">
        <v>18</v>
      </c>
      <c r="I39" s="21">
        <v>29</v>
      </c>
      <c r="J39" s="21">
        <v>20</v>
      </c>
      <c r="K39" s="21">
        <v>28</v>
      </c>
      <c r="L39" s="21">
        <v>27</v>
      </c>
      <c r="M39" s="21">
        <v>34</v>
      </c>
      <c r="N39" s="21">
        <v>24</v>
      </c>
      <c r="O39" s="21">
        <v>23</v>
      </c>
      <c r="P39" s="21">
        <v>79</v>
      </c>
      <c r="Q39" s="21">
        <v>26</v>
      </c>
      <c r="R39" s="21">
        <v>88</v>
      </c>
    </row>
    <row r="40" spans="1:18" s="20" customFormat="1" ht="14.25" customHeight="1" x14ac:dyDescent="0.2">
      <c r="A40" s="87"/>
      <c r="B40" s="30" t="s">
        <v>57</v>
      </c>
      <c r="C40" s="31" t="s">
        <v>225</v>
      </c>
      <c r="D40" s="21">
        <v>11</v>
      </c>
      <c r="E40" s="21">
        <v>3</v>
      </c>
      <c r="F40" s="21">
        <v>8</v>
      </c>
      <c r="G40" s="21">
        <v>0</v>
      </c>
      <c r="H40" s="21">
        <v>0</v>
      </c>
      <c r="I40" s="21">
        <v>0</v>
      </c>
      <c r="J40" s="21">
        <v>1</v>
      </c>
      <c r="K40" s="21">
        <v>1</v>
      </c>
      <c r="L40" s="21">
        <v>3</v>
      </c>
      <c r="M40" s="21">
        <v>0</v>
      </c>
      <c r="N40" s="21">
        <v>1</v>
      </c>
      <c r="O40" s="21">
        <v>1</v>
      </c>
      <c r="P40" s="21">
        <v>2</v>
      </c>
      <c r="Q40" s="21">
        <v>1</v>
      </c>
      <c r="R40" s="21">
        <v>1</v>
      </c>
    </row>
    <row r="41" spans="1:18" s="20" customFormat="1" ht="14.25" customHeight="1" x14ac:dyDescent="0.2">
      <c r="A41" s="64" t="s">
        <v>198</v>
      </c>
      <c r="B41" s="25" t="s">
        <v>55</v>
      </c>
      <c r="C41" s="26" t="s">
        <v>0</v>
      </c>
      <c r="D41" s="27">
        <v>268</v>
      </c>
      <c r="E41" s="27">
        <v>113</v>
      </c>
      <c r="F41" s="27">
        <v>155</v>
      </c>
      <c r="G41" s="27">
        <v>14</v>
      </c>
      <c r="H41" s="27">
        <v>12</v>
      </c>
      <c r="I41" s="27">
        <v>15</v>
      </c>
      <c r="J41" s="27">
        <v>15</v>
      </c>
      <c r="K41" s="27">
        <v>26</v>
      </c>
      <c r="L41" s="27">
        <v>21</v>
      </c>
      <c r="M41" s="27">
        <v>22</v>
      </c>
      <c r="N41" s="27">
        <v>18</v>
      </c>
      <c r="O41" s="27">
        <v>9</v>
      </c>
      <c r="P41" s="27">
        <v>46</v>
      </c>
      <c r="Q41" s="27">
        <v>27</v>
      </c>
      <c r="R41" s="27">
        <v>43</v>
      </c>
    </row>
    <row r="42" spans="1:18" s="20" customFormat="1" ht="14.25" customHeight="1" x14ac:dyDescent="0.2">
      <c r="A42" s="86" t="s">
        <v>9</v>
      </c>
      <c r="B42" s="28" t="s">
        <v>56</v>
      </c>
      <c r="C42" s="29" t="s">
        <v>2</v>
      </c>
      <c r="D42" s="21">
        <v>205</v>
      </c>
      <c r="E42" s="21">
        <v>96</v>
      </c>
      <c r="F42" s="21">
        <v>109</v>
      </c>
      <c r="G42" s="21">
        <v>9</v>
      </c>
      <c r="H42" s="21">
        <v>10</v>
      </c>
      <c r="I42" s="21">
        <v>15</v>
      </c>
      <c r="J42" s="21">
        <v>10</v>
      </c>
      <c r="K42" s="21">
        <v>23</v>
      </c>
      <c r="L42" s="21">
        <v>14</v>
      </c>
      <c r="M42" s="21">
        <v>16</v>
      </c>
      <c r="N42" s="21">
        <v>12</v>
      </c>
      <c r="O42" s="21">
        <v>9</v>
      </c>
      <c r="P42" s="21">
        <v>28</v>
      </c>
      <c r="Q42" s="21">
        <v>24</v>
      </c>
      <c r="R42" s="21">
        <v>35</v>
      </c>
    </row>
    <row r="43" spans="1:18" s="20" customFormat="1" ht="14.25" customHeight="1" x14ac:dyDescent="0.2">
      <c r="A43" s="87"/>
      <c r="B43" s="30" t="s">
        <v>57</v>
      </c>
      <c r="C43" s="31" t="s">
        <v>225</v>
      </c>
      <c r="D43" s="21">
        <v>63</v>
      </c>
      <c r="E43" s="21">
        <v>17</v>
      </c>
      <c r="F43" s="21">
        <v>46</v>
      </c>
      <c r="G43" s="21">
        <v>5</v>
      </c>
      <c r="H43" s="21">
        <v>2</v>
      </c>
      <c r="I43" s="21">
        <v>0</v>
      </c>
      <c r="J43" s="21">
        <v>5</v>
      </c>
      <c r="K43" s="21">
        <v>3</v>
      </c>
      <c r="L43" s="21">
        <v>7</v>
      </c>
      <c r="M43" s="21">
        <v>6</v>
      </c>
      <c r="N43" s="21">
        <v>6</v>
      </c>
      <c r="O43" s="21">
        <v>0</v>
      </c>
      <c r="P43" s="21">
        <v>18</v>
      </c>
      <c r="Q43" s="21">
        <v>3</v>
      </c>
      <c r="R43" s="21">
        <v>8</v>
      </c>
    </row>
    <row r="44" spans="1:18" s="20" customFormat="1" ht="14.25" customHeight="1" x14ac:dyDescent="0.2">
      <c r="A44" s="64" t="s">
        <v>199</v>
      </c>
      <c r="B44" s="25" t="s">
        <v>55</v>
      </c>
      <c r="C44" s="26" t="s">
        <v>0</v>
      </c>
      <c r="D44" s="27">
        <v>239</v>
      </c>
      <c r="E44" s="27">
        <v>102</v>
      </c>
      <c r="F44" s="27">
        <v>137</v>
      </c>
      <c r="G44" s="27">
        <v>15</v>
      </c>
      <c r="H44" s="27">
        <v>13</v>
      </c>
      <c r="I44" s="27">
        <v>14</v>
      </c>
      <c r="J44" s="27">
        <v>6</v>
      </c>
      <c r="K44" s="27">
        <v>12</v>
      </c>
      <c r="L44" s="27">
        <v>13</v>
      </c>
      <c r="M44" s="27">
        <v>11</v>
      </c>
      <c r="N44" s="27">
        <v>7</v>
      </c>
      <c r="O44" s="27">
        <v>16</v>
      </c>
      <c r="P44" s="27">
        <v>49</v>
      </c>
      <c r="Q44" s="27">
        <v>34</v>
      </c>
      <c r="R44" s="27">
        <v>49</v>
      </c>
    </row>
    <row r="45" spans="1:18" s="20" customFormat="1" ht="14.25" customHeight="1" x14ac:dyDescent="0.2">
      <c r="A45" s="86" t="s">
        <v>10</v>
      </c>
      <c r="B45" s="28" t="s">
        <v>56</v>
      </c>
      <c r="C45" s="29" t="s">
        <v>2</v>
      </c>
      <c r="D45" s="21">
        <v>231</v>
      </c>
      <c r="E45" s="21">
        <v>101</v>
      </c>
      <c r="F45" s="21">
        <v>130</v>
      </c>
      <c r="G45" s="21">
        <v>15</v>
      </c>
      <c r="H45" s="21">
        <v>13</v>
      </c>
      <c r="I45" s="21">
        <v>14</v>
      </c>
      <c r="J45" s="21">
        <v>5</v>
      </c>
      <c r="K45" s="21">
        <v>12</v>
      </c>
      <c r="L45" s="21">
        <v>13</v>
      </c>
      <c r="M45" s="21">
        <v>11</v>
      </c>
      <c r="N45" s="21">
        <v>7</v>
      </c>
      <c r="O45" s="21">
        <v>16</v>
      </c>
      <c r="P45" s="21">
        <v>46</v>
      </c>
      <c r="Q45" s="21">
        <v>33</v>
      </c>
      <c r="R45" s="21">
        <v>46</v>
      </c>
    </row>
    <row r="46" spans="1:18" s="20" customFormat="1" ht="14.25" customHeight="1" x14ac:dyDescent="0.2">
      <c r="A46" s="87"/>
      <c r="B46" s="30" t="s">
        <v>57</v>
      </c>
      <c r="C46" s="31" t="s">
        <v>225</v>
      </c>
      <c r="D46" s="21">
        <v>8</v>
      </c>
      <c r="E46" s="21">
        <v>1</v>
      </c>
      <c r="F46" s="21">
        <v>7</v>
      </c>
      <c r="G46" s="21">
        <v>0</v>
      </c>
      <c r="H46" s="21">
        <v>0</v>
      </c>
      <c r="I46" s="21">
        <v>0</v>
      </c>
      <c r="J46" s="21">
        <v>1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3</v>
      </c>
      <c r="Q46" s="21">
        <v>1</v>
      </c>
      <c r="R46" s="21">
        <v>3</v>
      </c>
    </row>
    <row r="47" spans="1:18" s="20" customFormat="1" ht="14.25" customHeight="1" x14ac:dyDescent="0.2">
      <c r="A47" s="64" t="s">
        <v>200</v>
      </c>
      <c r="B47" s="25" t="s">
        <v>55</v>
      </c>
      <c r="C47" s="26" t="s">
        <v>0</v>
      </c>
      <c r="D47" s="27">
        <v>149</v>
      </c>
      <c r="E47" s="27">
        <v>62</v>
      </c>
      <c r="F47" s="27">
        <v>87</v>
      </c>
      <c r="G47" s="27">
        <v>9</v>
      </c>
      <c r="H47" s="27">
        <v>9</v>
      </c>
      <c r="I47" s="27">
        <v>9</v>
      </c>
      <c r="J47" s="27">
        <v>9</v>
      </c>
      <c r="K47" s="27">
        <v>7</v>
      </c>
      <c r="L47" s="27">
        <v>5</v>
      </c>
      <c r="M47" s="27">
        <v>4</v>
      </c>
      <c r="N47" s="27">
        <v>8</v>
      </c>
      <c r="O47" s="27">
        <v>12</v>
      </c>
      <c r="P47" s="27">
        <v>32</v>
      </c>
      <c r="Q47" s="27">
        <v>21</v>
      </c>
      <c r="R47" s="27">
        <v>24</v>
      </c>
    </row>
    <row r="48" spans="1:18" s="20" customFormat="1" ht="14.25" customHeight="1" x14ac:dyDescent="0.2">
      <c r="A48" s="86" t="s">
        <v>11</v>
      </c>
      <c r="B48" s="28" t="s">
        <v>56</v>
      </c>
      <c r="C48" s="29" t="s">
        <v>2</v>
      </c>
      <c r="D48" s="21">
        <v>145</v>
      </c>
      <c r="E48" s="21">
        <v>60</v>
      </c>
      <c r="F48" s="21">
        <v>85</v>
      </c>
      <c r="G48" s="21">
        <v>9</v>
      </c>
      <c r="H48" s="21">
        <v>8</v>
      </c>
      <c r="I48" s="21">
        <v>8</v>
      </c>
      <c r="J48" s="21">
        <v>9</v>
      </c>
      <c r="K48" s="21">
        <v>7</v>
      </c>
      <c r="L48" s="21">
        <v>5</v>
      </c>
      <c r="M48" s="21">
        <v>4</v>
      </c>
      <c r="N48" s="21">
        <v>8</v>
      </c>
      <c r="O48" s="21">
        <v>11</v>
      </c>
      <c r="P48" s="21">
        <v>32</v>
      </c>
      <c r="Q48" s="21">
        <v>21</v>
      </c>
      <c r="R48" s="21">
        <v>23</v>
      </c>
    </row>
    <row r="49" spans="1:18" s="20" customFormat="1" ht="14.25" customHeight="1" x14ac:dyDescent="0.2">
      <c r="A49" s="87"/>
      <c r="B49" s="30" t="s">
        <v>57</v>
      </c>
      <c r="C49" s="31" t="s">
        <v>225</v>
      </c>
      <c r="D49" s="21">
        <v>4</v>
      </c>
      <c r="E49" s="21">
        <v>2</v>
      </c>
      <c r="F49" s="21">
        <v>2</v>
      </c>
      <c r="G49" s="21">
        <v>0</v>
      </c>
      <c r="H49" s="21">
        <v>1</v>
      </c>
      <c r="I49" s="21">
        <v>1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1</v>
      </c>
      <c r="P49" s="21">
        <v>0</v>
      </c>
      <c r="Q49" s="21">
        <v>0</v>
      </c>
      <c r="R49" s="21">
        <v>1</v>
      </c>
    </row>
    <row r="50" spans="1:18" s="20" customFormat="1" ht="14.25" customHeight="1" x14ac:dyDescent="0.2">
      <c r="A50" s="64" t="s">
        <v>201</v>
      </c>
      <c r="B50" s="25" t="s">
        <v>55</v>
      </c>
      <c r="C50" s="26" t="s">
        <v>0</v>
      </c>
      <c r="D50" s="27">
        <v>573</v>
      </c>
      <c r="E50" s="27">
        <v>290</v>
      </c>
      <c r="F50" s="27">
        <v>283</v>
      </c>
      <c r="G50" s="27">
        <v>41</v>
      </c>
      <c r="H50" s="27">
        <v>21</v>
      </c>
      <c r="I50" s="27">
        <v>46</v>
      </c>
      <c r="J50" s="27">
        <v>35</v>
      </c>
      <c r="K50" s="27">
        <v>49</v>
      </c>
      <c r="L50" s="27">
        <v>31</v>
      </c>
      <c r="M50" s="27">
        <v>40</v>
      </c>
      <c r="N50" s="27">
        <v>37</v>
      </c>
      <c r="O50" s="27">
        <v>51</v>
      </c>
      <c r="P50" s="27">
        <v>76</v>
      </c>
      <c r="Q50" s="27">
        <v>63</v>
      </c>
      <c r="R50" s="27">
        <v>83</v>
      </c>
    </row>
    <row r="51" spans="1:18" s="20" customFormat="1" ht="14.25" customHeight="1" x14ac:dyDescent="0.2">
      <c r="A51" s="86" t="s">
        <v>12</v>
      </c>
      <c r="B51" s="28" t="s">
        <v>56</v>
      </c>
      <c r="C51" s="29" t="s">
        <v>2</v>
      </c>
      <c r="D51" s="21">
        <v>488</v>
      </c>
      <c r="E51" s="21">
        <v>248</v>
      </c>
      <c r="F51" s="21">
        <v>240</v>
      </c>
      <c r="G51" s="21">
        <v>35</v>
      </c>
      <c r="H51" s="21">
        <v>19</v>
      </c>
      <c r="I51" s="21">
        <v>39</v>
      </c>
      <c r="J51" s="21">
        <v>34</v>
      </c>
      <c r="K51" s="21">
        <v>40</v>
      </c>
      <c r="L51" s="21">
        <v>22</v>
      </c>
      <c r="M51" s="21">
        <v>36</v>
      </c>
      <c r="N51" s="21">
        <v>30</v>
      </c>
      <c r="O51" s="21">
        <v>42</v>
      </c>
      <c r="P51" s="21">
        <v>59</v>
      </c>
      <c r="Q51" s="21">
        <v>56</v>
      </c>
      <c r="R51" s="21">
        <v>76</v>
      </c>
    </row>
    <row r="52" spans="1:18" s="20" customFormat="1" ht="14.25" customHeight="1" x14ac:dyDescent="0.2">
      <c r="A52" s="87"/>
      <c r="B52" s="30" t="s">
        <v>57</v>
      </c>
      <c r="C52" s="31" t="s">
        <v>225</v>
      </c>
      <c r="D52" s="21">
        <v>85</v>
      </c>
      <c r="E52" s="21">
        <v>42</v>
      </c>
      <c r="F52" s="21">
        <v>43</v>
      </c>
      <c r="G52" s="21">
        <v>6</v>
      </c>
      <c r="H52" s="21">
        <v>2</v>
      </c>
      <c r="I52" s="21">
        <v>7</v>
      </c>
      <c r="J52" s="21">
        <v>1</v>
      </c>
      <c r="K52" s="21">
        <v>9</v>
      </c>
      <c r="L52" s="21">
        <v>9</v>
      </c>
      <c r="M52" s="21">
        <v>4</v>
      </c>
      <c r="N52" s="21">
        <v>7</v>
      </c>
      <c r="O52" s="21">
        <v>9</v>
      </c>
      <c r="P52" s="21">
        <v>17</v>
      </c>
      <c r="Q52" s="21">
        <v>7</v>
      </c>
      <c r="R52" s="21">
        <v>7</v>
      </c>
    </row>
    <row r="53" spans="1:18" s="20" customFormat="1" ht="14.25" customHeight="1" x14ac:dyDescent="0.2">
      <c r="A53" s="64" t="s">
        <v>202</v>
      </c>
      <c r="B53" s="25" t="s">
        <v>55</v>
      </c>
      <c r="C53" s="26" t="s">
        <v>0</v>
      </c>
      <c r="D53" s="27">
        <v>179</v>
      </c>
      <c r="E53" s="27">
        <v>68</v>
      </c>
      <c r="F53" s="27">
        <v>111</v>
      </c>
      <c r="G53" s="27">
        <v>4</v>
      </c>
      <c r="H53" s="27">
        <v>9</v>
      </c>
      <c r="I53" s="27">
        <v>10</v>
      </c>
      <c r="J53" s="27">
        <v>7</v>
      </c>
      <c r="K53" s="27">
        <v>12</v>
      </c>
      <c r="L53" s="27">
        <v>14</v>
      </c>
      <c r="M53" s="27">
        <v>10</v>
      </c>
      <c r="N53" s="27">
        <v>21</v>
      </c>
      <c r="O53" s="27">
        <v>18</v>
      </c>
      <c r="P53" s="27">
        <v>37</v>
      </c>
      <c r="Q53" s="27">
        <v>14</v>
      </c>
      <c r="R53" s="27">
        <v>23</v>
      </c>
    </row>
    <row r="54" spans="1:18" s="20" customFormat="1" ht="14.25" customHeight="1" x14ac:dyDescent="0.2">
      <c r="A54" s="86" t="s">
        <v>13</v>
      </c>
      <c r="B54" s="28" t="s">
        <v>56</v>
      </c>
      <c r="C54" s="29" t="s">
        <v>2</v>
      </c>
      <c r="D54" s="21">
        <v>57</v>
      </c>
      <c r="E54" s="21">
        <v>19</v>
      </c>
      <c r="F54" s="21">
        <v>38</v>
      </c>
      <c r="G54" s="21">
        <v>3</v>
      </c>
      <c r="H54" s="21">
        <v>6</v>
      </c>
      <c r="I54" s="21">
        <v>1</v>
      </c>
      <c r="J54" s="21">
        <v>3</v>
      </c>
      <c r="K54" s="21">
        <v>4</v>
      </c>
      <c r="L54" s="21">
        <v>2</v>
      </c>
      <c r="M54" s="21">
        <v>3</v>
      </c>
      <c r="N54" s="21">
        <v>6</v>
      </c>
      <c r="O54" s="21">
        <v>5</v>
      </c>
      <c r="P54" s="21">
        <v>9</v>
      </c>
      <c r="Q54" s="21">
        <v>3</v>
      </c>
      <c r="R54" s="21">
        <v>12</v>
      </c>
    </row>
    <row r="55" spans="1:18" s="20" customFormat="1" ht="14.25" customHeight="1" x14ac:dyDescent="0.2">
      <c r="A55" s="87"/>
      <c r="B55" s="30" t="s">
        <v>57</v>
      </c>
      <c r="C55" s="31" t="s">
        <v>225</v>
      </c>
      <c r="D55" s="21">
        <v>122</v>
      </c>
      <c r="E55" s="21">
        <v>49</v>
      </c>
      <c r="F55" s="21">
        <v>73</v>
      </c>
      <c r="G55" s="21">
        <v>1</v>
      </c>
      <c r="H55" s="21">
        <v>3</v>
      </c>
      <c r="I55" s="21">
        <v>9</v>
      </c>
      <c r="J55" s="21">
        <v>4</v>
      </c>
      <c r="K55" s="21">
        <v>8</v>
      </c>
      <c r="L55" s="21">
        <v>12</v>
      </c>
      <c r="M55" s="21">
        <v>7</v>
      </c>
      <c r="N55" s="21">
        <v>15</v>
      </c>
      <c r="O55" s="21">
        <v>13</v>
      </c>
      <c r="P55" s="21">
        <v>28</v>
      </c>
      <c r="Q55" s="21">
        <v>11</v>
      </c>
      <c r="R55" s="21">
        <v>11</v>
      </c>
    </row>
    <row r="56" spans="1:18" s="20" customFormat="1" ht="14.25" customHeight="1" x14ac:dyDescent="0.2">
      <c r="A56" s="64" t="s">
        <v>203</v>
      </c>
      <c r="B56" s="25" t="s">
        <v>55</v>
      </c>
      <c r="C56" s="26" t="s">
        <v>0</v>
      </c>
      <c r="D56" s="27">
        <v>184</v>
      </c>
      <c r="E56" s="27">
        <v>61</v>
      </c>
      <c r="F56" s="27">
        <v>123</v>
      </c>
      <c r="G56" s="27">
        <v>8</v>
      </c>
      <c r="H56" s="27">
        <v>5</v>
      </c>
      <c r="I56" s="27">
        <v>8</v>
      </c>
      <c r="J56" s="27">
        <v>14</v>
      </c>
      <c r="K56" s="27">
        <v>19</v>
      </c>
      <c r="L56" s="27">
        <v>15</v>
      </c>
      <c r="M56" s="27">
        <v>5</v>
      </c>
      <c r="N56" s="27">
        <v>14</v>
      </c>
      <c r="O56" s="27">
        <v>9</v>
      </c>
      <c r="P56" s="27">
        <v>51</v>
      </c>
      <c r="Q56" s="27">
        <v>12</v>
      </c>
      <c r="R56" s="27">
        <v>24</v>
      </c>
    </row>
    <row r="57" spans="1:18" s="20" customFormat="1" ht="14.25" customHeight="1" x14ac:dyDescent="0.2">
      <c r="A57" s="86" t="s">
        <v>14</v>
      </c>
      <c r="B57" s="28" t="s">
        <v>56</v>
      </c>
      <c r="C57" s="29" t="s">
        <v>2</v>
      </c>
      <c r="D57" s="21">
        <v>73</v>
      </c>
      <c r="E57" s="21">
        <v>26</v>
      </c>
      <c r="F57" s="21">
        <v>47</v>
      </c>
      <c r="G57" s="21">
        <v>2</v>
      </c>
      <c r="H57" s="21">
        <v>1</v>
      </c>
      <c r="I57" s="21">
        <v>5</v>
      </c>
      <c r="J57" s="21">
        <v>7</v>
      </c>
      <c r="K57" s="21">
        <v>7</v>
      </c>
      <c r="L57" s="21">
        <v>4</v>
      </c>
      <c r="M57" s="21">
        <v>2</v>
      </c>
      <c r="N57" s="21">
        <v>7</v>
      </c>
      <c r="O57" s="21">
        <v>6</v>
      </c>
      <c r="P57" s="21">
        <v>17</v>
      </c>
      <c r="Q57" s="21">
        <v>4</v>
      </c>
      <c r="R57" s="21">
        <v>11</v>
      </c>
    </row>
    <row r="58" spans="1:18" s="20" customFormat="1" ht="14.25" customHeight="1" x14ac:dyDescent="0.2">
      <c r="A58" s="87"/>
      <c r="B58" s="30" t="s">
        <v>57</v>
      </c>
      <c r="C58" s="31" t="s">
        <v>225</v>
      </c>
      <c r="D58" s="21">
        <v>111</v>
      </c>
      <c r="E58" s="21">
        <v>35</v>
      </c>
      <c r="F58" s="21">
        <v>76</v>
      </c>
      <c r="G58" s="21">
        <v>6</v>
      </c>
      <c r="H58" s="21">
        <v>4</v>
      </c>
      <c r="I58" s="21">
        <v>3</v>
      </c>
      <c r="J58" s="21">
        <v>7</v>
      </c>
      <c r="K58" s="21">
        <v>12</v>
      </c>
      <c r="L58" s="21">
        <v>11</v>
      </c>
      <c r="M58" s="21">
        <v>3</v>
      </c>
      <c r="N58" s="21">
        <v>7</v>
      </c>
      <c r="O58" s="21">
        <v>3</v>
      </c>
      <c r="P58" s="21">
        <v>34</v>
      </c>
      <c r="Q58" s="21">
        <v>8</v>
      </c>
      <c r="R58" s="21">
        <v>13</v>
      </c>
    </row>
    <row r="59" spans="1:18" s="20" customFormat="1" ht="14.25" customHeight="1" x14ac:dyDescent="0.2">
      <c r="A59" s="64" t="s">
        <v>204</v>
      </c>
      <c r="B59" s="25" t="s">
        <v>55</v>
      </c>
      <c r="C59" s="26" t="s">
        <v>0</v>
      </c>
      <c r="D59" s="27">
        <v>31</v>
      </c>
      <c r="E59" s="27">
        <v>13</v>
      </c>
      <c r="F59" s="27">
        <v>18</v>
      </c>
      <c r="G59" s="27">
        <v>0</v>
      </c>
      <c r="H59" s="27">
        <v>0</v>
      </c>
      <c r="I59" s="27">
        <v>1</v>
      </c>
      <c r="J59" s="27">
        <v>1</v>
      </c>
      <c r="K59" s="27">
        <v>5</v>
      </c>
      <c r="L59" s="27">
        <v>6</v>
      </c>
      <c r="M59" s="27">
        <v>5</v>
      </c>
      <c r="N59" s="27">
        <v>2</v>
      </c>
      <c r="O59" s="27">
        <v>1</v>
      </c>
      <c r="P59" s="27">
        <v>3</v>
      </c>
      <c r="Q59" s="27">
        <v>1</v>
      </c>
      <c r="R59" s="27">
        <v>6</v>
      </c>
    </row>
    <row r="60" spans="1:18" s="20" customFormat="1" ht="14.25" customHeight="1" x14ac:dyDescent="0.2">
      <c r="A60" s="86" t="s">
        <v>15</v>
      </c>
      <c r="B60" s="28" t="s">
        <v>56</v>
      </c>
      <c r="C60" s="29" t="s">
        <v>2</v>
      </c>
      <c r="D60" s="21">
        <v>29</v>
      </c>
      <c r="E60" s="21">
        <v>12</v>
      </c>
      <c r="F60" s="21">
        <v>17</v>
      </c>
      <c r="G60" s="21">
        <v>0</v>
      </c>
      <c r="H60" s="21">
        <v>0</v>
      </c>
      <c r="I60" s="21">
        <v>1</v>
      </c>
      <c r="J60" s="21">
        <v>1</v>
      </c>
      <c r="K60" s="21">
        <v>4</v>
      </c>
      <c r="L60" s="21">
        <v>6</v>
      </c>
      <c r="M60" s="21">
        <v>5</v>
      </c>
      <c r="N60" s="21">
        <v>2</v>
      </c>
      <c r="O60" s="21">
        <v>1</v>
      </c>
      <c r="P60" s="21">
        <v>2</v>
      </c>
      <c r="Q60" s="21">
        <v>1</v>
      </c>
      <c r="R60" s="21">
        <v>6</v>
      </c>
    </row>
    <row r="61" spans="1:18" s="20" customFormat="1" ht="14.25" customHeight="1" x14ac:dyDescent="0.2">
      <c r="A61" s="87"/>
      <c r="B61" s="30" t="s">
        <v>57</v>
      </c>
      <c r="C61" s="31" t="s">
        <v>225</v>
      </c>
      <c r="D61" s="21">
        <v>2</v>
      </c>
      <c r="E61" s="21">
        <v>1</v>
      </c>
      <c r="F61" s="21">
        <v>1</v>
      </c>
      <c r="G61" s="21">
        <v>0</v>
      </c>
      <c r="H61" s="21">
        <v>0</v>
      </c>
      <c r="I61" s="21">
        <v>0</v>
      </c>
      <c r="J61" s="21">
        <v>0</v>
      </c>
      <c r="K61" s="21">
        <v>1</v>
      </c>
      <c r="L61" s="21">
        <v>0</v>
      </c>
      <c r="M61" s="21">
        <v>0</v>
      </c>
      <c r="N61" s="21">
        <v>0</v>
      </c>
      <c r="O61" s="21">
        <v>0</v>
      </c>
      <c r="P61" s="21">
        <v>1</v>
      </c>
      <c r="Q61" s="21">
        <v>0</v>
      </c>
      <c r="R61" s="21">
        <v>0</v>
      </c>
    </row>
    <row r="62" spans="1:18" s="20" customFormat="1" ht="14.25" customHeight="1" x14ac:dyDescent="0.2">
      <c r="A62" s="64" t="s">
        <v>205</v>
      </c>
      <c r="B62" s="25" t="s">
        <v>55</v>
      </c>
      <c r="C62" s="26" t="s">
        <v>0</v>
      </c>
      <c r="D62" s="27">
        <v>202</v>
      </c>
      <c r="E62" s="27">
        <v>79</v>
      </c>
      <c r="F62" s="27">
        <v>123</v>
      </c>
      <c r="G62" s="27">
        <v>8</v>
      </c>
      <c r="H62" s="27">
        <v>6</v>
      </c>
      <c r="I62" s="27">
        <v>10</v>
      </c>
      <c r="J62" s="27">
        <v>7</v>
      </c>
      <c r="K62" s="27">
        <v>18</v>
      </c>
      <c r="L62" s="27">
        <v>12</v>
      </c>
      <c r="M62" s="27">
        <v>10</v>
      </c>
      <c r="N62" s="27">
        <v>11</v>
      </c>
      <c r="O62" s="27">
        <v>13</v>
      </c>
      <c r="P62" s="27">
        <v>47</v>
      </c>
      <c r="Q62" s="27">
        <v>20</v>
      </c>
      <c r="R62" s="27">
        <v>40</v>
      </c>
    </row>
    <row r="63" spans="1:18" s="20" customFormat="1" ht="14.25" customHeight="1" x14ac:dyDescent="0.2">
      <c r="A63" s="86" t="s">
        <v>16</v>
      </c>
      <c r="B63" s="28" t="s">
        <v>56</v>
      </c>
      <c r="C63" s="29" t="s">
        <v>2</v>
      </c>
      <c r="D63" s="21">
        <v>186</v>
      </c>
      <c r="E63" s="21">
        <v>72</v>
      </c>
      <c r="F63" s="21">
        <v>114</v>
      </c>
      <c r="G63" s="21">
        <v>7</v>
      </c>
      <c r="H63" s="21">
        <v>5</v>
      </c>
      <c r="I63" s="21">
        <v>10</v>
      </c>
      <c r="J63" s="21">
        <v>7</v>
      </c>
      <c r="K63" s="21">
        <v>18</v>
      </c>
      <c r="L63" s="21">
        <v>11</v>
      </c>
      <c r="M63" s="21">
        <v>9</v>
      </c>
      <c r="N63" s="21">
        <v>11</v>
      </c>
      <c r="O63" s="21">
        <v>10</v>
      </c>
      <c r="P63" s="21">
        <v>43</v>
      </c>
      <c r="Q63" s="21">
        <v>18</v>
      </c>
      <c r="R63" s="21">
        <v>37</v>
      </c>
    </row>
    <row r="64" spans="1:18" s="20" customFormat="1" ht="14.25" customHeight="1" x14ac:dyDescent="0.2">
      <c r="A64" s="87"/>
      <c r="B64" s="30" t="s">
        <v>57</v>
      </c>
      <c r="C64" s="31" t="s">
        <v>225</v>
      </c>
      <c r="D64" s="21">
        <v>16</v>
      </c>
      <c r="E64" s="21">
        <v>7</v>
      </c>
      <c r="F64" s="21">
        <v>9</v>
      </c>
      <c r="G64" s="21">
        <v>1</v>
      </c>
      <c r="H64" s="21">
        <v>1</v>
      </c>
      <c r="I64" s="21">
        <v>0</v>
      </c>
      <c r="J64" s="21">
        <v>0</v>
      </c>
      <c r="K64" s="21">
        <v>0</v>
      </c>
      <c r="L64" s="21">
        <v>1</v>
      </c>
      <c r="M64" s="21">
        <v>1</v>
      </c>
      <c r="N64" s="21">
        <v>0</v>
      </c>
      <c r="O64" s="21">
        <v>3</v>
      </c>
      <c r="P64" s="21">
        <v>4</v>
      </c>
      <c r="Q64" s="21">
        <v>2</v>
      </c>
      <c r="R64" s="21">
        <v>3</v>
      </c>
    </row>
    <row r="65" spans="1:18" s="20" customFormat="1" ht="14.25" customHeight="1" x14ac:dyDescent="0.2">
      <c r="A65" s="64" t="s">
        <v>206</v>
      </c>
      <c r="B65" s="25" t="s">
        <v>55</v>
      </c>
      <c r="C65" s="26" t="s">
        <v>0</v>
      </c>
      <c r="D65" s="27">
        <v>200</v>
      </c>
      <c r="E65" s="27">
        <v>64</v>
      </c>
      <c r="F65" s="27">
        <v>136</v>
      </c>
      <c r="G65" s="27">
        <v>17</v>
      </c>
      <c r="H65" s="27">
        <v>12</v>
      </c>
      <c r="I65" s="27">
        <v>8</v>
      </c>
      <c r="J65" s="27">
        <v>14</v>
      </c>
      <c r="K65" s="27">
        <v>8</v>
      </c>
      <c r="L65" s="27">
        <v>12</v>
      </c>
      <c r="M65" s="27">
        <v>10</v>
      </c>
      <c r="N65" s="27">
        <v>17</v>
      </c>
      <c r="O65" s="27">
        <v>11</v>
      </c>
      <c r="P65" s="27">
        <v>33</v>
      </c>
      <c r="Q65" s="27">
        <v>10</v>
      </c>
      <c r="R65" s="27">
        <v>48</v>
      </c>
    </row>
    <row r="66" spans="1:18" s="20" customFormat="1" ht="14.25" customHeight="1" x14ac:dyDescent="0.2">
      <c r="A66" s="86" t="s">
        <v>17</v>
      </c>
      <c r="B66" s="28" t="s">
        <v>56</v>
      </c>
      <c r="C66" s="29" t="s">
        <v>2</v>
      </c>
      <c r="D66" s="21">
        <v>185</v>
      </c>
      <c r="E66" s="21">
        <v>60</v>
      </c>
      <c r="F66" s="21">
        <v>125</v>
      </c>
      <c r="G66" s="21">
        <v>16</v>
      </c>
      <c r="H66" s="21">
        <v>10</v>
      </c>
      <c r="I66" s="21">
        <v>8</v>
      </c>
      <c r="J66" s="21">
        <v>11</v>
      </c>
      <c r="K66" s="21">
        <v>7</v>
      </c>
      <c r="L66" s="21">
        <v>12</v>
      </c>
      <c r="M66" s="21">
        <v>10</v>
      </c>
      <c r="N66" s="21">
        <v>15</v>
      </c>
      <c r="O66" s="21">
        <v>9</v>
      </c>
      <c r="P66" s="21">
        <v>32</v>
      </c>
      <c r="Q66" s="21">
        <v>10</v>
      </c>
      <c r="R66" s="21">
        <v>45</v>
      </c>
    </row>
    <row r="67" spans="1:18" s="20" customFormat="1" ht="14.25" customHeight="1" x14ac:dyDescent="0.2">
      <c r="A67" s="87"/>
      <c r="B67" s="30" t="s">
        <v>57</v>
      </c>
      <c r="C67" s="31" t="s">
        <v>225</v>
      </c>
      <c r="D67" s="21">
        <v>15</v>
      </c>
      <c r="E67" s="21">
        <v>4</v>
      </c>
      <c r="F67" s="21">
        <v>11</v>
      </c>
      <c r="G67" s="21">
        <v>1</v>
      </c>
      <c r="H67" s="21">
        <v>2</v>
      </c>
      <c r="I67" s="21">
        <v>0</v>
      </c>
      <c r="J67" s="21">
        <v>3</v>
      </c>
      <c r="K67" s="21">
        <v>1</v>
      </c>
      <c r="L67" s="21">
        <v>0</v>
      </c>
      <c r="M67" s="21">
        <v>0</v>
      </c>
      <c r="N67" s="21">
        <v>2</v>
      </c>
      <c r="O67" s="21">
        <v>2</v>
      </c>
      <c r="P67" s="21">
        <v>1</v>
      </c>
      <c r="Q67" s="21">
        <v>0</v>
      </c>
      <c r="R67" s="21">
        <v>3</v>
      </c>
    </row>
    <row r="68" spans="1:18" s="20" customFormat="1" ht="14.25" customHeight="1" x14ac:dyDescent="0.2">
      <c r="A68" s="64" t="s">
        <v>207</v>
      </c>
      <c r="B68" s="25" t="s">
        <v>55</v>
      </c>
      <c r="C68" s="26" t="s">
        <v>0</v>
      </c>
      <c r="D68" s="27">
        <v>103</v>
      </c>
      <c r="E68" s="27">
        <v>52</v>
      </c>
      <c r="F68" s="27">
        <v>51</v>
      </c>
      <c r="G68" s="27">
        <v>7</v>
      </c>
      <c r="H68" s="27">
        <v>3</v>
      </c>
      <c r="I68" s="27">
        <v>4</v>
      </c>
      <c r="J68" s="27">
        <v>5</v>
      </c>
      <c r="K68" s="27">
        <v>10</v>
      </c>
      <c r="L68" s="27">
        <v>7</v>
      </c>
      <c r="M68" s="27">
        <v>11</v>
      </c>
      <c r="N68" s="27">
        <v>1</v>
      </c>
      <c r="O68" s="27">
        <v>9</v>
      </c>
      <c r="P68" s="27">
        <v>17</v>
      </c>
      <c r="Q68" s="27">
        <v>11</v>
      </c>
      <c r="R68" s="27">
        <v>18</v>
      </c>
    </row>
    <row r="69" spans="1:18" s="20" customFormat="1" ht="14.25" customHeight="1" x14ac:dyDescent="0.2">
      <c r="A69" s="86" t="s">
        <v>18</v>
      </c>
      <c r="B69" s="28" t="s">
        <v>56</v>
      </c>
      <c r="C69" s="29" t="s">
        <v>2</v>
      </c>
      <c r="D69" s="21">
        <v>100</v>
      </c>
      <c r="E69" s="21">
        <v>52</v>
      </c>
      <c r="F69" s="21">
        <v>48</v>
      </c>
      <c r="G69" s="21">
        <v>7</v>
      </c>
      <c r="H69" s="21">
        <v>3</v>
      </c>
      <c r="I69" s="21">
        <v>4</v>
      </c>
      <c r="J69" s="21">
        <v>4</v>
      </c>
      <c r="K69" s="21">
        <v>10</v>
      </c>
      <c r="L69" s="21">
        <v>7</v>
      </c>
      <c r="M69" s="21">
        <v>11</v>
      </c>
      <c r="N69" s="21">
        <v>1</v>
      </c>
      <c r="O69" s="21">
        <v>9</v>
      </c>
      <c r="P69" s="21">
        <v>17</v>
      </c>
      <c r="Q69" s="21">
        <v>11</v>
      </c>
      <c r="R69" s="21">
        <v>16</v>
      </c>
    </row>
    <row r="70" spans="1:18" s="20" customFormat="1" ht="14.25" customHeight="1" x14ac:dyDescent="0.2">
      <c r="A70" s="87"/>
      <c r="B70" s="30" t="s">
        <v>57</v>
      </c>
      <c r="C70" s="31" t="s">
        <v>225</v>
      </c>
      <c r="D70" s="21">
        <v>3</v>
      </c>
      <c r="E70" s="21">
        <v>0</v>
      </c>
      <c r="F70" s="21">
        <v>3</v>
      </c>
      <c r="G70" s="21">
        <v>0</v>
      </c>
      <c r="H70" s="21">
        <v>0</v>
      </c>
      <c r="I70" s="21">
        <v>0</v>
      </c>
      <c r="J70" s="21">
        <v>1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2</v>
      </c>
    </row>
    <row r="71" spans="1:18" s="20" customFormat="1" ht="14.25" customHeight="1" x14ac:dyDescent="0.2">
      <c r="A71" s="64" t="s">
        <v>208</v>
      </c>
      <c r="B71" s="25" t="s">
        <v>55</v>
      </c>
      <c r="C71" s="26" t="s">
        <v>0</v>
      </c>
      <c r="D71" s="27">
        <v>52</v>
      </c>
      <c r="E71" s="27">
        <v>33</v>
      </c>
      <c r="F71" s="27">
        <v>19</v>
      </c>
      <c r="G71" s="27">
        <v>1</v>
      </c>
      <c r="H71" s="27">
        <v>2</v>
      </c>
      <c r="I71" s="27">
        <v>1</v>
      </c>
      <c r="J71" s="27">
        <v>2</v>
      </c>
      <c r="K71" s="27">
        <v>3</v>
      </c>
      <c r="L71" s="27">
        <v>1</v>
      </c>
      <c r="M71" s="27">
        <v>4</v>
      </c>
      <c r="N71" s="27">
        <v>0</v>
      </c>
      <c r="O71" s="27">
        <v>13</v>
      </c>
      <c r="P71" s="27">
        <v>6</v>
      </c>
      <c r="Q71" s="27">
        <v>11</v>
      </c>
      <c r="R71" s="27">
        <v>8</v>
      </c>
    </row>
    <row r="72" spans="1:18" s="20" customFormat="1" ht="14.25" customHeight="1" x14ac:dyDescent="0.2">
      <c r="A72" s="86" t="s">
        <v>19</v>
      </c>
      <c r="B72" s="28" t="s">
        <v>56</v>
      </c>
      <c r="C72" s="29" t="s">
        <v>2</v>
      </c>
      <c r="D72" s="21">
        <v>51</v>
      </c>
      <c r="E72" s="21">
        <v>32</v>
      </c>
      <c r="F72" s="21">
        <v>19</v>
      </c>
      <c r="G72" s="21">
        <v>1</v>
      </c>
      <c r="H72" s="21">
        <v>2</v>
      </c>
      <c r="I72" s="21">
        <v>1</v>
      </c>
      <c r="J72" s="21">
        <v>2</v>
      </c>
      <c r="K72" s="21">
        <v>3</v>
      </c>
      <c r="L72" s="21">
        <v>1</v>
      </c>
      <c r="M72" s="21">
        <v>4</v>
      </c>
      <c r="N72" s="21">
        <v>0</v>
      </c>
      <c r="O72" s="21">
        <v>12</v>
      </c>
      <c r="P72" s="21">
        <v>6</v>
      </c>
      <c r="Q72" s="21">
        <v>11</v>
      </c>
      <c r="R72" s="21">
        <v>8</v>
      </c>
    </row>
    <row r="73" spans="1:18" s="20" customFormat="1" ht="14.25" customHeight="1" x14ac:dyDescent="0.2">
      <c r="A73" s="87"/>
      <c r="B73" s="30" t="s">
        <v>57</v>
      </c>
      <c r="C73" s="31" t="s">
        <v>225</v>
      </c>
      <c r="D73" s="21">
        <v>1</v>
      </c>
      <c r="E73" s="21">
        <v>1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1</v>
      </c>
      <c r="P73" s="21">
        <v>0</v>
      </c>
      <c r="Q73" s="21">
        <v>0</v>
      </c>
      <c r="R73" s="21">
        <v>0</v>
      </c>
    </row>
    <row r="74" spans="1:18" s="20" customFormat="1" ht="14.25" customHeight="1" x14ac:dyDescent="0.2">
      <c r="A74" s="64" t="s">
        <v>209</v>
      </c>
      <c r="B74" s="25" t="s">
        <v>55</v>
      </c>
      <c r="C74" s="26" t="s">
        <v>0</v>
      </c>
      <c r="D74" s="27">
        <v>3</v>
      </c>
      <c r="E74" s="27">
        <v>1</v>
      </c>
      <c r="F74" s="27">
        <v>2</v>
      </c>
      <c r="G74" s="27">
        <v>0</v>
      </c>
      <c r="H74" s="27">
        <v>0</v>
      </c>
      <c r="I74" s="27">
        <v>1</v>
      </c>
      <c r="J74" s="27">
        <v>0</v>
      </c>
      <c r="K74" s="27">
        <v>0</v>
      </c>
      <c r="L74" s="27">
        <v>2</v>
      </c>
      <c r="M74" s="27">
        <v>0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</row>
    <row r="75" spans="1:18" s="20" customFormat="1" ht="14.25" customHeight="1" x14ac:dyDescent="0.2">
      <c r="A75" s="86" t="s">
        <v>20</v>
      </c>
      <c r="B75" s="28" t="s">
        <v>56</v>
      </c>
      <c r="C75" s="29" t="s">
        <v>2</v>
      </c>
      <c r="D75" s="21">
        <v>3</v>
      </c>
      <c r="E75" s="21">
        <v>1</v>
      </c>
      <c r="F75" s="21">
        <v>2</v>
      </c>
      <c r="G75" s="21">
        <v>0</v>
      </c>
      <c r="H75" s="21">
        <v>0</v>
      </c>
      <c r="I75" s="21">
        <v>1</v>
      </c>
      <c r="J75" s="21">
        <v>0</v>
      </c>
      <c r="K75" s="21">
        <v>0</v>
      </c>
      <c r="L75" s="21">
        <v>2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</row>
    <row r="76" spans="1:18" s="20" customFormat="1" ht="14.25" customHeight="1" x14ac:dyDescent="0.2">
      <c r="A76" s="87"/>
      <c r="B76" s="30" t="s">
        <v>57</v>
      </c>
      <c r="C76" s="31" t="s">
        <v>225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</row>
    <row r="77" spans="1:18" s="17" customFormat="1" ht="14.25" customHeight="1" x14ac:dyDescent="0.2">
      <c r="A77" s="17" t="s">
        <v>80</v>
      </c>
    </row>
    <row r="78" spans="1:18" s="17" customFormat="1" ht="14.25" customHeight="1" x14ac:dyDescent="0.2">
      <c r="A78" s="23" t="s">
        <v>24</v>
      </c>
    </row>
    <row r="79" spans="1:18" s="17" customFormat="1" ht="14.25" customHeight="1" x14ac:dyDescent="0.2">
      <c r="A79" s="17" t="s">
        <v>176</v>
      </c>
    </row>
    <row r="80" spans="1:18" s="17" customFormat="1" ht="14.25" customHeight="1" x14ac:dyDescent="0.2"/>
  </sheetData>
  <mergeCells count="47">
    <mergeCell ref="A75:A76"/>
    <mergeCell ref="A57:A58"/>
    <mergeCell ref="A60:A61"/>
    <mergeCell ref="A63:A64"/>
    <mergeCell ref="A66:A67"/>
    <mergeCell ref="A69:A70"/>
    <mergeCell ref="A72:A73"/>
    <mergeCell ref="A54:A55"/>
    <mergeCell ref="A21:A22"/>
    <mergeCell ref="A24:A25"/>
    <mergeCell ref="A27:A28"/>
    <mergeCell ref="A30:A31"/>
    <mergeCell ref="A33:A34"/>
    <mergeCell ref="A36:A37"/>
    <mergeCell ref="A39:A40"/>
    <mergeCell ref="A42:A43"/>
    <mergeCell ref="A45:A46"/>
    <mergeCell ref="A48:A49"/>
    <mergeCell ref="A51:A52"/>
    <mergeCell ref="A9:A10"/>
    <mergeCell ref="A12:A13"/>
    <mergeCell ref="A15:A16"/>
    <mergeCell ref="O6:O7"/>
    <mergeCell ref="P6:P7"/>
    <mergeCell ref="A18:A19"/>
    <mergeCell ref="K6:K7"/>
    <mergeCell ref="L6:L7"/>
    <mergeCell ref="M6:M7"/>
    <mergeCell ref="N6:N7"/>
    <mergeCell ref="E6:E7"/>
    <mergeCell ref="F6:F7"/>
    <mergeCell ref="G6:G7"/>
    <mergeCell ref="H6:H7"/>
    <mergeCell ref="I6:I7"/>
    <mergeCell ref="J6:J7"/>
    <mergeCell ref="A4:C7"/>
    <mergeCell ref="D4:R4"/>
    <mergeCell ref="D5:F5"/>
    <mergeCell ref="G5:H5"/>
    <mergeCell ref="I5:J5"/>
    <mergeCell ref="K5:L5"/>
    <mergeCell ref="M5:N5"/>
    <mergeCell ref="O5:P5"/>
    <mergeCell ref="Q5:R5"/>
    <mergeCell ref="D6:D7"/>
    <mergeCell ref="Q6:Q7"/>
    <mergeCell ref="R6:R7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 alignWithMargins="0">
    <oddHeader>&amp;L&amp;"微軟正黑體,標準"&amp;16兒童及少年保護執行概況&amp;C&amp;"微軟正黑體,標準"&amp;16
&amp;R&amp;"微軟正黑體,標準"本表共&amp;N頁，第&amp;P頁</oddHeader>
  </headerFooter>
  <rowBreaks count="1" manualBreakCount="1">
    <brk id="43" max="17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80"/>
  <sheetViews>
    <sheetView zoomScaleNormal="100" zoomScaleSheetLayoutView="100" workbookViewId="0">
      <selection activeCell="A3" sqref="A3"/>
    </sheetView>
  </sheetViews>
  <sheetFormatPr defaultColWidth="5.5" defaultRowHeight="11.1" customHeight="1" x14ac:dyDescent="0.2"/>
  <cols>
    <col min="1" max="1" width="18.33203125" style="4" customWidth="1"/>
    <col min="2" max="2" width="8.33203125" style="4" customWidth="1"/>
    <col min="3" max="3" width="13.1640625" style="4" customWidth="1"/>
    <col min="4" max="6" width="10.33203125" style="4" customWidth="1"/>
    <col min="7" max="18" width="11.1640625" style="4" customWidth="1"/>
    <col min="19" max="16384" width="5.5" style="4"/>
  </cols>
  <sheetData>
    <row r="1" spans="1:18" ht="20.25" customHeight="1" x14ac:dyDescent="0.2">
      <c r="A1" s="46" t="s">
        <v>147</v>
      </c>
      <c r="B1" s="1"/>
      <c r="C1" s="1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4.25" customHeight="1" x14ac:dyDescent="0.2">
      <c r="A2" s="17" t="s">
        <v>148</v>
      </c>
      <c r="B2"/>
      <c r="C2"/>
      <c r="D2" s="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</row>
    <row r="3" spans="1:18" s="17" customFormat="1" ht="12.75" customHeight="1" x14ac:dyDescent="0.25">
      <c r="A3" s="15" t="s">
        <v>173</v>
      </c>
      <c r="B3" s="16"/>
      <c r="C3" s="16"/>
    </row>
    <row r="4" spans="1:18" s="18" customFormat="1" ht="24.75" customHeight="1" x14ac:dyDescent="0.2">
      <c r="A4" s="94" t="s">
        <v>42</v>
      </c>
      <c r="B4" s="95"/>
      <c r="C4" s="96"/>
      <c r="D4" s="76" t="s">
        <v>43</v>
      </c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</row>
    <row r="5" spans="1:18" s="18" customFormat="1" ht="24.75" customHeight="1" x14ac:dyDescent="0.2">
      <c r="A5" s="97"/>
      <c r="B5" s="98"/>
      <c r="C5" s="99"/>
      <c r="D5" s="78" t="s">
        <v>44</v>
      </c>
      <c r="E5" s="79"/>
      <c r="F5" s="80"/>
      <c r="G5" s="103" t="s">
        <v>45</v>
      </c>
      <c r="H5" s="104"/>
      <c r="I5" s="103" t="s">
        <v>46</v>
      </c>
      <c r="J5" s="104"/>
      <c r="K5" s="103" t="s">
        <v>47</v>
      </c>
      <c r="L5" s="104"/>
      <c r="M5" s="103" t="s">
        <v>48</v>
      </c>
      <c r="N5" s="104"/>
      <c r="O5" s="103" t="s">
        <v>49</v>
      </c>
      <c r="P5" s="104"/>
      <c r="Q5" s="103" t="s">
        <v>50</v>
      </c>
      <c r="R5" s="105"/>
    </row>
    <row r="6" spans="1:18" s="18" customFormat="1" ht="33.75" customHeight="1" x14ac:dyDescent="0.2">
      <c r="A6" s="97"/>
      <c r="B6" s="98"/>
      <c r="C6" s="99"/>
      <c r="D6" s="72" t="s">
        <v>51</v>
      </c>
      <c r="E6" s="92" t="s">
        <v>52</v>
      </c>
      <c r="F6" s="90" t="s">
        <v>53</v>
      </c>
      <c r="G6" s="90" t="s">
        <v>52</v>
      </c>
      <c r="H6" s="90" t="s">
        <v>53</v>
      </c>
      <c r="I6" s="90" t="s">
        <v>52</v>
      </c>
      <c r="J6" s="90" t="s">
        <v>53</v>
      </c>
      <c r="K6" s="90" t="s">
        <v>52</v>
      </c>
      <c r="L6" s="90" t="s">
        <v>53</v>
      </c>
      <c r="M6" s="90" t="s">
        <v>52</v>
      </c>
      <c r="N6" s="90" t="s">
        <v>53</v>
      </c>
      <c r="O6" s="90" t="s">
        <v>52</v>
      </c>
      <c r="P6" s="90" t="s">
        <v>53</v>
      </c>
      <c r="Q6" s="90" t="s">
        <v>52</v>
      </c>
      <c r="R6" s="94" t="s">
        <v>53</v>
      </c>
    </row>
    <row r="7" spans="1:18" s="19" customFormat="1" ht="30.75" customHeight="1" x14ac:dyDescent="0.2">
      <c r="A7" s="100"/>
      <c r="B7" s="101"/>
      <c r="C7" s="102"/>
      <c r="D7" s="75"/>
      <c r="E7" s="93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100"/>
    </row>
    <row r="8" spans="1:18" s="20" customFormat="1" ht="18" customHeight="1" x14ac:dyDescent="0.2">
      <c r="A8" s="24" t="s">
        <v>54</v>
      </c>
      <c r="B8" s="25" t="s">
        <v>55</v>
      </c>
      <c r="C8" s="26" t="s">
        <v>0</v>
      </c>
      <c r="D8" s="27">
        <v>4175</v>
      </c>
      <c r="E8" s="27">
        <v>2081</v>
      </c>
      <c r="F8" s="27">
        <v>2094</v>
      </c>
      <c r="G8" s="27">
        <v>375</v>
      </c>
      <c r="H8" s="27">
        <v>297</v>
      </c>
      <c r="I8" s="27">
        <v>345</v>
      </c>
      <c r="J8" s="27">
        <v>295</v>
      </c>
      <c r="K8" s="27">
        <v>417</v>
      </c>
      <c r="L8" s="27">
        <v>312</v>
      </c>
      <c r="M8" s="27">
        <v>443</v>
      </c>
      <c r="N8" s="27">
        <v>348</v>
      </c>
      <c r="O8" s="27">
        <v>346</v>
      </c>
      <c r="P8" s="27">
        <v>452</v>
      </c>
      <c r="Q8" s="27">
        <v>155</v>
      </c>
      <c r="R8" s="27">
        <v>390</v>
      </c>
    </row>
    <row r="9" spans="1:18" s="20" customFormat="1" ht="14.25" customHeight="1" x14ac:dyDescent="0.2">
      <c r="A9" s="106" t="s">
        <v>1</v>
      </c>
      <c r="B9" s="28" t="s">
        <v>56</v>
      </c>
      <c r="C9" s="29" t="s">
        <v>2</v>
      </c>
      <c r="D9" s="21">
        <v>3779</v>
      </c>
      <c r="E9" s="21">
        <v>1907</v>
      </c>
      <c r="F9" s="21">
        <v>1872</v>
      </c>
      <c r="G9" s="21">
        <v>344</v>
      </c>
      <c r="H9" s="21">
        <v>270</v>
      </c>
      <c r="I9" s="21">
        <v>304</v>
      </c>
      <c r="J9" s="21">
        <v>269</v>
      </c>
      <c r="K9" s="21">
        <v>376</v>
      </c>
      <c r="L9" s="21">
        <v>269</v>
      </c>
      <c r="M9" s="21">
        <v>414</v>
      </c>
      <c r="N9" s="21">
        <v>306</v>
      </c>
      <c r="O9" s="21">
        <v>324</v>
      </c>
      <c r="P9" s="21">
        <v>395</v>
      </c>
      <c r="Q9" s="21">
        <v>145</v>
      </c>
      <c r="R9" s="21">
        <v>363</v>
      </c>
    </row>
    <row r="10" spans="1:18" s="20" customFormat="1" ht="14.25" customHeight="1" x14ac:dyDescent="0.2">
      <c r="A10" s="107"/>
      <c r="B10" s="28" t="s">
        <v>57</v>
      </c>
      <c r="C10" s="29" t="s">
        <v>225</v>
      </c>
      <c r="D10" s="21">
        <v>396</v>
      </c>
      <c r="E10" s="21">
        <v>174</v>
      </c>
      <c r="F10" s="21">
        <v>222</v>
      </c>
      <c r="G10" s="21">
        <v>31</v>
      </c>
      <c r="H10" s="21">
        <v>27</v>
      </c>
      <c r="I10" s="21">
        <v>41</v>
      </c>
      <c r="J10" s="21">
        <v>26</v>
      </c>
      <c r="K10" s="21">
        <v>41</v>
      </c>
      <c r="L10" s="21">
        <v>43</v>
      </c>
      <c r="M10" s="21">
        <v>29</v>
      </c>
      <c r="N10" s="21">
        <v>42</v>
      </c>
      <c r="O10" s="21">
        <v>22</v>
      </c>
      <c r="P10" s="21">
        <v>57</v>
      </c>
      <c r="Q10" s="21">
        <v>10</v>
      </c>
      <c r="R10" s="21">
        <v>27</v>
      </c>
    </row>
    <row r="11" spans="1:18" s="20" customFormat="1" ht="14.25" customHeight="1" x14ac:dyDescent="0.2">
      <c r="A11" s="24" t="s">
        <v>58</v>
      </c>
      <c r="B11" s="25" t="s">
        <v>55</v>
      </c>
      <c r="C11" s="26" t="s">
        <v>0</v>
      </c>
      <c r="D11" s="27">
        <v>712</v>
      </c>
      <c r="E11" s="27">
        <v>356</v>
      </c>
      <c r="F11" s="27">
        <v>356</v>
      </c>
      <c r="G11" s="27">
        <v>47</v>
      </c>
      <c r="H11" s="27">
        <v>35</v>
      </c>
      <c r="I11" s="27">
        <v>41</v>
      </c>
      <c r="J11" s="27">
        <v>43</v>
      </c>
      <c r="K11" s="27">
        <v>80</v>
      </c>
      <c r="L11" s="27">
        <v>59</v>
      </c>
      <c r="M11" s="27">
        <v>97</v>
      </c>
      <c r="N11" s="27">
        <v>66</v>
      </c>
      <c r="O11" s="27">
        <v>64</v>
      </c>
      <c r="P11" s="27">
        <v>77</v>
      </c>
      <c r="Q11" s="27">
        <v>27</v>
      </c>
      <c r="R11" s="27">
        <v>76</v>
      </c>
    </row>
    <row r="12" spans="1:18" s="20" customFormat="1" ht="14.25" customHeight="1" x14ac:dyDescent="0.2">
      <c r="A12" s="86" t="s">
        <v>3</v>
      </c>
      <c r="B12" s="28" t="s">
        <v>56</v>
      </c>
      <c r="C12" s="29" t="s">
        <v>2</v>
      </c>
      <c r="D12" s="21">
        <v>668</v>
      </c>
      <c r="E12" s="21">
        <v>337</v>
      </c>
      <c r="F12" s="21">
        <v>331</v>
      </c>
      <c r="G12" s="21">
        <v>45</v>
      </c>
      <c r="H12" s="21">
        <v>35</v>
      </c>
      <c r="I12" s="21">
        <v>37</v>
      </c>
      <c r="J12" s="21">
        <v>42</v>
      </c>
      <c r="K12" s="21">
        <v>76</v>
      </c>
      <c r="L12" s="21">
        <v>50</v>
      </c>
      <c r="M12" s="21">
        <v>90</v>
      </c>
      <c r="N12" s="21">
        <v>61</v>
      </c>
      <c r="O12" s="21">
        <v>62</v>
      </c>
      <c r="P12" s="21">
        <v>72</v>
      </c>
      <c r="Q12" s="21">
        <v>27</v>
      </c>
      <c r="R12" s="21">
        <v>71</v>
      </c>
    </row>
    <row r="13" spans="1:18" s="20" customFormat="1" ht="14.25" customHeight="1" x14ac:dyDescent="0.2">
      <c r="A13" s="87"/>
      <c r="B13" s="28" t="s">
        <v>57</v>
      </c>
      <c r="C13" s="29" t="s">
        <v>225</v>
      </c>
      <c r="D13" s="21">
        <v>44</v>
      </c>
      <c r="E13" s="21">
        <v>19</v>
      </c>
      <c r="F13" s="21">
        <v>25</v>
      </c>
      <c r="G13" s="21">
        <v>2</v>
      </c>
      <c r="H13" s="21">
        <v>0</v>
      </c>
      <c r="I13" s="21">
        <v>4</v>
      </c>
      <c r="J13" s="21">
        <v>1</v>
      </c>
      <c r="K13" s="21">
        <v>4</v>
      </c>
      <c r="L13" s="21">
        <v>9</v>
      </c>
      <c r="M13" s="21">
        <v>7</v>
      </c>
      <c r="N13" s="21">
        <v>5</v>
      </c>
      <c r="O13" s="21">
        <v>2</v>
      </c>
      <c r="P13" s="21">
        <v>5</v>
      </c>
      <c r="Q13" s="21">
        <v>0</v>
      </c>
      <c r="R13" s="21">
        <v>5</v>
      </c>
    </row>
    <row r="14" spans="1:18" s="20" customFormat="1" ht="14.25" customHeight="1" x14ac:dyDescent="0.2">
      <c r="A14" s="24" t="s">
        <v>59</v>
      </c>
      <c r="B14" s="25" t="s">
        <v>55</v>
      </c>
      <c r="C14" s="26" t="s">
        <v>0</v>
      </c>
      <c r="D14" s="27">
        <v>395</v>
      </c>
      <c r="E14" s="27">
        <v>202</v>
      </c>
      <c r="F14" s="27">
        <v>193</v>
      </c>
      <c r="G14" s="27">
        <v>31</v>
      </c>
      <c r="H14" s="27">
        <v>13</v>
      </c>
      <c r="I14" s="27">
        <v>32</v>
      </c>
      <c r="J14" s="27">
        <v>25</v>
      </c>
      <c r="K14" s="27">
        <v>44</v>
      </c>
      <c r="L14" s="27">
        <v>33</v>
      </c>
      <c r="M14" s="27">
        <v>40</v>
      </c>
      <c r="N14" s="27">
        <v>33</v>
      </c>
      <c r="O14" s="27">
        <v>36</v>
      </c>
      <c r="P14" s="27">
        <v>38</v>
      </c>
      <c r="Q14" s="27">
        <v>19</v>
      </c>
      <c r="R14" s="27">
        <v>51</v>
      </c>
    </row>
    <row r="15" spans="1:18" s="20" customFormat="1" ht="14.25" customHeight="1" x14ac:dyDescent="0.2">
      <c r="A15" s="86" t="s">
        <v>4</v>
      </c>
      <c r="B15" s="28" t="s">
        <v>56</v>
      </c>
      <c r="C15" s="29" t="s">
        <v>2</v>
      </c>
      <c r="D15" s="21">
        <v>386</v>
      </c>
      <c r="E15" s="21">
        <v>195</v>
      </c>
      <c r="F15" s="21">
        <v>191</v>
      </c>
      <c r="G15" s="21">
        <v>30</v>
      </c>
      <c r="H15" s="21">
        <v>13</v>
      </c>
      <c r="I15" s="21">
        <v>28</v>
      </c>
      <c r="J15" s="21">
        <v>25</v>
      </c>
      <c r="K15" s="21">
        <v>43</v>
      </c>
      <c r="L15" s="21">
        <v>33</v>
      </c>
      <c r="M15" s="21">
        <v>40</v>
      </c>
      <c r="N15" s="21">
        <v>33</v>
      </c>
      <c r="O15" s="21">
        <v>36</v>
      </c>
      <c r="P15" s="21">
        <v>37</v>
      </c>
      <c r="Q15" s="21">
        <v>18</v>
      </c>
      <c r="R15" s="21">
        <v>50</v>
      </c>
    </row>
    <row r="16" spans="1:18" s="20" customFormat="1" ht="14.25" customHeight="1" x14ac:dyDescent="0.2">
      <c r="A16" s="87"/>
      <c r="B16" s="30" t="s">
        <v>57</v>
      </c>
      <c r="C16" s="31" t="s">
        <v>225</v>
      </c>
      <c r="D16" s="21">
        <v>9</v>
      </c>
      <c r="E16" s="21">
        <v>7</v>
      </c>
      <c r="F16" s="21">
        <v>2</v>
      </c>
      <c r="G16" s="21">
        <v>1</v>
      </c>
      <c r="H16" s="21">
        <v>0</v>
      </c>
      <c r="I16" s="21">
        <v>4</v>
      </c>
      <c r="J16" s="21">
        <v>0</v>
      </c>
      <c r="K16" s="21">
        <v>1</v>
      </c>
      <c r="L16" s="21">
        <v>0</v>
      </c>
      <c r="M16" s="21">
        <v>0</v>
      </c>
      <c r="N16" s="21">
        <v>0</v>
      </c>
      <c r="O16" s="21">
        <v>0</v>
      </c>
      <c r="P16" s="21">
        <v>1</v>
      </c>
      <c r="Q16" s="21">
        <v>1</v>
      </c>
      <c r="R16" s="21">
        <v>1</v>
      </c>
    </row>
    <row r="17" spans="1:18" s="20" customFormat="1" ht="14.25" customHeight="1" x14ac:dyDescent="0.2">
      <c r="A17" s="24" t="s">
        <v>60</v>
      </c>
      <c r="B17" s="25" t="s">
        <v>55</v>
      </c>
      <c r="C17" s="26" t="s">
        <v>0</v>
      </c>
      <c r="D17" s="27">
        <v>510</v>
      </c>
      <c r="E17" s="27">
        <v>250</v>
      </c>
      <c r="F17" s="27">
        <v>260</v>
      </c>
      <c r="G17" s="27">
        <v>52</v>
      </c>
      <c r="H17" s="27">
        <v>51</v>
      </c>
      <c r="I17" s="27">
        <v>43</v>
      </c>
      <c r="J17" s="27">
        <v>30</v>
      </c>
      <c r="K17" s="27">
        <v>48</v>
      </c>
      <c r="L17" s="27">
        <v>35</v>
      </c>
      <c r="M17" s="27">
        <v>58</v>
      </c>
      <c r="N17" s="27">
        <v>40</v>
      </c>
      <c r="O17" s="27">
        <v>32</v>
      </c>
      <c r="P17" s="27">
        <v>52</v>
      </c>
      <c r="Q17" s="27">
        <v>17</v>
      </c>
      <c r="R17" s="27">
        <v>52</v>
      </c>
    </row>
    <row r="18" spans="1:18" s="20" customFormat="1" ht="14.25" customHeight="1" x14ac:dyDescent="0.2">
      <c r="A18" s="86" t="s">
        <v>25</v>
      </c>
      <c r="B18" s="28" t="s">
        <v>56</v>
      </c>
      <c r="C18" s="29" t="s">
        <v>2</v>
      </c>
      <c r="D18" s="21">
        <v>433</v>
      </c>
      <c r="E18" s="21">
        <v>212</v>
      </c>
      <c r="F18" s="21">
        <v>221</v>
      </c>
      <c r="G18" s="21">
        <v>42</v>
      </c>
      <c r="H18" s="21">
        <v>45</v>
      </c>
      <c r="I18" s="21">
        <v>32</v>
      </c>
      <c r="J18" s="21">
        <v>26</v>
      </c>
      <c r="K18" s="21">
        <v>35</v>
      </c>
      <c r="L18" s="21">
        <v>29</v>
      </c>
      <c r="M18" s="21">
        <v>56</v>
      </c>
      <c r="N18" s="21">
        <v>31</v>
      </c>
      <c r="O18" s="21">
        <v>32</v>
      </c>
      <c r="P18" s="21">
        <v>46</v>
      </c>
      <c r="Q18" s="21">
        <v>15</v>
      </c>
      <c r="R18" s="21">
        <v>44</v>
      </c>
    </row>
    <row r="19" spans="1:18" s="20" customFormat="1" ht="14.25" customHeight="1" x14ac:dyDescent="0.2">
      <c r="A19" s="87"/>
      <c r="B19" s="30" t="s">
        <v>57</v>
      </c>
      <c r="C19" s="31" t="s">
        <v>225</v>
      </c>
      <c r="D19" s="21">
        <v>77</v>
      </c>
      <c r="E19" s="21">
        <v>38</v>
      </c>
      <c r="F19" s="21">
        <v>39</v>
      </c>
      <c r="G19" s="21">
        <v>10</v>
      </c>
      <c r="H19" s="21">
        <v>6</v>
      </c>
      <c r="I19" s="21">
        <v>11</v>
      </c>
      <c r="J19" s="21">
        <v>4</v>
      </c>
      <c r="K19" s="21">
        <v>13</v>
      </c>
      <c r="L19" s="21">
        <v>6</v>
      </c>
      <c r="M19" s="21">
        <v>2</v>
      </c>
      <c r="N19" s="21">
        <v>9</v>
      </c>
      <c r="O19" s="21">
        <v>0</v>
      </c>
      <c r="P19" s="21">
        <v>6</v>
      </c>
      <c r="Q19" s="21">
        <v>2</v>
      </c>
      <c r="R19" s="21">
        <v>8</v>
      </c>
    </row>
    <row r="20" spans="1:18" s="20" customFormat="1" ht="14.25" customHeight="1" x14ac:dyDescent="0.2">
      <c r="A20" s="24" t="s">
        <v>61</v>
      </c>
      <c r="B20" s="25" t="s">
        <v>55</v>
      </c>
      <c r="C20" s="26" t="s">
        <v>0</v>
      </c>
      <c r="D20" s="27">
        <v>534</v>
      </c>
      <c r="E20" s="27">
        <v>272</v>
      </c>
      <c r="F20" s="27">
        <v>262</v>
      </c>
      <c r="G20" s="27">
        <v>49</v>
      </c>
      <c r="H20" s="27">
        <v>50</v>
      </c>
      <c r="I20" s="27">
        <v>60</v>
      </c>
      <c r="J20" s="27">
        <v>38</v>
      </c>
      <c r="K20" s="27">
        <v>49</v>
      </c>
      <c r="L20" s="27">
        <v>41</v>
      </c>
      <c r="M20" s="27">
        <v>52</v>
      </c>
      <c r="N20" s="27">
        <v>44</v>
      </c>
      <c r="O20" s="27">
        <v>35</v>
      </c>
      <c r="P20" s="27">
        <v>53</v>
      </c>
      <c r="Q20" s="27">
        <v>27</v>
      </c>
      <c r="R20" s="27">
        <v>36</v>
      </c>
    </row>
    <row r="21" spans="1:18" s="20" customFormat="1" ht="14.25" customHeight="1" x14ac:dyDescent="0.2">
      <c r="A21" s="86" t="s">
        <v>21</v>
      </c>
      <c r="B21" s="28" t="s">
        <v>56</v>
      </c>
      <c r="C21" s="29" t="s">
        <v>2</v>
      </c>
      <c r="D21" s="21">
        <v>504</v>
      </c>
      <c r="E21" s="21">
        <v>259</v>
      </c>
      <c r="F21" s="21">
        <v>245</v>
      </c>
      <c r="G21" s="21">
        <v>48</v>
      </c>
      <c r="H21" s="21">
        <v>46</v>
      </c>
      <c r="I21" s="21">
        <v>56</v>
      </c>
      <c r="J21" s="21">
        <v>38</v>
      </c>
      <c r="K21" s="21">
        <v>48</v>
      </c>
      <c r="L21" s="21">
        <v>39</v>
      </c>
      <c r="M21" s="21">
        <v>48</v>
      </c>
      <c r="N21" s="21">
        <v>41</v>
      </c>
      <c r="O21" s="21">
        <v>34</v>
      </c>
      <c r="P21" s="21">
        <v>46</v>
      </c>
      <c r="Q21" s="21">
        <v>25</v>
      </c>
      <c r="R21" s="21">
        <v>35</v>
      </c>
    </row>
    <row r="22" spans="1:18" s="20" customFormat="1" ht="14.25" customHeight="1" x14ac:dyDescent="0.2">
      <c r="A22" s="87"/>
      <c r="B22" s="30" t="s">
        <v>57</v>
      </c>
      <c r="C22" s="31" t="s">
        <v>225</v>
      </c>
      <c r="D22" s="21">
        <v>30</v>
      </c>
      <c r="E22" s="21">
        <v>13</v>
      </c>
      <c r="F22" s="21">
        <v>17</v>
      </c>
      <c r="G22" s="21">
        <v>1</v>
      </c>
      <c r="H22" s="21">
        <v>4</v>
      </c>
      <c r="I22" s="21">
        <v>4</v>
      </c>
      <c r="J22" s="21">
        <v>0</v>
      </c>
      <c r="K22" s="21">
        <v>1</v>
      </c>
      <c r="L22" s="21">
        <v>2</v>
      </c>
      <c r="M22" s="21">
        <v>4</v>
      </c>
      <c r="N22" s="21">
        <v>3</v>
      </c>
      <c r="O22" s="21">
        <v>1</v>
      </c>
      <c r="P22" s="21">
        <v>7</v>
      </c>
      <c r="Q22" s="21">
        <v>2</v>
      </c>
      <c r="R22" s="21">
        <v>1</v>
      </c>
    </row>
    <row r="23" spans="1:18" s="20" customFormat="1" ht="14.25" customHeight="1" x14ac:dyDescent="0.2">
      <c r="A23" s="24" t="s">
        <v>62</v>
      </c>
      <c r="B23" s="25" t="s">
        <v>55</v>
      </c>
      <c r="C23" s="26" t="s">
        <v>0</v>
      </c>
      <c r="D23" s="27">
        <v>318</v>
      </c>
      <c r="E23" s="27">
        <v>174</v>
      </c>
      <c r="F23" s="27">
        <v>144</v>
      </c>
      <c r="G23" s="27">
        <v>38</v>
      </c>
      <c r="H23" s="27">
        <v>16</v>
      </c>
      <c r="I23" s="27">
        <v>29</v>
      </c>
      <c r="J23" s="27">
        <v>23</v>
      </c>
      <c r="K23" s="27">
        <v>32</v>
      </c>
      <c r="L23" s="27">
        <v>14</v>
      </c>
      <c r="M23" s="27">
        <v>38</v>
      </c>
      <c r="N23" s="27">
        <v>21</v>
      </c>
      <c r="O23" s="27">
        <v>30</v>
      </c>
      <c r="P23" s="27">
        <v>41</v>
      </c>
      <c r="Q23" s="27">
        <v>7</v>
      </c>
      <c r="R23" s="27">
        <v>29</v>
      </c>
    </row>
    <row r="24" spans="1:18" s="20" customFormat="1" ht="14.25" customHeight="1" x14ac:dyDescent="0.2">
      <c r="A24" s="86" t="s">
        <v>22</v>
      </c>
      <c r="B24" s="28" t="s">
        <v>56</v>
      </c>
      <c r="C24" s="29" t="s">
        <v>2</v>
      </c>
      <c r="D24" s="21">
        <v>308</v>
      </c>
      <c r="E24" s="21">
        <v>169</v>
      </c>
      <c r="F24" s="21">
        <v>139</v>
      </c>
      <c r="G24" s="21">
        <v>37</v>
      </c>
      <c r="H24" s="21">
        <v>16</v>
      </c>
      <c r="I24" s="21">
        <v>26</v>
      </c>
      <c r="J24" s="21">
        <v>23</v>
      </c>
      <c r="K24" s="21">
        <v>32</v>
      </c>
      <c r="L24" s="21">
        <v>13</v>
      </c>
      <c r="M24" s="21">
        <v>38</v>
      </c>
      <c r="N24" s="21">
        <v>19</v>
      </c>
      <c r="O24" s="21">
        <v>29</v>
      </c>
      <c r="P24" s="21">
        <v>39</v>
      </c>
      <c r="Q24" s="21">
        <v>7</v>
      </c>
      <c r="R24" s="21">
        <v>29</v>
      </c>
    </row>
    <row r="25" spans="1:18" s="20" customFormat="1" ht="14.25" customHeight="1" x14ac:dyDescent="0.2">
      <c r="A25" s="87"/>
      <c r="B25" s="30" t="s">
        <v>57</v>
      </c>
      <c r="C25" s="31" t="s">
        <v>225</v>
      </c>
      <c r="D25" s="21">
        <v>10</v>
      </c>
      <c r="E25" s="21">
        <v>5</v>
      </c>
      <c r="F25" s="21">
        <v>5</v>
      </c>
      <c r="G25" s="21">
        <v>1</v>
      </c>
      <c r="H25" s="21">
        <v>0</v>
      </c>
      <c r="I25" s="21">
        <v>3</v>
      </c>
      <c r="J25" s="21">
        <v>0</v>
      </c>
      <c r="K25" s="21">
        <v>0</v>
      </c>
      <c r="L25" s="21">
        <v>1</v>
      </c>
      <c r="M25" s="21">
        <v>0</v>
      </c>
      <c r="N25" s="21">
        <v>2</v>
      </c>
      <c r="O25" s="21">
        <v>1</v>
      </c>
      <c r="P25" s="21">
        <v>2</v>
      </c>
      <c r="Q25" s="21">
        <v>0</v>
      </c>
      <c r="R25" s="21">
        <v>0</v>
      </c>
    </row>
    <row r="26" spans="1:18" s="20" customFormat="1" ht="14.25" customHeight="1" x14ac:dyDescent="0.2">
      <c r="A26" s="24" t="s">
        <v>63</v>
      </c>
      <c r="B26" s="25" t="s">
        <v>55</v>
      </c>
      <c r="C26" s="26" t="s">
        <v>0</v>
      </c>
      <c r="D26" s="27">
        <v>580</v>
      </c>
      <c r="E26" s="27">
        <v>305</v>
      </c>
      <c r="F26" s="27">
        <v>275</v>
      </c>
      <c r="G26" s="27">
        <v>52</v>
      </c>
      <c r="H26" s="27">
        <v>43</v>
      </c>
      <c r="I26" s="27">
        <v>49</v>
      </c>
      <c r="J26" s="27">
        <v>47</v>
      </c>
      <c r="K26" s="27">
        <v>61</v>
      </c>
      <c r="L26" s="27">
        <v>36</v>
      </c>
      <c r="M26" s="27">
        <v>58</v>
      </c>
      <c r="N26" s="27">
        <v>54</v>
      </c>
      <c r="O26" s="27">
        <v>65</v>
      </c>
      <c r="P26" s="27">
        <v>55</v>
      </c>
      <c r="Q26" s="27">
        <v>20</v>
      </c>
      <c r="R26" s="27">
        <v>40</v>
      </c>
    </row>
    <row r="27" spans="1:18" s="20" customFormat="1" ht="14.25" customHeight="1" x14ac:dyDescent="0.2">
      <c r="A27" s="86" t="s">
        <v>23</v>
      </c>
      <c r="B27" s="28" t="s">
        <v>56</v>
      </c>
      <c r="C27" s="29" t="s">
        <v>2</v>
      </c>
      <c r="D27" s="21">
        <v>557</v>
      </c>
      <c r="E27" s="21">
        <v>294</v>
      </c>
      <c r="F27" s="21">
        <v>263</v>
      </c>
      <c r="G27" s="21">
        <v>51</v>
      </c>
      <c r="H27" s="21">
        <v>41</v>
      </c>
      <c r="I27" s="21">
        <v>48</v>
      </c>
      <c r="J27" s="21">
        <v>45</v>
      </c>
      <c r="K27" s="21">
        <v>57</v>
      </c>
      <c r="L27" s="21">
        <v>36</v>
      </c>
      <c r="M27" s="21">
        <v>57</v>
      </c>
      <c r="N27" s="21">
        <v>52</v>
      </c>
      <c r="O27" s="21">
        <v>62</v>
      </c>
      <c r="P27" s="21">
        <v>51</v>
      </c>
      <c r="Q27" s="21">
        <v>19</v>
      </c>
      <c r="R27" s="21">
        <v>38</v>
      </c>
    </row>
    <row r="28" spans="1:18" s="20" customFormat="1" ht="14.25" customHeight="1" x14ac:dyDescent="0.2">
      <c r="A28" s="87"/>
      <c r="B28" s="30" t="s">
        <v>57</v>
      </c>
      <c r="C28" s="31" t="s">
        <v>225</v>
      </c>
      <c r="D28" s="21">
        <v>23</v>
      </c>
      <c r="E28" s="21">
        <v>11</v>
      </c>
      <c r="F28" s="21">
        <v>12</v>
      </c>
      <c r="G28" s="21">
        <v>1</v>
      </c>
      <c r="H28" s="21">
        <v>2</v>
      </c>
      <c r="I28" s="21">
        <v>1</v>
      </c>
      <c r="J28" s="21">
        <v>2</v>
      </c>
      <c r="K28" s="21">
        <v>4</v>
      </c>
      <c r="L28" s="21">
        <v>0</v>
      </c>
      <c r="M28" s="21">
        <v>1</v>
      </c>
      <c r="N28" s="21">
        <v>2</v>
      </c>
      <c r="O28" s="21">
        <v>3</v>
      </c>
      <c r="P28" s="21">
        <v>4</v>
      </c>
      <c r="Q28" s="21">
        <v>1</v>
      </c>
      <c r="R28" s="21">
        <v>2</v>
      </c>
    </row>
    <row r="29" spans="1:18" s="20" customFormat="1" ht="14.25" customHeight="1" x14ac:dyDescent="0.2">
      <c r="A29" s="24" t="s">
        <v>64</v>
      </c>
      <c r="B29" s="25" t="s">
        <v>55</v>
      </c>
      <c r="C29" s="26" t="s">
        <v>0</v>
      </c>
      <c r="D29" s="27">
        <v>46</v>
      </c>
      <c r="E29" s="27">
        <v>18</v>
      </c>
      <c r="F29" s="27">
        <v>28</v>
      </c>
      <c r="G29" s="27">
        <v>5</v>
      </c>
      <c r="H29" s="27">
        <v>3</v>
      </c>
      <c r="I29" s="27">
        <v>1</v>
      </c>
      <c r="J29" s="27">
        <v>1</v>
      </c>
      <c r="K29" s="27">
        <v>6</v>
      </c>
      <c r="L29" s="27">
        <v>9</v>
      </c>
      <c r="M29" s="27">
        <v>3</v>
      </c>
      <c r="N29" s="27">
        <v>1</v>
      </c>
      <c r="O29" s="27">
        <v>1</v>
      </c>
      <c r="P29" s="27">
        <v>10</v>
      </c>
      <c r="Q29" s="27">
        <v>2</v>
      </c>
      <c r="R29" s="27">
        <v>4</v>
      </c>
    </row>
    <row r="30" spans="1:18" s="20" customFormat="1" ht="14.25" customHeight="1" x14ac:dyDescent="0.2">
      <c r="A30" s="86" t="s">
        <v>5</v>
      </c>
      <c r="B30" s="28" t="s">
        <v>56</v>
      </c>
      <c r="C30" s="29" t="s">
        <v>2</v>
      </c>
      <c r="D30" s="21">
        <v>42</v>
      </c>
      <c r="E30" s="21">
        <v>16</v>
      </c>
      <c r="F30" s="21">
        <v>26</v>
      </c>
      <c r="G30" s="21">
        <v>5</v>
      </c>
      <c r="H30" s="21">
        <v>3</v>
      </c>
      <c r="I30" s="21">
        <v>1</v>
      </c>
      <c r="J30" s="21">
        <v>1</v>
      </c>
      <c r="K30" s="21">
        <v>5</v>
      </c>
      <c r="L30" s="21">
        <v>9</v>
      </c>
      <c r="M30" s="21">
        <v>2</v>
      </c>
      <c r="N30" s="21">
        <v>1</v>
      </c>
      <c r="O30" s="21">
        <v>1</v>
      </c>
      <c r="P30" s="21">
        <v>8</v>
      </c>
      <c r="Q30" s="21">
        <v>2</v>
      </c>
      <c r="R30" s="21">
        <v>4</v>
      </c>
    </row>
    <row r="31" spans="1:18" s="20" customFormat="1" ht="14.25" customHeight="1" x14ac:dyDescent="0.2">
      <c r="A31" s="87"/>
      <c r="B31" s="30" t="s">
        <v>57</v>
      </c>
      <c r="C31" s="31" t="s">
        <v>225</v>
      </c>
      <c r="D31" s="21">
        <v>4</v>
      </c>
      <c r="E31" s="21">
        <v>2</v>
      </c>
      <c r="F31" s="21">
        <v>2</v>
      </c>
      <c r="G31" s="21">
        <v>0</v>
      </c>
      <c r="H31" s="21">
        <v>0</v>
      </c>
      <c r="I31" s="21">
        <v>0</v>
      </c>
      <c r="J31" s="21">
        <v>0</v>
      </c>
      <c r="K31" s="21">
        <v>1</v>
      </c>
      <c r="L31" s="21">
        <v>0</v>
      </c>
      <c r="M31" s="21">
        <v>1</v>
      </c>
      <c r="N31" s="21">
        <v>0</v>
      </c>
      <c r="O31" s="21">
        <v>0</v>
      </c>
      <c r="P31" s="21">
        <v>2</v>
      </c>
      <c r="Q31" s="21">
        <v>0</v>
      </c>
      <c r="R31" s="21">
        <v>0</v>
      </c>
    </row>
    <row r="32" spans="1:18" s="20" customFormat="1" ht="14.25" customHeight="1" x14ac:dyDescent="0.2">
      <c r="A32" s="24" t="s">
        <v>65</v>
      </c>
      <c r="B32" s="25" t="s">
        <v>55</v>
      </c>
      <c r="C32" s="26" t="s">
        <v>0</v>
      </c>
      <c r="D32" s="27">
        <v>106</v>
      </c>
      <c r="E32" s="27">
        <v>56</v>
      </c>
      <c r="F32" s="27">
        <v>50</v>
      </c>
      <c r="G32" s="27">
        <v>12</v>
      </c>
      <c r="H32" s="27">
        <v>7</v>
      </c>
      <c r="I32" s="27">
        <v>11</v>
      </c>
      <c r="J32" s="27">
        <v>8</v>
      </c>
      <c r="K32" s="27">
        <v>9</v>
      </c>
      <c r="L32" s="27">
        <v>6</v>
      </c>
      <c r="M32" s="27">
        <v>11</v>
      </c>
      <c r="N32" s="27">
        <v>9</v>
      </c>
      <c r="O32" s="27">
        <v>9</v>
      </c>
      <c r="P32" s="27">
        <v>11</v>
      </c>
      <c r="Q32" s="27">
        <v>4</v>
      </c>
      <c r="R32" s="27">
        <v>9</v>
      </c>
    </row>
    <row r="33" spans="1:18" s="20" customFormat="1" ht="14.25" customHeight="1" x14ac:dyDescent="0.2">
      <c r="A33" s="86" t="s">
        <v>6</v>
      </c>
      <c r="B33" s="28" t="s">
        <v>56</v>
      </c>
      <c r="C33" s="29" t="s">
        <v>2</v>
      </c>
      <c r="D33" s="21">
        <v>83</v>
      </c>
      <c r="E33" s="21">
        <v>43</v>
      </c>
      <c r="F33" s="21">
        <v>40</v>
      </c>
      <c r="G33" s="21">
        <v>10</v>
      </c>
      <c r="H33" s="21">
        <v>7</v>
      </c>
      <c r="I33" s="21">
        <v>9</v>
      </c>
      <c r="J33" s="21">
        <v>7</v>
      </c>
      <c r="K33" s="21">
        <v>7</v>
      </c>
      <c r="L33" s="21">
        <v>4</v>
      </c>
      <c r="M33" s="21">
        <v>10</v>
      </c>
      <c r="N33" s="21">
        <v>6</v>
      </c>
      <c r="O33" s="21">
        <v>4</v>
      </c>
      <c r="P33" s="21">
        <v>8</v>
      </c>
      <c r="Q33" s="21">
        <v>3</v>
      </c>
      <c r="R33" s="21">
        <v>8</v>
      </c>
    </row>
    <row r="34" spans="1:18" s="20" customFormat="1" ht="14.25" customHeight="1" x14ac:dyDescent="0.2">
      <c r="A34" s="87"/>
      <c r="B34" s="30" t="s">
        <v>57</v>
      </c>
      <c r="C34" s="31" t="s">
        <v>225</v>
      </c>
      <c r="D34" s="21">
        <v>23</v>
      </c>
      <c r="E34" s="21">
        <v>13</v>
      </c>
      <c r="F34" s="21">
        <v>10</v>
      </c>
      <c r="G34" s="21">
        <v>2</v>
      </c>
      <c r="H34" s="21">
        <v>0</v>
      </c>
      <c r="I34" s="21">
        <v>2</v>
      </c>
      <c r="J34" s="21">
        <v>1</v>
      </c>
      <c r="K34" s="21">
        <v>2</v>
      </c>
      <c r="L34" s="21">
        <v>2</v>
      </c>
      <c r="M34" s="21">
        <v>1</v>
      </c>
      <c r="N34" s="21">
        <v>3</v>
      </c>
      <c r="O34" s="21">
        <v>5</v>
      </c>
      <c r="P34" s="21">
        <v>3</v>
      </c>
      <c r="Q34" s="21">
        <v>1</v>
      </c>
      <c r="R34" s="21">
        <v>1</v>
      </c>
    </row>
    <row r="35" spans="1:18" s="20" customFormat="1" ht="14.25" customHeight="1" x14ac:dyDescent="0.2">
      <c r="A35" s="24" t="s">
        <v>66</v>
      </c>
      <c r="B35" s="25" t="s">
        <v>55</v>
      </c>
      <c r="C35" s="26" t="s">
        <v>0</v>
      </c>
      <c r="D35" s="27">
        <v>63</v>
      </c>
      <c r="E35" s="27">
        <v>24</v>
      </c>
      <c r="F35" s="27">
        <v>39</v>
      </c>
      <c r="G35" s="27">
        <v>1</v>
      </c>
      <c r="H35" s="27">
        <v>7</v>
      </c>
      <c r="I35" s="27">
        <v>6</v>
      </c>
      <c r="J35" s="27">
        <v>4</v>
      </c>
      <c r="K35" s="27">
        <v>7</v>
      </c>
      <c r="L35" s="27">
        <v>5</v>
      </c>
      <c r="M35" s="27">
        <v>4</v>
      </c>
      <c r="N35" s="27">
        <v>8</v>
      </c>
      <c r="O35" s="27">
        <v>4</v>
      </c>
      <c r="P35" s="27">
        <v>6</v>
      </c>
      <c r="Q35" s="27">
        <v>2</v>
      </c>
      <c r="R35" s="27">
        <v>9</v>
      </c>
    </row>
    <row r="36" spans="1:18" s="20" customFormat="1" ht="14.25" customHeight="1" x14ac:dyDescent="0.2">
      <c r="A36" s="86" t="s">
        <v>7</v>
      </c>
      <c r="B36" s="28" t="s">
        <v>56</v>
      </c>
      <c r="C36" s="29" t="s">
        <v>2</v>
      </c>
      <c r="D36" s="21">
        <v>58</v>
      </c>
      <c r="E36" s="21">
        <v>23</v>
      </c>
      <c r="F36" s="21">
        <v>35</v>
      </c>
      <c r="G36" s="21">
        <v>1</v>
      </c>
      <c r="H36" s="21">
        <v>6</v>
      </c>
      <c r="I36" s="21">
        <v>6</v>
      </c>
      <c r="J36" s="21">
        <v>3</v>
      </c>
      <c r="K36" s="21">
        <v>7</v>
      </c>
      <c r="L36" s="21">
        <v>4</v>
      </c>
      <c r="M36" s="21">
        <v>3</v>
      </c>
      <c r="N36" s="21">
        <v>8</v>
      </c>
      <c r="O36" s="21">
        <v>4</v>
      </c>
      <c r="P36" s="21">
        <v>5</v>
      </c>
      <c r="Q36" s="21">
        <v>2</v>
      </c>
      <c r="R36" s="21">
        <v>9</v>
      </c>
    </row>
    <row r="37" spans="1:18" s="20" customFormat="1" ht="14.25" customHeight="1" x14ac:dyDescent="0.2">
      <c r="A37" s="87"/>
      <c r="B37" s="30" t="s">
        <v>57</v>
      </c>
      <c r="C37" s="31" t="s">
        <v>225</v>
      </c>
      <c r="D37" s="21">
        <v>5</v>
      </c>
      <c r="E37" s="21">
        <v>1</v>
      </c>
      <c r="F37" s="21">
        <v>4</v>
      </c>
      <c r="G37" s="21">
        <v>0</v>
      </c>
      <c r="H37" s="21">
        <v>1</v>
      </c>
      <c r="I37" s="21">
        <v>0</v>
      </c>
      <c r="J37" s="21">
        <v>1</v>
      </c>
      <c r="K37" s="21">
        <v>0</v>
      </c>
      <c r="L37" s="21">
        <v>1</v>
      </c>
      <c r="M37" s="21">
        <v>1</v>
      </c>
      <c r="N37" s="21">
        <v>0</v>
      </c>
      <c r="O37" s="21">
        <v>0</v>
      </c>
      <c r="P37" s="21">
        <v>1</v>
      </c>
      <c r="Q37" s="21">
        <v>0</v>
      </c>
      <c r="R37" s="21">
        <v>0</v>
      </c>
    </row>
    <row r="38" spans="1:18" s="20" customFormat="1" ht="14.25" customHeight="1" x14ac:dyDescent="0.2">
      <c r="A38" s="24" t="s">
        <v>67</v>
      </c>
      <c r="B38" s="25" t="s">
        <v>55</v>
      </c>
      <c r="C38" s="26" t="s">
        <v>0</v>
      </c>
      <c r="D38" s="27">
        <v>124</v>
      </c>
      <c r="E38" s="27">
        <v>61</v>
      </c>
      <c r="F38" s="27">
        <v>63</v>
      </c>
      <c r="G38" s="27">
        <v>13</v>
      </c>
      <c r="H38" s="27">
        <v>6</v>
      </c>
      <c r="I38" s="27">
        <v>12</v>
      </c>
      <c r="J38" s="27">
        <v>21</v>
      </c>
      <c r="K38" s="27">
        <v>9</v>
      </c>
      <c r="L38" s="27">
        <v>11</v>
      </c>
      <c r="M38" s="27">
        <v>15</v>
      </c>
      <c r="N38" s="27">
        <v>4</v>
      </c>
      <c r="O38" s="27">
        <v>9</v>
      </c>
      <c r="P38" s="27">
        <v>10</v>
      </c>
      <c r="Q38" s="27">
        <v>3</v>
      </c>
      <c r="R38" s="27">
        <v>11</v>
      </c>
    </row>
    <row r="39" spans="1:18" s="20" customFormat="1" ht="14.25" customHeight="1" x14ac:dyDescent="0.2">
      <c r="A39" s="86" t="s">
        <v>8</v>
      </c>
      <c r="B39" s="28" t="s">
        <v>56</v>
      </c>
      <c r="C39" s="29" t="s">
        <v>2</v>
      </c>
      <c r="D39" s="21">
        <v>112</v>
      </c>
      <c r="E39" s="21">
        <v>53</v>
      </c>
      <c r="F39" s="21">
        <v>59</v>
      </c>
      <c r="G39" s="21">
        <v>12</v>
      </c>
      <c r="H39" s="21">
        <v>6</v>
      </c>
      <c r="I39" s="21">
        <v>10</v>
      </c>
      <c r="J39" s="21">
        <v>18</v>
      </c>
      <c r="K39" s="21">
        <v>6</v>
      </c>
      <c r="L39" s="21">
        <v>10</v>
      </c>
      <c r="M39" s="21">
        <v>14</v>
      </c>
      <c r="N39" s="21">
        <v>4</v>
      </c>
      <c r="O39" s="21">
        <v>8</v>
      </c>
      <c r="P39" s="21">
        <v>10</v>
      </c>
      <c r="Q39" s="21">
        <v>3</v>
      </c>
      <c r="R39" s="21">
        <v>11</v>
      </c>
    </row>
    <row r="40" spans="1:18" s="20" customFormat="1" ht="14.25" customHeight="1" x14ac:dyDescent="0.2">
      <c r="A40" s="87"/>
      <c r="B40" s="30" t="s">
        <v>57</v>
      </c>
      <c r="C40" s="31" t="s">
        <v>225</v>
      </c>
      <c r="D40" s="21">
        <v>12</v>
      </c>
      <c r="E40" s="21">
        <v>8</v>
      </c>
      <c r="F40" s="21">
        <v>4</v>
      </c>
      <c r="G40" s="21">
        <v>1</v>
      </c>
      <c r="H40" s="21">
        <v>0</v>
      </c>
      <c r="I40" s="21">
        <v>2</v>
      </c>
      <c r="J40" s="21">
        <v>3</v>
      </c>
      <c r="K40" s="21">
        <v>3</v>
      </c>
      <c r="L40" s="21">
        <v>1</v>
      </c>
      <c r="M40" s="21">
        <v>1</v>
      </c>
      <c r="N40" s="21">
        <v>0</v>
      </c>
      <c r="O40" s="21">
        <v>1</v>
      </c>
      <c r="P40" s="21">
        <v>0</v>
      </c>
      <c r="Q40" s="21">
        <v>0</v>
      </c>
      <c r="R40" s="21">
        <v>0</v>
      </c>
    </row>
    <row r="41" spans="1:18" s="20" customFormat="1" ht="14.25" customHeight="1" x14ac:dyDescent="0.2">
      <c r="A41" s="24" t="s">
        <v>68</v>
      </c>
      <c r="B41" s="25" t="s">
        <v>55</v>
      </c>
      <c r="C41" s="26" t="s">
        <v>0</v>
      </c>
      <c r="D41" s="27">
        <v>59</v>
      </c>
      <c r="E41" s="27">
        <v>26</v>
      </c>
      <c r="F41" s="27">
        <v>33</v>
      </c>
      <c r="G41" s="27">
        <v>3</v>
      </c>
      <c r="H41" s="27">
        <v>6</v>
      </c>
      <c r="I41" s="27">
        <v>3</v>
      </c>
      <c r="J41" s="27">
        <v>4</v>
      </c>
      <c r="K41" s="27">
        <v>10</v>
      </c>
      <c r="L41" s="27">
        <v>8</v>
      </c>
      <c r="M41" s="27">
        <v>6</v>
      </c>
      <c r="N41" s="27">
        <v>5</v>
      </c>
      <c r="O41" s="27">
        <v>3</v>
      </c>
      <c r="P41" s="27">
        <v>6</v>
      </c>
      <c r="Q41" s="27">
        <v>1</v>
      </c>
      <c r="R41" s="27">
        <v>4</v>
      </c>
    </row>
    <row r="42" spans="1:18" s="20" customFormat="1" ht="14.25" customHeight="1" x14ac:dyDescent="0.2">
      <c r="A42" s="86" t="s">
        <v>9</v>
      </c>
      <c r="B42" s="28" t="s">
        <v>56</v>
      </c>
      <c r="C42" s="29" t="s">
        <v>2</v>
      </c>
      <c r="D42" s="21">
        <v>47</v>
      </c>
      <c r="E42" s="21">
        <v>23</v>
      </c>
      <c r="F42" s="21">
        <v>24</v>
      </c>
      <c r="G42" s="21">
        <v>3</v>
      </c>
      <c r="H42" s="21">
        <v>5</v>
      </c>
      <c r="I42" s="21">
        <v>2</v>
      </c>
      <c r="J42" s="21">
        <v>3</v>
      </c>
      <c r="K42" s="21">
        <v>9</v>
      </c>
      <c r="L42" s="21">
        <v>7</v>
      </c>
      <c r="M42" s="21">
        <v>5</v>
      </c>
      <c r="N42" s="21">
        <v>2</v>
      </c>
      <c r="O42" s="21">
        <v>3</v>
      </c>
      <c r="P42" s="21">
        <v>4</v>
      </c>
      <c r="Q42" s="21">
        <v>1</v>
      </c>
      <c r="R42" s="21">
        <v>3</v>
      </c>
    </row>
    <row r="43" spans="1:18" s="20" customFormat="1" ht="14.25" customHeight="1" x14ac:dyDescent="0.2">
      <c r="A43" s="87"/>
      <c r="B43" s="30" t="s">
        <v>57</v>
      </c>
      <c r="C43" s="31" t="s">
        <v>225</v>
      </c>
      <c r="D43" s="21">
        <v>12</v>
      </c>
      <c r="E43" s="21">
        <v>3</v>
      </c>
      <c r="F43" s="21">
        <v>9</v>
      </c>
      <c r="G43" s="21">
        <v>0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3</v>
      </c>
      <c r="O43" s="21">
        <v>0</v>
      </c>
      <c r="P43" s="21">
        <v>2</v>
      </c>
      <c r="Q43" s="21">
        <v>0</v>
      </c>
      <c r="R43" s="21">
        <v>1</v>
      </c>
    </row>
    <row r="44" spans="1:18" s="20" customFormat="1" ht="14.25" customHeight="1" x14ac:dyDescent="0.2">
      <c r="A44" s="24" t="s">
        <v>69</v>
      </c>
      <c r="B44" s="25" t="s">
        <v>55</v>
      </c>
      <c r="C44" s="26" t="s">
        <v>0</v>
      </c>
      <c r="D44" s="27">
        <v>106</v>
      </c>
      <c r="E44" s="27">
        <v>42</v>
      </c>
      <c r="F44" s="27">
        <v>64</v>
      </c>
      <c r="G44" s="27">
        <v>13</v>
      </c>
      <c r="H44" s="27">
        <v>7</v>
      </c>
      <c r="I44" s="27">
        <v>10</v>
      </c>
      <c r="J44" s="27">
        <v>11</v>
      </c>
      <c r="K44" s="27">
        <v>4</v>
      </c>
      <c r="L44" s="27">
        <v>6</v>
      </c>
      <c r="M44" s="27">
        <v>3</v>
      </c>
      <c r="N44" s="27">
        <v>10</v>
      </c>
      <c r="O44" s="27">
        <v>7</v>
      </c>
      <c r="P44" s="27">
        <v>15</v>
      </c>
      <c r="Q44" s="27">
        <v>5</v>
      </c>
      <c r="R44" s="27">
        <v>15</v>
      </c>
    </row>
    <row r="45" spans="1:18" s="20" customFormat="1" ht="14.25" customHeight="1" x14ac:dyDescent="0.2">
      <c r="A45" s="86" t="s">
        <v>10</v>
      </c>
      <c r="B45" s="28" t="s">
        <v>56</v>
      </c>
      <c r="C45" s="29" t="s">
        <v>2</v>
      </c>
      <c r="D45" s="21">
        <v>105</v>
      </c>
      <c r="E45" s="21">
        <v>41</v>
      </c>
      <c r="F45" s="21">
        <v>64</v>
      </c>
      <c r="G45" s="21">
        <v>13</v>
      </c>
      <c r="H45" s="21">
        <v>7</v>
      </c>
      <c r="I45" s="21">
        <v>9</v>
      </c>
      <c r="J45" s="21">
        <v>11</v>
      </c>
      <c r="K45" s="21">
        <v>4</v>
      </c>
      <c r="L45" s="21">
        <v>6</v>
      </c>
      <c r="M45" s="21">
        <v>3</v>
      </c>
      <c r="N45" s="21">
        <v>10</v>
      </c>
      <c r="O45" s="21">
        <v>7</v>
      </c>
      <c r="P45" s="21">
        <v>15</v>
      </c>
      <c r="Q45" s="21">
        <v>5</v>
      </c>
      <c r="R45" s="21">
        <v>15</v>
      </c>
    </row>
    <row r="46" spans="1:18" s="20" customFormat="1" ht="14.25" customHeight="1" x14ac:dyDescent="0.2">
      <c r="A46" s="87"/>
      <c r="B46" s="30" t="s">
        <v>57</v>
      </c>
      <c r="C46" s="31" t="s">
        <v>225</v>
      </c>
      <c r="D46" s="21">
        <v>1</v>
      </c>
      <c r="E46" s="21">
        <v>1</v>
      </c>
      <c r="F46" s="21">
        <v>0</v>
      </c>
      <c r="G46" s="21">
        <v>0</v>
      </c>
      <c r="H46" s="21">
        <v>0</v>
      </c>
      <c r="I46" s="21">
        <v>1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</row>
    <row r="47" spans="1:18" s="20" customFormat="1" ht="14.25" customHeight="1" x14ac:dyDescent="0.2">
      <c r="A47" s="24" t="s">
        <v>70</v>
      </c>
      <c r="B47" s="25" t="s">
        <v>55</v>
      </c>
      <c r="C47" s="26" t="s">
        <v>0</v>
      </c>
      <c r="D47" s="27">
        <v>40</v>
      </c>
      <c r="E47" s="27">
        <v>21</v>
      </c>
      <c r="F47" s="27">
        <v>19</v>
      </c>
      <c r="G47" s="27">
        <v>5</v>
      </c>
      <c r="H47" s="27">
        <v>3</v>
      </c>
      <c r="I47" s="27">
        <v>4</v>
      </c>
      <c r="J47" s="27">
        <v>3</v>
      </c>
      <c r="K47" s="27">
        <v>7</v>
      </c>
      <c r="L47" s="27">
        <v>2</v>
      </c>
      <c r="M47" s="27">
        <v>3</v>
      </c>
      <c r="N47" s="27">
        <v>2</v>
      </c>
      <c r="O47" s="27">
        <v>2</v>
      </c>
      <c r="P47" s="27">
        <v>7</v>
      </c>
      <c r="Q47" s="27">
        <v>0</v>
      </c>
      <c r="R47" s="27">
        <v>2</v>
      </c>
    </row>
    <row r="48" spans="1:18" s="20" customFormat="1" ht="14.25" customHeight="1" x14ac:dyDescent="0.2">
      <c r="A48" s="86" t="s">
        <v>11</v>
      </c>
      <c r="B48" s="28" t="s">
        <v>56</v>
      </c>
      <c r="C48" s="29" t="s">
        <v>2</v>
      </c>
      <c r="D48" s="21">
        <v>39</v>
      </c>
      <c r="E48" s="21">
        <v>20</v>
      </c>
      <c r="F48" s="21">
        <v>19</v>
      </c>
      <c r="G48" s="21">
        <v>4</v>
      </c>
      <c r="H48" s="21">
        <v>3</v>
      </c>
      <c r="I48" s="21">
        <v>4</v>
      </c>
      <c r="J48" s="21">
        <v>3</v>
      </c>
      <c r="K48" s="21">
        <v>7</v>
      </c>
      <c r="L48" s="21">
        <v>2</v>
      </c>
      <c r="M48" s="21">
        <v>3</v>
      </c>
      <c r="N48" s="21">
        <v>2</v>
      </c>
      <c r="O48" s="21">
        <v>2</v>
      </c>
      <c r="P48" s="21">
        <v>7</v>
      </c>
      <c r="Q48" s="21">
        <v>0</v>
      </c>
      <c r="R48" s="21">
        <v>2</v>
      </c>
    </row>
    <row r="49" spans="1:18" s="20" customFormat="1" ht="14.25" customHeight="1" x14ac:dyDescent="0.2">
      <c r="A49" s="87"/>
      <c r="B49" s="30" t="s">
        <v>57</v>
      </c>
      <c r="C49" s="31" t="s">
        <v>225</v>
      </c>
      <c r="D49" s="21">
        <v>1</v>
      </c>
      <c r="E49" s="21">
        <v>1</v>
      </c>
      <c r="F49" s="21">
        <v>0</v>
      </c>
      <c r="G49" s="21">
        <v>1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</row>
    <row r="50" spans="1:18" s="20" customFormat="1" ht="14.25" customHeight="1" x14ac:dyDescent="0.2">
      <c r="A50" s="24" t="s">
        <v>71</v>
      </c>
      <c r="B50" s="25" t="s">
        <v>55</v>
      </c>
      <c r="C50" s="26" t="s">
        <v>0</v>
      </c>
      <c r="D50" s="27">
        <v>241</v>
      </c>
      <c r="E50" s="27">
        <v>121</v>
      </c>
      <c r="F50" s="27">
        <v>120</v>
      </c>
      <c r="G50" s="27">
        <v>16</v>
      </c>
      <c r="H50" s="27">
        <v>15</v>
      </c>
      <c r="I50" s="27">
        <v>14</v>
      </c>
      <c r="J50" s="27">
        <v>16</v>
      </c>
      <c r="K50" s="27">
        <v>20</v>
      </c>
      <c r="L50" s="27">
        <v>17</v>
      </c>
      <c r="M50" s="27">
        <v>29</v>
      </c>
      <c r="N50" s="27">
        <v>23</v>
      </c>
      <c r="O50" s="27">
        <v>33</v>
      </c>
      <c r="P50" s="27">
        <v>30</v>
      </c>
      <c r="Q50" s="27">
        <v>9</v>
      </c>
      <c r="R50" s="27">
        <v>19</v>
      </c>
    </row>
    <row r="51" spans="1:18" s="20" customFormat="1" ht="14.25" customHeight="1" x14ac:dyDescent="0.2">
      <c r="A51" s="86" t="s">
        <v>12</v>
      </c>
      <c r="B51" s="28" t="s">
        <v>56</v>
      </c>
      <c r="C51" s="29" t="s">
        <v>2</v>
      </c>
      <c r="D51" s="21">
        <v>191</v>
      </c>
      <c r="E51" s="21">
        <v>99</v>
      </c>
      <c r="F51" s="21">
        <v>92</v>
      </c>
      <c r="G51" s="21">
        <v>13</v>
      </c>
      <c r="H51" s="21">
        <v>15</v>
      </c>
      <c r="I51" s="21">
        <v>10</v>
      </c>
      <c r="J51" s="21">
        <v>10</v>
      </c>
      <c r="K51" s="21">
        <v>17</v>
      </c>
      <c r="L51" s="21">
        <v>11</v>
      </c>
      <c r="M51" s="21">
        <v>23</v>
      </c>
      <c r="N51" s="21">
        <v>20</v>
      </c>
      <c r="O51" s="21">
        <v>27</v>
      </c>
      <c r="P51" s="21">
        <v>19</v>
      </c>
      <c r="Q51" s="21">
        <v>9</v>
      </c>
      <c r="R51" s="21">
        <v>17</v>
      </c>
    </row>
    <row r="52" spans="1:18" s="20" customFormat="1" ht="14.25" customHeight="1" x14ac:dyDescent="0.2">
      <c r="A52" s="87"/>
      <c r="B52" s="30" t="s">
        <v>57</v>
      </c>
      <c r="C52" s="31" t="s">
        <v>225</v>
      </c>
      <c r="D52" s="21">
        <v>50</v>
      </c>
      <c r="E52" s="21">
        <v>22</v>
      </c>
      <c r="F52" s="21">
        <v>28</v>
      </c>
      <c r="G52" s="21">
        <v>3</v>
      </c>
      <c r="H52" s="21">
        <v>0</v>
      </c>
      <c r="I52" s="21">
        <v>4</v>
      </c>
      <c r="J52" s="21">
        <v>6</v>
      </c>
      <c r="K52" s="21">
        <v>3</v>
      </c>
      <c r="L52" s="21">
        <v>6</v>
      </c>
      <c r="M52" s="21">
        <v>6</v>
      </c>
      <c r="N52" s="21">
        <v>3</v>
      </c>
      <c r="O52" s="21">
        <v>6</v>
      </c>
      <c r="P52" s="21">
        <v>11</v>
      </c>
      <c r="Q52" s="21">
        <v>0</v>
      </c>
      <c r="R52" s="21">
        <v>2</v>
      </c>
    </row>
    <row r="53" spans="1:18" s="20" customFormat="1" ht="14.25" customHeight="1" x14ac:dyDescent="0.2">
      <c r="A53" s="24" t="s">
        <v>72</v>
      </c>
      <c r="B53" s="25" t="s">
        <v>55</v>
      </c>
      <c r="C53" s="26" t="s">
        <v>0</v>
      </c>
      <c r="D53" s="27">
        <v>33</v>
      </c>
      <c r="E53" s="27">
        <v>12</v>
      </c>
      <c r="F53" s="27">
        <v>21</v>
      </c>
      <c r="G53" s="27">
        <v>6</v>
      </c>
      <c r="H53" s="27">
        <v>4</v>
      </c>
      <c r="I53" s="27">
        <v>1</v>
      </c>
      <c r="J53" s="27">
        <v>4</v>
      </c>
      <c r="K53" s="27">
        <v>3</v>
      </c>
      <c r="L53" s="27">
        <v>3</v>
      </c>
      <c r="M53" s="27">
        <v>1</v>
      </c>
      <c r="N53" s="27">
        <v>5</v>
      </c>
      <c r="O53" s="27">
        <v>1</v>
      </c>
      <c r="P53" s="27">
        <v>3</v>
      </c>
      <c r="Q53" s="27">
        <v>0</v>
      </c>
      <c r="R53" s="27">
        <v>2</v>
      </c>
    </row>
    <row r="54" spans="1:18" s="20" customFormat="1" ht="14.25" customHeight="1" x14ac:dyDescent="0.2">
      <c r="A54" s="86" t="s">
        <v>13</v>
      </c>
      <c r="B54" s="28" t="s">
        <v>56</v>
      </c>
      <c r="C54" s="29" t="s">
        <v>2</v>
      </c>
      <c r="D54" s="21">
        <v>11</v>
      </c>
      <c r="E54" s="21">
        <v>4</v>
      </c>
      <c r="F54" s="21">
        <v>7</v>
      </c>
      <c r="G54" s="21">
        <v>1</v>
      </c>
      <c r="H54" s="21">
        <v>1</v>
      </c>
      <c r="I54" s="21">
        <v>0</v>
      </c>
      <c r="J54" s="21">
        <v>1</v>
      </c>
      <c r="K54" s="21">
        <v>1</v>
      </c>
      <c r="L54" s="21">
        <v>0</v>
      </c>
      <c r="M54" s="21">
        <v>1</v>
      </c>
      <c r="N54" s="21">
        <v>1</v>
      </c>
      <c r="O54" s="21">
        <v>1</v>
      </c>
      <c r="P54" s="21">
        <v>2</v>
      </c>
      <c r="Q54" s="21">
        <v>0</v>
      </c>
      <c r="R54" s="21">
        <v>2</v>
      </c>
    </row>
    <row r="55" spans="1:18" s="20" customFormat="1" ht="14.25" customHeight="1" x14ac:dyDescent="0.2">
      <c r="A55" s="87"/>
      <c r="B55" s="30" t="s">
        <v>57</v>
      </c>
      <c r="C55" s="31" t="s">
        <v>225</v>
      </c>
      <c r="D55" s="21">
        <v>22</v>
      </c>
      <c r="E55" s="21">
        <v>8</v>
      </c>
      <c r="F55" s="21">
        <v>14</v>
      </c>
      <c r="G55" s="21">
        <v>5</v>
      </c>
      <c r="H55" s="21">
        <v>3</v>
      </c>
      <c r="I55" s="21">
        <v>1</v>
      </c>
      <c r="J55" s="21">
        <v>3</v>
      </c>
      <c r="K55" s="21">
        <v>2</v>
      </c>
      <c r="L55" s="21">
        <v>3</v>
      </c>
      <c r="M55" s="21">
        <v>0</v>
      </c>
      <c r="N55" s="21">
        <v>4</v>
      </c>
      <c r="O55" s="21">
        <v>0</v>
      </c>
      <c r="P55" s="21">
        <v>1</v>
      </c>
      <c r="Q55" s="21">
        <v>0</v>
      </c>
      <c r="R55" s="21">
        <v>0</v>
      </c>
    </row>
    <row r="56" spans="1:18" s="20" customFormat="1" ht="14.25" customHeight="1" x14ac:dyDescent="0.2">
      <c r="A56" s="24" t="s">
        <v>73</v>
      </c>
      <c r="B56" s="25" t="s">
        <v>55</v>
      </c>
      <c r="C56" s="26" t="s">
        <v>0</v>
      </c>
      <c r="D56" s="27">
        <v>79</v>
      </c>
      <c r="E56" s="27">
        <v>30</v>
      </c>
      <c r="F56" s="27">
        <v>49</v>
      </c>
      <c r="G56" s="27">
        <v>5</v>
      </c>
      <c r="H56" s="27">
        <v>7</v>
      </c>
      <c r="I56" s="27">
        <v>7</v>
      </c>
      <c r="J56" s="27">
        <v>2</v>
      </c>
      <c r="K56" s="27">
        <v>8</v>
      </c>
      <c r="L56" s="27">
        <v>6</v>
      </c>
      <c r="M56" s="27">
        <v>2</v>
      </c>
      <c r="N56" s="27">
        <v>8</v>
      </c>
      <c r="O56" s="27">
        <v>4</v>
      </c>
      <c r="P56" s="27">
        <v>19</v>
      </c>
      <c r="Q56" s="27">
        <v>4</v>
      </c>
      <c r="R56" s="27">
        <v>7</v>
      </c>
    </row>
    <row r="57" spans="1:18" s="20" customFormat="1" ht="14.25" customHeight="1" x14ac:dyDescent="0.2">
      <c r="A57" s="86" t="s">
        <v>14</v>
      </c>
      <c r="B57" s="28" t="s">
        <v>56</v>
      </c>
      <c r="C57" s="29" t="s">
        <v>2</v>
      </c>
      <c r="D57" s="21">
        <v>22</v>
      </c>
      <c r="E57" s="21">
        <v>11</v>
      </c>
      <c r="F57" s="21">
        <v>11</v>
      </c>
      <c r="G57" s="21">
        <v>2</v>
      </c>
      <c r="H57" s="21">
        <v>1</v>
      </c>
      <c r="I57" s="21">
        <v>4</v>
      </c>
      <c r="J57" s="21">
        <v>0</v>
      </c>
      <c r="K57" s="21">
        <v>3</v>
      </c>
      <c r="L57" s="21">
        <v>0</v>
      </c>
      <c r="M57" s="21">
        <v>0</v>
      </c>
      <c r="N57" s="21">
        <v>1</v>
      </c>
      <c r="O57" s="21">
        <v>1</v>
      </c>
      <c r="P57" s="21">
        <v>8</v>
      </c>
      <c r="Q57" s="21">
        <v>1</v>
      </c>
      <c r="R57" s="21">
        <v>1</v>
      </c>
    </row>
    <row r="58" spans="1:18" s="20" customFormat="1" ht="14.25" customHeight="1" x14ac:dyDescent="0.2">
      <c r="A58" s="87"/>
      <c r="B58" s="30" t="s">
        <v>57</v>
      </c>
      <c r="C58" s="31" t="s">
        <v>225</v>
      </c>
      <c r="D58" s="21">
        <v>57</v>
      </c>
      <c r="E58" s="21">
        <v>19</v>
      </c>
      <c r="F58" s="21">
        <v>38</v>
      </c>
      <c r="G58" s="21">
        <v>3</v>
      </c>
      <c r="H58" s="21">
        <v>6</v>
      </c>
      <c r="I58" s="21">
        <v>3</v>
      </c>
      <c r="J58" s="21">
        <v>2</v>
      </c>
      <c r="K58" s="21">
        <v>5</v>
      </c>
      <c r="L58" s="21">
        <v>6</v>
      </c>
      <c r="M58" s="21">
        <v>2</v>
      </c>
      <c r="N58" s="21">
        <v>7</v>
      </c>
      <c r="O58" s="21">
        <v>3</v>
      </c>
      <c r="P58" s="21">
        <v>11</v>
      </c>
      <c r="Q58" s="21">
        <v>3</v>
      </c>
      <c r="R58" s="21">
        <v>6</v>
      </c>
    </row>
    <row r="59" spans="1:18" s="20" customFormat="1" ht="14.25" customHeight="1" x14ac:dyDescent="0.2">
      <c r="A59" s="24" t="s">
        <v>74</v>
      </c>
      <c r="B59" s="25" t="s">
        <v>55</v>
      </c>
      <c r="C59" s="26" t="s">
        <v>0</v>
      </c>
      <c r="D59" s="27">
        <v>8</v>
      </c>
      <c r="E59" s="27">
        <v>3</v>
      </c>
      <c r="F59" s="27">
        <v>5</v>
      </c>
      <c r="G59" s="27">
        <v>0</v>
      </c>
      <c r="H59" s="27">
        <v>0</v>
      </c>
      <c r="I59" s="27">
        <v>1</v>
      </c>
      <c r="J59" s="27">
        <v>1</v>
      </c>
      <c r="K59" s="27">
        <v>0</v>
      </c>
      <c r="L59" s="27">
        <v>2</v>
      </c>
      <c r="M59" s="27">
        <v>1</v>
      </c>
      <c r="N59" s="27">
        <v>0</v>
      </c>
      <c r="O59" s="27">
        <v>1</v>
      </c>
      <c r="P59" s="27">
        <v>0</v>
      </c>
      <c r="Q59" s="27">
        <v>0</v>
      </c>
      <c r="R59" s="27">
        <v>2</v>
      </c>
    </row>
    <row r="60" spans="1:18" s="20" customFormat="1" ht="14.25" customHeight="1" x14ac:dyDescent="0.2">
      <c r="A60" s="86" t="s">
        <v>15</v>
      </c>
      <c r="B60" s="28" t="s">
        <v>56</v>
      </c>
      <c r="C60" s="29" t="s">
        <v>2</v>
      </c>
      <c r="D60" s="21">
        <v>8</v>
      </c>
      <c r="E60" s="21">
        <v>3</v>
      </c>
      <c r="F60" s="21">
        <v>5</v>
      </c>
      <c r="G60" s="21">
        <v>0</v>
      </c>
      <c r="H60" s="21">
        <v>0</v>
      </c>
      <c r="I60" s="21">
        <v>1</v>
      </c>
      <c r="J60" s="21">
        <v>1</v>
      </c>
      <c r="K60" s="21">
        <v>0</v>
      </c>
      <c r="L60" s="21">
        <v>2</v>
      </c>
      <c r="M60" s="21">
        <v>1</v>
      </c>
      <c r="N60" s="21">
        <v>0</v>
      </c>
      <c r="O60" s="21">
        <v>1</v>
      </c>
      <c r="P60" s="21">
        <v>0</v>
      </c>
      <c r="Q60" s="21">
        <v>0</v>
      </c>
      <c r="R60" s="21">
        <v>2</v>
      </c>
    </row>
    <row r="61" spans="1:18" s="20" customFormat="1" ht="14.25" customHeight="1" x14ac:dyDescent="0.2">
      <c r="A61" s="87"/>
      <c r="B61" s="30" t="s">
        <v>57</v>
      </c>
      <c r="C61" s="31" t="s">
        <v>225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</row>
    <row r="62" spans="1:18" s="20" customFormat="1" ht="14.25" customHeight="1" x14ac:dyDescent="0.2">
      <c r="A62" s="24" t="s">
        <v>75</v>
      </c>
      <c r="B62" s="25" t="s">
        <v>55</v>
      </c>
      <c r="C62" s="26" t="s">
        <v>0</v>
      </c>
      <c r="D62" s="27">
        <v>83</v>
      </c>
      <c r="E62" s="27">
        <v>33</v>
      </c>
      <c r="F62" s="27">
        <v>50</v>
      </c>
      <c r="G62" s="27">
        <v>7</v>
      </c>
      <c r="H62" s="27">
        <v>10</v>
      </c>
      <c r="I62" s="27">
        <v>5</v>
      </c>
      <c r="J62" s="27">
        <v>3</v>
      </c>
      <c r="K62" s="27">
        <v>6</v>
      </c>
      <c r="L62" s="27">
        <v>8</v>
      </c>
      <c r="M62" s="27">
        <v>8</v>
      </c>
      <c r="N62" s="27">
        <v>7</v>
      </c>
      <c r="O62" s="27">
        <v>6</v>
      </c>
      <c r="P62" s="27">
        <v>12</v>
      </c>
      <c r="Q62" s="27">
        <v>1</v>
      </c>
      <c r="R62" s="27">
        <v>10</v>
      </c>
    </row>
    <row r="63" spans="1:18" s="20" customFormat="1" ht="14.25" customHeight="1" x14ac:dyDescent="0.2">
      <c r="A63" s="86" t="s">
        <v>16</v>
      </c>
      <c r="B63" s="28" t="s">
        <v>56</v>
      </c>
      <c r="C63" s="29" t="s">
        <v>2</v>
      </c>
      <c r="D63" s="21">
        <v>74</v>
      </c>
      <c r="E63" s="21">
        <v>31</v>
      </c>
      <c r="F63" s="21">
        <v>43</v>
      </c>
      <c r="G63" s="21">
        <v>7</v>
      </c>
      <c r="H63" s="21">
        <v>10</v>
      </c>
      <c r="I63" s="21">
        <v>5</v>
      </c>
      <c r="J63" s="21">
        <v>2</v>
      </c>
      <c r="K63" s="21">
        <v>5</v>
      </c>
      <c r="L63" s="21">
        <v>4</v>
      </c>
      <c r="M63" s="21">
        <v>7</v>
      </c>
      <c r="N63" s="21">
        <v>6</v>
      </c>
      <c r="O63" s="21">
        <v>6</v>
      </c>
      <c r="P63" s="21">
        <v>11</v>
      </c>
      <c r="Q63" s="21">
        <v>1</v>
      </c>
      <c r="R63" s="21">
        <v>10</v>
      </c>
    </row>
    <row r="64" spans="1:18" s="20" customFormat="1" ht="14.25" customHeight="1" x14ac:dyDescent="0.2">
      <c r="A64" s="87"/>
      <c r="B64" s="30" t="s">
        <v>57</v>
      </c>
      <c r="C64" s="31" t="s">
        <v>225</v>
      </c>
      <c r="D64" s="21">
        <v>9</v>
      </c>
      <c r="E64" s="21">
        <v>2</v>
      </c>
      <c r="F64" s="21">
        <v>7</v>
      </c>
      <c r="G64" s="21">
        <v>0</v>
      </c>
      <c r="H64" s="21">
        <v>0</v>
      </c>
      <c r="I64" s="21">
        <v>0</v>
      </c>
      <c r="J64" s="21">
        <v>1</v>
      </c>
      <c r="K64" s="21">
        <v>1</v>
      </c>
      <c r="L64" s="21">
        <v>4</v>
      </c>
      <c r="M64" s="21">
        <v>1</v>
      </c>
      <c r="N64" s="21">
        <v>1</v>
      </c>
      <c r="O64" s="21">
        <v>0</v>
      </c>
      <c r="P64" s="21">
        <v>1</v>
      </c>
      <c r="Q64" s="21">
        <v>0</v>
      </c>
      <c r="R64" s="21">
        <v>0</v>
      </c>
    </row>
    <row r="65" spans="1:18" s="20" customFormat="1" ht="14.25" customHeight="1" x14ac:dyDescent="0.2">
      <c r="A65" s="24" t="s">
        <v>76</v>
      </c>
      <c r="B65" s="25" t="s">
        <v>55</v>
      </c>
      <c r="C65" s="26" t="s">
        <v>0</v>
      </c>
      <c r="D65" s="27">
        <v>89</v>
      </c>
      <c r="E65" s="27">
        <v>46</v>
      </c>
      <c r="F65" s="27">
        <v>43</v>
      </c>
      <c r="G65" s="27">
        <v>11</v>
      </c>
      <c r="H65" s="27">
        <v>12</v>
      </c>
      <c r="I65" s="27">
        <v>9</v>
      </c>
      <c r="J65" s="27">
        <v>8</v>
      </c>
      <c r="K65" s="27">
        <v>10</v>
      </c>
      <c r="L65" s="27">
        <v>7</v>
      </c>
      <c r="M65" s="27">
        <v>9</v>
      </c>
      <c r="N65" s="27">
        <v>7</v>
      </c>
      <c r="O65" s="27">
        <v>2</v>
      </c>
      <c r="P65" s="27">
        <v>5</v>
      </c>
      <c r="Q65" s="27">
        <v>5</v>
      </c>
      <c r="R65" s="27">
        <v>4</v>
      </c>
    </row>
    <row r="66" spans="1:18" s="20" customFormat="1" ht="14.25" customHeight="1" x14ac:dyDescent="0.2">
      <c r="A66" s="86" t="s">
        <v>17</v>
      </c>
      <c r="B66" s="28" t="s">
        <v>56</v>
      </c>
      <c r="C66" s="29" t="s">
        <v>2</v>
      </c>
      <c r="D66" s="21">
        <v>83</v>
      </c>
      <c r="E66" s="21">
        <v>45</v>
      </c>
      <c r="F66" s="21">
        <v>38</v>
      </c>
      <c r="G66" s="21">
        <v>11</v>
      </c>
      <c r="H66" s="21">
        <v>9</v>
      </c>
      <c r="I66" s="21">
        <v>9</v>
      </c>
      <c r="J66" s="21">
        <v>7</v>
      </c>
      <c r="K66" s="21">
        <v>10</v>
      </c>
      <c r="L66" s="21">
        <v>6</v>
      </c>
      <c r="M66" s="21">
        <v>8</v>
      </c>
      <c r="N66" s="21">
        <v>7</v>
      </c>
      <c r="O66" s="21">
        <v>2</v>
      </c>
      <c r="P66" s="21">
        <v>5</v>
      </c>
      <c r="Q66" s="21">
        <v>5</v>
      </c>
      <c r="R66" s="21">
        <v>4</v>
      </c>
    </row>
    <row r="67" spans="1:18" s="20" customFormat="1" ht="14.25" customHeight="1" x14ac:dyDescent="0.2">
      <c r="A67" s="87"/>
      <c r="B67" s="30" t="s">
        <v>57</v>
      </c>
      <c r="C67" s="31" t="s">
        <v>225</v>
      </c>
      <c r="D67" s="21">
        <v>6</v>
      </c>
      <c r="E67" s="21">
        <v>1</v>
      </c>
      <c r="F67" s="21">
        <v>5</v>
      </c>
      <c r="G67" s="21">
        <v>0</v>
      </c>
      <c r="H67" s="21">
        <v>3</v>
      </c>
      <c r="I67" s="21">
        <v>0</v>
      </c>
      <c r="J67" s="21">
        <v>1</v>
      </c>
      <c r="K67" s="21">
        <v>0</v>
      </c>
      <c r="L67" s="21">
        <v>1</v>
      </c>
      <c r="M67" s="21">
        <v>1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</row>
    <row r="68" spans="1:18" s="20" customFormat="1" ht="14.25" customHeight="1" x14ac:dyDescent="0.2">
      <c r="A68" s="24" t="s">
        <v>77</v>
      </c>
      <c r="B68" s="25" t="s">
        <v>55</v>
      </c>
      <c r="C68" s="26" t="s">
        <v>0</v>
      </c>
      <c r="D68" s="27">
        <v>32</v>
      </c>
      <c r="E68" s="27">
        <v>20</v>
      </c>
      <c r="F68" s="27">
        <v>12</v>
      </c>
      <c r="G68" s="27">
        <v>7</v>
      </c>
      <c r="H68" s="27">
        <v>1</v>
      </c>
      <c r="I68" s="27">
        <v>6</v>
      </c>
      <c r="J68" s="27">
        <v>1</v>
      </c>
      <c r="K68" s="27">
        <v>1</v>
      </c>
      <c r="L68" s="27">
        <v>2</v>
      </c>
      <c r="M68" s="27">
        <v>4</v>
      </c>
      <c r="N68" s="27">
        <v>1</v>
      </c>
      <c r="O68" s="27">
        <v>2</v>
      </c>
      <c r="P68" s="27">
        <v>1</v>
      </c>
      <c r="Q68" s="27">
        <v>0</v>
      </c>
      <c r="R68" s="27">
        <v>6</v>
      </c>
    </row>
    <row r="69" spans="1:18" s="20" customFormat="1" ht="14.25" customHeight="1" x14ac:dyDescent="0.2">
      <c r="A69" s="86" t="s">
        <v>18</v>
      </c>
      <c r="B69" s="28" t="s">
        <v>56</v>
      </c>
      <c r="C69" s="29" t="s">
        <v>2</v>
      </c>
      <c r="D69" s="21">
        <v>31</v>
      </c>
      <c r="E69" s="21">
        <v>20</v>
      </c>
      <c r="F69" s="21">
        <v>11</v>
      </c>
      <c r="G69" s="21">
        <v>7</v>
      </c>
      <c r="H69" s="21">
        <v>0</v>
      </c>
      <c r="I69" s="21">
        <v>6</v>
      </c>
      <c r="J69" s="21">
        <v>1</v>
      </c>
      <c r="K69" s="21">
        <v>1</v>
      </c>
      <c r="L69" s="21">
        <v>2</v>
      </c>
      <c r="M69" s="21">
        <v>4</v>
      </c>
      <c r="N69" s="21">
        <v>1</v>
      </c>
      <c r="O69" s="21">
        <v>2</v>
      </c>
      <c r="P69" s="21">
        <v>1</v>
      </c>
      <c r="Q69" s="21">
        <v>0</v>
      </c>
      <c r="R69" s="21">
        <v>6</v>
      </c>
    </row>
    <row r="70" spans="1:18" s="20" customFormat="1" ht="14.25" customHeight="1" x14ac:dyDescent="0.2">
      <c r="A70" s="87"/>
      <c r="B70" s="30" t="s">
        <v>57</v>
      </c>
      <c r="C70" s="31" t="s">
        <v>225</v>
      </c>
      <c r="D70" s="21">
        <v>1</v>
      </c>
      <c r="E70" s="21">
        <v>0</v>
      </c>
      <c r="F70" s="21">
        <v>1</v>
      </c>
      <c r="G70" s="21">
        <v>0</v>
      </c>
      <c r="H70" s="21">
        <v>1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</row>
    <row r="71" spans="1:18" s="20" customFormat="1" ht="14.25" customHeight="1" x14ac:dyDescent="0.2">
      <c r="A71" s="24" t="s">
        <v>78</v>
      </c>
      <c r="B71" s="25" t="s">
        <v>55</v>
      </c>
      <c r="C71" s="26" t="s">
        <v>0</v>
      </c>
      <c r="D71" s="27">
        <v>13</v>
      </c>
      <c r="E71" s="27">
        <v>5</v>
      </c>
      <c r="F71" s="27">
        <v>8</v>
      </c>
      <c r="G71" s="27">
        <v>2</v>
      </c>
      <c r="H71" s="27">
        <v>1</v>
      </c>
      <c r="I71" s="27">
        <v>0</v>
      </c>
      <c r="J71" s="27">
        <v>2</v>
      </c>
      <c r="K71" s="27">
        <v>1</v>
      </c>
      <c r="L71" s="27">
        <v>2</v>
      </c>
      <c r="M71" s="27">
        <v>1</v>
      </c>
      <c r="N71" s="27">
        <v>0</v>
      </c>
      <c r="O71" s="27">
        <v>0</v>
      </c>
      <c r="P71" s="27">
        <v>1</v>
      </c>
      <c r="Q71" s="27">
        <v>1</v>
      </c>
      <c r="R71" s="27">
        <v>2</v>
      </c>
    </row>
    <row r="72" spans="1:18" s="20" customFormat="1" ht="14.25" customHeight="1" x14ac:dyDescent="0.2">
      <c r="A72" s="86" t="s">
        <v>19</v>
      </c>
      <c r="B72" s="28" t="s">
        <v>56</v>
      </c>
      <c r="C72" s="29" t="s">
        <v>2</v>
      </c>
      <c r="D72" s="21">
        <v>13</v>
      </c>
      <c r="E72" s="21">
        <v>5</v>
      </c>
      <c r="F72" s="21">
        <v>8</v>
      </c>
      <c r="G72" s="21">
        <v>2</v>
      </c>
      <c r="H72" s="21">
        <v>1</v>
      </c>
      <c r="I72" s="21">
        <v>0</v>
      </c>
      <c r="J72" s="21">
        <v>2</v>
      </c>
      <c r="K72" s="21">
        <v>1</v>
      </c>
      <c r="L72" s="21">
        <v>2</v>
      </c>
      <c r="M72" s="21">
        <v>1</v>
      </c>
      <c r="N72" s="21">
        <v>0</v>
      </c>
      <c r="O72" s="21">
        <v>0</v>
      </c>
      <c r="P72" s="21">
        <v>1</v>
      </c>
      <c r="Q72" s="21">
        <v>1</v>
      </c>
      <c r="R72" s="21">
        <v>2</v>
      </c>
    </row>
    <row r="73" spans="1:18" s="20" customFormat="1" ht="14.25" customHeight="1" x14ac:dyDescent="0.2">
      <c r="A73" s="87"/>
      <c r="B73" s="30" t="s">
        <v>57</v>
      </c>
      <c r="C73" s="31" t="s">
        <v>225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</row>
    <row r="74" spans="1:18" s="20" customFormat="1" ht="14.25" customHeight="1" x14ac:dyDescent="0.2">
      <c r="A74" s="24" t="s">
        <v>79</v>
      </c>
      <c r="B74" s="25" t="s">
        <v>55</v>
      </c>
      <c r="C74" s="26" t="s">
        <v>0</v>
      </c>
      <c r="D74" s="27">
        <v>4</v>
      </c>
      <c r="E74" s="27">
        <v>4</v>
      </c>
      <c r="F74" s="27">
        <v>0</v>
      </c>
      <c r="G74" s="27">
        <v>0</v>
      </c>
      <c r="H74" s="27">
        <v>0</v>
      </c>
      <c r="I74" s="27">
        <v>1</v>
      </c>
      <c r="J74" s="27">
        <v>0</v>
      </c>
      <c r="K74" s="27">
        <v>2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1</v>
      </c>
      <c r="R74" s="27">
        <v>0</v>
      </c>
    </row>
    <row r="75" spans="1:18" s="20" customFormat="1" ht="14.25" customHeight="1" x14ac:dyDescent="0.2">
      <c r="A75" s="86" t="s">
        <v>20</v>
      </c>
      <c r="B75" s="28" t="s">
        <v>56</v>
      </c>
      <c r="C75" s="29" t="s">
        <v>2</v>
      </c>
      <c r="D75" s="21">
        <v>4</v>
      </c>
      <c r="E75" s="21">
        <v>4</v>
      </c>
      <c r="F75" s="21">
        <v>0</v>
      </c>
      <c r="G75" s="21">
        <v>0</v>
      </c>
      <c r="H75" s="21">
        <v>0</v>
      </c>
      <c r="I75" s="21">
        <v>1</v>
      </c>
      <c r="J75" s="21">
        <v>0</v>
      </c>
      <c r="K75" s="21">
        <v>2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1</v>
      </c>
      <c r="R75" s="21">
        <v>0</v>
      </c>
    </row>
    <row r="76" spans="1:18" s="20" customFormat="1" ht="14.25" customHeight="1" x14ac:dyDescent="0.2">
      <c r="A76" s="87"/>
      <c r="B76" s="30" t="s">
        <v>57</v>
      </c>
      <c r="C76" s="31" t="s">
        <v>225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</row>
    <row r="77" spans="1:18" s="17" customFormat="1" ht="14.25" customHeight="1" x14ac:dyDescent="0.2">
      <c r="A77" s="17" t="s">
        <v>80</v>
      </c>
    </row>
    <row r="78" spans="1:18" s="17" customFormat="1" ht="14.25" customHeight="1" x14ac:dyDescent="0.2">
      <c r="A78" s="23" t="s">
        <v>24</v>
      </c>
    </row>
    <row r="79" spans="1:18" s="17" customFormat="1" ht="14.25" customHeight="1" x14ac:dyDescent="0.2">
      <c r="A79" s="17" t="s">
        <v>168</v>
      </c>
    </row>
    <row r="80" spans="1:18" s="17" customFormat="1" ht="14.25" customHeight="1" x14ac:dyDescent="0.2"/>
  </sheetData>
  <mergeCells count="47">
    <mergeCell ref="P6:P7"/>
    <mergeCell ref="E6:E7"/>
    <mergeCell ref="F6:F7"/>
    <mergeCell ref="G6:G7"/>
    <mergeCell ref="H6:H7"/>
    <mergeCell ref="Q6:Q7"/>
    <mergeCell ref="R6:R7"/>
    <mergeCell ref="A9:A10"/>
    <mergeCell ref="M6:M7"/>
    <mergeCell ref="N6:N7"/>
    <mergeCell ref="A4:C7"/>
    <mergeCell ref="D4:R4"/>
    <mergeCell ref="D5:F5"/>
    <mergeCell ref="G5:H5"/>
    <mergeCell ref="I5:J5"/>
    <mergeCell ref="K5:L5"/>
    <mergeCell ref="M5:N5"/>
    <mergeCell ref="O5:P5"/>
    <mergeCell ref="Q5:R5"/>
    <mergeCell ref="D6:D7"/>
    <mergeCell ref="O6:O7"/>
    <mergeCell ref="A12:A13"/>
    <mergeCell ref="A15:A16"/>
    <mergeCell ref="A18:A19"/>
    <mergeCell ref="K6:K7"/>
    <mergeCell ref="L6:L7"/>
    <mergeCell ref="I6:I7"/>
    <mergeCell ref="J6:J7"/>
    <mergeCell ref="A21:A22"/>
    <mergeCell ref="A24:A25"/>
    <mergeCell ref="A27:A28"/>
    <mergeCell ref="A30:A31"/>
    <mergeCell ref="A33:A34"/>
    <mergeCell ref="A36:A37"/>
    <mergeCell ref="A39:A40"/>
    <mergeCell ref="A42:A43"/>
    <mergeCell ref="A45:A46"/>
    <mergeCell ref="A48:A49"/>
    <mergeCell ref="A51:A52"/>
    <mergeCell ref="A54:A55"/>
    <mergeCell ref="A75:A76"/>
    <mergeCell ref="A57:A58"/>
    <mergeCell ref="A60:A61"/>
    <mergeCell ref="A63:A64"/>
    <mergeCell ref="A66:A67"/>
    <mergeCell ref="A69:A70"/>
    <mergeCell ref="A72:A73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 alignWithMargins="0">
    <oddHeader>&amp;L&amp;"微軟正黑體,標準"&amp;16兒童及少年保護執行概況&amp;C&amp;"微軟正黑體,標準"&amp;16
&amp;R&amp;"微軟正黑體,標準"本表共&amp;N頁，第&amp;P頁</oddHeader>
  </headerFooter>
  <rowBreaks count="1" manualBreakCount="1">
    <brk id="43" max="173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80"/>
  <sheetViews>
    <sheetView zoomScaleNormal="100" zoomScaleSheetLayoutView="100" workbookViewId="0">
      <selection activeCell="A3" sqref="A3"/>
    </sheetView>
  </sheetViews>
  <sheetFormatPr defaultColWidth="5.5" defaultRowHeight="11.1" customHeight="1" x14ac:dyDescent="0.2"/>
  <cols>
    <col min="1" max="1" width="18.33203125" style="4" customWidth="1"/>
    <col min="2" max="2" width="8.33203125" style="4" customWidth="1"/>
    <col min="3" max="3" width="13.1640625" style="4" customWidth="1"/>
    <col min="4" max="6" width="10.33203125" style="4" customWidth="1"/>
    <col min="7" max="18" width="11.1640625" style="4" customWidth="1"/>
    <col min="19" max="16384" width="5.5" style="4"/>
  </cols>
  <sheetData>
    <row r="1" spans="1:18" ht="20.25" customHeight="1" x14ac:dyDescent="0.2">
      <c r="A1" s="46" t="s">
        <v>147</v>
      </c>
      <c r="B1" s="1"/>
      <c r="C1" s="1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4.25" customHeight="1" x14ac:dyDescent="0.2">
      <c r="A2" s="17" t="s">
        <v>148</v>
      </c>
      <c r="B2"/>
      <c r="C2"/>
      <c r="D2" s="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</row>
    <row r="3" spans="1:18" s="17" customFormat="1" ht="12.75" customHeight="1" x14ac:dyDescent="0.25">
      <c r="A3" s="15" t="s">
        <v>169</v>
      </c>
      <c r="B3" s="16"/>
      <c r="C3" s="16"/>
    </row>
    <row r="4" spans="1:18" s="18" customFormat="1" ht="24.75" customHeight="1" x14ac:dyDescent="0.2">
      <c r="A4" s="94" t="s">
        <v>42</v>
      </c>
      <c r="B4" s="95"/>
      <c r="C4" s="96"/>
      <c r="D4" s="76" t="s">
        <v>43</v>
      </c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</row>
    <row r="5" spans="1:18" s="18" customFormat="1" ht="24.75" customHeight="1" x14ac:dyDescent="0.2">
      <c r="A5" s="97"/>
      <c r="B5" s="98"/>
      <c r="C5" s="99"/>
      <c r="D5" s="78" t="s">
        <v>44</v>
      </c>
      <c r="E5" s="79"/>
      <c r="F5" s="80"/>
      <c r="G5" s="103" t="s">
        <v>45</v>
      </c>
      <c r="H5" s="104"/>
      <c r="I5" s="103" t="s">
        <v>46</v>
      </c>
      <c r="J5" s="104"/>
      <c r="K5" s="103" t="s">
        <v>47</v>
      </c>
      <c r="L5" s="104"/>
      <c r="M5" s="103" t="s">
        <v>48</v>
      </c>
      <c r="N5" s="104"/>
      <c r="O5" s="103" t="s">
        <v>49</v>
      </c>
      <c r="P5" s="104"/>
      <c r="Q5" s="103" t="s">
        <v>50</v>
      </c>
      <c r="R5" s="105"/>
    </row>
    <row r="6" spans="1:18" s="18" customFormat="1" ht="33.75" customHeight="1" x14ac:dyDescent="0.2">
      <c r="A6" s="97"/>
      <c r="B6" s="98"/>
      <c r="C6" s="99"/>
      <c r="D6" s="72" t="s">
        <v>51</v>
      </c>
      <c r="E6" s="92" t="s">
        <v>52</v>
      </c>
      <c r="F6" s="90" t="s">
        <v>53</v>
      </c>
      <c r="G6" s="90" t="s">
        <v>52</v>
      </c>
      <c r="H6" s="90" t="s">
        <v>53</v>
      </c>
      <c r="I6" s="90" t="s">
        <v>52</v>
      </c>
      <c r="J6" s="90" t="s">
        <v>53</v>
      </c>
      <c r="K6" s="90" t="s">
        <v>52</v>
      </c>
      <c r="L6" s="90" t="s">
        <v>53</v>
      </c>
      <c r="M6" s="90" t="s">
        <v>52</v>
      </c>
      <c r="N6" s="90" t="s">
        <v>53</v>
      </c>
      <c r="O6" s="90" t="s">
        <v>52</v>
      </c>
      <c r="P6" s="90" t="s">
        <v>53</v>
      </c>
      <c r="Q6" s="90" t="s">
        <v>52</v>
      </c>
      <c r="R6" s="94" t="s">
        <v>53</v>
      </c>
    </row>
    <row r="7" spans="1:18" s="19" customFormat="1" ht="30.75" customHeight="1" x14ac:dyDescent="0.2">
      <c r="A7" s="100"/>
      <c r="B7" s="101"/>
      <c r="C7" s="102"/>
      <c r="D7" s="75"/>
      <c r="E7" s="93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100"/>
    </row>
    <row r="8" spans="1:18" s="20" customFormat="1" ht="18" customHeight="1" x14ac:dyDescent="0.2">
      <c r="A8" s="24" t="s">
        <v>54</v>
      </c>
      <c r="B8" s="25" t="s">
        <v>55</v>
      </c>
      <c r="C8" s="26" t="s">
        <v>0</v>
      </c>
      <c r="D8" s="27">
        <v>4135</v>
      </c>
      <c r="E8" s="27">
        <v>2025</v>
      </c>
      <c r="F8" s="27">
        <v>2110</v>
      </c>
      <c r="G8" s="27">
        <v>374</v>
      </c>
      <c r="H8" s="27">
        <v>337</v>
      </c>
      <c r="I8" s="27">
        <v>314</v>
      </c>
      <c r="J8" s="27">
        <v>293</v>
      </c>
      <c r="K8" s="27">
        <v>377</v>
      </c>
      <c r="L8" s="27">
        <v>288</v>
      </c>
      <c r="M8" s="27">
        <v>442</v>
      </c>
      <c r="N8" s="27">
        <v>344</v>
      </c>
      <c r="O8" s="27">
        <v>337</v>
      </c>
      <c r="P8" s="27">
        <v>475</v>
      </c>
      <c r="Q8" s="27">
        <v>181</v>
      </c>
      <c r="R8" s="27">
        <v>373</v>
      </c>
    </row>
    <row r="9" spans="1:18" s="20" customFormat="1" ht="14.25" customHeight="1" x14ac:dyDescent="0.2">
      <c r="A9" s="106" t="s">
        <v>1</v>
      </c>
      <c r="B9" s="28" t="s">
        <v>56</v>
      </c>
      <c r="C9" s="29" t="s">
        <v>2</v>
      </c>
      <c r="D9" s="21">
        <v>3685</v>
      </c>
      <c r="E9" s="21">
        <v>1806</v>
      </c>
      <c r="F9" s="21">
        <v>1879</v>
      </c>
      <c r="G9" s="21">
        <v>335</v>
      </c>
      <c r="H9" s="21">
        <v>309</v>
      </c>
      <c r="I9" s="21">
        <v>278</v>
      </c>
      <c r="J9" s="21">
        <v>257</v>
      </c>
      <c r="K9" s="21">
        <v>333</v>
      </c>
      <c r="L9" s="21">
        <v>257</v>
      </c>
      <c r="M9" s="21">
        <v>389</v>
      </c>
      <c r="N9" s="21">
        <v>307</v>
      </c>
      <c r="O9" s="21">
        <v>309</v>
      </c>
      <c r="P9" s="21">
        <v>415</v>
      </c>
      <c r="Q9" s="21">
        <v>162</v>
      </c>
      <c r="R9" s="21">
        <v>334</v>
      </c>
    </row>
    <row r="10" spans="1:18" s="20" customFormat="1" ht="14.25" customHeight="1" x14ac:dyDescent="0.2">
      <c r="A10" s="107"/>
      <c r="B10" s="28" t="s">
        <v>57</v>
      </c>
      <c r="C10" s="29" t="s">
        <v>225</v>
      </c>
      <c r="D10" s="21">
        <v>450</v>
      </c>
      <c r="E10" s="21">
        <v>219</v>
      </c>
      <c r="F10" s="21">
        <v>231</v>
      </c>
      <c r="G10" s="21">
        <v>39</v>
      </c>
      <c r="H10" s="21">
        <v>28</v>
      </c>
      <c r="I10" s="21">
        <v>36</v>
      </c>
      <c r="J10" s="21">
        <v>36</v>
      </c>
      <c r="K10" s="21">
        <v>44</v>
      </c>
      <c r="L10" s="21">
        <v>31</v>
      </c>
      <c r="M10" s="21">
        <v>53</v>
      </c>
      <c r="N10" s="21">
        <v>37</v>
      </c>
      <c r="O10" s="21">
        <v>28</v>
      </c>
      <c r="P10" s="21">
        <v>60</v>
      </c>
      <c r="Q10" s="21">
        <v>19</v>
      </c>
      <c r="R10" s="21">
        <v>39</v>
      </c>
    </row>
    <row r="11" spans="1:18" s="20" customFormat="1" ht="14.25" customHeight="1" x14ac:dyDescent="0.2">
      <c r="A11" s="50" t="s">
        <v>150</v>
      </c>
      <c r="B11" s="25" t="s">
        <v>55</v>
      </c>
      <c r="C11" s="26" t="s">
        <v>0</v>
      </c>
      <c r="D11" s="27">
        <v>702</v>
      </c>
      <c r="E11" s="27">
        <v>359</v>
      </c>
      <c r="F11" s="27">
        <v>343</v>
      </c>
      <c r="G11" s="27">
        <v>41</v>
      </c>
      <c r="H11" s="27">
        <v>35</v>
      </c>
      <c r="I11" s="27">
        <v>40</v>
      </c>
      <c r="J11" s="27">
        <v>41</v>
      </c>
      <c r="K11" s="27">
        <v>80</v>
      </c>
      <c r="L11" s="27">
        <v>44</v>
      </c>
      <c r="M11" s="27">
        <v>100</v>
      </c>
      <c r="N11" s="27">
        <v>60</v>
      </c>
      <c r="O11" s="27">
        <v>64</v>
      </c>
      <c r="P11" s="27">
        <v>95</v>
      </c>
      <c r="Q11" s="27">
        <v>34</v>
      </c>
      <c r="R11" s="27">
        <v>68</v>
      </c>
    </row>
    <row r="12" spans="1:18" s="20" customFormat="1" ht="14.25" customHeight="1" x14ac:dyDescent="0.2">
      <c r="A12" s="86" t="s">
        <v>151</v>
      </c>
      <c r="B12" s="28" t="s">
        <v>56</v>
      </c>
      <c r="C12" s="29" t="s">
        <v>2</v>
      </c>
      <c r="D12" s="21">
        <v>663</v>
      </c>
      <c r="E12" s="21">
        <v>342</v>
      </c>
      <c r="F12" s="21">
        <v>321</v>
      </c>
      <c r="G12" s="21">
        <v>40</v>
      </c>
      <c r="H12" s="21">
        <v>33</v>
      </c>
      <c r="I12" s="21">
        <v>39</v>
      </c>
      <c r="J12" s="21">
        <v>40</v>
      </c>
      <c r="K12" s="21">
        <v>75</v>
      </c>
      <c r="L12" s="21">
        <v>42</v>
      </c>
      <c r="M12" s="21">
        <v>97</v>
      </c>
      <c r="N12" s="21">
        <v>57</v>
      </c>
      <c r="O12" s="21">
        <v>60</v>
      </c>
      <c r="P12" s="21">
        <v>84</v>
      </c>
      <c r="Q12" s="21">
        <v>31</v>
      </c>
      <c r="R12" s="21">
        <v>65</v>
      </c>
    </row>
    <row r="13" spans="1:18" s="20" customFormat="1" ht="14.25" customHeight="1" x14ac:dyDescent="0.2">
      <c r="A13" s="87"/>
      <c r="B13" s="28" t="s">
        <v>57</v>
      </c>
      <c r="C13" s="29" t="s">
        <v>225</v>
      </c>
      <c r="D13" s="21">
        <v>39</v>
      </c>
      <c r="E13" s="21">
        <v>17</v>
      </c>
      <c r="F13" s="21">
        <v>22</v>
      </c>
      <c r="G13" s="21">
        <v>1</v>
      </c>
      <c r="H13" s="21">
        <v>2</v>
      </c>
      <c r="I13" s="21">
        <v>1</v>
      </c>
      <c r="J13" s="21">
        <v>1</v>
      </c>
      <c r="K13" s="21">
        <v>5</v>
      </c>
      <c r="L13" s="21">
        <v>2</v>
      </c>
      <c r="M13" s="21">
        <v>3</v>
      </c>
      <c r="N13" s="21">
        <v>3</v>
      </c>
      <c r="O13" s="21">
        <v>4</v>
      </c>
      <c r="P13" s="21">
        <v>11</v>
      </c>
      <c r="Q13" s="21">
        <v>3</v>
      </c>
      <c r="R13" s="21">
        <v>3</v>
      </c>
    </row>
    <row r="14" spans="1:18" s="20" customFormat="1" ht="14.25" customHeight="1" x14ac:dyDescent="0.2">
      <c r="A14" s="50" t="s">
        <v>152</v>
      </c>
      <c r="B14" s="25" t="s">
        <v>55</v>
      </c>
      <c r="C14" s="26" t="s">
        <v>0</v>
      </c>
      <c r="D14" s="27">
        <v>262</v>
      </c>
      <c r="E14" s="27">
        <v>132</v>
      </c>
      <c r="F14" s="27">
        <v>130</v>
      </c>
      <c r="G14" s="27">
        <v>13</v>
      </c>
      <c r="H14" s="27">
        <v>15</v>
      </c>
      <c r="I14" s="27">
        <v>17</v>
      </c>
      <c r="J14" s="27">
        <v>17</v>
      </c>
      <c r="K14" s="27">
        <v>38</v>
      </c>
      <c r="L14" s="27">
        <v>21</v>
      </c>
      <c r="M14" s="27">
        <v>27</v>
      </c>
      <c r="N14" s="27">
        <v>26</v>
      </c>
      <c r="O14" s="27">
        <v>23</v>
      </c>
      <c r="P14" s="27">
        <v>23</v>
      </c>
      <c r="Q14" s="27">
        <v>14</v>
      </c>
      <c r="R14" s="27">
        <v>28</v>
      </c>
    </row>
    <row r="15" spans="1:18" s="20" customFormat="1" ht="14.25" customHeight="1" x14ac:dyDescent="0.2">
      <c r="A15" s="86" t="s">
        <v>153</v>
      </c>
      <c r="B15" s="28" t="s">
        <v>56</v>
      </c>
      <c r="C15" s="29" t="s">
        <v>2</v>
      </c>
      <c r="D15" s="21">
        <v>250</v>
      </c>
      <c r="E15" s="21">
        <v>124</v>
      </c>
      <c r="F15" s="21">
        <v>126</v>
      </c>
      <c r="G15" s="21">
        <v>11</v>
      </c>
      <c r="H15" s="21">
        <v>14</v>
      </c>
      <c r="I15" s="21">
        <v>16</v>
      </c>
      <c r="J15" s="21">
        <v>15</v>
      </c>
      <c r="K15" s="21">
        <v>36</v>
      </c>
      <c r="L15" s="21">
        <v>20</v>
      </c>
      <c r="M15" s="21">
        <v>24</v>
      </c>
      <c r="N15" s="21">
        <v>26</v>
      </c>
      <c r="O15" s="21">
        <v>23</v>
      </c>
      <c r="P15" s="21">
        <v>23</v>
      </c>
      <c r="Q15" s="21">
        <v>14</v>
      </c>
      <c r="R15" s="21">
        <v>28</v>
      </c>
    </row>
    <row r="16" spans="1:18" s="20" customFormat="1" ht="14.25" customHeight="1" x14ac:dyDescent="0.2">
      <c r="A16" s="87"/>
      <c r="B16" s="30" t="s">
        <v>57</v>
      </c>
      <c r="C16" s="31" t="s">
        <v>225</v>
      </c>
      <c r="D16" s="21">
        <v>12</v>
      </c>
      <c r="E16" s="21">
        <v>8</v>
      </c>
      <c r="F16" s="21">
        <v>4</v>
      </c>
      <c r="G16" s="21">
        <v>2</v>
      </c>
      <c r="H16" s="21">
        <v>1</v>
      </c>
      <c r="I16" s="21">
        <v>1</v>
      </c>
      <c r="J16" s="21">
        <v>2</v>
      </c>
      <c r="K16" s="21">
        <v>2</v>
      </c>
      <c r="L16" s="21">
        <v>1</v>
      </c>
      <c r="M16" s="21">
        <v>3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</row>
    <row r="17" spans="1:18" s="20" customFormat="1" ht="14.25" customHeight="1" x14ac:dyDescent="0.2">
      <c r="A17" s="50" t="s">
        <v>154</v>
      </c>
      <c r="B17" s="25" t="s">
        <v>55</v>
      </c>
      <c r="C17" s="26" t="s">
        <v>0</v>
      </c>
      <c r="D17" s="27">
        <v>559</v>
      </c>
      <c r="E17" s="27">
        <v>295</v>
      </c>
      <c r="F17" s="27">
        <v>264</v>
      </c>
      <c r="G17" s="27">
        <v>67</v>
      </c>
      <c r="H17" s="27">
        <v>46</v>
      </c>
      <c r="I17" s="27">
        <v>45</v>
      </c>
      <c r="J17" s="27">
        <v>36</v>
      </c>
      <c r="K17" s="27">
        <v>46</v>
      </c>
      <c r="L17" s="27">
        <v>39</v>
      </c>
      <c r="M17" s="27">
        <v>67</v>
      </c>
      <c r="N17" s="27">
        <v>45</v>
      </c>
      <c r="O17" s="27">
        <v>47</v>
      </c>
      <c r="P17" s="27">
        <v>59</v>
      </c>
      <c r="Q17" s="27">
        <v>23</v>
      </c>
      <c r="R17" s="27">
        <v>39</v>
      </c>
    </row>
    <row r="18" spans="1:18" s="20" customFormat="1" ht="14.25" customHeight="1" x14ac:dyDescent="0.2">
      <c r="A18" s="86" t="s">
        <v>155</v>
      </c>
      <c r="B18" s="28" t="s">
        <v>56</v>
      </c>
      <c r="C18" s="29" t="s">
        <v>2</v>
      </c>
      <c r="D18" s="21">
        <v>470</v>
      </c>
      <c r="E18" s="21">
        <v>250</v>
      </c>
      <c r="F18" s="21">
        <v>220</v>
      </c>
      <c r="G18" s="21">
        <v>58</v>
      </c>
      <c r="H18" s="21">
        <v>38</v>
      </c>
      <c r="I18" s="21">
        <v>35</v>
      </c>
      <c r="J18" s="21">
        <v>27</v>
      </c>
      <c r="K18" s="21">
        <v>42</v>
      </c>
      <c r="L18" s="21">
        <v>32</v>
      </c>
      <c r="M18" s="21">
        <v>56</v>
      </c>
      <c r="N18" s="21">
        <v>40</v>
      </c>
      <c r="O18" s="21">
        <v>41</v>
      </c>
      <c r="P18" s="21">
        <v>52</v>
      </c>
      <c r="Q18" s="21">
        <v>18</v>
      </c>
      <c r="R18" s="21">
        <v>31</v>
      </c>
    </row>
    <row r="19" spans="1:18" s="20" customFormat="1" ht="14.25" customHeight="1" x14ac:dyDescent="0.2">
      <c r="A19" s="87"/>
      <c r="B19" s="30" t="s">
        <v>57</v>
      </c>
      <c r="C19" s="31" t="s">
        <v>225</v>
      </c>
      <c r="D19" s="21">
        <v>89</v>
      </c>
      <c r="E19" s="21">
        <v>45</v>
      </c>
      <c r="F19" s="21">
        <v>44</v>
      </c>
      <c r="G19" s="21">
        <v>9</v>
      </c>
      <c r="H19" s="21">
        <v>8</v>
      </c>
      <c r="I19" s="21">
        <v>10</v>
      </c>
      <c r="J19" s="21">
        <v>9</v>
      </c>
      <c r="K19" s="21">
        <v>4</v>
      </c>
      <c r="L19" s="21">
        <v>7</v>
      </c>
      <c r="M19" s="21">
        <v>11</v>
      </c>
      <c r="N19" s="21">
        <v>5</v>
      </c>
      <c r="O19" s="21">
        <v>6</v>
      </c>
      <c r="P19" s="21">
        <v>7</v>
      </c>
      <c r="Q19" s="21">
        <v>5</v>
      </c>
      <c r="R19" s="21">
        <v>8</v>
      </c>
    </row>
    <row r="20" spans="1:18" s="20" customFormat="1" ht="14.25" customHeight="1" x14ac:dyDescent="0.2">
      <c r="A20" s="50" t="s">
        <v>156</v>
      </c>
      <c r="B20" s="25" t="s">
        <v>55</v>
      </c>
      <c r="C20" s="26" t="s">
        <v>0</v>
      </c>
      <c r="D20" s="27">
        <v>621</v>
      </c>
      <c r="E20" s="27">
        <v>308</v>
      </c>
      <c r="F20" s="27">
        <v>313</v>
      </c>
      <c r="G20" s="27">
        <v>62</v>
      </c>
      <c r="H20" s="27">
        <v>67</v>
      </c>
      <c r="I20" s="27">
        <v>56</v>
      </c>
      <c r="J20" s="27">
        <v>54</v>
      </c>
      <c r="K20" s="27">
        <v>59</v>
      </c>
      <c r="L20" s="27">
        <v>41</v>
      </c>
      <c r="M20" s="27">
        <v>48</v>
      </c>
      <c r="N20" s="27">
        <v>47</v>
      </c>
      <c r="O20" s="27">
        <v>54</v>
      </c>
      <c r="P20" s="27">
        <v>50</v>
      </c>
      <c r="Q20" s="27">
        <v>29</v>
      </c>
      <c r="R20" s="27">
        <v>54</v>
      </c>
    </row>
    <row r="21" spans="1:18" s="20" customFormat="1" ht="14.25" customHeight="1" x14ac:dyDescent="0.2">
      <c r="A21" s="86" t="s">
        <v>157</v>
      </c>
      <c r="B21" s="28" t="s">
        <v>56</v>
      </c>
      <c r="C21" s="29" t="s">
        <v>2</v>
      </c>
      <c r="D21" s="21">
        <v>569</v>
      </c>
      <c r="E21" s="21">
        <v>282</v>
      </c>
      <c r="F21" s="21">
        <v>287</v>
      </c>
      <c r="G21" s="21">
        <v>57</v>
      </c>
      <c r="H21" s="21">
        <v>64</v>
      </c>
      <c r="I21" s="21">
        <v>53</v>
      </c>
      <c r="J21" s="21">
        <v>46</v>
      </c>
      <c r="K21" s="21">
        <v>54</v>
      </c>
      <c r="L21" s="21">
        <v>39</v>
      </c>
      <c r="M21" s="21">
        <v>41</v>
      </c>
      <c r="N21" s="21">
        <v>44</v>
      </c>
      <c r="O21" s="21">
        <v>49</v>
      </c>
      <c r="P21" s="21">
        <v>43</v>
      </c>
      <c r="Q21" s="21">
        <v>28</v>
      </c>
      <c r="R21" s="21">
        <v>51</v>
      </c>
    </row>
    <row r="22" spans="1:18" s="20" customFormat="1" ht="14.25" customHeight="1" x14ac:dyDescent="0.2">
      <c r="A22" s="87"/>
      <c r="B22" s="30" t="s">
        <v>57</v>
      </c>
      <c r="C22" s="31" t="s">
        <v>225</v>
      </c>
      <c r="D22" s="21">
        <v>52</v>
      </c>
      <c r="E22" s="21">
        <v>26</v>
      </c>
      <c r="F22" s="21">
        <v>26</v>
      </c>
      <c r="G22" s="21">
        <v>5</v>
      </c>
      <c r="H22" s="21">
        <v>3</v>
      </c>
      <c r="I22" s="21">
        <v>3</v>
      </c>
      <c r="J22" s="21">
        <v>8</v>
      </c>
      <c r="K22" s="21">
        <v>5</v>
      </c>
      <c r="L22" s="21">
        <v>2</v>
      </c>
      <c r="M22" s="21">
        <v>7</v>
      </c>
      <c r="N22" s="21">
        <v>3</v>
      </c>
      <c r="O22" s="21">
        <v>5</v>
      </c>
      <c r="P22" s="21">
        <v>7</v>
      </c>
      <c r="Q22" s="21">
        <v>1</v>
      </c>
      <c r="R22" s="21">
        <v>3</v>
      </c>
    </row>
    <row r="23" spans="1:18" s="20" customFormat="1" ht="14.25" customHeight="1" x14ac:dyDescent="0.2">
      <c r="A23" s="50" t="s">
        <v>158</v>
      </c>
      <c r="B23" s="25" t="s">
        <v>55</v>
      </c>
      <c r="C23" s="26" t="s">
        <v>0</v>
      </c>
      <c r="D23" s="27">
        <v>238</v>
      </c>
      <c r="E23" s="27">
        <v>118</v>
      </c>
      <c r="F23" s="27">
        <v>120</v>
      </c>
      <c r="G23" s="27">
        <v>28</v>
      </c>
      <c r="H23" s="27">
        <v>18</v>
      </c>
      <c r="I23" s="27">
        <v>22</v>
      </c>
      <c r="J23" s="27">
        <v>18</v>
      </c>
      <c r="K23" s="27">
        <v>18</v>
      </c>
      <c r="L23" s="27">
        <v>12</v>
      </c>
      <c r="M23" s="27">
        <v>21</v>
      </c>
      <c r="N23" s="27">
        <v>18</v>
      </c>
      <c r="O23" s="27">
        <v>15</v>
      </c>
      <c r="P23" s="27">
        <v>27</v>
      </c>
      <c r="Q23" s="27">
        <v>14</v>
      </c>
      <c r="R23" s="27">
        <v>27</v>
      </c>
    </row>
    <row r="24" spans="1:18" s="20" customFormat="1" ht="14.25" customHeight="1" x14ac:dyDescent="0.2">
      <c r="A24" s="86" t="s">
        <v>159</v>
      </c>
      <c r="B24" s="28" t="s">
        <v>56</v>
      </c>
      <c r="C24" s="29" t="s">
        <v>2</v>
      </c>
      <c r="D24" s="21">
        <v>233</v>
      </c>
      <c r="E24" s="21">
        <v>115</v>
      </c>
      <c r="F24" s="21">
        <v>118</v>
      </c>
      <c r="G24" s="21">
        <v>26</v>
      </c>
      <c r="H24" s="21">
        <v>18</v>
      </c>
      <c r="I24" s="21">
        <v>21</v>
      </c>
      <c r="J24" s="21">
        <v>18</v>
      </c>
      <c r="K24" s="21">
        <v>18</v>
      </c>
      <c r="L24" s="21">
        <v>11</v>
      </c>
      <c r="M24" s="21">
        <v>21</v>
      </c>
      <c r="N24" s="21">
        <v>18</v>
      </c>
      <c r="O24" s="21">
        <v>15</v>
      </c>
      <c r="P24" s="21">
        <v>27</v>
      </c>
      <c r="Q24" s="21">
        <v>14</v>
      </c>
      <c r="R24" s="21">
        <v>26</v>
      </c>
    </row>
    <row r="25" spans="1:18" s="20" customFormat="1" ht="14.25" customHeight="1" x14ac:dyDescent="0.2">
      <c r="A25" s="87"/>
      <c r="B25" s="30" t="s">
        <v>57</v>
      </c>
      <c r="C25" s="31" t="s">
        <v>225</v>
      </c>
      <c r="D25" s="21">
        <v>5</v>
      </c>
      <c r="E25" s="21">
        <v>3</v>
      </c>
      <c r="F25" s="21">
        <v>2</v>
      </c>
      <c r="G25" s="21">
        <v>2</v>
      </c>
      <c r="H25" s="21">
        <v>0</v>
      </c>
      <c r="I25" s="21">
        <v>1</v>
      </c>
      <c r="J25" s="21">
        <v>0</v>
      </c>
      <c r="K25" s="21">
        <v>0</v>
      </c>
      <c r="L25" s="21">
        <v>1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1</v>
      </c>
    </row>
    <row r="26" spans="1:18" s="20" customFormat="1" ht="14.25" customHeight="1" x14ac:dyDescent="0.2">
      <c r="A26" s="50" t="s">
        <v>160</v>
      </c>
      <c r="B26" s="25" t="s">
        <v>55</v>
      </c>
      <c r="C26" s="26" t="s">
        <v>0</v>
      </c>
      <c r="D26" s="27">
        <v>611</v>
      </c>
      <c r="E26" s="27">
        <v>292</v>
      </c>
      <c r="F26" s="27">
        <v>319</v>
      </c>
      <c r="G26" s="27">
        <v>64</v>
      </c>
      <c r="H26" s="27">
        <v>49</v>
      </c>
      <c r="I26" s="27">
        <v>44</v>
      </c>
      <c r="J26" s="27">
        <v>49</v>
      </c>
      <c r="K26" s="27">
        <v>48</v>
      </c>
      <c r="L26" s="27">
        <v>39</v>
      </c>
      <c r="M26" s="27">
        <v>73</v>
      </c>
      <c r="N26" s="27">
        <v>55</v>
      </c>
      <c r="O26" s="27">
        <v>51</v>
      </c>
      <c r="P26" s="27">
        <v>77</v>
      </c>
      <c r="Q26" s="27">
        <v>12</v>
      </c>
      <c r="R26" s="27">
        <v>50</v>
      </c>
    </row>
    <row r="27" spans="1:18" s="20" customFormat="1" ht="14.25" customHeight="1" x14ac:dyDescent="0.2">
      <c r="A27" s="86" t="s">
        <v>161</v>
      </c>
      <c r="B27" s="28" t="s">
        <v>56</v>
      </c>
      <c r="C27" s="29" t="s">
        <v>2</v>
      </c>
      <c r="D27" s="21">
        <v>567</v>
      </c>
      <c r="E27" s="21">
        <v>276</v>
      </c>
      <c r="F27" s="21">
        <v>291</v>
      </c>
      <c r="G27" s="21">
        <v>61</v>
      </c>
      <c r="H27" s="21">
        <v>43</v>
      </c>
      <c r="I27" s="21">
        <v>41</v>
      </c>
      <c r="J27" s="21">
        <v>47</v>
      </c>
      <c r="K27" s="21">
        <v>45</v>
      </c>
      <c r="L27" s="21">
        <v>36</v>
      </c>
      <c r="M27" s="21">
        <v>70</v>
      </c>
      <c r="N27" s="21">
        <v>51</v>
      </c>
      <c r="O27" s="21">
        <v>48</v>
      </c>
      <c r="P27" s="21">
        <v>71</v>
      </c>
      <c r="Q27" s="21">
        <v>11</v>
      </c>
      <c r="R27" s="21">
        <v>43</v>
      </c>
    </row>
    <row r="28" spans="1:18" s="20" customFormat="1" ht="13.5" customHeight="1" x14ac:dyDescent="0.2">
      <c r="A28" s="87"/>
      <c r="B28" s="30" t="s">
        <v>57</v>
      </c>
      <c r="C28" s="31" t="s">
        <v>225</v>
      </c>
      <c r="D28" s="21">
        <v>44</v>
      </c>
      <c r="E28" s="21">
        <v>16</v>
      </c>
      <c r="F28" s="21">
        <v>28</v>
      </c>
      <c r="G28" s="21">
        <v>3</v>
      </c>
      <c r="H28" s="21">
        <v>6</v>
      </c>
      <c r="I28" s="21">
        <v>3</v>
      </c>
      <c r="J28" s="21">
        <v>2</v>
      </c>
      <c r="K28" s="21">
        <v>3</v>
      </c>
      <c r="L28" s="21">
        <v>3</v>
      </c>
      <c r="M28" s="21">
        <v>3</v>
      </c>
      <c r="N28" s="21">
        <v>4</v>
      </c>
      <c r="O28" s="21">
        <v>3</v>
      </c>
      <c r="P28" s="21">
        <v>6</v>
      </c>
      <c r="Q28" s="21">
        <v>1</v>
      </c>
      <c r="R28" s="21">
        <v>7</v>
      </c>
    </row>
    <row r="29" spans="1:18" s="20" customFormat="1" ht="14.25" customHeight="1" x14ac:dyDescent="0.2">
      <c r="A29" s="24" t="s">
        <v>64</v>
      </c>
      <c r="B29" s="25" t="s">
        <v>55</v>
      </c>
      <c r="C29" s="26" t="s">
        <v>0</v>
      </c>
      <c r="D29" s="27">
        <v>57</v>
      </c>
      <c r="E29" s="27">
        <v>21</v>
      </c>
      <c r="F29" s="27">
        <v>36</v>
      </c>
      <c r="G29" s="27">
        <v>4</v>
      </c>
      <c r="H29" s="27">
        <v>7</v>
      </c>
      <c r="I29" s="27">
        <v>4</v>
      </c>
      <c r="J29" s="27">
        <v>2</v>
      </c>
      <c r="K29" s="27">
        <v>3</v>
      </c>
      <c r="L29" s="27">
        <v>4</v>
      </c>
      <c r="M29" s="27">
        <v>4</v>
      </c>
      <c r="N29" s="27">
        <v>7</v>
      </c>
      <c r="O29" s="27">
        <v>2</v>
      </c>
      <c r="P29" s="27">
        <v>10</v>
      </c>
      <c r="Q29" s="27">
        <v>4</v>
      </c>
      <c r="R29" s="27">
        <v>6</v>
      </c>
    </row>
    <row r="30" spans="1:18" s="20" customFormat="1" ht="14.25" customHeight="1" x14ac:dyDescent="0.2">
      <c r="A30" s="86" t="s">
        <v>5</v>
      </c>
      <c r="B30" s="28" t="s">
        <v>56</v>
      </c>
      <c r="C30" s="29" t="s">
        <v>2</v>
      </c>
      <c r="D30" s="21">
        <v>54</v>
      </c>
      <c r="E30" s="21">
        <v>19</v>
      </c>
      <c r="F30" s="21">
        <v>35</v>
      </c>
      <c r="G30" s="21">
        <v>4</v>
      </c>
      <c r="H30" s="21">
        <v>7</v>
      </c>
      <c r="I30" s="21">
        <v>4</v>
      </c>
      <c r="J30" s="21">
        <v>2</v>
      </c>
      <c r="K30" s="21">
        <v>3</v>
      </c>
      <c r="L30" s="21">
        <v>4</v>
      </c>
      <c r="M30" s="21">
        <v>3</v>
      </c>
      <c r="N30" s="21">
        <v>7</v>
      </c>
      <c r="O30" s="21">
        <v>2</v>
      </c>
      <c r="P30" s="21">
        <v>9</v>
      </c>
      <c r="Q30" s="21">
        <v>3</v>
      </c>
      <c r="R30" s="21">
        <v>6</v>
      </c>
    </row>
    <row r="31" spans="1:18" s="20" customFormat="1" ht="14.25" customHeight="1" x14ac:dyDescent="0.2">
      <c r="A31" s="87"/>
      <c r="B31" s="30" t="s">
        <v>57</v>
      </c>
      <c r="C31" s="31" t="s">
        <v>225</v>
      </c>
      <c r="D31" s="21">
        <v>3</v>
      </c>
      <c r="E31" s="21">
        <v>2</v>
      </c>
      <c r="F31" s="21">
        <v>1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1</v>
      </c>
      <c r="N31" s="21">
        <v>0</v>
      </c>
      <c r="O31" s="21">
        <v>0</v>
      </c>
      <c r="P31" s="21">
        <v>1</v>
      </c>
      <c r="Q31" s="21">
        <v>1</v>
      </c>
      <c r="R31" s="21">
        <v>0</v>
      </c>
    </row>
    <row r="32" spans="1:18" s="20" customFormat="1" ht="14.25" customHeight="1" x14ac:dyDescent="0.2">
      <c r="A32" s="24" t="s">
        <v>65</v>
      </c>
      <c r="B32" s="25" t="s">
        <v>55</v>
      </c>
      <c r="C32" s="26" t="s">
        <v>0</v>
      </c>
      <c r="D32" s="27">
        <v>104</v>
      </c>
      <c r="E32" s="27">
        <v>47</v>
      </c>
      <c r="F32" s="27">
        <v>57</v>
      </c>
      <c r="G32" s="27">
        <v>12</v>
      </c>
      <c r="H32" s="27">
        <v>11</v>
      </c>
      <c r="I32" s="27">
        <v>7</v>
      </c>
      <c r="J32" s="27">
        <v>9</v>
      </c>
      <c r="K32" s="27">
        <v>8</v>
      </c>
      <c r="L32" s="27">
        <v>9</v>
      </c>
      <c r="M32" s="27">
        <v>11</v>
      </c>
      <c r="N32" s="27">
        <v>4</v>
      </c>
      <c r="O32" s="27">
        <v>7</v>
      </c>
      <c r="P32" s="27">
        <v>15</v>
      </c>
      <c r="Q32" s="27">
        <v>2</v>
      </c>
      <c r="R32" s="27">
        <v>9</v>
      </c>
    </row>
    <row r="33" spans="1:18" s="20" customFormat="1" ht="14.25" customHeight="1" x14ac:dyDescent="0.2">
      <c r="A33" s="86" t="s">
        <v>6</v>
      </c>
      <c r="B33" s="28" t="s">
        <v>56</v>
      </c>
      <c r="C33" s="29" t="s">
        <v>2</v>
      </c>
      <c r="D33" s="21">
        <v>91</v>
      </c>
      <c r="E33" s="21">
        <v>39</v>
      </c>
      <c r="F33" s="21">
        <v>52</v>
      </c>
      <c r="G33" s="21">
        <v>11</v>
      </c>
      <c r="H33" s="21">
        <v>9</v>
      </c>
      <c r="I33" s="21">
        <v>5</v>
      </c>
      <c r="J33" s="21">
        <v>9</v>
      </c>
      <c r="K33" s="21">
        <v>5</v>
      </c>
      <c r="L33" s="21">
        <v>9</v>
      </c>
      <c r="M33" s="21">
        <v>9</v>
      </c>
      <c r="N33" s="21">
        <v>2</v>
      </c>
      <c r="O33" s="21">
        <v>7</v>
      </c>
      <c r="P33" s="21">
        <v>14</v>
      </c>
      <c r="Q33" s="21">
        <v>2</v>
      </c>
      <c r="R33" s="21">
        <v>9</v>
      </c>
    </row>
    <row r="34" spans="1:18" s="20" customFormat="1" ht="14.25" customHeight="1" x14ac:dyDescent="0.2">
      <c r="A34" s="87"/>
      <c r="B34" s="30" t="s">
        <v>57</v>
      </c>
      <c r="C34" s="31" t="s">
        <v>225</v>
      </c>
      <c r="D34" s="21">
        <v>13</v>
      </c>
      <c r="E34" s="21">
        <v>8</v>
      </c>
      <c r="F34" s="21">
        <v>5</v>
      </c>
      <c r="G34" s="21">
        <v>1</v>
      </c>
      <c r="H34" s="21">
        <v>2</v>
      </c>
      <c r="I34" s="21">
        <v>2</v>
      </c>
      <c r="J34" s="21">
        <v>0</v>
      </c>
      <c r="K34" s="21">
        <v>3</v>
      </c>
      <c r="L34" s="21">
        <v>0</v>
      </c>
      <c r="M34" s="21">
        <v>2</v>
      </c>
      <c r="N34" s="21">
        <v>2</v>
      </c>
      <c r="O34" s="21">
        <v>0</v>
      </c>
      <c r="P34" s="21">
        <v>1</v>
      </c>
      <c r="Q34" s="21">
        <v>0</v>
      </c>
      <c r="R34" s="21">
        <v>0</v>
      </c>
    </row>
    <row r="35" spans="1:18" s="20" customFormat="1" ht="14.25" customHeight="1" x14ac:dyDescent="0.2">
      <c r="A35" s="24" t="s">
        <v>66</v>
      </c>
      <c r="B35" s="25" t="s">
        <v>55</v>
      </c>
      <c r="C35" s="26" t="s">
        <v>0</v>
      </c>
      <c r="D35" s="27">
        <v>53</v>
      </c>
      <c r="E35" s="27">
        <v>28</v>
      </c>
      <c r="F35" s="27">
        <v>25</v>
      </c>
      <c r="G35" s="27">
        <v>4</v>
      </c>
      <c r="H35" s="27">
        <v>10</v>
      </c>
      <c r="I35" s="27">
        <v>9</v>
      </c>
      <c r="J35" s="27">
        <v>4</v>
      </c>
      <c r="K35" s="27">
        <v>3</v>
      </c>
      <c r="L35" s="27">
        <v>1</v>
      </c>
      <c r="M35" s="27">
        <v>5</v>
      </c>
      <c r="N35" s="27">
        <v>6</v>
      </c>
      <c r="O35" s="27">
        <v>3</v>
      </c>
      <c r="P35" s="27">
        <v>3</v>
      </c>
      <c r="Q35" s="27">
        <v>4</v>
      </c>
      <c r="R35" s="27">
        <v>1</v>
      </c>
    </row>
    <row r="36" spans="1:18" s="20" customFormat="1" ht="14.25" customHeight="1" x14ac:dyDescent="0.2">
      <c r="A36" s="86" t="s">
        <v>7</v>
      </c>
      <c r="B36" s="28" t="s">
        <v>56</v>
      </c>
      <c r="C36" s="29" t="s">
        <v>2</v>
      </c>
      <c r="D36" s="21">
        <v>47</v>
      </c>
      <c r="E36" s="21">
        <v>24</v>
      </c>
      <c r="F36" s="21">
        <v>23</v>
      </c>
      <c r="G36" s="21">
        <v>3</v>
      </c>
      <c r="H36" s="21">
        <v>9</v>
      </c>
      <c r="I36" s="21">
        <v>7</v>
      </c>
      <c r="J36" s="21">
        <v>4</v>
      </c>
      <c r="K36" s="21">
        <v>3</v>
      </c>
      <c r="L36" s="21">
        <v>1</v>
      </c>
      <c r="M36" s="21">
        <v>5</v>
      </c>
      <c r="N36" s="21">
        <v>5</v>
      </c>
      <c r="O36" s="21">
        <v>3</v>
      </c>
      <c r="P36" s="21">
        <v>3</v>
      </c>
      <c r="Q36" s="21">
        <v>3</v>
      </c>
      <c r="R36" s="21">
        <v>1</v>
      </c>
    </row>
    <row r="37" spans="1:18" s="20" customFormat="1" ht="14.25" customHeight="1" x14ac:dyDescent="0.2">
      <c r="A37" s="87"/>
      <c r="B37" s="30" t="s">
        <v>57</v>
      </c>
      <c r="C37" s="31" t="s">
        <v>225</v>
      </c>
      <c r="D37" s="21">
        <v>6</v>
      </c>
      <c r="E37" s="21">
        <v>4</v>
      </c>
      <c r="F37" s="21">
        <v>2</v>
      </c>
      <c r="G37" s="21">
        <v>1</v>
      </c>
      <c r="H37" s="21">
        <v>1</v>
      </c>
      <c r="I37" s="21">
        <v>2</v>
      </c>
      <c r="J37" s="21">
        <v>0</v>
      </c>
      <c r="K37" s="21">
        <v>0</v>
      </c>
      <c r="L37" s="21">
        <v>0</v>
      </c>
      <c r="M37" s="21">
        <v>0</v>
      </c>
      <c r="N37" s="21">
        <v>1</v>
      </c>
      <c r="O37" s="21">
        <v>0</v>
      </c>
      <c r="P37" s="21">
        <v>0</v>
      </c>
      <c r="Q37" s="21">
        <v>1</v>
      </c>
      <c r="R37" s="21">
        <v>0</v>
      </c>
    </row>
    <row r="38" spans="1:18" s="20" customFormat="1" ht="14.25" customHeight="1" x14ac:dyDescent="0.2">
      <c r="A38" s="24" t="s">
        <v>67</v>
      </c>
      <c r="B38" s="25" t="s">
        <v>55</v>
      </c>
      <c r="C38" s="26" t="s">
        <v>0</v>
      </c>
      <c r="D38" s="27">
        <v>159</v>
      </c>
      <c r="E38" s="27">
        <v>60</v>
      </c>
      <c r="F38" s="27">
        <v>99</v>
      </c>
      <c r="G38" s="27">
        <v>16</v>
      </c>
      <c r="H38" s="27">
        <v>24</v>
      </c>
      <c r="I38" s="27">
        <v>12</v>
      </c>
      <c r="J38" s="27">
        <v>13</v>
      </c>
      <c r="K38" s="27">
        <v>12</v>
      </c>
      <c r="L38" s="27">
        <v>11</v>
      </c>
      <c r="M38" s="27">
        <v>8</v>
      </c>
      <c r="N38" s="27">
        <v>10</v>
      </c>
      <c r="O38" s="27">
        <v>6</v>
      </c>
      <c r="P38" s="27">
        <v>27</v>
      </c>
      <c r="Q38" s="27">
        <v>6</v>
      </c>
      <c r="R38" s="27">
        <v>14</v>
      </c>
    </row>
    <row r="39" spans="1:18" s="20" customFormat="1" ht="14.25" customHeight="1" x14ac:dyDescent="0.2">
      <c r="A39" s="86" t="s">
        <v>8</v>
      </c>
      <c r="B39" s="28" t="s">
        <v>56</v>
      </c>
      <c r="C39" s="29" t="s">
        <v>2</v>
      </c>
      <c r="D39" s="21">
        <v>149</v>
      </c>
      <c r="E39" s="21">
        <v>57</v>
      </c>
      <c r="F39" s="21">
        <v>92</v>
      </c>
      <c r="G39" s="21">
        <v>16</v>
      </c>
      <c r="H39" s="21">
        <v>24</v>
      </c>
      <c r="I39" s="21">
        <v>12</v>
      </c>
      <c r="J39" s="21">
        <v>12</v>
      </c>
      <c r="K39" s="21">
        <v>12</v>
      </c>
      <c r="L39" s="21">
        <v>11</v>
      </c>
      <c r="M39" s="21">
        <v>6</v>
      </c>
      <c r="N39" s="21">
        <v>10</v>
      </c>
      <c r="O39" s="21">
        <v>6</v>
      </c>
      <c r="P39" s="21">
        <v>23</v>
      </c>
      <c r="Q39" s="21">
        <v>5</v>
      </c>
      <c r="R39" s="21">
        <v>12</v>
      </c>
    </row>
    <row r="40" spans="1:18" s="20" customFormat="1" ht="14.25" customHeight="1" x14ac:dyDescent="0.2">
      <c r="A40" s="87"/>
      <c r="B40" s="30" t="s">
        <v>57</v>
      </c>
      <c r="C40" s="31" t="s">
        <v>225</v>
      </c>
      <c r="D40" s="21">
        <v>10</v>
      </c>
      <c r="E40" s="21">
        <v>3</v>
      </c>
      <c r="F40" s="21">
        <v>7</v>
      </c>
      <c r="G40" s="21">
        <v>0</v>
      </c>
      <c r="H40" s="21">
        <v>0</v>
      </c>
      <c r="I40" s="21">
        <v>0</v>
      </c>
      <c r="J40" s="21">
        <v>1</v>
      </c>
      <c r="K40" s="21">
        <v>0</v>
      </c>
      <c r="L40" s="21">
        <v>0</v>
      </c>
      <c r="M40" s="21">
        <v>2</v>
      </c>
      <c r="N40" s="21">
        <v>0</v>
      </c>
      <c r="O40" s="21">
        <v>0</v>
      </c>
      <c r="P40" s="21">
        <v>4</v>
      </c>
      <c r="Q40" s="21">
        <v>1</v>
      </c>
      <c r="R40" s="21">
        <v>2</v>
      </c>
    </row>
    <row r="41" spans="1:18" s="20" customFormat="1" ht="14.25" customHeight="1" x14ac:dyDescent="0.2">
      <c r="A41" s="24" t="s">
        <v>68</v>
      </c>
      <c r="B41" s="25" t="s">
        <v>55</v>
      </c>
      <c r="C41" s="26" t="s">
        <v>0</v>
      </c>
      <c r="D41" s="27">
        <v>55</v>
      </c>
      <c r="E41" s="27">
        <v>25</v>
      </c>
      <c r="F41" s="27">
        <v>30</v>
      </c>
      <c r="G41" s="27">
        <v>8</v>
      </c>
      <c r="H41" s="27">
        <v>2</v>
      </c>
      <c r="I41" s="27">
        <v>3</v>
      </c>
      <c r="J41" s="27">
        <v>7</v>
      </c>
      <c r="K41" s="27">
        <v>4</v>
      </c>
      <c r="L41" s="27">
        <v>6</v>
      </c>
      <c r="M41" s="27">
        <v>4</v>
      </c>
      <c r="N41" s="27">
        <v>5</v>
      </c>
      <c r="O41" s="27">
        <v>5</v>
      </c>
      <c r="P41" s="27">
        <v>6</v>
      </c>
      <c r="Q41" s="27">
        <v>1</v>
      </c>
      <c r="R41" s="27">
        <v>4</v>
      </c>
    </row>
    <row r="42" spans="1:18" s="20" customFormat="1" ht="14.25" customHeight="1" x14ac:dyDescent="0.2">
      <c r="A42" s="86" t="s">
        <v>9</v>
      </c>
      <c r="B42" s="28" t="s">
        <v>56</v>
      </c>
      <c r="C42" s="29" t="s">
        <v>2</v>
      </c>
      <c r="D42" s="21">
        <v>46</v>
      </c>
      <c r="E42" s="21">
        <v>19</v>
      </c>
      <c r="F42" s="21">
        <v>27</v>
      </c>
      <c r="G42" s="21">
        <v>5</v>
      </c>
      <c r="H42" s="21">
        <v>2</v>
      </c>
      <c r="I42" s="21">
        <v>1</v>
      </c>
      <c r="J42" s="21">
        <v>6</v>
      </c>
      <c r="K42" s="21">
        <v>4</v>
      </c>
      <c r="L42" s="21">
        <v>6</v>
      </c>
      <c r="M42" s="21">
        <v>4</v>
      </c>
      <c r="N42" s="21">
        <v>5</v>
      </c>
      <c r="O42" s="21">
        <v>4</v>
      </c>
      <c r="P42" s="21">
        <v>4</v>
      </c>
      <c r="Q42" s="21">
        <v>1</v>
      </c>
      <c r="R42" s="21">
        <v>4</v>
      </c>
    </row>
    <row r="43" spans="1:18" s="20" customFormat="1" ht="14.25" customHeight="1" x14ac:dyDescent="0.2">
      <c r="A43" s="87"/>
      <c r="B43" s="30" t="s">
        <v>57</v>
      </c>
      <c r="C43" s="31" t="s">
        <v>225</v>
      </c>
      <c r="D43" s="21">
        <v>9</v>
      </c>
      <c r="E43" s="21">
        <v>6</v>
      </c>
      <c r="F43" s="21">
        <v>3</v>
      </c>
      <c r="G43" s="21">
        <v>3</v>
      </c>
      <c r="H43" s="21">
        <v>0</v>
      </c>
      <c r="I43" s="21">
        <v>2</v>
      </c>
      <c r="J43" s="21">
        <v>1</v>
      </c>
      <c r="K43" s="21">
        <v>0</v>
      </c>
      <c r="L43" s="21">
        <v>0</v>
      </c>
      <c r="M43" s="21">
        <v>0</v>
      </c>
      <c r="N43" s="21">
        <v>0</v>
      </c>
      <c r="O43" s="21">
        <v>1</v>
      </c>
      <c r="P43" s="21">
        <v>2</v>
      </c>
      <c r="Q43" s="21">
        <v>0</v>
      </c>
      <c r="R43" s="21">
        <v>0</v>
      </c>
    </row>
    <row r="44" spans="1:18" s="20" customFormat="1" ht="14.25" customHeight="1" x14ac:dyDescent="0.2">
      <c r="A44" s="24" t="s">
        <v>69</v>
      </c>
      <c r="B44" s="25" t="s">
        <v>55</v>
      </c>
      <c r="C44" s="26" t="s">
        <v>0</v>
      </c>
      <c r="D44" s="27">
        <v>86</v>
      </c>
      <c r="E44" s="27">
        <v>42</v>
      </c>
      <c r="F44" s="27">
        <v>44</v>
      </c>
      <c r="G44" s="27">
        <v>12</v>
      </c>
      <c r="H44" s="27">
        <v>6</v>
      </c>
      <c r="I44" s="27">
        <v>2</v>
      </c>
      <c r="J44" s="27">
        <v>3</v>
      </c>
      <c r="K44" s="27">
        <v>3</v>
      </c>
      <c r="L44" s="27">
        <v>7</v>
      </c>
      <c r="M44" s="27">
        <v>5</v>
      </c>
      <c r="N44" s="27">
        <v>9</v>
      </c>
      <c r="O44" s="27">
        <v>11</v>
      </c>
      <c r="P44" s="27">
        <v>11</v>
      </c>
      <c r="Q44" s="27">
        <v>9</v>
      </c>
      <c r="R44" s="27">
        <v>8</v>
      </c>
    </row>
    <row r="45" spans="1:18" s="20" customFormat="1" ht="14.25" customHeight="1" x14ac:dyDescent="0.2">
      <c r="A45" s="86" t="s">
        <v>10</v>
      </c>
      <c r="B45" s="28" t="s">
        <v>56</v>
      </c>
      <c r="C45" s="29" t="s">
        <v>2</v>
      </c>
      <c r="D45" s="21">
        <v>82</v>
      </c>
      <c r="E45" s="21">
        <v>41</v>
      </c>
      <c r="F45" s="21">
        <v>41</v>
      </c>
      <c r="G45" s="21">
        <v>11</v>
      </c>
      <c r="H45" s="21">
        <v>6</v>
      </c>
      <c r="I45" s="21">
        <v>2</v>
      </c>
      <c r="J45" s="21">
        <v>3</v>
      </c>
      <c r="K45" s="21">
        <v>3</v>
      </c>
      <c r="L45" s="21">
        <v>7</v>
      </c>
      <c r="M45" s="21">
        <v>5</v>
      </c>
      <c r="N45" s="21">
        <v>8</v>
      </c>
      <c r="O45" s="21">
        <v>11</v>
      </c>
      <c r="P45" s="21">
        <v>10</v>
      </c>
      <c r="Q45" s="21">
        <v>9</v>
      </c>
      <c r="R45" s="21">
        <v>7</v>
      </c>
    </row>
    <row r="46" spans="1:18" s="20" customFormat="1" ht="14.25" customHeight="1" x14ac:dyDescent="0.2">
      <c r="A46" s="87"/>
      <c r="B46" s="30" t="s">
        <v>57</v>
      </c>
      <c r="C46" s="31" t="s">
        <v>225</v>
      </c>
      <c r="D46" s="21">
        <v>4</v>
      </c>
      <c r="E46" s="21">
        <v>1</v>
      </c>
      <c r="F46" s="21">
        <v>3</v>
      </c>
      <c r="G46" s="21">
        <v>1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1</v>
      </c>
      <c r="O46" s="21">
        <v>0</v>
      </c>
      <c r="P46" s="21">
        <v>1</v>
      </c>
      <c r="Q46" s="21">
        <v>0</v>
      </c>
      <c r="R46" s="21">
        <v>1</v>
      </c>
    </row>
    <row r="47" spans="1:18" s="20" customFormat="1" ht="14.25" customHeight="1" x14ac:dyDescent="0.2">
      <c r="A47" s="24" t="s">
        <v>70</v>
      </c>
      <c r="B47" s="25" t="s">
        <v>55</v>
      </c>
      <c r="C47" s="26" t="s">
        <v>0</v>
      </c>
      <c r="D47" s="27">
        <v>42</v>
      </c>
      <c r="E47" s="27">
        <v>15</v>
      </c>
      <c r="F47" s="27">
        <v>27</v>
      </c>
      <c r="G47" s="27">
        <v>1</v>
      </c>
      <c r="H47" s="27">
        <v>2</v>
      </c>
      <c r="I47" s="27">
        <v>6</v>
      </c>
      <c r="J47" s="27">
        <v>2</v>
      </c>
      <c r="K47" s="27">
        <v>3</v>
      </c>
      <c r="L47" s="27">
        <v>4</v>
      </c>
      <c r="M47" s="27">
        <v>2</v>
      </c>
      <c r="N47" s="27">
        <v>6</v>
      </c>
      <c r="O47" s="27">
        <v>2</v>
      </c>
      <c r="P47" s="27">
        <v>5</v>
      </c>
      <c r="Q47" s="27">
        <v>1</v>
      </c>
      <c r="R47" s="27">
        <v>8</v>
      </c>
    </row>
    <row r="48" spans="1:18" s="20" customFormat="1" ht="14.25" customHeight="1" x14ac:dyDescent="0.2">
      <c r="A48" s="86" t="s">
        <v>11</v>
      </c>
      <c r="B48" s="28" t="s">
        <v>56</v>
      </c>
      <c r="C48" s="29" t="s">
        <v>2</v>
      </c>
      <c r="D48" s="21">
        <v>41</v>
      </c>
      <c r="E48" s="21">
        <v>14</v>
      </c>
      <c r="F48" s="21">
        <v>27</v>
      </c>
      <c r="G48" s="21">
        <v>1</v>
      </c>
      <c r="H48" s="21">
        <v>2</v>
      </c>
      <c r="I48" s="21">
        <v>5</v>
      </c>
      <c r="J48" s="21">
        <v>2</v>
      </c>
      <c r="K48" s="21">
        <v>3</v>
      </c>
      <c r="L48" s="21">
        <v>4</v>
      </c>
      <c r="M48" s="21">
        <v>2</v>
      </c>
      <c r="N48" s="21">
        <v>6</v>
      </c>
      <c r="O48" s="21">
        <v>2</v>
      </c>
      <c r="P48" s="21">
        <v>5</v>
      </c>
      <c r="Q48" s="21">
        <v>1</v>
      </c>
      <c r="R48" s="21">
        <v>8</v>
      </c>
    </row>
    <row r="49" spans="1:18" s="20" customFormat="1" ht="14.25" customHeight="1" x14ac:dyDescent="0.2">
      <c r="A49" s="87"/>
      <c r="B49" s="30" t="s">
        <v>57</v>
      </c>
      <c r="C49" s="31" t="s">
        <v>225</v>
      </c>
      <c r="D49" s="21">
        <v>1</v>
      </c>
      <c r="E49" s="21">
        <v>1</v>
      </c>
      <c r="F49" s="21">
        <v>0</v>
      </c>
      <c r="G49" s="21">
        <v>0</v>
      </c>
      <c r="H49" s="21">
        <v>0</v>
      </c>
      <c r="I49" s="21">
        <v>1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</row>
    <row r="50" spans="1:18" s="20" customFormat="1" ht="14.25" customHeight="1" x14ac:dyDescent="0.2">
      <c r="A50" s="24" t="s">
        <v>71</v>
      </c>
      <c r="B50" s="25" t="s">
        <v>55</v>
      </c>
      <c r="C50" s="26" t="s">
        <v>0</v>
      </c>
      <c r="D50" s="27">
        <v>243</v>
      </c>
      <c r="E50" s="27">
        <v>112</v>
      </c>
      <c r="F50" s="27">
        <v>131</v>
      </c>
      <c r="G50" s="27">
        <v>14</v>
      </c>
      <c r="H50" s="27">
        <v>16</v>
      </c>
      <c r="I50" s="27">
        <v>15</v>
      </c>
      <c r="J50" s="27">
        <v>14</v>
      </c>
      <c r="K50" s="27">
        <v>18</v>
      </c>
      <c r="L50" s="27">
        <v>17</v>
      </c>
      <c r="M50" s="27">
        <v>33</v>
      </c>
      <c r="N50" s="27">
        <v>21</v>
      </c>
      <c r="O50" s="27">
        <v>17</v>
      </c>
      <c r="P50" s="27">
        <v>35</v>
      </c>
      <c r="Q50" s="27">
        <v>15</v>
      </c>
      <c r="R50" s="27">
        <v>28</v>
      </c>
    </row>
    <row r="51" spans="1:18" s="20" customFormat="1" ht="14.25" customHeight="1" x14ac:dyDescent="0.2">
      <c r="A51" s="86" t="s">
        <v>12</v>
      </c>
      <c r="B51" s="28" t="s">
        <v>56</v>
      </c>
      <c r="C51" s="29" t="s">
        <v>2</v>
      </c>
      <c r="D51" s="21">
        <v>203</v>
      </c>
      <c r="E51" s="21">
        <v>92</v>
      </c>
      <c r="F51" s="21">
        <v>111</v>
      </c>
      <c r="G51" s="21">
        <v>13</v>
      </c>
      <c r="H51" s="21">
        <v>15</v>
      </c>
      <c r="I51" s="21">
        <v>15</v>
      </c>
      <c r="J51" s="21">
        <v>13</v>
      </c>
      <c r="K51" s="21">
        <v>12</v>
      </c>
      <c r="L51" s="21">
        <v>16</v>
      </c>
      <c r="M51" s="21">
        <v>24</v>
      </c>
      <c r="N51" s="21">
        <v>16</v>
      </c>
      <c r="O51" s="21">
        <v>15</v>
      </c>
      <c r="P51" s="21">
        <v>30</v>
      </c>
      <c r="Q51" s="21">
        <v>13</v>
      </c>
      <c r="R51" s="21">
        <v>21</v>
      </c>
    </row>
    <row r="52" spans="1:18" s="20" customFormat="1" ht="14.25" customHeight="1" x14ac:dyDescent="0.2">
      <c r="A52" s="87"/>
      <c r="B52" s="30" t="s">
        <v>57</v>
      </c>
      <c r="C52" s="31" t="s">
        <v>225</v>
      </c>
      <c r="D52" s="21">
        <v>40</v>
      </c>
      <c r="E52" s="21">
        <v>20</v>
      </c>
      <c r="F52" s="21">
        <v>20</v>
      </c>
      <c r="G52" s="21">
        <v>1</v>
      </c>
      <c r="H52" s="21">
        <v>1</v>
      </c>
      <c r="I52" s="21">
        <v>0</v>
      </c>
      <c r="J52" s="21">
        <v>1</v>
      </c>
      <c r="K52" s="21">
        <v>6</v>
      </c>
      <c r="L52" s="21">
        <v>1</v>
      </c>
      <c r="M52" s="21">
        <v>9</v>
      </c>
      <c r="N52" s="21">
        <v>5</v>
      </c>
      <c r="O52" s="21">
        <v>2</v>
      </c>
      <c r="P52" s="21">
        <v>5</v>
      </c>
      <c r="Q52" s="21">
        <v>2</v>
      </c>
      <c r="R52" s="21">
        <v>7</v>
      </c>
    </row>
    <row r="53" spans="1:18" s="20" customFormat="1" ht="14.25" customHeight="1" x14ac:dyDescent="0.2">
      <c r="A53" s="24" t="s">
        <v>72</v>
      </c>
      <c r="B53" s="25" t="s">
        <v>55</v>
      </c>
      <c r="C53" s="26" t="s">
        <v>0</v>
      </c>
      <c r="D53" s="27">
        <v>72</v>
      </c>
      <c r="E53" s="27">
        <v>38</v>
      </c>
      <c r="F53" s="27">
        <v>34</v>
      </c>
      <c r="G53" s="27">
        <v>7</v>
      </c>
      <c r="H53" s="27">
        <v>4</v>
      </c>
      <c r="I53" s="27">
        <v>9</v>
      </c>
      <c r="J53" s="27">
        <v>4</v>
      </c>
      <c r="K53" s="27">
        <v>11</v>
      </c>
      <c r="L53" s="27">
        <v>6</v>
      </c>
      <c r="M53" s="27">
        <v>7</v>
      </c>
      <c r="N53" s="27">
        <v>9</v>
      </c>
      <c r="O53" s="27">
        <v>2</v>
      </c>
      <c r="P53" s="27">
        <v>8</v>
      </c>
      <c r="Q53" s="27">
        <v>2</v>
      </c>
      <c r="R53" s="27">
        <v>3</v>
      </c>
    </row>
    <row r="54" spans="1:18" s="20" customFormat="1" ht="14.25" customHeight="1" x14ac:dyDescent="0.2">
      <c r="A54" s="86" t="s">
        <v>13</v>
      </c>
      <c r="B54" s="28" t="s">
        <v>56</v>
      </c>
      <c r="C54" s="29" t="s">
        <v>2</v>
      </c>
      <c r="D54" s="21">
        <v>18</v>
      </c>
      <c r="E54" s="21">
        <v>10</v>
      </c>
      <c r="F54" s="21">
        <v>8</v>
      </c>
      <c r="G54" s="21">
        <v>2</v>
      </c>
      <c r="H54" s="21">
        <v>2</v>
      </c>
      <c r="I54" s="21">
        <v>2</v>
      </c>
      <c r="J54" s="21">
        <v>0</v>
      </c>
      <c r="K54" s="21">
        <v>4</v>
      </c>
      <c r="L54" s="21">
        <v>0</v>
      </c>
      <c r="M54" s="21">
        <v>1</v>
      </c>
      <c r="N54" s="21">
        <v>2</v>
      </c>
      <c r="O54" s="21">
        <v>1</v>
      </c>
      <c r="P54" s="21">
        <v>1</v>
      </c>
      <c r="Q54" s="21">
        <v>0</v>
      </c>
      <c r="R54" s="21">
        <v>3</v>
      </c>
    </row>
    <row r="55" spans="1:18" s="20" customFormat="1" ht="14.25" customHeight="1" x14ac:dyDescent="0.2">
      <c r="A55" s="87"/>
      <c r="B55" s="30" t="s">
        <v>57</v>
      </c>
      <c r="C55" s="31" t="s">
        <v>225</v>
      </c>
      <c r="D55" s="21">
        <v>54</v>
      </c>
      <c r="E55" s="21">
        <v>28</v>
      </c>
      <c r="F55" s="21">
        <v>26</v>
      </c>
      <c r="G55" s="21">
        <v>5</v>
      </c>
      <c r="H55" s="21">
        <v>2</v>
      </c>
      <c r="I55" s="21">
        <v>7</v>
      </c>
      <c r="J55" s="21">
        <v>4</v>
      </c>
      <c r="K55" s="21">
        <v>7</v>
      </c>
      <c r="L55" s="21">
        <v>6</v>
      </c>
      <c r="M55" s="21">
        <v>6</v>
      </c>
      <c r="N55" s="21">
        <v>7</v>
      </c>
      <c r="O55" s="21">
        <v>1</v>
      </c>
      <c r="P55" s="21">
        <v>7</v>
      </c>
      <c r="Q55" s="21">
        <v>2</v>
      </c>
      <c r="R55" s="21">
        <v>0</v>
      </c>
    </row>
    <row r="56" spans="1:18" s="20" customFormat="1" ht="14.25" customHeight="1" x14ac:dyDescent="0.2">
      <c r="A56" s="24" t="s">
        <v>73</v>
      </c>
      <c r="B56" s="25" t="s">
        <v>55</v>
      </c>
      <c r="C56" s="26" t="s">
        <v>0</v>
      </c>
      <c r="D56" s="27">
        <v>83</v>
      </c>
      <c r="E56" s="27">
        <v>40</v>
      </c>
      <c r="F56" s="27">
        <v>43</v>
      </c>
      <c r="G56" s="27">
        <v>3</v>
      </c>
      <c r="H56" s="27">
        <v>5</v>
      </c>
      <c r="I56" s="27">
        <v>6</v>
      </c>
      <c r="J56" s="27">
        <v>6</v>
      </c>
      <c r="K56" s="27">
        <v>11</v>
      </c>
      <c r="L56" s="27">
        <v>9</v>
      </c>
      <c r="M56" s="27">
        <v>8</v>
      </c>
      <c r="N56" s="27">
        <v>7</v>
      </c>
      <c r="O56" s="27">
        <v>10</v>
      </c>
      <c r="P56" s="27">
        <v>9</v>
      </c>
      <c r="Q56" s="27">
        <v>2</v>
      </c>
      <c r="R56" s="27">
        <v>7</v>
      </c>
    </row>
    <row r="57" spans="1:18" s="20" customFormat="1" ht="14.25" customHeight="1" x14ac:dyDescent="0.2">
      <c r="A57" s="86" t="s">
        <v>14</v>
      </c>
      <c r="B57" s="28" t="s">
        <v>56</v>
      </c>
      <c r="C57" s="29" t="s">
        <v>2</v>
      </c>
      <c r="D57" s="21">
        <v>23</v>
      </c>
      <c r="E57" s="21">
        <v>15</v>
      </c>
      <c r="F57" s="21">
        <v>8</v>
      </c>
      <c r="G57" s="21">
        <v>1</v>
      </c>
      <c r="H57" s="21">
        <v>3</v>
      </c>
      <c r="I57" s="21">
        <v>3</v>
      </c>
      <c r="J57" s="21">
        <v>1</v>
      </c>
      <c r="K57" s="21">
        <v>3</v>
      </c>
      <c r="L57" s="21">
        <v>1</v>
      </c>
      <c r="M57" s="21">
        <v>4</v>
      </c>
      <c r="N57" s="21">
        <v>1</v>
      </c>
      <c r="O57" s="21">
        <v>4</v>
      </c>
      <c r="P57" s="21">
        <v>2</v>
      </c>
      <c r="Q57" s="21">
        <v>0</v>
      </c>
      <c r="R57" s="21">
        <v>0</v>
      </c>
    </row>
    <row r="58" spans="1:18" s="20" customFormat="1" ht="14.25" customHeight="1" x14ac:dyDescent="0.2">
      <c r="A58" s="87"/>
      <c r="B58" s="30" t="s">
        <v>57</v>
      </c>
      <c r="C58" s="31" t="s">
        <v>225</v>
      </c>
      <c r="D58" s="21">
        <v>60</v>
      </c>
      <c r="E58" s="21">
        <v>25</v>
      </c>
      <c r="F58" s="21">
        <v>35</v>
      </c>
      <c r="G58" s="21">
        <v>2</v>
      </c>
      <c r="H58" s="21">
        <v>2</v>
      </c>
      <c r="I58" s="21">
        <v>3</v>
      </c>
      <c r="J58" s="21">
        <v>5</v>
      </c>
      <c r="K58" s="21">
        <v>8</v>
      </c>
      <c r="L58" s="21">
        <v>8</v>
      </c>
      <c r="M58" s="21">
        <v>4</v>
      </c>
      <c r="N58" s="21">
        <v>6</v>
      </c>
      <c r="O58" s="21">
        <v>6</v>
      </c>
      <c r="P58" s="21">
        <v>7</v>
      </c>
      <c r="Q58" s="21">
        <v>2</v>
      </c>
      <c r="R58" s="21">
        <v>7</v>
      </c>
    </row>
    <row r="59" spans="1:18" s="20" customFormat="1" ht="14.25" customHeight="1" x14ac:dyDescent="0.2">
      <c r="A59" s="24" t="s">
        <v>74</v>
      </c>
      <c r="B59" s="25" t="s">
        <v>55</v>
      </c>
      <c r="C59" s="26" t="s">
        <v>0</v>
      </c>
      <c r="D59" s="27">
        <v>6</v>
      </c>
      <c r="E59" s="27">
        <v>3</v>
      </c>
      <c r="F59" s="27">
        <v>3</v>
      </c>
      <c r="G59" s="27">
        <v>0</v>
      </c>
      <c r="H59" s="27">
        <v>0</v>
      </c>
      <c r="I59" s="27">
        <v>0</v>
      </c>
      <c r="J59" s="27">
        <v>1</v>
      </c>
      <c r="K59" s="27">
        <v>1</v>
      </c>
      <c r="L59" s="27">
        <v>0</v>
      </c>
      <c r="M59" s="27">
        <v>0</v>
      </c>
      <c r="N59" s="27">
        <v>1</v>
      </c>
      <c r="O59" s="27">
        <v>2</v>
      </c>
      <c r="P59" s="27">
        <v>1</v>
      </c>
      <c r="Q59" s="27">
        <v>0</v>
      </c>
      <c r="R59" s="27">
        <v>0</v>
      </c>
    </row>
    <row r="60" spans="1:18" s="20" customFormat="1" ht="14.25" customHeight="1" x14ac:dyDescent="0.2">
      <c r="A60" s="86" t="s">
        <v>15</v>
      </c>
      <c r="B60" s="28" t="s">
        <v>56</v>
      </c>
      <c r="C60" s="29" t="s">
        <v>2</v>
      </c>
      <c r="D60" s="21">
        <v>6</v>
      </c>
      <c r="E60" s="21">
        <v>3</v>
      </c>
      <c r="F60" s="21">
        <v>3</v>
      </c>
      <c r="G60" s="21">
        <v>0</v>
      </c>
      <c r="H60" s="21">
        <v>0</v>
      </c>
      <c r="I60" s="21">
        <v>0</v>
      </c>
      <c r="J60" s="21">
        <v>1</v>
      </c>
      <c r="K60" s="21">
        <v>1</v>
      </c>
      <c r="L60" s="21">
        <v>0</v>
      </c>
      <c r="M60" s="21">
        <v>0</v>
      </c>
      <c r="N60" s="21">
        <v>1</v>
      </c>
      <c r="O60" s="21">
        <v>2</v>
      </c>
      <c r="P60" s="21">
        <v>1</v>
      </c>
      <c r="Q60" s="21">
        <v>0</v>
      </c>
      <c r="R60" s="21">
        <v>0</v>
      </c>
    </row>
    <row r="61" spans="1:18" s="20" customFormat="1" ht="14.25" customHeight="1" x14ac:dyDescent="0.2">
      <c r="A61" s="87"/>
      <c r="B61" s="30" t="s">
        <v>57</v>
      </c>
      <c r="C61" s="31" t="s">
        <v>225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</row>
    <row r="62" spans="1:18" s="20" customFormat="1" ht="14.25" customHeight="1" x14ac:dyDescent="0.2">
      <c r="A62" s="24" t="s">
        <v>75</v>
      </c>
      <c r="B62" s="25" t="s">
        <v>55</v>
      </c>
      <c r="C62" s="26" t="s">
        <v>0</v>
      </c>
      <c r="D62" s="27">
        <v>73</v>
      </c>
      <c r="E62" s="27">
        <v>38</v>
      </c>
      <c r="F62" s="27">
        <v>35</v>
      </c>
      <c r="G62" s="27">
        <v>6</v>
      </c>
      <c r="H62" s="27">
        <v>6</v>
      </c>
      <c r="I62" s="27">
        <v>9</v>
      </c>
      <c r="J62" s="27">
        <v>4</v>
      </c>
      <c r="K62" s="27">
        <v>5</v>
      </c>
      <c r="L62" s="27">
        <v>4</v>
      </c>
      <c r="M62" s="27">
        <v>7</v>
      </c>
      <c r="N62" s="27">
        <v>7</v>
      </c>
      <c r="O62" s="27">
        <v>8</v>
      </c>
      <c r="P62" s="27">
        <v>6</v>
      </c>
      <c r="Q62" s="27">
        <v>3</v>
      </c>
      <c r="R62" s="27">
        <v>8</v>
      </c>
    </row>
    <row r="63" spans="1:18" s="20" customFormat="1" ht="14.25" customHeight="1" x14ac:dyDescent="0.2">
      <c r="A63" s="86" t="s">
        <v>16</v>
      </c>
      <c r="B63" s="28" t="s">
        <v>56</v>
      </c>
      <c r="C63" s="29" t="s">
        <v>2</v>
      </c>
      <c r="D63" s="21">
        <v>72</v>
      </c>
      <c r="E63" s="21">
        <v>38</v>
      </c>
      <c r="F63" s="21">
        <v>34</v>
      </c>
      <c r="G63" s="21">
        <v>6</v>
      </c>
      <c r="H63" s="21">
        <v>6</v>
      </c>
      <c r="I63" s="21">
        <v>9</v>
      </c>
      <c r="J63" s="21">
        <v>3</v>
      </c>
      <c r="K63" s="21">
        <v>5</v>
      </c>
      <c r="L63" s="21">
        <v>4</v>
      </c>
      <c r="M63" s="21">
        <v>7</v>
      </c>
      <c r="N63" s="21">
        <v>7</v>
      </c>
      <c r="O63" s="21">
        <v>8</v>
      </c>
      <c r="P63" s="21">
        <v>6</v>
      </c>
      <c r="Q63" s="21">
        <v>3</v>
      </c>
      <c r="R63" s="21">
        <v>8</v>
      </c>
    </row>
    <row r="64" spans="1:18" s="20" customFormat="1" ht="14.25" customHeight="1" x14ac:dyDescent="0.2">
      <c r="A64" s="87"/>
      <c r="B64" s="30" t="s">
        <v>57</v>
      </c>
      <c r="C64" s="31" t="s">
        <v>225</v>
      </c>
      <c r="D64" s="21">
        <v>1</v>
      </c>
      <c r="E64" s="21">
        <v>0</v>
      </c>
      <c r="F64" s="21">
        <v>1</v>
      </c>
      <c r="G64" s="21">
        <v>0</v>
      </c>
      <c r="H64" s="21">
        <v>0</v>
      </c>
      <c r="I64" s="21">
        <v>0</v>
      </c>
      <c r="J64" s="21">
        <v>1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</row>
    <row r="65" spans="1:18" s="20" customFormat="1" ht="14.25" customHeight="1" x14ac:dyDescent="0.2">
      <c r="A65" s="24" t="s">
        <v>76</v>
      </c>
      <c r="B65" s="25" t="s">
        <v>55</v>
      </c>
      <c r="C65" s="26" t="s">
        <v>0</v>
      </c>
      <c r="D65" s="27">
        <v>57</v>
      </c>
      <c r="E65" s="27">
        <v>24</v>
      </c>
      <c r="F65" s="27">
        <v>33</v>
      </c>
      <c r="G65" s="27">
        <v>8</v>
      </c>
      <c r="H65" s="27">
        <v>12</v>
      </c>
      <c r="I65" s="27">
        <v>2</v>
      </c>
      <c r="J65" s="27">
        <v>6</v>
      </c>
      <c r="K65" s="27">
        <v>3</v>
      </c>
      <c r="L65" s="27">
        <v>8</v>
      </c>
      <c r="M65" s="27">
        <v>7</v>
      </c>
      <c r="N65" s="27">
        <v>1</v>
      </c>
      <c r="O65" s="27">
        <v>4</v>
      </c>
      <c r="P65" s="27">
        <v>1</v>
      </c>
      <c r="Q65" s="27">
        <v>0</v>
      </c>
      <c r="R65" s="27">
        <v>5</v>
      </c>
    </row>
    <row r="66" spans="1:18" s="20" customFormat="1" ht="14.25" customHeight="1" x14ac:dyDescent="0.2">
      <c r="A66" s="86" t="s">
        <v>17</v>
      </c>
      <c r="B66" s="28" t="s">
        <v>56</v>
      </c>
      <c r="C66" s="29" t="s">
        <v>2</v>
      </c>
      <c r="D66" s="21">
        <v>50</v>
      </c>
      <c r="E66" s="21">
        <v>19</v>
      </c>
      <c r="F66" s="21">
        <v>31</v>
      </c>
      <c r="G66" s="21">
        <v>5</v>
      </c>
      <c r="H66" s="21">
        <v>12</v>
      </c>
      <c r="I66" s="21">
        <v>2</v>
      </c>
      <c r="J66" s="21">
        <v>5</v>
      </c>
      <c r="K66" s="21">
        <v>2</v>
      </c>
      <c r="L66" s="21">
        <v>8</v>
      </c>
      <c r="M66" s="21">
        <v>6</v>
      </c>
      <c r="N66" s="21">
        <v>1</v>
      </c>
      <c r="O66" s="21">
        <v>4</v>
      </c>
      <c r="P66" s="21">
        <v>0</v>
      </c>
      <c r="Q66" s="21">
        <v>0</v>
      </c>
      <c r="R66" s="21">
        <v>5</v>
      </c>
    </row>
    <row r="67" spans="1:18" s="20" customFormat="1" ht="14.25" customHeight="1" x14ac:dyDescent="0.2">
      <c r="A67" s="87"/>
      <c r="B67" s="30" t="s">
        <v>57</v>
      </c>
      <c r="C67" s="31" t="s">
        <v>225</v>
      </c>
      <c r="D67" s="21">
        <v>7</v>
      </c>
      <c r="E67" s="21">
        <v>5</v>
      </c>
      <c r="F67" s="21">
        <v>2</v>
      </c>
      <c r="G67" s="21">
        <v>3</v>
      </c>
      <c r="H67" s="21">
        <v>0</v>
      </c>
      <c r="I67" s="21">
        <v>0</v>
      </c>
      <c r="J67" s="21">
        <v>1</v>
      </c>
      <c r="K67" s="21">
        <v>1</v>
      </c>
      <c r="L67" s="21">
        <v>0</v>
      </c>
      <c r="M67" s="21">
        <v>1</v>
      </c>
      <c r="N67" s="21">
        <v>0</v>
      </c>
      <c r="O67" s="21">
        <v>0</v>
      </c>
      <c r="P67" s="21">
        <v>1</v>
      </c>
      <c r="Q67" s="21">
        <v>0</v>
      </c>
      <c r="R67" s="21">
        <v>0</v>
      </c>
    </row>
    <row r="68" spans="1:18" s="20" customFormat="1" ht="14.25" customHeight="1" x14ac:dyDescent="0.2">
      <c r="A68" s="24" t="s">
        <v>77</v>
      </c>
      <c r="B68" s="25" t="s">
        <v>55</v>
      </c>
      <c r="C68" s="26" t="s">
        <v>0</v>
      </c>
      <c r="D68" s="27">
        <v>33</v>
      </c>
      <c r="E68" s="27">
        <v>17</v>
      </c>
      <c r="F68" s="27">
        <v>16</v>
      </c>
      <c r="G68" s="27">
        <v>2</v>
      </c>
      <c r="H68" s="27">
        <v>2</v>
      </c>
      <c r="I68" s="27">
        <v>5</v>
      </c>
      <c r="J68" s="27">
        <v>2</v>
      </c>
      <c r="K68" s="27">
        <v>1</v>
      </c>
      <c r="L68" s="27">
        <v>1</v>
      </c>
      <c r="M68" s="27">
        <v>1</v>
      </c>
      <c r="N68" s="27">
        <v>0</v>
      </c>
      <c r="O68" s="27">
        <v>4</v>
      </c>
      <c r="P68" s="27">
        <v>6</v>
      </c>
      <c r="Q68" s="27">
        <v>4</v>
      </c>
      <c r="R68" s="27">
        <v>5</v>
      </c>
    </row>
    <row r="69" spans="1:18" s="20" customFormat="1" ht="14.25" customHeight="1" x14ac:dyDescent="0.2">
      <c r="A69" s="86" t="s">
        <v>18</v>
      </c>
      <c r="B69" s="28" t="s">
        <v>56</v>
      </c>
      <c r="C69" s="29" t="s">
        <v>2</v>
      </c>
      <c r="D69" s="21">
        <v>33</v>
      </c>
      <c r="E69" s="21">
        <v>17</v>
      </c>
      <c r="F69" s="21">
        <v>16</v>
      </c>
      <c r="G69" s="21">
        <v>2</v>
      </c>
      <c r="H69" s="21">
        <v>2</v>
      </c>
      <c r="I69" s="21">
        <v>5</v>
      </c>
      <c r="J69" s="21">
        <v>2</v>
      </c>
      <c r="K69" s="21">
        <v>1</v>
      </c>
      <c r="L69" s="21">
        <v>1</v>
      </c>
      <c r="M69" s="21">
        <v>1</v>
      </c>
      <c r="N69" s="21">
        <v>0</v>
      </c>
      <c r="O69" s="21">
        <v>4</v>
      </c>
      <c r="P69" s="21">
        <v>6</v>
      </c>
      <c r="Q69" s="21">
        <v>4</v>
      </c>
      <c r="R69" s="21">
        <v>5</v>
      </c>
    </row>
    <row r="70" spans="1:18" s="20" customFormat="1" ht="14.25" customHeight="1" x14ac:dyDescent="0.2">
      <c r="A70" s="87"/>
      <c r="B70" s="30" t="s">
        <v>57</v>
      </c>
      <c r="C70" s="31" t="s">
        <v>225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</row>
    <row r="71" spans="1:18" s="20" customFormat="1" ht="14.25" customHeight="1" x14ac:dyDescent="0.2">
      <c r="A71" s="24" t="s">
        <v>78</v>
      </c>
      <c r="B71" s="25" t="s">
        <v>55</v>
      </c>
      <c r="C71" s="26" t="s">
        <v>0</v>
      </c>
      <c r="D71" s="27">
        <v>15</v>
      </c>
      <c r="E71" s="27">
        <v>8</v>
      </c>
      <c r="F71" s="27">
        <v>7</v>
      </c>
      <c r="G71" s="27">
        <v>2</v>
      </c>
      <c r="H71" s="27">
        <v>0</v>
      </c>
      <c r="I71" s="27">
        <v>1</v>
      </c>
      <c r="J71" s="27">
        <v>0</v>
      </c>
      <c r="K71" s="27">
        <v>2</v>
      </c>
      <c r="L71" s="27">
        <v>5</v>
      </c>
      <c r="M71" s="27">
        <v>2</v>
      </c>
      <c r="N71" s="27">
        <v>0</v>
      </c>
      <c r="O71" s="27">
        <v>0</v>
      </c>
      <c r="P71" s="27">
        <v>1</v>
      </c>
      <c r="Q71" s="27">
        <v>1</v>
      </c>
      <c r="R71" s="27">
        <v>1</v>
      </c>
    </row>
    <row r="72" spans="1:18" s="20" customFormat="1" ht="14.25" customHeight="1" x14ac:dyDescent="0.2">
      <c r="A72" s="86" t="s">
        <v>19</v>
      </c>
      <c r="B72" s="28" t="s">
        <v>56</v>
      </c>
      <c r="C72" s="29" t="s">
        <v>2</v>
      </c>
      <c r="D72" s="21">
        <v>15</v>
      </c>
      <c r="E72" s="21">
        <v>8</v>
      </c>
      <c r="F72" s="21">
        <v>7</v>
      </c>
      <c r="G72" s="21">
        <v>2</v>
      </c>
      <c r="H72" s="21">
        <v>0</v>
      </c>
      <c r="I72" s="21">
        <v>1</v>
      </c>
      <c r="J72" s="21">
        <v>0</v>
      </c>
      <c r="K72" s="21">
        <v>2</v>
      </c>
      <c r="L72" s="21">
        <v>5</v>
      </c>
      <c r="M72" s="21">
        <v>2</v>
      </c>
      <c r="N72" s="21">
        <v>0</v>
      </c>
      <c r="O72" s="21">
        <v>0</v>
      </c>
      <c r="P72" s="21">
        <v>1</v>
      </c>
      <c r="Q72" s="21">
        <v>1</v>
      </c>
      <c r="R72" s="21">
        <v>1</v>
      </c>
    </row>
    <row r="73" spans="1:18" s="20" customFormat="1" ht="14.25" customHeight="1" x14ac:dyDescent="0.2">
      <c r="A73" s="87"/>
      <c r="B73" s="30" t="s">
        <v>57</v>
      </c>
      <c r="C73" s="31" t="s">
        <v>225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</row>
    <row r="74" spans="1:18" s="20" customFormat="1" ht="14.25" customHeight="1" x14ac:dyDescent="0.2">
      <c r="A74" s="24" t="s">
        <v>79</v>
      </c>
      <c r="B74" s="25" t="s">
        <v>55</v>
      </c>
      <c r="C74" s="26" t="s">
        <v>0</v>
      </c>
      <c r="D74" s="27">
        <v>4</v>
      </c>
      <c r="E74" s="27">
        <v>3</v>
      </c>
      <c r="F74" s="27">
        <v>1</v>
      </c>
      <c r="G74" s="27">
        <v>0</v>
      </c>
      <c r="H74" s="27">
        <v>0</v>
      </c>
      <c r="I74" s="27">
        <v>0</v>
      </c>
      <c r="J74" s="27">
        <v>1</v>
      </c>
      <c r="K74" s="27">
        <v>0</v>
      </c>
      <c r="L74" s="27">
        <v>0</v>
      </c>
      <c r="M74" s="27">
        <v>2</v>
      </c>
      <c r="N74" s="27">
        <v>0</v>
      </c>
      <c r="O74" s="27">
        <v>0</v>
      </c>
      <c r="P74" s="27">
        <v>0</v>
      </c>
      <c r="Q74" s="27">
        <v>1</v>
      </c>
      <c r="R74" s="27">
        <v>0</v>
      </c>
    </row>
    <row r="75" spans="1:18" s="20" customFormat="1" ht="14.25" customHeight="1" x14ac:dyDescent="0.2">
      <c r="A75" s="86" t="s">
        <v>20</v>
      </c>
      <c r="B75" s="28" t="s">
        <v>56</v>
      </c>
      <c r="C75" s="29" t="s">
        <v>2</v>
      </c>
      <c r="D75" s="21">
        <v>3</v>
      </c>
      <c r="E75" s="21">
        <v>2</v>
      </c>
      <c r="F75" s="21">
        <v>1</v>
      </c>
      <c r="G75" s="21">
        <v>0</v>
      </c>
      <c r="H75" s="21">
        <v>0</v>
      </c>
      <c r="I75" s="21">
        <v>0</v>
      </c>
      <c r="J75" s="21">
        <v>1</v>
      </c>
      <c r="K75" s="21">
        <v>0</v>
      </c>
      <c r="L75" s="21">
        <v>0</v>
      </c>
      <c r="M75" s="21">
        <v>1</v>
      </c>
      <c r="N75" s="21">
        <v>0</v>
      </c>
      <c r="O75" s="21">
        <v>0</v>
      </c>
      <c r="P75" s="21">
        <v>0</v>
      </c>
      <c r="Q75" s="21">
        <v>1</v>
      </c>
      <c r="R75" s="21">
        <v>0</v>
      </c>
    </row>
    <row r="76" spans="1:18" s="20" customFormat="1" ht="14.25" customHeight="1" x14ac:dyDescent="0.2">
      <c r="A76" s="87"/>
      <c r="B76" s="30" t="s">
        <v>57</v>
      </c>
      <c r="C76" s="31" t="s">
        <v>225</v>
      </c>
      <c r="D76" s="22">
        <v>1</v>
      </c>
      <c r="E76" s="22">
        <v>1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1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</row>
    <row r="77" spans="1:18" s="17" customFormat="1" ht="14.25" customHeight="1" x14ac:dyDescent="0.2">
      <c r="A77" s="17" t="s">
        <v>80</v>
      </c>
    </row>
    <row r="78" spans="1:18" s="17" customFormat="1" ht="14.25" customHeight="1" x14ac:dyDescent="0.2">
      <c r="A78" s="23" t="s">
        <v>24</v>
      </c>
    </row>
    <row r="79" spans="1:18" s="17" customFormat="1" ht="14.25" customHeight="1" x14ac:dyDescent="0.2">
      <c r="A79" s="4"/>
    </row>
    <row r="80" spans="1:18" s="17" customFormat="1" ht="14.25" customHeight="1" x14ac:dyDescent="0.2">
      <c r="A80" s="17" t="s">
        <v>149</v>
      </c>
    </row>
  </sheetData>
  <mergeCells count="47">
    <mergeCell ref="A75:A76"/>
    <mergeCell ref="A54:A55"/>
    <mergeCell ref="A57:A58"/>
    <mergeCell ref="A60:A61"/>
    <mergeCell ref="A63:A64"/>
    <mergeCell ref="A66:A67"/>
    <mergeCell ref="A69:A70"/>
    <mergeCell ref="A72:A73"/>
    <mergeCell ref="A39:A40"/>
    <mergeCell ref="A42:A43"/>
    <mergeCell ref="A45:A46"/>
    <mergeCell ref="A48:A49"/>
    <mergeCell ref="A51:A52"/>
    <mergeCell ref="A21:A22"/>
    <mergeCell ref="A24:A25"/>
    <mergeCell ref="A27:A28"/>
    <mergeCell ref="A30:A31"/>
    <mergeCell ref="A33:A34"/>
    <mergeCell ref="A36:A37"/>
    <mergeCell ref="Q6:Q7"/>
    <mergeCell ref="R6:R7"/>
    <mergeCell ref="A9:A10"/>
    <mergeCell ref="A12:A13"/>
    <mergeCell ref="A15:A16"/>
    <mergeCell ref="A18:A19"/>
    <mergeCell ref="K6:K7"/>
    <mergeCell ref="L6:L7"/>
    <mergeCell ref="M6:M7"/>
    <mergeCell ref="N6:N7"/>
    <mergeCell ref="O6:O7"/>
    <mergeCell ref="P6:P7"/>
    <mergeCell ref="E6:E7"/>
    <mergeCell ref="F6:F7"/>
    <mergeCell ref="G6:G7"/>
    <mergeCell ref="H6:H7"/>
    <mergeCell ref="I6:I7"/>
    <mergeCell ref="J6:J7"/>
    <mergeCell ref="A4:C7"/>
    <mergeCell ref="D4:R4"/>
    <mergeCell ref="D5:F5"/>
    <mergeCell ref="G5:H5"/>
    <mergeCell ref="I5:J5"/>
    <mergeCell ref="K5:L5"/>
    <mergeCell ref="M5:N5"/>
    <mergeCell ref="O5:P5"/>
    <mergeCell ref="Q5:R5"/>
    <mergeCell ref="D6:D7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 alignWithMargins="0">
    <oddHeader>&amp;L&amp;"微軟正黑體,標準"&amp;16兒童及少年保護執行概況&amp;C&amp;"微軟正黑體,標準"&amp;16
&amp;R&amp;"微軟正黑體,標準"本表共&amp;N頁，第&amp;P頁</oddHeader>
  </headerFooter>
  <rowBreaks count="1" manualBreakCount="1">
    <brk id="43" max="173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80"/>
  <sheetViews>
    <sheetView zoomScale="110" zoomScaleNormal="110" zoomScaleSheetLayoutView="100" workbookViewId="0">
      <pane xSplit="3" ySplit="7" topLeftCell="D8" activePane="bottomRight" state="frozen"/>
      <selection activeCell="A3" sqref="A3"/>
      <selection pane="topRight" activeCell="A3" sqref="A3"/>
      <selection pane="bottomLeft" activeCell="A3" sqref="A3"/>
      <selection pane="bottomRight" activeCell="A3" sqref="A3"/>
    </sheetView>
  </sheetViews>
  <sheetFormatPr defaultColWidth="5.5" defaultRowHeight="11.1" customHeight="1" x14ac:dyDescent="0.2"/>
  <cols>
    <col min="1" max="1" width="18.33203125" style="4" customWidth="1"/>
    <col min="2" max="2" width="8.33203125" style="4" customWidth="1"/>
    <col min="3" max="3" width="13.1640625" style="4" customWidth="1"/>
    <col min="4" max="18" width="8.5" style="4" customWidth="1"/>
    <col min="19" max="16384" width="5.5" style="4"/>
  </cols>
  <sheetData>
    <row r="1" spans="1:18" ht="20.25" customHeight="1" x14ac:dyDescent="0.2">
      <c r="A1" s="1" t="s">
        <v>26</v>
      </c>
      <c r="B1" s="1"/>
      <c r="C1" s="1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4.25" customHeight="1" x14ac:dyDescent="0.2">
      <c r="B2"/>
      <c r="C2"/>
      <c r="D2" s="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</row>
    <row r="3" spans="1:18" ht="12.75" customHeight="1" x14ac:dyDescent="0.2">
      <c r="A3" s="10" t="s">
        <v>170</v>
      </c>
      <c r="B3" s="11"/>
      <c r="C3" s="11"/>
    </row>
    <row r="4" spans="1:18" s="6" customFormat="1" ht="24.75" customHeight="1" x14ac:dyDescent="0.2">
      <c r="A4" s="116" t="s">
        <v>27</v>
      </c>
      <c r="B4" s="117"/>
      <c r="C4" s="118"/>
      <c r="D4" s="125" t="s">
        <v>28</v>
      </c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</row>
    <row r="5" spans="1:18" s="6" customFormat="1" ht="24.75" customHeight="1" x14ac:dyDescent="0.2">
      <c r="A5" s="119"/>
      <c r="B5" s="120"/>
      <c r="C5" s="121"/>
      <c r="D5" s="132" t="s">
        <v>29</v>
      </c>
      <c r="E5" s="133"/>
      <c r="F5" s="134"/>
      <c r="G5" s="110" t="s">
        <v>30</v>
      </c>
      <c r="H5" s="111"/>
      <c r="I5" s="110" t="s">
        <v>31</v>
      </c>
      <c r="J5" s="111"/>
      <c r="K5" s="110" t="s">
        <v>32</v>
      </c>
      <c r="L5" s="111"/>
      <c r="M5" s="110" t="s">
        <v>33</v>
      </c>
      <c r="N5" s="111"/>
      <c r="O5" s="110" t="s">
        <v>34</v>
      </c>
      <c r="P5" s="111"/>
      <c r="Q5" s="110" t="s">
        <v>35</v>
      </c>
      <c r="R5" s="127"/>
    </row>
    <row r="6" spans="1:18" s="6" customFormat="1" ht="33.75" customHeight="1" x14ac:dyDescent="0.2">
      <c r="A6" s="119"/>
      <c r="B6" s="120"/>
      <c r="C6" s="121"/>
      <c r="D6" s="128" t="s">
        <v>36</v>
      </c>
      <c r="E6" s="130" t="s">
        <v>37</v>
      </c>
      <c r="F6" s="108" t="s">
        <v>38</v>
      </c>
      <c r="G6" s="108" t="s">
        <v>37</v>
      </c>
      <c r="H6" s="108" t="s">
        <v>38</v>
      </c>
      <c r="I6" s="108" t="s">
        <v>37</v>
      </c>
      <c r="J6" s="108" t="s">
        <v>38</v>
      </c>
      <c r="K6" s="108" t="s">
        <v>37</v>
      </c>
      <c r="L6" s="108" t="s">
        <v>38</v>
      </c>
      <c r="M6" s="108" t="s">
        <v>37</v>
      </c>
      <c r="N6" s="108" t="s">
        <v>38</v>
      </c>
      <c r="O6" s="108" t="s">
        <v>37</v>
      </c>
      <c r="P6" s="108" t="s">
        <v>38</v>
      </c>
      <c r="Q6" s="108" t="s">
        <v>37</v>
      </c>
      <c r="R6" s="116" t="s">
        <v>38</v>
      </c>
    </row>
    <row r="7" spans="1:18" s="7" customFormat="1" ht="30.75" customHeight="1" x14ac:dyDescent="0.2">
      <c r="A7" s="122"/>
      <c r="B7" s="123"/>
      <c r="C7" s="124"/>
      <c r="D7" s="129"/>
      <c r="E7" s="131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22"/>
    </row>
    <row r="8" spans="1:18" s="12" customFormat="1" ht="18" customHeight="1" x14ac:dyDescent="0.2">
      <c r="A8" s="34" t="s">
        <v>81</v>
      </c>
      <c r="B8" s="35" t="s">
        <v>82</v>
      </c>
      <c r="C8" s="36" t="s">
        <v>0</v>
      </c>
      <c r="D8" s="37">
        <v>9461</v>
      </c>
      <c r="E8" s="37">
        <v>4156</v>
      </c>
      <c r="F8" s="37">
        <v>5305</v>
      </c>
      <c r="G8" s="37">
        <v>737</v>
      </c>
      <c r="H8" s="37">
        <v>560</v>
      </c>
      <c r="I8" s="37">
        <v>594</v>
      </c>
      <c r="J8" s="37">
        <v>504</v>
      </c>
      <c r="K8" s="37">
        <v>718</v>
      </c>
      <c r="L8" s="37">
        <v>617</v>
      </c>
      <c r="M8" s="37">
        <v>814</v>
      </c>
      <c r="N8" s="37">
        <v>628</v>
      </c>
      <c r="O8" s="37">
        <v>780</v>
      </c>
      <c r="P8" s="37">
        <v>1485</v>
      </c>
      <c r="Q8" s="37">
        <v>513</v>
      </c>
      <c r="R8" s="37">
        <v>1511</v>
      </c>
    </row>
    <row r="9" spans="1:18" s="12" customFormat="1" ht="14.25" customHeight="1" x14ac:dyDescent="0.2">
      <c r="A9" s="114" t="s">
        <v>1</v>
      </c>
      <c r="B9" s="38" t="s">
        <v>83</v>
      </c>
      <c r="C9" s="39" t="s">
        <v>2</v>
      </c>
      <c r="D9" s="13">
        <v>8706</v>
      </c>
      <c r="E9" s="13">
        <v>3857</v>
      </c>
      <c r="F9" s="13">
        <v>4849</v>
      </c>
      <c r="G9" s="13">
        <v>686</v>
      </c>
      <c r="H9" s="13">
        <v>522</v>
      </c>
      <c r="I9" s="13">
        <v>546</v>
      </c>
      <c r="J9" s="13">
        <v>467</v>
      </c>
      <c r="K9" s="13">
        <v>658</v>
      </c>
      <c r="L9" s="13">
        <v>558</v>
      </c>
      <c r="M9" s="13">
        <v>757</v>
      </c>
      <c r="N9" s="13">
        <v>558</v>
      </c>
      <c r="O9" s="13">
        <v>726</v>
      </c>
      <c r="P9" s="13">
        <v>1345</v>
      </c>
      <c r="Q9" s="13">
        <v>484</v>
      </c>
      <c r="R9" s="13">
        <v>1399</v>
      </c>
    </row>
    <row r="10" spans="1:18" s="12" customFormat="1" ht="14.25" customHeight="1" x14ac:dyDescent="0.2">
      <c r="A10" s="115"/>
      <c r="B10" s="38" t="s">
        <v>84</v>
      </c>
      <c r="C10" s="39" t="s">
        <v>225</v>
      </c>
      <c r="D10" s="13">
        <v>755</v>
      </c>
      <c r="E10" s="13">
        <v>299</v>
      </c>
      <c r="F10" s="13">
        <v>456</v>
      </c>
      <c r="G10" s="13">
        <v>51</v>
      </c>
      <c r="H10" s="13">
        <v>38</v>
      </c>
      <c r="I10" s="13">
        <v>48</v>
      </c>
      <c r="J10" s="13">
        <v>37</v>
      </c>
      <c r="K10" s="13">
        <v>60</v>
      </c>
      <c r="L10" s="13">
        <v>59</v>
      </c>
      <c r="M10" s="13">
        <v>57</v>
      </c>
      <c r="N10" s="13">
        <v>70</v>
      </c>
      <c r="O10" s="13">
        <v>54</v>
      </c>
      <c r="P10" s="13">
        <v>140</v>
      </c>
      <c r="Q10" s="13">
        <v>29</v>
      </c>
      <c r="R10" s="13">
        <v>112</v>
      </c>
    </row>
    <row r="11" spans="1:18" s="12" customFormat="1" ht="14.25" customHeight="1" x14ac:dyDescent="0.2">
      <c r="A11" s="49" t="s">
        <v>162</v>
      </c>
      <c r="B11" s="35" t="s">
        <v>82</v>
      </c>
      <c r="C11" s="36" t="s">
        <v>0</v>
      </c>
      <c r="D11" s="37">
        <v>1295</v>
      </c>
      <c r="E11" s="37">
        <v>522</v>
      </c>
      <c r="F11" s="37">
        <v>773</v>
      </c>
      <c r="G11" s="37">
        <v>59</v>
      </c>
      <c r="H11" s="37">
        <v>50</v>
      </c>
      <c r="I11" s="37">
        <v>67</v>
      </c>
      <c r="J11" s="37">
        <v>62</v>
      </c>
      <c r="K11" s="37">
        <v>88</v>
      </c>
      <c r="L11" s="37">
        <v>79</v>
      </c>
      <c r="M11" s="37">
        <v>127</v>
      </c>
      <c r="N11" s="37">
        <v>94</v>
      </c>
      <c r="O11" s="37">
        <v>115</v>
      </c>
      <c r="P11" s="37">
        <v>210</v>
      </c>
      <c r="Q11" s="37">
        <v>66</v>
      </c>
      <c r="R11" s="37">
        <v>278</v>
      </c>
    </row>
    <row r="12" spans="1:18" s="12" customFormat="1" ht="14.25" customHeight="1" x14ac:dyDescent="0.2">
      <c r="A12" s="112" t="s">
        <v>151</v>
      </c>
      <c r="B12" s="38" t="s">
        <v>83</v>
      </c>
      <c r="C12" s="39" t="s">
        <v>2</v>
      </c>
      <c r="D12" s="13">
        <v>1236</v>
      </c>
      <c r="E12" s="13">
        <v>502</v>
      </c>
      <c r="F12" s="13">
        <v>734</v>
      </c>
      <c r="G12" s="13">
        <v>55</v>
      </c>
      <c r="H12" s="13">
        <v>48</v>
      </c>
      <c r="I12" s="13">
        <v>64</v>
      </c>
      <c r="J12" s="13">
        <v>61</v>
      </c>
      <c r="K12" s="13">
        <v>86</v>
      </c>
      <c r="L12" s="13">
        <v>73</v>
      </c>
      <c r="M12" s="13">
        <v>122</v>
      </c>
      <c r="N12" s="13">
        <v>85</v>
      </c>
      <c r="O12" s="13">
        <v>111</v>
      </c>
      <c r="P12" s="13">
        <v>201</v>
      </c>
      <c r="Q12" s="13">
        <v>64</v>
      </c>
      <c r="R12" s="13">
        <v>266</v>
      </c>
    </row>
    <row r="13" spans="1:18" s="12" customFormat="1" ht="14.25" customHeight="1" x14ac:dyDescent="0.2">
      <c r="A13" s="113"/>
      <c r="B13" s="38" t="s">
        <v>84</v>
      </c>
      <c r="C13" s="39" t="s">
        <v>225</v>
      </c>
      <c r="D13" s="13">
        <v>59</v>
      </c>
      <c r="E13" s="13">
        <v>20</v>
      </c>
      <c r="F13" s="13">
        <v>39</v>
      </c>
      <c r="G13" s="13">
        <v>4</v>
      </c>
      <c r="H13" s="13">
        <v>2</v>
      </c>
      <c r="I13" s="13">
        <v>3</v>
      </c>
      <c r="J13" s="13">
        <v>1</v>
      </c>
      <c r="K13" s="13">
        <v>2</v>
      </c>
      <c r="L13" s="13">
        <v>6</v>
      </c>
      <c r="M13" s="13">
        <v>5</v>
      </c>
      <c r="N13" s="13">
        <v>9</v>
      </c>
      <c r="O13" s="13">
        <v>4</v>
      </c>
      <c r="P13" s="13">
        <v>9</v>
      </c>
      <c r="Q13" s="13">
        <v>2</v>
      </c>
      <c r="R13" s="13">
        <v>12</v>
      </c>
    </row>
    <row r="14" spans="1:18" s="12" customFormat="1" ht="14.25" customHeight="1" x14ac:dyDescent="0.2">
      <c r="A14" s="49" t="s">
        <v>163</v>
      </c>
      <c r="B14" s="35" t="s">
        <v>82</v>
      </c>
      <c r="C14" s="36" t="s">
        <v>0</v>
      </c>
      <c r="D14" s="37">
        <v>1872</v>
      </c>
      <c r="E14" s="37">
        <v>932</v>
      </c>
      <c r="F14" s="37">
        <v>940</v>
      </c>
      <c r="G14" s="37">
        <v>197</v>
      </c>
      <c r="H14" s="37">
        <v>148</v>
      </c>
      <c r="I14" s="37">
        <v>150</v>
      </c>
      <c r="J14" s="37">
        <v>127</v>
      </c>
      <c r="K14" s="37">
        <v>173</v>
      </c>
      <c r="L14" s="37">
        <v>131</v>
      </c>
      <c r="M14" s="37">
        <v>175</v>
      </c>
      <c r="N14" s="37">
        <v>118</v>
      </c>
      <c r="O14" s="37">
        <v>141</v>
      </c>
      <c r="P14" s="37">
        <v>247</v>
      </c>
      <c r="Q14" s="37">
        <v>96</v>
      </c>
      <c r="R14" s="37">
        <v>169</v>
      </c>
    </row>
    <row r="15" spans="1:18" s="12" customFormat="1" ht="14.25" customHeight="1" x14ac:dyDescent="0.2">
      <c r="A15" s="112" t="s">
        <v>153</v>
      </c>
      <c r="B15" s="38" t="s">
        <v>83</v>
      </c>
      <c r="C15" s="39" t="s">
        <v>2</v>
      </c>
      <c r="D15" s="13">
        <v>1847</v>
      </c>
      <c r="E15" s="13">
        <v>926</v>
      </c>
      <c r="F15" s="13">
        <v>921</v>
      </c>
      <c r="G15" s="13">
        <v>195</v>
      </c>
      <c r="H15" s="13">
        <v>147</v>
      </c>
      <c r="I15" s="13">
        <v>150</v>
      </c>
      <c r="J15" s="13">
        <v>123</v>
      </c>
      <c r="K15" s="13">
        <v>173</v>
      </c>
      <c r="L15" s="13">
        <v>128</v>
      </c>
      <c r="M15" s="13">
        <v>174</v>
      </c>
      <c r="N15" s="13">
        <v>114</v>
      </c>
      <c r="O15" s="13">
        <v>138</v>
      </c>
      <c r="P15" s="13">
        <v>243</v>
      </c>
      <c r="Q15" s="13">
        <v>96</v>
      </c>
      <c r="R15" s="13">
        <v>166</v>
      </c>
    </row>
    <row r="16" spans="1:18" s="12" customFormat="1" ht="14.25" customHeight="1" x14ac:dyDescent="0.2">
      <c r="A16" s="113"/>
      <c r="B16" s="40" t="s">
        <v>84</v>
      </c>
      <c r="C16" s="41" t="s">
        <v>225</v>
      </c>
      <c r="D16" s="13">
        <v>25</v>
      </c>
      <c r="E16" s="13">
        <v>6</v>
      </c>
      <c r="F16" s="13">
        <v>19</v>
      </c>
      <c r="G16" s="13">
        <v>2</v>
      </c>
      <c r="H16" s="13">
        <v>1</v>
      </c>
      <c r="I16" s="13">
        <v>0</v>
      </c>
      <c r="J16" s="13">
        <v>4</v>
      </c>
      <c r="K16" s="13">
        <v>0</v>
      </c>
      <c r="L16" s="13">
        <v>3</v>
      </c>
      <c r="M16" s="13">
        <v>1</v>
      </c>
      <c r="N16" s="13">
        <v>4</v>
      </c>
      <c r="O16" s="13">
        <v>3</v>
      </c>
      <c r="P16" s="13">
        <v>4</v>
      </c>
      <c r="Q16" s="13">
        <v>0</v>
      </c>
      <c r="R16" s="13">
        <v>3</v>
      </c>
    </row>
    <row r="17" spans="1:18" s="12" customFormat="1" ht="14.25" customHeight="1" x14ac:dyDescent="0.2">
      <c r="A17" s="49" t="s">
        <v>164</v>
      </c>
      <c r="B17" s="35" t="s">
        <v>85</v>
      </c>
      <c r="C17" s="36" t="s">
        <v>0</v>
      </c>
      <c r="D17" s="37">
        <v>1007</v>
      </c>
      <c r="E17" s="37">
        <v>400</v>
      </c>
      <c r="F17" s="37">
        <v>607</v>
      </c>
      <c r="G17" s="37">
        <v>70</v>
      </c>
      <c r="H17" s="37">
        <v>31</v>
      </c>
      <c r="I17" s="37">
        <v>46</v>
      </c>
      <c r="J17" s="37">
        <v>38</v>
      </c>
      <c r="K17" s="37">
        <v>73</v>
      </c>
      <c r="L17" s="37">
        <v>47</v>
      </c>
      <c r="M17" s="37">
        <v>69</v>
      </c>
      <c r="N17" s="37">
        <v>58</v>
      </c>
      <c r="O17" s="37">
        <v>91</v>
      </c>
      <c r="P17" s="37">
        <v>224</v>
      </c>
      <c r="Q17" s="37">
        <v>51</v>
      </c>
      <c r="R17" s="37">
        <v>209</v>
      </c>
    </row>
    <row r="18" spans="1:18" s="12" customFormat="1" ht="14.25" customHeight="1" x14ac:dyDescent="0.2">
      <c r="A18" s="112" t="s">
        <v>155</v>
      </c>
      <c r="B18" s="38" t="s">
        <v>86</v>
      </c>
      <c r="C18" s="39" t="s">
        <v>2</v>
      </c>
      <c r="D18" s="13">
        <v>870</v>
      </c>
      <c r="E18" s="13">
        <v>344</v>
      </c>
      <c r="F18" s="13">
        <v>526</v>
      </c>
      <c r="G18" s="13">
        <v>61</v>
      </c>
      <c r="H18" s="13">
        <v>26</v>
      </c>
      <c r="I18" s="13">
        <v>38</v>
      </c>
      <c r="J18" s="13">
        <v>31</v>
      </c>
      <c r="K18" s="13">
        <v>62</v>
      </c>
      <c r="L18" s="13">
        <v>41</v>
      </c>
      <c r="M18" s="13">
        <v>59</v>
      </c>
      <c r="N18" s="13">
        <v>46</v>
      </c>
      <c r="O18" s="13">
        <v>80</v>
      </c>
      <c r="P18" s="13">
        <v>199</v>
      </c>
      <c r="Q18" s="13">
        <v>44</v>
      </c>
      <c r="R18" s="13">
        <v>183</v>
      </c>
    </row>
    <row r="19" spans="1:18" s="12" customFormat="1" ht="14.25" customHeight="1" x14ac:dyDescent="0.2">
      <c r="A19" s="113"/>
      <c r="B19" s="40" t="s">
        <v>87</v>
      </c>
      <c r="C19" s="41" t="s">
        <v>225</v>
      </c>
      <c r="D19" s="13">
        <v>137</v>
      </c>
      <c r="E19" s="13">
        <v>56</v>
      </c>
      <c r="F19" s="13">
        <v>81</v>
      </c>
      <c r="G19" s="13">
        <v>9</v>
      </c>
      <c r="H19" s="13">
        <v>5</v>
      </c>
      <c r="I19" s="13">
        <v>8</v>
      </c>
      <c r="J19" s="13">
        <v>7</v>
      </c>
      <c r="K19" s="13">
        <v>11</v>
      </c>
      <c r="L19" s="13">
        <v>6</v>
      </c>
      <c r="M19" s="13">
        <v>10</v>
      </c>
      <c r="N19" s="13">
        <v>12</v>
      </c>
      <c r="O19" s="13">
        <v>11</v>
      </c>
      <c r="P19" s="13">
        <v>25</v>
      </c>
      <c r="Q19" s="13">
        <v>7</v>
      </c>
      <c r="R19" s="13">
        <v>26</v>
      </c>
    </row>
    <row r="20" spans="1:18" s="12" customFormat="1" ht="14.25" customHeight="1" x14ac:dyDescent="0.2">
      <c r="A20" s="49" t="s">
        <v>165</v>
      </c>
      <c r="B20" s="35" t="s">
        <v>85</v>
      </c>
      <c r="C20" s="36" t="s">
        <v>0</v>
      </c>
      <c r="D20" s="37">
        <v>899</v>
      </c>
      <c r="E20" s="37">
        <v>426</v>
      </c>
      <c r="F20" s="37">
        <v>473</v>
      </c>
      <c r="G20" s="37">
        <v>88</v>
      </c>
      <c r="H20" s="37">
        <v>64</v>
      </c>
      <c r="I20" s="37">
        <v>73</v>
      </c>
      <c r="J20" s="37">
        <v>51</v>
      </c>
      <c r="K20" s="37">
        <v>61</v>
      </c>
      <c r="L20" s="37">
        <v>62</v>
      </c>
      <c r="M20" s="37">
        <v>90</v>
      </c>
      <c r="N20" s="37">
        <v>62</v>
      </c>
      <c r="O20" s="37">
        <v>66</v>
      </c>
      <c r="P20" s="37">
        <v>99</v>
      </c>
      <c r="Q20" s="37">
        <v>48</v>
      </c>
      <c r="R20" s="37">
        <v>135</v>
      </c>
    </row>
    <row r="21" spans="1:18" s="12" customFormat="1" ht="14.25" customHeight="1" x14ac:dyDescent="0.2">
      <c r="A21" s="112" t="s">
        <v>157</v>
      </c>
      <c r="B21" s="38" t="s">
        <v>86</v>
      </c>
      <c r="C21" s="39" t="s">
        <v>2</v>
      </c>
      <c r="D21" s="13">
        <v>855</v>
      </c>
      <c r="E21" s="13">
        <v>404</v>
      </c>
      <c r="F21" s="13">
        <v>451</v>
      </c>
      <c r="G21" s="13">
        <v>84</v>
      </c>
      <c r="H21" s="13">
        <v>62</v>
      </c>
      <c r="I21" s="13">
        <v>65</v>
      </c>
      <c r="J21" s="13">
        <v>48</v>
      </c>
      <c r="K21" s="13">
        <v>56</v>
      </c>
      <c r="L21" s="13">
        <v>58</v>
      </c>
      <c r="M21" s="13">
        <v>88</v>
      </c>
      <c r="N21" s="13">
        <v>57</v>
      </c>
      <c r="O21" s="13">
        <v>64</v>
      </c>
      <c r="P21" s="13">
        <v>95</v>
      </c>
      <c r="Q21" s="13">
        <v>47</v>
      </c>
      <c r="R21" s="13">
        <v>131</v>
      </c>
    </row>
    <row r="22" spans="1:18" s="12" customFormat="1" ht="14.25" customHeight="1" x14ac:dyDescent="0.2">
      <c r="A22" s="113"/>
      <c r="B22" s="40" t="s">
        <v>87</v>
      </c>
      <c r="C22" s="41" t="s">
        <v>225</v>
      </c>
      <c r="D22" s="13">
        <v>44</v>
      </c>
      <c r="E22" s="13">
        <v>22</v>
      </c>
      <c r="F22" s="13">
        <v>22</v>
      </c>
      <c r="G22" s="13">
        <v>4</v>
      </c>
      <c r="H22" s="13">
        <v>2</v>
      </c>
      <c r="I22" s="13">
        <v>8</v>
      </c>
      <c r="J22" s="13">
        <v>3</v>
      </c>
      <c r="K22" s="13">
        <v>5</v>
      </c>
      <c r="L22" s="13">
        <v>4</v>
      </c>
      <c r="M22" s="13">
        <v>2</v>
      </c>
      <c r="N22" s="13">
        <v>5</v>
      </c>
      <c r="O22" s="13">
        <v>2</v>
      </c>
      <c r="P22" s="13">
        <v>4</v>
      </c>
      <c r="Q22" s="13">
        <v>1</v>
      </c>
      <c r="R22" s="13">
        <v>4</v>
      </c>
    </row>
    <row r="23" spans="1:18" s="12" customFormat="1" ht="14.25" customHeight="1" x14ac:dyDescent="0.2">
      <c r="A23" s="49" t="s">
        <v>166</v>
      </c>
      <c r="B23" s="35" t="s">
        <v>85</v>
      </c>
      <c r="C23" s="36" t="s">
        <v>0</v>
      </c>
      <c r="D23" s="37">
        <v>556</v>
      </c>
      <c r="E23" s="37">
        <v>234</v>
      </c>
      <c r="F23" s="37">
        <v>322</v>
      </c>
      <c r="G23" s="37">
        <v>44</v>
      </c>
      <c r="H23" s="37">
        <v>27</v>
      </c>
      <c r="I23" s="37">
        <v>36</v>
      </c>
      <c r="J23" s="37">
        <v>40</v>
      </c>
      <c r="K23" s="37">
        <v>38</v>
      </c>
      <c r="L23" s="37">
        <v>41</v>
      </c>
      <c r="M23" s="37">
        <v>46</v>
      </c>
      <c r="N23" s="37">
        <v>46</v>
      </c>
      <c r="O23" s="37">
        <v>41</v>
      </c>
      <c r="P23" s="37">
        <v>65</v>
      </c>
      <c r="Q23" s="37">
        <v>29</v>
      </c>
      <c r="R23" s="37">
        <v>103</v>
      </c>
    </row>
    <row r="24" spans="1:18" s="12" customFormat="1" ht="14.25" customHeight="1" x14ac:dyDescent="0.2">
      <c r="A24" s="112" t="s">
        <v>159</v>
      </c>
      <c r="B24" s="38" t="s">
        <v>86</v>
      </c>
      <c r="C24" s="39" t="s">
        <v>2</v>
      </c>
      <c r="D24" s="13">
        <v>543</v>
      </c>
      <c r="E24" s="13">
        <v>229</v>
      </c>
      <c r="F24" s="13">
        <v>314</v>
      </c>
      <c r="G24" s="13">
        <v>42</v>
      </c>
      <c r="H24" s="13">
        <v>27</v>
      </c>
      <c r="I24" s="13">
        <v>35</v>
      </c>
      <c r="J24" s="13">
        <v>38</v>
      </c>
      <c r="K24" s="13">
        <v>37</v>
      </c>
      <c r="L24" s="13">
        <v>41</v>
      </c>
      <c r="M24" s="13">
        <v>45</v>
      </c>
      <c r="N24" s="13">
        <v>45</v>
      </c>
      <c r="O24" s="13">
        <v>41</v>
      </c>
      <c r="P24" s="13">
        <v>62</v>
      </c>
      <c r="Q24" s="13">
        <v>29</v>
      </c>
      <c r="R24" s="13">
        <v>101</v>
      </c>
    </row>
    <row r="25" spans="1:18" s="12" customFormat="1" ht="14.25" customHeight="1" x14ac:dyDescent="0.2">
      <c r="A25" s="113"/>
      <c r="B25" s="40" t="s">
        <v>87</v>
      </c>
      <c r="C25" s="41" t="s">
        <v>225</v>
      </c>
      <c r="D25" s="13">
        <v>13</v>
      </c>
      <c r="E25" s="13">
        <v>5</v>
      </c>
      <c r="F25" s="13">
        <v>8</v>
      </c>
      <c r="G25" s="13">
        <v>2</v>
      </c>
      <c r="H25" s="13">
        <v>0</v>
      </c>
      <c r="I25" s="13">
        <v>1</v>
      </c>
      <c r="J25" s="13">
        <v>2</v>
      </c>
      <c r="K25" s="13">
        <v>1</v>
      </c>
      <c r="L25" s="13">
        <v>0</v>
      </c>
      <c r="M25" s="13">
        <v>1</v>
      </c>
      <c r="N25" s="13">
        <v>1</v>
      </c>
      <c r="O25" s="13">
        <v>0</v>
      </c>
      <c r="P25" s="13">
        <v>3</v>
      </c>
      <c r="Q25" s="13">
        <v>0</v>
      </c>
      <c r="R25" s="13">
        <v>2</v>
      </c>
    </row>
    <row r="26" spans="1:18" s="12" customFormat="1" ht="14.25" customHeight="1" x14ac:dyDescent="0.2">
      <c r="A26" s="49" t="s">
        <v>167</v>
      </c>
      <c r="B26" s="35" t="s">
        <v>85</v>
      </c>
      <c r="C26" s="36" t="s">
        <v>0</v>
      </c>
      <c r="D26" s="37">
        <v>1241</v>
      </c>
      <c r="E26" s="37">
        <v>531</v>
      </c>
      <c r="F26" s="37">
        <v>710</v>
      </c>
      <c r="G26" s="37">
        <v>84</v>
      </c>
      <c r="H26" s="37">
        <v>77</v>
      </c>
      <c r="I26" s="37">
        <v>72</v>
      </c>
      <c r="J26" s="37">
        <v>55</v>
      </c>
      <c r="K26" s="37">
        <v>86</v>
      </c>
      <c r="L26" s="37">
        <v>79</v>
      </c>
      <c r="M26" s="37">
        <v>101</v>
      </c>
      <c r="N26" s="37">
        <v>86</v>
      </c>
      <c r="O26" s="37">
        <v>110</v>
      </c>
      <c r="P26" s="37">
        <v>194</v>
      </c>
      <c r="Q26" s="37">
        <v>78</v>
      </c>
      <c r="R26" s="37">
        <v>219</v>
      </c>
    </row>
    <row r="27" spans="1:18" s="12" customFormat="1" ht="14.25" customHeight="1" x14ac:dyDescent="0.2">
      <c r="A27" s="112" t="s">
        <v>161</v>
      </c>
      <c r="B27" s="38" t="s">
        <v>86</v>
      </c>
      <c r="C27" s="39" t="s">
        <v>2</v>
      </c>
      <c r="D27" s="13">
        <v>1176</v>
      </c>
      <c r="E27" s="13">
        <v>508</v>
      </c>
      <c r="F27" s="13">
        <v>668</v>
      </c>
      <c r="G27" s="13">
        <v>79</v>
      </c>
      <c r="H27" s="13">
        <v>72</v>
      </c>
      <c r="I27" s="13">
        <v>67</v>
      </c>
      <c r="J27" s="13">
        <v>52</v>
      </c>
      <c r="K27" s="13">
        <v>82</v>
      </c>
      <c r="L27" s="13">
        <v>74</v>
      </c>
      <c r="M27" s="13">
        <v>97</v>
      </c>
      <c r="N27" s="13">
        <v>75</v>
      </c>
      <c r="O27" s="13">
        <v>108</v>
      </c>
      <c r="P27" s="13">
        <v>185</v>
      </c>
      <c r="Q27" s="13">
        <v>75</v>
      </c>
      <c r="R27" s="13">
        <v>210</v>
      </c>
    </row>
    <row r="28" spans="1:18" s="12" customFormat="1" ht="14.25" customHeight="1" x14ac:dyDescent="0.2">
      <c r="A28" s="113"/>
      <c r="B28" s="40" t="s">
        <v>87</v>
      </c>
      <c r="C28" s="41" t="s">
        <v>225</v>
      </c>
      <c r="D28" s="13">
        <v>65</v>
      </c>
      <c r="E28" s="13">
        <v>23</v>
      </c>
      <c r="F28" s="13">
        <v>42</v>
      </c>
      <c r="G28" s="13">
        <v>5</v>
      </c>
      <c r="H28" s="13">
        <v>5</v>
      </c>
      <c r="I28" s="13">
        <v>5</v>
      </c>
      <c r="J28" s="13">
        <v>3</v>
      </c>
      <c r="K28" s="13">
        <v>4</v>
      </c>
      <c r="L28" s="13">
        <v>5</v>
      </c>
      <c r="M28" s="13">
        <v>4</v>
      </c>
      <c r="N28" s="13">
        <v>11</v>
      </c>
      <c r="O28" s="13">
        <v>2</v>
      </c>
      <c r="P28" s="13">
        <v>9</v>
      </c>
      <c r="Q28" s="13">
        <v>3</v>
      </c>
      <c r="R28" s="13">
        <v>9</v>
      </c>
    </row>
    <row r="29" spans="1:18" s="12" customFormat="1" ht="14.25" customHeight="1" x14ac:dyDescent="0.2">
      <c r="A29" s="34" t="s">
        <v>88</v>
      </c>
      <c r="B29" s="35" t="s">
        <v>85</v>
      </c>
      <c r="C29" s="36" t="s">
        <v>0</v>
      </c>
      <c r="D29" s="37">
        <v>146</v>
      </c>
      <c r="E29" s="37">
        <v>52</v>
      </c>
      <c r="F29" s="37">
        <v>94</v>
      </c>
      <c r="G29" s="37">
        <v>13</v>
      </c>
      <c r="H29" s="37">
        <v>9</v>
      </c>
      <c r="I29" s="37">
        <v>5</v>
      </c>
      <c r="J29" s="37">
        <v>8</v>
      </c>
      <c r="K29" s="37">
        <v>9</v>
      </c>
      <c r="L29" s="37">
        <v>8</v>
      </c>
      <c r="M29" s="37">
        <v>12</v>
      </c>
      <c r="N29" s="37">
        <v>14</v>
      </c>
      <c r="O29" s="37">
        <v>10</v>
      </c>
      <c r="P29" s="37">
        <v>31</v>
      </c>
      <c r="Q29" s="37">
        <v>3</v>
      </c>
      <c r="R29" s="37">
        <v>24</v>
      </c>
    </row>
    <row r="30" spans="1:18" s="12" customFormat="1" ht="14.25" customHeight="1" x14ac:dyDescent="0.2">
      <c r="A30" s="112" t="s">
        <v>5</v>
      </c>
      <c r="B30" s="38" t="s">
        <v>86</v>
      </c>
      <c r="C30" s="39" t="s">
        <v>2</v>
      </c>
      <c r="D30" s="13">
        <v>123</v>
      </c>
      <c r="E30" s="13">
        <v>42</v>
      </c>
      <c r="F30" s="13">
        <v>81</v>
      </c>
      <c r="G30" s="13">
        <v>9</v>
      </c>
      <c r="H30" s="13">
        <v>6</v>
      </c>
      <c r="I30" s="13">
        <v>3</v>
      </c>
      <c r="J30" s="13">
        <v>8</v>
      </c>
      <c r="K30" s="13">
        <v>9</v>
      </c>
      <c r="L30" s="13">
        <v>6</v>
      </c>
      <c r="M30" s="13">
        <v>9</v>
      </c>
      <c r="N30" s="13">
        <v>12</v>
      </c>
      <c r="O30" s="13">
        <v>9</v>
      </c>
      <c r="P30" s="13">
        <v>26</v>
      </c>
      <c r="Q30" s="13">
        <v>3</v>
      </c>
      <c r="R30" s="13">
        <v>23</v>
      </c>
    </row>
    <row r="31" spans="1:18" s="12" customFormat="1" ht="14.25" customHeight="1" x14ac:dyDescent="0.2">
      <c r="A31" s="113"/>
      <c r="B31" s="40" t="s">
        <v>87</v>
      </c>
      <c r="C31" s="41" t="s">
        <v>225</v>
      </c>
      <c r="D31" s="13">
        <v>23</v>
      </c>
      <c r="E31" s="13">
        <v>10</v>
      </c>
      <c r="F31" s="13">
        <v>13</v>
      </c>
      <c r="G31" s="13">
        <v>4</v>
      </c>
      <c r="H31" s="13">
        <v>3</v>
      </c>
      <c r="I31" s="13">
        <v>2</v>
      </c>
      <c r="J31" s="13">
        <v>0</v>
      </c>
      <c r="K31" s="13">
        <v>0</v>
      </c>
      <c r="L31" s="13">
        <v>2</v>
      </c>
      <c r="M31" s="13">
        <v>3</v>
      </c>
      <c r="N31" s="13">
        <v>2</v>
      </c>
      <c r="O31" s="13">
        <v>1</v>
      </c>
      <c r="P31" s="13">
        <v>5</v>
      </c>
      <c r="Q31" s="13">
        <v>0</v>
      </c>
      <c r="R31" s="13">
        <v>1</v>
      </c>
    </row>
    <row r="32" spans="1:18" s="12" customFormat="1" ht="14.25" customHeight="1" x14ac:dyDescent="0.2">
      <c r="A32" s="34" t="s">
        <v>89</v>
      </c>
      <c r="B32" s="35" t="s">
        <v>85</v>
      </c>
      <c r="C32" s="36" t="s">
        <v>0</v>
      </c>
      <c r="D32" s="37">
        <v>207</v>
      </c>
      <c r="E32" s="37">
        <v>92</v>
      </c>
      <c r="F32" s="37">
        <v>115</v>
      </c>
      <c r="G32" s="37">
        <v>10</v>
      </c>
      <c r="H32" s="37">
        <v>11</v>
      </c>
      <c r="I32" s="37">
        <v>18</v>
      </c>
      <c r="J32" s="37">
        <v>13</v>
      </c>
      <c r="K32" s="37">
        <v>15</v>
      </c>
      <c r="L32" s="37">
        <v>20</v>
      </c>
      <c r="M32" s="37">
        <v>20</v>
      </c>
      <c r="N32" s="37">
        <v>15</v>
      </c>
      <c r="O32" s="37">
        <v>19</v>
      </c>
      <c r="P32" s="37">
        <v>31</v>
      </c>
      <c r="Q32" s="37">
        <v>10</v>
      </c>
      <c r="R32" s="37">
        <v>25</v>
      </c>
    </row>
    <row r="33" spans="1:18" s="12" customFormat="1" ht="14.25" customHeight="1" x14ac:dyDescent="0.2">
      <c r="A33" s="112" t="s">
        <v>6</v>
      </c>
      <c r="B33" s="38" t="s">
        <v>86</v>
      </c>
      <c r="C33" s="39" t="s">
        <v>2</v>
      </c>
      <c r="D33" s="13">
        <v>158</v>
      </c>
      <c r="E33" s="13">
        <v>70</v>
      </c>
      <c r="F33" s="13">
        <v>88</v>
      </c>
      <c r="G33" s="13">
        <v>10</v>
      </c>
      <c r="H33" s="13">
        <v>11</v>
      </c>
      <c r="I33" s="13">
        <v>14</v>
      </c>
      <c r="J33" s="13">
        <v>11</v>
      </c>
      <c r="K33" s="13">
        <v>11</v>
      </c>
      <c r="L33" s="13">
        <v>14</v>
      </c>
      <c r="M33" s="13">
        <v>15</v>
      </c>
      <c r="N33" s="13">
        <v>8</v>
      </c>
      <c r="O33" s="13">
        <v>11</v>
      </c>
      <c r="P33" s="13">
        <v>23</v>
      </c>
      <c r="Q33" s="13">
        <v>9</v>
      </c>
      <c r="R33" s="13">
        <v>21</v>
      </c>
    </row>
    <row r="34" spans="1:18" s="12" customFormat="1" ht="14.25" customHeight="1" x14ac:dyDescent="0.2">
      <c r="A34" s="113"/>
      <c r="B34" s="40" t="s">
        <v>87</v>
      </c>
      <c r="C34" s="41" t="s">
        <v>225</v>
      </c>
      <c r="D34" s="13">
        <v>49</v>
      </c>
      <c r="E34" s="13">
        <v>22</v>
      </c>
      <c r="F34" s="13">
        <v>27</v>
      </c>
      <c r="G34" s="13">
        <v>0</v>
      </c>
      <c r="H34" s="13">
        <v>0</v>
      </c>
      <c r="I34" s="13">
        <v>4</v>
      </c>
      <c r="J34" s="13">
        <v>2</v>
      </c>
      <c r="K34" s="13">
        <v>4</v>
      </c>
      <c r="L34" s="13">
        <v>6</v>
      </c>
      <c r="M34" s="13">
        <v>5</v>
      </c>
      <c r="N34" s="13">
        <v>7</v>
      </c>
      <c r="O34" s="13">
        <v>8</v>
      </c>
      <c r="P34" s="13">
        <v>8</v>
      </c>
      <c r="Q34" s="13">
        <v>1</v>
      </c>
      <c r="R34" s="13">
        <v>4</v>
      </c>
    </row>
    <row r="35" spans="1:18" s="12" customFormat="1" ht="14.25" customHeight="1" x14ac:dyDescent="0.2">
      <c r="A35" s="34" t="s">
        <v>90</v>
      </c>
      <c r="B35" s="35" t="s">
        <v>85</v>
      </c>
      <c r="C35" s="36" t="s">
        <v>0</v>
      </c>
      <c r="D35" s="37">
        <v>179</v>
      </c>
      <c r="E35" s="37">
        <v>78</v>
      </c>
      <c r="F35" s="37">
        <v>101</v>
      </c>
      <c r="G35" s="37">
        <v>16</v>
      </c>
      <c r="H35" s="37">
        <v>18</v>
      </c>
      <c r="I35" s="37">
        <v>7</v>
      </c>
      <c r="J35" s="37">
        <v>10</v>
      </c>
      <c r="K35" s="37">
        <v>15</v>
      </c>
      <c r="L35" s="37">
        <v>11</v>
      </c>
      <c r="M35" s="37">
        <v>16</v>
      </c>
      <c r="N35" s="37">
        <v>10</v>
      </c>
      <c r="O35" s="37">
        <v>19</v>
      </c>
      <c r="P35" s="37">
        <v>28</v>
      </c>
      <c r="Q35" s="37">
        <v>5</v>
      </c>
      <c r="R35" s="37">
        <v>24</v>
      </c>
    </row>
    <row r="36" spans="1:18" s="12" customFormat="1" ht="14.25" customHeight="1" x14ac:dyDescent="0.2">
      <c r="A36" s="112" t="s">
        <v>7</v>
      </c>
      <c r="B36" s="38" t="s">
        <v>86</v>
      </c>
      <c r="C36" s="39" t="s">
        <v>2</v>
      </c>
      <c r="D36" s="13">
        <v>155</v>
      </c>
      <c r="E36" s="13">
        <v>69</v>
      </c>
      <c r="F36" s="13">
        <v>86</v>
      </c>
      <c r="G36" s="13">
        <v>16</v>
      </c>
      <c r="H36" s="13">
        <v>15</v>
      </c>
      <c r="I36" s="13">
        <v>6</v>
      </c>
      <c r="J36" s="13">
        <v>8</v>
      </c>
      <c r="K36" s="13">
        <v>12</v>
      </c>
      <c r="L36" s="13">
        <v>8</v>
      </c>
      <c r="M36" s="13">
        <v>13</v>
      </c>
      <c r="N36" s="13">
        <v>10</v>
      </c>
      <c r="O36" s="13">
        <v>17</v>
      </c>
      <c r="P36" s="13">
        <v>23</v>
      </c>
      <c r="Q36" s="13">
        <v>5</v>
      </c>
      <c r="R36" s="13">
        <v>22</v>
      </c>
    </row>
    <row r="37" spans="1:18" s="12" customFormat="1" ht="14.25" customHeight="1" x14ac:dyDescent="0.2">
      <c r="A37" s="113"/>
      <c r="B37" s="40" t="s">
        <v>87</v>
      </c>
      <c r="C37" s="41" t="s">
        <v>225</v>
      </c>
      <c r="D37" s="13">
        <v>24</v>
      </c>
      <c r="E37" s="13">
        <v>9</v>
      </c>
      <c r="F37" s="13">
        <v>15</v>
      </c>
      <c r="G37" s="13">
        <v>0</v>
      </c>
      <c r="H37" s="13">
        <v>3</v>
      </c>
      <c r="I37" s="13">
        <v>1</v>
      </c>
      <c r="J37" s="13">
        <v>2</v>
      </c>
      <c r="K37" s="13">
        <v>3</v>
      </c>
      <c r="L37" s="13">
        <v>3</v>
      </c>
      <c r="M37" s="13">
        <v>3</v>
      </c>
      <c r="N37" s="13">
        <v>0</v>
      </c>
      <c r="O37" s="13">
        <v>2</v>
      </c>
      <c r="P37" s="13">
        <v>5</v>
      </c>
      <c r="Q37" s="13">
        <v>0</v>
      </c>
      <c r="R37" s="13">
        <v>2</v>
      </c>
    </row>
    <row r="38" spans="1:18" s="12" customFormat="1" ht="14.25" customHeight="1" x14ac:dyDescent="0.2">
      <c r="A38" s="34" t="s">
        <v>91</v>
      </c>
      <c r="B38" s="35" t="s">
        <v>85</v>
      </c>
      <c r="C38" s="36" t="s">
        <v>0</v>
      </c>
      <c r="D38" s="37">
        <v>304</v>
      </c>
      <c r="E38" s="37">
        <v>139</v>
      </c>
      <c r="F38" s="37">
        <v>165</v>
      </c>
      <c r="G38" s="37">
        <v>27</v>
      </c>
      <c r="H38" s="37">
        <v>15</v>
      </c>
      <c r="I38" s="37">
        <v>21</v>
      </c>
      <c r="J38" s="37">
        <v>17</v>
      </c>
      <c r="K38" s="37">
        <v>21</v>
      </c>
      <c r="L38" s="37">
        <v>17</v>
      </c>
      <c r="M38" s="37">
        <v>24</v>
      </c>
      <c r="N38" s="37">
        <v>17</v>
      </c>
      <c r="O38" s="37">
        <v>19</v>
      </c>
      <c r="P38" s="37">
        <v>50</v>
      </c>
      <c r="Q38" s="37">
        <v>27</v>
      </c>
      <c r="R38" s="37">
        <v>49</v>
      </c>
    </row>
    <row r="39" spans="1:18" s="12" customFormat="1" ht="14.25" customHeight="1" x14ac:dyDescent="0.2">
      <c r="A39" s="112" t="s">
        <v>8</v>
      </c>
      <c r="B39" s="38" t="s">
        <v>86</v>
      </c>
      <c r="C39" s="39" t="s">
        <v>2</v>
      </c>
      <c r="D39" s="13">
        <v>301</v>
      </c>
      <c r="E39" s="13">
        <v>137</v>
      </c>
      <c r="F39" s="13">
        <v>164</v>
      </c>
      <c r="G39" s="13">
        <v>27</v>
      </c>
      <c r="H39" s="13">
        <v>15</v>
      </c>
      <c r="I39" s="13">
        <v>21</v>
      </c>
      <c r="J39" s="13">
        <v>17</v>
      </c>
      <c r="K39" s="13">
        <v>21</v>
      </c>
      <c r="L39" s="13">
        <v>16</v>
      </c>
      <c r="M39" s="13">
        <v>22</v>
      </c>
      <c r="N39" s="13">
        <v>17</v>
      </c>
      <c r="O39" s="13">
        <v>19</v>
      </c>
      <c r="P39" s="13">
        <v>50</v>
      </c>
      <c r="Q39" s="13">
        <v>27</v>
      </c>
      <c r="R39" s="13">
        <v>49</v>
      </c>
    </row>
    <row r="40" spans="1:18" s="12" customFormat="1" ht="14.25" customHeight="1" x14ac:dyDescent="0.2">
      <c r="A40" s="113"/>
      <c r="B40" s="40" t="s">
        <v>87</v>
      </c>
      <c r="C40" s="41" t="s">
        <v>225</v>
      </c>
      <c r="D40" s="13">
        <v>3</v>
      </c>
      <c r="E40" s="13">
        <v>2</v>
      </c>
      <c r="F40" s="13">
        <v>1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1</v>
      </c>
      <c r="M40" s="13">
        <v>2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</row>
    <row r="41" spans="1:18" s="12" customFormat="1" ht="14.25" customHeight="1" x14ac:dyDescent="0.2">
      <c r="A41" s="34" t="s">
        <v>92</v>
      </c>
      <c r="B41" s="35" t="s">
        <v>85</v>
      </c>
      <c r="C41" s="36" t="s">
        <v>0</v>
      </c>
      <c r="D41" s="37">
        <v>115</v>
      </c>
      <c r="E41" s="37">
        <v>57</v>
      </c>
      <c r="F41" s="37">
        <v>58</v>
      </c>
      <c r="G41" s="37">
        <v>15</v>
      </c>
      <c r="H41" s="37">
        <v>9</v>
      </c>
      <c r="I41" s="37">
        <v>6</v>
      </c>
      <c r="J41" s="37">
        <v>4</v>
      </c>
      <c r="K41" s="37">
        <v>11</v>
      </c>
      <c r="L41" s="37">
        <v>4</v>
      </c>
      <c r="M41" s="37">
        <v>11</v>
      </c>
      <c r="N41" s="37">
        <v>6</v>
      </c>
      <c r="O41" s="37">
        <v>8</v>
      </c>
      <c r="P41" s="37">
        <v>13</v>
      </c>
      <c r="Q41" s="37">
        <v>6</v>
      </c>
      <c r="R41" s="37">
        <v>22</v>
      </c>
    </row>
    <row r="42" spans="1:18" s="12" customFormat="1" ht="14.25" customHeight="1" x14ac:dyDescent="0.2">
      <c r="A42" s="112" t="s">
        <v>9</v>
      </c>
      <c r="B42" s="38" t="s">
        <v>86</v>
      </c>
      <c r="C42" s="39" t="s">
        <v>2</v>
      </c>
      <c r="D42" s="13">
        <v>91</v>
      </c>
      <c r="E42" s="13">
        <v>48</v>
      </c>
      <c r="F42" s="13">
        <v>43</v>
      </c>
      <c r="G42" s="13">
        <v>13</v>
      </c>
      <c r="H42" s="13">
        <v>7</v>
      </c>
      <c r="I42" s="13">
        <v>5</v>
      </c>
      <c r="J42" s="13">
        <v>3</v>
      </c>
      <c r="K42" s="13">
        <v>8</v>
      </c>
      <c r="L42" s="13">
        <v>3</v>
      </c>
      <c r="M42" s="13">
        <v>8</v>
      </c>
      <c r="N42" s="13">
        <v>2</v>
      </c>
      <c r="O42" s="13">
        <v>8</v>
      </c>
      <c r="P42" s="13">
        <v>10</v>
      </c>
      <c r="Q42" s="13">
        <v>6</v>
      </c>
      <c r="R42" s="13">
        <v>18</v>
      </c>
    </row>
    <row r="43" spans="1:18" s="12" customFormat="1" ht="14.25" customHeight="1" x14ac:dyDescent="0.2">
      <c r="A43" s="113"/>
      <c r="B43" s="40" t="s">
        <v>87</v>
      </c>
      <c r="C43" s="41" t="s">
        <v>225</v>
      </c>
      <c r="D43" s="13">
        <v>24</v>
      </c>
      <c r="E43" s="13">
        <v>9</v>
      </c>
      <c r="F43" s="13">
        <v>15</v>
      </c>
      <c r="G43" s="13">
        <v>2</v>
      </c>
      <c r="H43" s="13">
        <v>2</v>
      </c>
      <c r="I43" s="13">
        <v>1</v>
      </c>
      <c r="J43" s="13">
        <v>1</v>
      </c>
      <c r="K43" s="13">
        <v>3</v>
      </c>
      <c r="L43" s="13">
        <v>1</v>
      </c>
      <c r="M43" s="13">
        <v>3</v>
      </c>
      <c r="N43" s="13">
        <v>4</v>
      </c>
      <c r="O43" s="13">
        <v>0</v>
      </c>
      <c r="P43" s="13">
        <v>3</v>
      </c>
      <c r="Q43" s="13">
        <v>0</v>
      </c>
      <c r="R43" s="13">
        <v>4</v>
      </c>
    </row>
    <row r="44" spans="1:18" s="12" customFormat="1" ht="14.25" customHeight="1" x14ac:dyDescent="0.2">
      <c r="A44" s="34" t="s">
        <v>93</v>
      </c>
      <c r="B44" s="35" t="s">
        <v>85</v>
      </c>
      <c r="C44" s="36" t="s">
        <v>0</v>
      </c>
      <c r="D44" s="37">
        <v>444</v>
      </c>
      <c r="E44" s="37">
        <v>199</v>
      </c>
      <c r="F44" s="37">
        <v>245</v>
      </c>
      <c r="G44" s="37">
        <v>31</v>
      </c>
      <c r="H44" s="37">
        <v>30</v>
      </c>
      <c r="I44" s="37">
        <v>28</v>
      </c>
      <c r="J44" s="37">
        <v>28</v>
      </c>
      <c r="K44" s="37">
        <v>49</v>
      </c>
      <c r="L44" s="37">
        <v>29</v>
      </c>
      <c r="M44" s="37">
        <v>35</v>
      </c>
      <c r="N44" s="37">
        <v>36</v>
      </c>
      <c r="O44" s="37">
        <v>36</v>
      </c>
      <c r="P44" s="37">
        <v>71</v>
      </c>
      <c r="Q44" s="37">
        <v>20</v>
      </c>
      <c r="R44" s="37">
        <v>51</v>
      </c>
    </row>
    <row r="45" spans="1:18" s="12" customFormat="1" ht="14.25" customHeight="1" x14ac:dyDescent="0.2">
      <c r="A45" s="112" t="s">
        <v>10</v>
      </c>
      <c r="B45" s="38" t="s">
        <v>86</v>
      </c>
      <c r="C45" s="39" t="s">
        <v>2</v>
      </c>
      <c r="D45" s="13">
        <v>443</v>
      </c>
      <c r="E45" s="13">
        <v>198</v>
      </c>
      <c r="F45" s="13">
        <v>245</v>
      </c>
      <c r="G45" s="13">
        <v>30</v>
      </c>
      <c r="H45" s="13">
        <v>30</v>
      </c>
      <c r="I45" s="13">
        <v>28</v>
      </c>
      <c r="J45" s="13">
        <v>28</v>
      </c>
      <c r="K45" s="13">
        <v>49</v>
      </c>
      <c r="L45" s="13">
        <v>29</v>
      </c>
      <c r="M45" s="13">
        <v>35</v>
      </c>
      <c r="N45" s="13">
        <v>36</v>
      </c>
      <c r="O45" s="13">
        <v>36</v>
      </c>
      <c r="P45" s="13">
        <v>71</v>
      </c>
      <c r="Q45" s="13">
        <v>20</v>
      </c>
      <c r="R45" s="13">
        <v>51</v>
      </c>
    </row>
    <row r="46" spans="1:18" s="12" customFormat="1" ht="14.25" customHeight="1" x14ac:dyDescent="0.2">
      <c r="A46" s="113"/>
      <c r="B46" s="40" t="s">
        <v>87</v>
      </c>
      <c r="C46" s="41" t="s">
        <v>225</v>
      </c>
      <c r="D46" s="13">
        <v>1</v>
      </c>
      <c r="E46" s="13">
        <v>1</v>
      </c>
      <c r="F46" s="13">
        <v>0</v>
      </c>
      <c r="G46" s="13">
        <v>1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</row>
    <row r="47" spans="1:18" s="12" customFormat="1" ht="14.25" customHeight="1" x14ac:dyDescent="0.2">
      <c r="A47" s="34" t="s">
        <v>94</v>
      </c>
      <c r="B47" s="35" t="s">
        <v>85</v>
      </c>
      <c r="C47" s="36" t="s">
        <v>0</v>
      </c>
      <c r="D47" s="37">
        <v>73</v>
      </c>
      <c r="E47" s="37">
        <v>33</v>
      </c>
      <c r="F47" s="37">
        <v>40</v>
      </c>
      <c r="G47" s="37">
        <v>6</v>
      </c>
      <c r="H47" s="37">
        <v>4</v>
      </c>
      <c r="I47" s="37">
        <v>0</v>
      </c>
      <c r="J47" s="37">
        <v>5</v>
      </c>
      <c r="K47" s="37">
        <v>6</v>
      </c>
      <c r="L47" s="37">
        <v>7</v>
      </c>
      <c r="M47" s="37">
        <v>6</v>
      </c>
      <c r="N47" s="37">
        <v>0</v>
      </c>
      <c r="O47" s="37">
        <v>11</v>
      </c>
      <c r="P47" s="37">
        <v>14</v>
      </c>
      <c r="Q47" s="37">
        <v>4</v>
      </c>
      <c r="R47" s="37">
        <v>10</v>
      </c>
    </row>
    <row r="48" spans="1:18" s="12" customFormat="1" ht="14.25" customHeight="1" x14ac:dyDescent="0.2">
      <c r="A48" s="112" t="s">
        <v>11</v>
      </c>
      <c r="B48" s="38" t="s">
        <v>86</v>
      </c>
      <c r="C48" s="39" t="s">
        <v>2</v>
      </c>
      <c r="D48" s="13">
        <v>71</v>
      </c>
      <c r="E48" s="13">
        <v>33</v>
      </c>
      <c r="F48" s="13">
        <v>38</v>
      </c>
      <c r="G48" s="13">
        <v>6</v>
      </c>
      <c r="H48" s="13">
        <v>4</v>
      </c>
      <c r="I48" s="13">
        <v>0</v>
      </c>
      <c r="J48" s="13">
        <v>5</v>
      </c>
      <c r="K48" s="13">
        <v>6</v>
      </c>
      <c r="L48" s="13">
        <v>7</v>
      </c>
      <c r="M48" s="13">
        <v>6</v>
      </c>
      <c r="N48" s="13">
        <v>0</v>
      </c>
      <c r="O48" s="13">
        <v>11</v>
      </c>
      <c r="P48" s="13">
        <v>12</v>
      </c>
      <c r="Q48" s="13">
        <v>4</v>
      </c>
      <c r="R48" s="13">
        <v>10</v>
      </c>
    </row>
    <row r="49" spans="1:18" s="12" customFormat="1" ht="14.25" customHeight="1" x14ac:dyDescent="0.2">
      <c r="A49" s="113"/>
      <c r="B49" s="40" t="s">
        <v>87</v>
      </c>
      <c r="C49" s="41" t="s">
        <v>225</v>
      </c>
      <c r="D49" s="13">
        <v>2</v>
      </c>
      <c r="E49" s="13">
        <v>0</v>
      </c>
      <c r="F49" s="13">
        <v>2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2</v>
      </c>
      <c r="Q49" s="13">
        <v>0</v>
      </c>
      <c r="R49" s="13">
        <v>0</v>
      </c>
    </row>
    <row r="50" spans="1:18" s="12" customFormat="1" ht="14.25" customHeight="1" x14ac:dyDescent="0.2">
      <c r="A50" s="34" t="s">
        <v>95</v>
      </c>
      <c r="B50" s="35" t="s">
        <v>85</v>
      </c>
      <c r="C50" s="36" t="s">
        <v>0</v>
      </c>
      <c r="D50" s="37">
        <v>345</v>
      </c>
      <c r="E50" s="37">
        <v>149</v>
      </c>
      <c r="F50" s="37">
        <v>196</v>
      </c>
      <c r="G50" s="37">
        <v>24</v>
      </c>
      <c r="H50" s="37">
        <v>24</v>
      </c>
      <c r="I50" s="37">
        <v>22</v>
      </c>
      <c r="J50" s="37">
        <v>19</v>
      </c>
      <c r="K50" s="37">
        <v>29</v>
      </c>
      <c r="L50" s="37">
        <v>19</v>
      </c>
      <c r="M50" s="37">
        <v>23</v>
      </c>
      <c r="N50" s="37">
        <v>17</v>
      </c>
      <c r="O50" s="37">
        <v>27</v>
      </c>
      <c r="P50" s="37">
        <v>50</v>
      </c>
      <c r="Q50" s="37">
        <v>24</v>
      </c>
      <c r="R50" s="37">
        <v>67</v>
      </c>
    </row>
    <row r="51" spans="1:18" s="12" customFormat="1" ht="14.25" customHeight="1" x14ac:dyDescent="0.2">
      <c r="A51" s="112" t="s">
        <v>12</v>
      </c>
      <c r="B51" s="38" t="s">
        <v>86</v>
      </c>
      <c r="C51" s="39" t="s">
        <v>2</v>
      </c>
      <c r="D51" s="13">
        <v>286</v>
      </c>
      <c r="E51" s="13">
        <v>123</v>
      </c>
      <c r="F51" s="13">
        <v>163</v>
      </c>
      <c r="G51" s="13">
        <v>19</v>
      </c>
      <c r="H51" s="13">
        <v>20</v>
      </c>
      <c r="I51" s="13">
        <v>20</v>
      </c>
      <c r="J51" s="13">
        <v>16</v>
      </c>
      <c r="K51" s="13">
        <v>23</v>
      </c>
      <c r="L51" s="13">
        <v>16</v>
      </c>
      <c r="M51" s="13">
        <v>16</v>
      </c>
      <c r="N51" s="13">
        <v>13</v>
      </c>
      <c r="O51" s="13">
        <v>25</v>
      </c>
      <c r="P51" s="13">
        <v>43</v>
      </c>
      <c r="Q51" s="13">
        <v>20</v>
      </c>
      <c r="R51" s="13">
        <v>55</v>
      </c>
    </row>
    <row r="52" spans="1:18" s="12" customFormat="1" ht="14.25" customHeight="1" x14ac:dyDescent="0.2">
      <c r="A52" s="113"/>
      <c r="B52" s="40" t="s">
        <v>87</v>
      </c>
      <c r="C52" s="41" t="s">
        <v>225</v>
      </c>
      <c r="D52" s="13">
        <v>59</v>
      </c>
      <c r="E52" s="13">
        <v>26</v>
      </c>
      <c r="F52" s="13">
        <v>33</v>
      </c>
      <c r="G52" s="13">
        <v>5</v>
      </c>
      <c r="H52" s="13">
        <v>4</v>
      </c>
      <c r="I52" s="13">
        <v>2</v>
      </c>
      <c r="J52" s="13">
        <v>3</v>
      </c>
      <c r="K52" s="13">
        <v>6</v>
      </c>
      <c r="L52" s="13">
        <v>3</v>
      </c>
      <c r="M52" s="13">
        <v>7</v>
      </c>
      <c r="N52" s="13">
        <v>4</v>
      </c>
      <c r="O52" s="13">
        <v>2</v>
      </c>
      <c r="P52" s="13">
        <v>7</v>
      </c>
      <c r="Q52" s="13">
        <v>4</v>
      </c>
      <c r="R52" s="13">
        <v>12</v>
      </c>
    </row>
    <row r="53" spans="1:18" s="12" customFormat="1" ht="14.25" customHeight="1" x14ac:dyDescent="0.2">
      <c r="A53" s="34" t="s">
        <v>96</v>
      </c>
      <c r="B53" s="35" t="s">
        <v>85</v>
      </c>
      <c r="C53" s="36" t="s">
        <v>0</v>
      </c>
      <c r="D53" s="37">
        <v>178</v>
      </c>
      <c r="E53" s="37">
        <v>61</v>
      </c>
      <c r="F53" s="37">
        <v>117</v>
      </c>
      <c r="G53" s="37">
        <v>5</v>
      </c>
      <c r="H53" s="37">
        <v>7</v>
      </c>
      <c r="I53" s="37">
        <v>7</v>
      </c>
      <c r="J53" s="37">
        <v>5</v>
      </c>
      <c r="K53" s="37">
        <v>17</v>
      </c>
      <c r="L53" s="37">
        <v>12</v>
      </c>
      <c r="M53" s="37">
        <v>8</v>
      </c>
      <c r="N53" s="37">
        <v>12</v>
      </c>
      <c r="O53" s="37">
        <v>10</v>
      </c>
      <c r="P53" s="37">
        <v>49</v>
      </c>
      <c r="Q53" s="37">
        <v>14</v>
      </c>
      <c r="R53" s="37">
        <v>32</v>
      </c>
    </row>
    <row r="54" spans="1:18" s="12" customFormat="1" ht="14.25" customHeight="1" x14ac:dyDescent="0.2">
      <c r="A54" s="112" t="s">
        <v>13</v>
      </c>
      <c r="B54" s="38" t="s">
        <v>86</v>
      </c>
      <c r="C54" s="39" t="s">
        <v>2</v>
      </c>
      <c r="D54" s="13">
        <v>80</v>
      </c>
      <c r="E54" s="13">
        <v>23</v>
      </c>
      <c r="F54" s="13">
        <v>57</v>
      </c>
      <c r="G54" s="13">
        <v>3</v>
      </c>
      <c r="H54" s="13">
        <v>2</v>
      </c>
      <c r="I54" s="13">
        <v>3</v>
      </c>
      <c r="J54" s="13">
        <v>3</v>
      </c>
      <c r="K54" s="13">
        <v>6</v>
      </c>
      <c r="L54" s="13">
        <v>7</v>
      </c>
      <c r="M54" s="13">
        <v>1</v>
      </c>
      <c r="N54" s="13">
        <v>9</v>
      </c>
      <c r="O54" s="13">
        <v>5</v>
      </c>
      <c r="P54" s="13">
        <v>23</v>
      </c>
      <c r="Q54" s="13">
        <v>5</v>
      </c>
      <c r="R54" s="13">
        <v>13</v>
      </c>
    </row>
    <row r="55" spans="1:18" s="12" customFormat="1" ht="14.25" customHeight="1" x14ac:dyDescent="0.2">
      <c r="A55" s="113"/>
      <c r="B55" s="40" t="s">
        <v>87</v>
      </c>
      <c r="C55" s="41" t="s">
        <v>225</v>
      </c>
      <c r="D55" s="13">
        <v>98</v>
      </c>
      <c r="E55" s="13">
        <v>38</v>
      </c>
      <c r="F55" s="13">
        <v>60</v>
      </c>
      <c r="G55" s="13">
        <v>2</v>
      </c>
      <c r="H55" s="13">
        <v>5</v>
      </c>
      <c r="I55" s="13">
        <v>4</v>
      </c>
      <c r="J55" s="13">
        <v>2</v>
      </c>
      <c r="K55" s="13">
        <v>11</v>
      </c>
      <c r="L55" s="13">
        <v>5</v>
      </c>
      <c r="M55" s="13">
        <v>7</v>
      </c>
      <c r="N55" s="13">
        <v>3</v>
      </c>
      <c r="O55" s="13">
        <v>5</v>
      </c>
      <c r="P55" s="13">
        <v>26</v>
      </c>
      <c r="Q55" s="13">
        <v>9</v>
      </c>
      <c r="R55" s="13">
        <v>19</v>
      </c>
    </row>
    <row r="56" spans="1:18" s="12" customFormat="1" ht="14.25" customHeight="1" x14ac:dyDescent="0.2">
      <c r="A56" s="34" t="s">
        <v>97</v>
      </c>
      <c r="B56" s="35" t="s">
        <v>85</v>
      </c>
      <c r="C56" s="36" t="s">
        <v>0</v>
      </c>
      <c r="D56" s="37">
        <v>175</v>
      </c>
      <c r="E56" s="37">
        <v>75</v>
      </c>
      <c r="F56" s="37">
        <v>100</v>
      </c>
      <c r="G56" s="37">
        <v>17</v>
      </c>
      <c r="H56" s="37">
        <v>9</v>
      </c>
      <c r="I56" s="37">
        <v>10</v>
      </c>
      <c r="J56" s="37">
        <v>6</v>
      </c>
      <c r="K56" s="37">
        <v>12</v>
      </c>
      <c r="L56" s="37">
        <v>18</v>
      </c>
      <c r="M56" s="37">
        <v>9</v>
      </c>
      <c r="N56" s="37">
        <v>8</v>
      </c>
      <c r="O56" s="37">
        <v>19</v>
      </c>
      <c r="P56" s="37">
        <v>36</v>
      </c>
      <c r="Q56" s="37">
        <v>8</v>
      </c>
      <c r="R56" s="37">
        <v>23</v>
      </c>
    </row>
    <row r="57" spans="1:18" s="12" customFormat="1" ht="14.25" customHeight="1" x14ac:dyDescent="0.2">
      <c r="A57" s="112" t="s">
        <v>14</v>
      </c>
      <c r="B57" s="38" t="s">
        <v>86</v>
      </c>
      <c r="C57" s="39" t="s">
        <v>2</v>
      </c>
      <c r="D57" s="13">
        <v>74</v>
      </c>
      <c r="E57" s="13">
        <v>36</v>
      </c>
      <c r="F57" s="13">
        <v>38</v>
      </c>
      <c r="G57" s="13">
        <v>8</v>
      </c>
      <c r="H57" s="13">
        <v>5</v>
      </c>
      <c r="I57" s="13">
        <v>3</v>
      </c>
      <c r="J57" s="13">
        <v>1</v>
      </c>
      <c r="K57" s="13">
        <v>4</v>
      </c>
      <c r="L57" s="13">
        <v>6</v>
      </c>
      <c r="M57" s="13">
        <v>6</v>
      </c>
      <c r="N57" s="13">
        <v>3</v>
      </c>
      <c r="O57" s="13">
        <v>8</v>
      </c>
      <c r="P57" s="13">
        <v>12</v>
      </c>
      <c r="Q57" s="13">
        <v>7</v>
      </c>
      <c r="R57" s="13">
        <v>11</v>
      </c>
    </row>
    <row r="58" spans="1:18" s="12" customFormat="1" ht="14.25" customHeight="1" x14ac:dyDescent="0.2">
      <c r="A58" s="113"/>
      <c r="B58" s="40" t="s">
        <v>87</v>
      </c>
      <c r="C58" s="41" t="s">
        <v>225</v>
      </c>
      <c r="D58" s="13">
        <v>101</v>
      </c>
      <c r="E58" s="13">
        <v>39</v>
      </c>
      <c r="F58" s="13">
        <v>62</v>
      </c>
      <c r="G58" s="13">
        <v>9</v>
      </c>
      <c r="H58" s="13">
        <v>4</v>
      </c>
      <c r="I58" s="13">
        <v>7</v>
      </c>
      <c r="J58" s="13">
        <v>5</v>
      </c>
      <c r="K58" s="13">
        <v>8</v>
      </c>
      <c r="L58" s="13">
        <v>12</v>
      </c>
      <c r="M58" s="13">
        <v>3</v>
      </c>
      <c r="N58" s="13">
        <v>5</v>
      </c>
      <c r="O58" s="13">
        <v>11</v>
      </c>
      <c r="P58" s="13">
        <v>24</v>
      </c>
      <c r="Q58" s="13">
        <v>1</v>
      </c>
      <c r="R58" s="13">
        <v>12</v>
      </c>
    </row>
    <row r="59" spans="1:18" s="12" customFormat="1" ht="14.25" customHeight="1" x14ac:dyDescent="0.2">
      <c r="A59" s="34" t="s">
        <v>98</v>
      </c>
      <c r="B59" s="35" t="s">
        <v>85</v>
      </c>
      <c r="C59" s="36" t="s">
        <v>0</v>
      </c>
      <c r="D59" s="37">
        <v>13</v>
      </c>
      <c r="E59" s="37">
        <v>4</v>
      </c>
      <c r="F59" s="37">
        <v>9</v>
      </c>
      <c r="G59" s="37">
        <v>0</v>
      </c>
      <c r="H59" s="37">
        <v>2</v>
      </c>
      <c r="I59" s="37">
        <v>0</v>
      </c>
      <c r="J59" s="37">
        <v>0</v>
      </c>
      <c r="K59" s="37">
        <v>0</v>
      </c>
      <c r="L59" s="37">
        <v>0</v>
      </c>
      <c r="M59" s="37">
        <v>3</v>
      </c>
      <c r="N59" s="37">
        <v>0</v>
      </c>
      <c r="O59" s="37">
        <v>0</v>
      </c>
      <c r="P59" s="37">
        <v>5</v>
      </c>
      <c r="Q59" s="37">
        <v>1</v>
      </c>
      <c r="R59" s="37">
        <v>2</v>
      </c>
    </row>
    <row r="60" spans="1:18" s="12" customFormat="1" ht="14.25" customHeight="1" x14ac:dyDescent="0.2">
      <c r="A60" s="112" t="s">
        <v>15</v>
      </c>
      <c r="B60" s="38" t="s">
        <v>86</v>
      </c>
      <c r="C60" s="39" t="s">
        <v>2</v>
      </c>
      <c r="D60" s="13">
        <v>13</v>
      </c>
      <c r="E60" s="13">
        <v>4</v>
      </c>
      <c r="F60" s="13">
        <v>9</v>
      </c>
      <c r="G60" s="13">
        <v>0</v>
      </c>
      <c r="H60" s="13">
        <v>2</v>
      </c>
      <c r="I60" s="13">
        <v>0</v>
      </c>
      <c r="J60" s="13">
        <v>0</v>
      </c>
      <c r="K60" s="13">
        <v>0</v>
      </c>
      <c r="L60" s="13">
        <v>0</v>
      </c>
      <c r="M60" s="13">
        <v>3</v>
      </c>
      <c r="N60" s="13">
        <v>0</v>
      </c>
      <c r="O60" s="13">
        <v>0</v>
      </c>
      <c r="P60" s="13">
        <v>5</v>
      </c>
      <c r="Q60" s="13">
        <v>1</v>
      </c>
      <c r="R60" s="13">
        <v>2</v>
      </c>
    </row>
    <row r="61" spans="1:18" s="12" customFormat="1" ht="14.25" customHeight="1" x14ac:dyDescent="0.2">
      <c r="A61" s="113"/>
      <c r="B61" s="40" t="s">
        <v>87</v>
      </c>
      <c r="C61" s="41" t="s">
        <v>225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</row>
    <row r="62" spans="1:18" s="12" customFormat="1" ht="14.25" customHeight="1" x14ac:dyDescent="0.2">
      <c r="A62" s="34" t="s">
        <v>99</v>
      </c>
      <c r="B62" s="35" t="s">
        <v>85</v>
      </c>
      <c r="C62" s="36" t="s">
        <v>0</v>
      </c>
      <c r="D62" s="37">
        <v>243</v>
      </c>
      <c r="E62" s="37">
        <v>101</v>
      </c>
      <c r="F62" s="37">
        <v>142</v>
      </c>
      <c r="G62" s="37">
        <v>17</v>
      </c>
      <c r="H62" s="37">
        <v>14</v>
      </c>
      <c r="I62" s="37">
        <v>13</v>
      </c>
      <c r="J62" s="37">
        <v>9</v>
      </c>
      <c r="K62" s="37">
        <v>6</v>
      </c>
      <c r="L62" s="37">
        <v>18</v>
      </c>
      <c r="M62" s="37">
        <v>24</v>
      </c>
      <c r="N62" s="37">
        <v>18</v>
      </c>
      <c r="O62" s="37">
        <v>25</v>
      </c>
      <c r="P62" s="37">
        <v>39</v>
      </c>
      <c r="Q62" s="37">
        <v>16</v>
      </c>
      <c r="R62" s="37">
        <v>44</v>
      </c>
    </row>
    <row r="63" spans="1:18" s="12" customFormat="1" ht="14.25" customHeight="1" x14ac:dyDescent="0.2">
      <c r="A63" s="112" t="s">
        <v>16</v>
      </c>
      <c r="B63" s="38" t="s">
        <v>86</v>
      </c>
      <c r="C63" s="39" t="s">
        <v>2</v>
      </c>
      <c r="D63" s="13">
        <v>220</v>
      </c>
      <c r="E63" s="13">
        <v>90</v>
      </c>
      <c r="F63" s="13">
        <v>130</v>
      </c>
      <c r="G63" s="13">
        <v>15</v>
      </c>
      <c r="H63" s="13">
        <v>12</v>
      </c>
      <c r="I63" s="13">
        <v>11</v>
      </c>
      <c r="J63" s="13">
        <v>8</v>
      </c>
      <c r="K63" s="13">
        <v>4</v>
      </c>
      <c r="L63" s="13">
        <v>17</v>
      </c>
      <c r="M63" s="13">
        <v>23</v>
      </c>
      <c r="N63" s="13">
        <v>16</v>
      </c>
      <c r="O63" s="13">
        <v>22</v>
      </c>
      <c r="P63" s="13">
        <v>34</v>
      </c>
      <c r="Q63" s="13">
        <v>15</v>
      </c>
      <c r="R63" s="13">
        <v>43</v>
      </c>
    </row>
    <row r="64" spans="1:18" s="12" customFormat="1" ht="14.25" customHeight="1" x14ac:dyDescent="0.2">
      <c r="A64" s="113"/>
      <c r="B64" s="40" t="s">
        <v>87</v>
      </c>
      <c r="C64" s="41" t="s">
        <v>225</v>
      </c>
      <c r="D64" s="13">
        <v>23</v>
      </c>
      <c r="E64" s="13">
        <v>11</v>
      </c>
      <c r="F64" s="13">
        <v>12</v>
      </c>
      <c r="G64" s="13">
        <v>2</v>
      </c>
      <c r="H64" s="13">
        <v>2</v>
      </c>
      <c r="I64" s="13">
        <v>2</v>
      </c>
      <c r="J64" s="13">
        <v>1</v>
      </c>
      <c r="K64" s="13">
        <v>2</v>
      </c>
      <c r="L64" s="13">
        <v>1</v>
      </c>
      <c r="M64" s="13">
        <v>1</v>
      </c>
      <c r="N64" s="13">
        <v>2</v>
      </c>
      <c r="O64" s="13">
        <v>3</v>
      </c>
      <c r="P64" s="13">
        <v>5</v>
      </c>
      <c r="Q64" s="13">
        <v>1</v>
      </c>
      <c r="R64" s="13">
        <v>1</v>
      </c>
    </row>
    <row r="65" spans="1:18" s="12" customFormat="1" ht="14.25" customHeight="1" x14ac:dyDescent="0.2">
      <c r="A65" s="34" t="s">
        <v>100</v>
      </c>
      <c r="B65" s="35" t="s">
        <v>85</v>
      </c>
      <c r="C65" s="36" t="s">
        <v>0</v>
      </c>
      <c r="D65" s="37">
        <v>74</v>
      </c>
      <c r="E65" s="37">
        <v>32</v>
      </c>
      <c r="F65" s="37">
        <v>42</v>
      </c>
      <c r="G65" s="37">
        <v>7</v>
      </c>
      <c r="H65" s="37">
        <v>8</v>
      </c>
      <c r="I65" s="37">
        <v>5</v>
      </c>
      <c r="J65" s="37">
        <v>3</v>
      </c>
      <c r="K65" s="37">
        <v>4</v>
      </c>
      <c r="L65" s="37">
        <v>3</v>
      </c>
      <c r="M65" s="37">
        <v>6</v>
      </c>
      <c r="N65" s="37">
        <v>5</v>
      </c>
      <c r="O65" s="37">
        <v>8</v>
      </c>
      <c r="P65" s="37">
        <v>15</v>
      </c>
      <c r="Q65" s="37">
        <v>2</v>
      </c>
      <c r="R65" s="37">
        <v>8</v>
      </c>
    </row>
    <row r="66" spans="1:18" s="12" customFormat="1" ht="14.25" customHeight="1" x14ac:dyDescent="0.2">
      <c r="A66" s="112" t="s">
        <v>17</v>
      </c>
      <c r="B66" s="38" t="s">
        <v>86</v>
      </c>
      <c r="C66" s="39" t="s">
        <v>2</v>
      </c>
      <c r="D66" s="13">
        <v>72</v>
      </c>
      <c r="E66" s="13">
        <v>32</v>
      </c>
      <c r="F66" s="13">
        <v>40</v>
      </c>
      <c r="G66" s="13">
        <v>7</v>
      </c>
      <c r="H66" s="13">
        <v>8</v>
      </c>
      <c r="I66" s="13">
        <v>5</v>
      </c>
      <c r="J66" s="13">
        <v>3</v>
      </c>
      <c r="K66" s="13">
        <v>4</v>
      </c>
      <c r="L66" s="13">
        <v>2</v>
      </c>
      <c r="M66" s="13">
        <v>6</v>
      </c>
      <c r="N66" s="13">
        <v>4</v>
      </c>
      <c r="O66" s="13">
        <v>8</v>
      </c>
      <c r="P66" s="13">
        <v>15</v>
      </c>
      <c r="Q66" s="13">
        <v>2</v>
      </c>
      <c r="R66" s="13">
        <v>8</v>
      </c>
    </row>
    <row r="67" spans="1:18" s="12" customFormat="1" ht="14.25" customHeight="1" x14ac:dyDescent="0.2">
      <c r="A67" s="113"/>
      <c r="B67" s="40" t="s">
        <v>87</v>
      </c>
      <c r="C67" s="41" t="s">
        <v>225</v>
      </c>
      <c r="D67" s="13">
        <v>2</v>
      </c>
      <c r="E67" s="13">
        <v>0</v>
      </c>
      <c r="F67" s="13">
        <v>2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1</v>
      </c>
      <c r="M67" s="13">
        <v>0</v>
      </c>
      <c r="N67" s="13">
        <v>1</v>
      </c>
      <c r="O67" s="13">
        <v>0</v>
      </c>
      <c r="P67" s="13">
        <v>0</v>
      </c>
      <c r="Q67" s="13">
        <v>0</v>
      </c>
      <c r="R67" s="13">
        <v>0</v>
      </c>
    </row>
    <row r="68" spans="1:18" s="12" customFormat="1" ht="14.25" customHeight="1" x14ac:dyDescent="0.2">
      <c r="A68" s="34" t="s">
        <v>101</v>
      </c>
      <c r="B68" s="35" t="s">
        <v>85</v>
      </c>
      <c r="C68" s="36" t="s">
        <v>0</v>
      </c>
      <c r="D68" s="37">
        <v>56</v>
      </c>
      <c r="E68" s="37">
        <v>24</v>
      </c>
      <c r="F68" s="37">
        <v>32</v>
      </c>
      <c r="G68" s="37">
        <v>5</v>
      </c>
      <c r="H68" s="37">
        <v>2</v>
      </c>
      <c r="I68" s="37">
        <v>4</v>
      </c>
      <c r="J68" s="37">
        <v>2</v>
      </c>
      <c r="K68" s="37">
        <v>2</v>
      </c>
      <c r="L68" s="37">
        <v>3</v>
      </c>
      <c r="M68" s="37">
        <v>8</v>
      </c>
      <c r="N68" s="37">
        <v>2</v>
      </c>
      <c r="O68" s="37">
        <v>2</v>
      </c>
      <c r="P68" s="37">
        <v>8</v>
      </c>
      <c r="Q68" s="37">
        <v>3</v>
      </c>
      <c r="R68" s="37">
        <v>15</v>
      </c>
    </row>
    <row r="69" spans="1:18" s="12" customFormat="1" ht="14.25" customHeight="1" x14ac:dyDescent="0.2">
      <c r="A69" s="112" t="s">
        <v>18</v>
      </c>
      <c r="B69" s="38" t="s">
        <v>86</v>
      </c>
      <c r="C69" s="39" t="s">
        <v>2</v>
      </c>
      <c r="D69" s="13">
        <v>53</v>
      </c>
      <c r="E69" s="13">
        <v>24</v>
      </c>
      <c r="F69" s="13">
        <v>29</v>
      </c>
      <c r="G69" s="13">
        <v>5</v>
      </c>
      <c r="H69" s="13">
        <v>2</v>
      </c>
      <c r="I69" s="13">
        <v>4</v>
      </c>
      <c r="J69" s="13">
        <v>1</v>
      </c>
      <c r="K69" s="13">
        <v>2</v>
      </c>
      <c r="L69" s="13">
        <v>3</v>
      </c>
      <c r="M69" s="13">
        <v>8</v>
      </c>
      <c r="N69" s="13">
        <v>2</v>
      </c>
      <c r="O69" s="13">
        <v>2</v>
      </c>
      <c r="P69" s="13">
        <v>7</v>
      </c>
      <c r="Q69" s="13">
        <v>3</v>
      </c>
      <c r="R69" s="13">
        <v>14</v>
      </c>
    </row>
    <row r="70" spans="1:18" s="12" customFormat="1" ht="14.25" customHeight="1" x14ac:dyDescent="0.2">
      <c r="A70" s="113"/>
      <c r="B70" s="40" t="s">
        <v>87</v>
      </c>
      <c r="C70" s="41" t="s">
        <v>225</v>
      </c>
      <c r="D70" s="13">
        <v>3</v>
      </c>
      <c r="E70" s="13">
        <v>0</v>
      </c>
      <c r="F70" s="13">
        <v>3</v>
      </c>
      <c r="G70" s="13">
        <v>0</v>
      </c>
      <c r="H70" s="13">
        <v>0</v>
      </c>
      <c r="I70" s="13">
        <v>0</v>
      </c>
      <c r="J70" s="13">
        <v>1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1</v>
      </c>
      <c r="Q70" s="13">
        <v>0</v>
      </c>
      <c r="R70" s="13">
        <v>1</v>
      </c>
    </row>
    <row r="71" spans="1:18" s="12" customFormat="1" ht="14.25" customHeight="1" x14ac:dyDescent="0.2">
      <c r="A71" s="34" t="s">
        <v>102</v>
      </c>
      <c r="B71" s="35" t="s">
        <v>85</v>
      </c>
      <c r="C71" s="36" t="s">
        <v>0</v>
      </c>
      <c r="D71" s="37">
        <v>36</v>
      </c>
      <c r="E71" s="37">
        <v>13</v>
      </c>
      <c r="F71" s="37">
        <v>23</v>
      </c>
      <c r="G71" s="37">
        <v>2</v>
      </c>
      <c r="H71" s="37">
        <v>1</v>
      </c>
      <c r="I71" s="37">
        <v>4</v>
      </c>
      <c r="J71" s="37">
        <v>2</v>
      </c>
      <c r="K71" s="37">
        <v>3</v>
      </c>
      <c r="L71" s="37">
        <v>8</v>
      </c>
      <c r="M71" s="37">
        <v>1</v>
      </c>
      <c r="N71" s="37">
        <v>4</v>
      </c>
      <c r="O71" s="37">
        <v>2</v>
      </c>
      <c r="P71" s="37">
        <v>6</v>
      </c>
      <c r="Q71" s="37">
        <v>1</v>
      </c>
      <c r="R71" s="37">
        <v>2</v>
      </c>
    </row>
    <row r="72" spans="1:18" s="12" customFormat="1" ht="14.25" customHeight="1" x14ac:dyDescent="0.2">
      <c r="A72" s="112" t="s">
        <v>19</v>
      </c>
      <c r="B72" s="38" t="s">
        <v>86</v>
      </c>
      <c r="C72" s="39" t="s">
        <v>2</v>
      </c>
      <c r="D72" s="13">
        <v>36</v>
      </c>
      <c r="E72" s="13">
        <v>13</v>
      </c>
      <c r="F72" s="13">
        <v>23</v>
      </c>
      <c r="G72" s="13">
        <v>2</v>
      </c>
      <c r="H72" s="13">
        <v>1</v>
      </c>
      <c r="I72" s="13">
        <v>4</v>
      </c>
      <c r="J72" s="13">
        <v>2</v>
      </c>
      <c r="K72" s="13">
        <v>3</v>
      </c>
      <c r="L72" s="13">
        <v>8</v>
      </c>
      <c r="M72" s="13">
        <v>1</v>
      </c>
      <c r="N72" s="13">
        <v>4</v>
      </c>
      <c r="O72" s="13">
        <v>2</v>
      </c>
      <c r="P72" s="13">
        <v>6</v>
      </c>
      <c r="Q72" s="13">
        <v>1</v>
      </c>
      <c r="R72" s="13">
        <v>2</v>
      </c>
    </row>
    <row r="73" spans="1:18" s="12" customFormat="1" ht="14.25" customHeight="1" x14ac:dyDescent="0.2">
      <c r="A73" s="113"/>
      <c r="B73" s="40" t="s">
        <v>87</v>
      </c>
      <c r="C73" s="41" t="s">
        <v>225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</row>
    <row r="74" spans="1:18" s="12" customFormat="1" ht="14.25" customHeight="1" x14ac:dyDescent="0.2">
      <c r="A74" s="34" t="s">
        <v>103</v>
      </c>
      <c r="B74" s="35" t="s">
        <v>85</v>
      </c>
      <c r="C74" s="36" t="s">
        <v>0</v>
      </c>
      <c r="D74" s="37">
        <v>3</v>
      </c>
      <c r="E74" s="37">
        <v>2</v>
      </c>
      <c r="F74" s="37">
        <v>1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1</v>
      </c>
      <c r="M74" s="37">
        <v>0</v>
      </c>
      <c r="N74" s="37">
        <v>0</v>
      </c>
      <c r="O74" s="37">
        <v>1</v>
      </c>
      <c r="P74" s="37">
        <v>0</v>
      </c>
      <c r="Q74" s="37">
        <v>1</v>
      </c>
      <c r="R74" s="37">
        <v>0</v>
      </c>
    </row>
    <row r="75" spans="1:18" s="12" customFormat="1" ht="14.25" customHeight="1" x14ac:dyDescent="0.2">
      <c r="A75" s="112" t="s">
        <v>20</v>
      </c>
      <c r="B75" s="38" t="s">
        <v>86</v>
      </c>
      <c r="C75" s="39" t="s">
        <v>2</v>
      </c>
      <c r="D75" s="13">
        <v>3</v>
      </c>
      <c r="E75" s="13">
        <v>2</v>
      </c>
      <c r="F75" s="13">
        <v>1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1</v>
      </c>
      <c r="M75" s="13">
        <v>0</v>
      </c>
      <c r="N75" s="13">
        <v>0</v>
      </c>
      <c r="O75" s="13">
        <v>1</v>
      </c>
      <c r="P75" s="13">
        <v>0</v>
      </c>
      <c r="Q75" s="13">
        <v>1</v>
      </c>
      <c r="R75" s="13">
        <v>0</v>
      </c>
    </row>
    <row r="76" spans="1:18" s="12" customFormat="1" ht="14.25" customHeight="1" x14ac:dyDescent="0.2">
      <c r="A76" s="113"/>
      <c r="B76" s="40" t="s">
        <v>87</v>
      </c>
      <c r="C76" s="41" t="s">
        <v>225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</row>
    <row r="77" spans="1:18" ht="14.25" customHeight="1" x14ac:dyDescent="0.2">
      <c r="A77" s="4" t="s">
        <v>39</v>
      </c>
    </row>
    <row r="78" spans="1:18" ht="14.25" customHeight="1" x14ac:dyDescent="0.2">
      <c r="A78" s="4" t="s">
        <v>40</v>
      </c>
    </row>
    <row r="79" spans="1:18" ht="14.25" customHeight="1" x14ac:dyDescent="0.2">
      <c r="A79" s="8" t="s">
        <v>24</v>
      </c>
    </row>
    <row r="80" spans="1:18" ht="14.25" customHeight="1" x14ac:dyDescent="0.2">
      <c r="A80" s="4" t="s">
        <v>41</v>
      </c>
    </row>
  </sheetData>
  <mergeCells count="47">
    <mergeCell ref="A75:A76"/>
    <mergeCell ref="A60:A61"/>
    <mergeCell ref="A63:A64"/>
    <mergeCell ref="A66:A67"/>
    <mergeCell ref="A69:A70"/>
    <mergeCell ref="H6:H7"/>
    <mergeCell ref="D5:F5"/>
    <mergeCell ref="A72:A73"/>
    <mergeCell ref="A48:A49"/>
    <mergeCell ref="A51:A52"/>
    <mergeCell ref="A54:A55"/>
    <mergeCell ref="A57:A58"/>
    <mergeCell ref="A15:A16"/>
    <mergeCell ref="A18:A19"/>
    <mergeCell ref="A21:A22"/>
    <mergeCell ref="A45:A46"/>
    <mergeCell ref="A27:A28"/>
    <mergeCell ref="A33:A34"/>
    <mergeCell ref="A36:A37"/>
    <mergeCell ref="A39:A40"/>
    <mergeCell ref="A42:A43"/>
    <mergeCell ref="A24:A25"/>
    <mergeCell ref="D6:D7"/>
    <mergeCell ref="E6:E7"/>
    <mergeCell ref="F6:F7"/>
    <mergeCell ref="G6:G7"/>
    <mergeCell ref="A30:A31"/>
    <mergeCell ref="A9:A10"/>
    <mergeCell ref="A12:A13"/>
    <mergeCell ref="A4:C7"/>
    <mergeCell ref="D4:R4"/>
    <mergeCell ref="Q5:R5"/>
    <mergeCell ref="Q6:Q7"/>
    <mergeCell ref="R6:R7"/>
    <mergeCell ref="J6:J7"/>
    <mergeCell ref="O5:P5"/>
    <mergeCell ref="G5:H5"/>
    <mergeCell ref="M6:M7"/>
    <mergeCell ref="N6:N7"/>
    <mergeCell ref="O6:O7"/>
    <mergeCell ref="P6:P7"/>
    <mergeCell ref="K6:K7"/>
    <mergeCell ref="L6:L7"/>
    <mergeCell ref="I6:I7"/>
    <mergeCell ref="I5:J5"/>
    <mergeCell ref="K5:L5"/>
    <mergeCell ref="M5:N5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 alignWithMargins="0">
    <oddHeader>&amp;L&amp;"微軟正黑體,標準"&amp;16兒童及少年保護執行概況&amp;C&amp;"微軟正黑體,標準"&amp;16
&amp;R&amp;"微軟正黑體,標準"本表共&amp;N頁，第&amp;P頁</oddHeader>
  </headerFooter>
  <rowBreaks count="1" manualBreakCount="1">
    <brk id="43" max="173" man="1"/>
  </rowBreak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80"/>
  <sheetViews>
    <sheetView zoomScale="110" zoomScaleNormal="110" zoomScaleSheetLayoutView="100" workbookViewId="0">
      <pane xSplit="3" ySplit="7" topLeftCell="D8" activePane="bottomRight" state="frozen"/>
      <selection activeCell="A3" sqref="A3"/>
      <selection pane="topRight" activeCell="A3" sqref="A3"/>
      <selection pane="bottomLeft" activeCell="A3" sqref="A3"/>
      <selection pane="bottomRight" activeCell="A3" sqref="A3"/>
    </sheetView>
  </sheetViews>
  <sheetFormatPr defaultColWidth="5.5" defaultRowHeight="11.1" customHeight="1" x14ac:dyDescent="0.2"/>
  <cols>
    <col min="1" max="1" width="18.33203125" style="4" customWidth="1"/>
    <col min="2" max="2" width="8.33203125" style="4" customWidth="1"/>
    <col min="3" max="3" width="13.1640625" style="4" customWidth="1"/>
    <col min="4" max="18" width="8.5" style="4" customWidth="1"/>
    <col min="19" max="16384" width="5.5" style="4"/>
  </cols>
  <sheetData>
    <row r="1" spans="1:18" ht="20.25" customHeight="1" x14ac:dyDescent="0.2">
      <c r="A1" s="1" t="s">
        <v>135</v>
      </c>
      <c r="B1" s="42"/>
      <c r="C1" s="42"/>
      <c r="D1" s="4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4.25" customHeight="1" x14ac:dyDescent="0.2">
      <c r="B2"/>
      <c r="C2"/>
      <c r="D2" s="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</row>
    <row r="3" spans="1:18" ht="12.75" customHeight="1" x14ac:dyDescent="0.2">
      <c r="A3" s="10" t="s">
        <v>171</v>
      </c>
      <c r="B3" s="11"/>
      <c r="C3" s="11"/>
    </row>
    <row r="4" spans="1:18" s="6" customFormat="1" ht="24.75" customHeight="1" x14ac:dyDescent="0.2">
      <c r="A4" s="116" t="s">
        <v>104</v>
      </c>
      <c r="B4" s="117"/>
      <c r="C4" s="118"/>
      <c r="D4" s="125" t="s">
        <v>105</v>
      </c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</row>
    <row r="5" spans="1:18" s="6" customFormat="1" ht="24.75" customHeight="1" x14ac:dyDescent="0.2">
      <c r="A5" s="119"/>
      <c r="B5" s="120"/>
      <c r="C5" s="121"/>
      <c r="D5" s="132" t="s">
        <v>106</v>
      </c>
      <c r="E5" s="133"/>
      <c r="F5" s="134"/>
      <c r="G5" s="110" t="s">
        <v>107</v>
      </c>
      <c r="H5" s="111"/>
      <c r="I5" s="110" t="s">
        <v>108</v>
      </c>
      <c r="J5" s="111"/>
      <c r="K5" s="110" t="s">
        <v>109</v>
      </c>
      <c r="L5" s="111"/>
      <c r="M5" s="110" t="s">
        <v>110</v>
      </c>
      <c r="N5" s="111"/>
      <c r="O5" s="110" t="s">
        <v>111</v>
      </c>
      <c r="P5" s="111"/>
      <c r="Q5" s="110" t="s">
        <v>112</v>
      </c>
      <c r="R5" s="127"/>
    </row>
    <row r="6" spans="1:18" s="6" customFormat="1" ht="33.75" customHeight="1" x14ac:dyDescent="0.2">
      <c r="A6" s="119"/>
      <c r="B6" s="120"/>
      <c r="C6" s="121"/>
      <c r="D6" s="128" t="s">
        <v>113</v>
      </c>
      <c r="E6" s="130" t="s">
        <v>114</v>
      </c>
      <c r="F6" s="108" t="s">
        <v>115</v>
      </c>
      <c r="G6" s="108" t="s">
        <v>114</v>
      </c>
      <c r="H6" s="108" t="s">
        <v>115</v>
      </c>
      <c r="I6" s="108" t="s">
        <v>114</v>
      </c>
      <c r="J6" s="108" t="s">
        <v>115</v>
      </c>
      <c r="K6" s="108" t="s">
        <v>114</v>
      </c>
      <c r="L6" s="108" t="s">
        <v>115</v>
      </c>
      <c r="M6" s="108" t="s">
        <v>114</v>
      </c>
      <c r="N6" s="108" t="s">
        <v>115</v>
      </c>
      <c r="O6" s="108" t="s">
        <v>114</v>
      </c>
      <c r="P6" s="108" t="s">
        <v>115</v>
      </c>
      <c r="Q6" s="108" t="s">
        <v>114</v>
      </c>
      <c r="R6" s="116" t="s">
        <v>115</v>
      </c>
    </row>
    <row r="7" spans="1:18" s="7" customFormat="1" ht="30.75" customHeight="1" x14ac:dyDescent="0.2">
      <c r="A7" s="122"/>
      <c r="B7" s="123"/>
      <c r="C7" s="124"/>
      <c r="D7" s="129"/>
      <c r="E7" s="131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22"/>
    </row>
    <row r="8" spans="1:18" s="12" customFormat="1" ht="18" customHeight="1" x14ac:dyDescent="0.2">
      <c r="A8" s="34" t="s">
        <v>81</v>
      </c>
      <c r="B8" s="35" t="s">
        <v>82</v>
      </c>
      <c r="C8" s="36" t="s">
        <v>0</v>
      </c>
      <c r="D8" s="37">
        <v>9604</v>
      </c>
      <c r="E8" s="37">
        <v>4649</v>
      </c>
      <c r="F8" s="37">
        <v>4955</v>
      </c>
      <c r="G8" s="37">
        <v>733</v>
      </c>
      <c r="H8" s="37">
        <v>608</v>
      </c>
      <c r="I8" s="37">
        <v>677</v>
      </c>
      <c r="J8" s="37">
        <v>574</v>
      </c>
      <c r="K8" s="37">
        <v>827</v>
      </c>
      <c r="L8" s="37">
        <v>673</v>
      </c>
      <c r="M8" s="37">
        <v>913</v>
      </c>
      <c r="N8" s="37">
        <v>752</v>
      </c>
      <c r="O8" s="37">
        <v>955</v>
      </c>
      <c r="P8" s="37">
        <v>1257</v>
      </c>
      <c r="Q8" s="37">
        <v>544</v>
      </c>
      <c r="R8" s="37">
        <v>1091</v>
      </c>
    </row>
    <row r="9" spans="1:18" s="12" customFormat="1" ht="14.25" customHeight="1" x14ac:dyDescent="0.2">
      <c r="A9" s="114" t="s">
        <v>1</v>
      </c>
      <c r="B9" s="38" t="s">
        <v>83</v>
      </c>
      <c r="C9" s="39" t="s">
        <v>2</v>
      </c>
      <c r="D9" s="13">
        <v>8907</v>
      </c>
      <c r="E9" s="13">
        <v>4335</v>
      </c>
      <c r="F9" s="13">
        <v>4572</v>
      </c>
      <c r="G9" s="13">
        <v>689</v>
      </c>
      <c r="H9" s="13">
        <v>574</v>
      </c>
      <c r="I9" s="13">
        <v>613</v>
      </c>
      <c r="J9" s="13">
        <v>533</v>
      </c>
      <c r="K9" s="13">
        <v>758</v>
      </c>
      <c r="L9" s="13">
        <v>611</v>
      </c>
      <c r="M9" s="13">
        <v>845</v>
      </c>
      <c r="N9" s="13">
        <v>677</v>
      </c>
      <c r="O9" s="13">
        <v>903</v>
      </c>
      <c r="P9" s="13">
        <v>1144</v>
      </c>
      <c r="Q9" s="13">
        <v>527</v>
      </c>
      <c r="R9" s="13">
        <v>1033</v>
      </c>
    </row>
    <row r="10" spans="1:18" s="12" customFormat="1" ht="14.25" customHeight="1" x14ac:dyDescent="0.2">
      <c r="A10" s="115"/>
      <c r="B10" s="38" t="s">
        <v>84</v>
      </c>
      <c r="C10" s="39" t="s">
        <v>225</v>
      </c>
      <c r="D10" s="13">
        <v>697</v>
      </c>
      <c r="E10" s="13">
        <v>314</v>
      </c>
      <c r="F10" s="13">
        <v>383</v>
      </c>
      <c r="G10" s="13">
        <v>44</v>
      </c>
      <c r="H10" s="13">
        <v>34</v>
      </c>
      <c r="I10" s="13">
        <v>64</v>
      </c>
      <c r="J10" s="13">
        <v>41</v>
      </c>
      <c r="K10" s="13">
        <v>69</v>
      </c>
      <c r="L10" s="13">
        <v>62</v>
      </c>
      <c r="M10" s="13">
        <v>68</v>
      </c>
      <c r="N10" s="13">
        <v>75</v>
      </c>
      <c r="O10" s="13">
        <v>52</v>
      </c>
      <c r="P10" s="13">
        <v>113</v>
      </c>
      <c r="Q10" s="13">
        <v>17</v>
      </c>
      <c r="R10" s="13">
        <v>58</v>
      </c>
    </row>
    <row r="11" spans="1:18" s="12" customFormat="1" ht="14.25" customHeight="1" x14ac:dyDescent="0.2">
      <c r="A11" s="49" t="s">
        <v>162</v>
      </c>
      <c r="B11" s="35" t="s">
        <v>82</v>
      </c>
      <c r="C11" s="36" t="s">
        <v>0</v>
      </c>
      <c r="D11" s="37">
        <v>1509</v>
      </c>
      <c r="E11" s="37">
        <v>708</v>
      </c>
      <c r="F11" s="37">
        <v>801</v>
      </c>
      <c r="G11" s="37">
        <v>90</v>
      </c>
      <c r="H11" s="37">
        <v>51</v>
      </c>
      <c r="I11" s="37">
        <v>99</v>
      </c>
      <c r="J11" s="37">
        <v>83</v>
      </c>
      <c r="K11" s="37">
        <v>115</v>
      </c>
      <c r="L11" s="37">
        <v>114</v>
      </c>
      <c r="M11" s="37">
        <v>125</v>
      </c>
      <c r="N11" s="37">
        <v>132</v>
      </c>
      <c r="O11" s="37">
        <v>159</v>
      </c>
      <c r="P11" s="37">
        <v>188</v>
      </c>
      <c r="Q11" s="37">
        <v>120</v>
      </c>
      <c r="R11" s="37">
        <v>233</v>
      </c>
    </row>
    <row r="12" spans="1:18" s="12" customFormat="1" ht="14.25" customHeight="1" x14ac:dyDescent="0.2">
      <c r="A12" s="112" t="s">
        <v>151</v>
      </c>
      <c r="B12" s="38" t="s">
        <v>83</v>
      </c>
      <c r="C12" s="39" t="s">
        <v>2</v>
      </c>
      <c r="D12" s="13">
        <v>1455</v>
      </c>
      <c r="E12" s="13">
        <v>678</v>
      </c>
      <c r="F12" s="13">
        <v>777</v>
      </c>
      <c r="G12" s="13">
        <v>83</v>
      </c>
      <c r="H12" s="13">
        <v>51</v>
      </c>
      <c r="I12" s="13">
        <v>89</v>
      </c>
      <c r="J12" s="13">
        <v>82</v>
      </c>
      <c r="K12" s="13">
        <v>111</v>
      </c>
      <c r="L12" s="13">
        <v>105</v>
      </c>
      <c r="M12" s="13">
        <v>120</v>
      </c>
      <c r="N12" s="13">
        <v>124</v>
      </c>
      <c r="O12" s="13">
        <v>155</v>
      </c>
      <c r="P12" s="13">
        <v>183</v>
      </c>
      <c r="Q12" s="13">
        <v>120</v>
      </c>
      <c r="R12" s="13">
        <v>232</v>
      </c>
    </row>
    <row r="13" spans="1:18" s="12" customFormat="1" ht="14.25" customHeight="1" x14ac:dyDescent="0.2">
      <c r="A13" s="113"/>
      <c r="B13" s="38" t="s">
        <v>84</v>
      </c>
      <c r="C13" s="39" t="s">
        <v>225</v>
      </c>
      <c r="D13" s="13">
        <v>54</v>
      </c>
      <c r="E13" s="13">
        <v>30</v>
      </c>
      <c r="F13" s="13">
        <v>24</v>
      </c>
      <c r="G13" s="13">
        <v>7</v>
      </c>
      <c r="H13" s="13">
        <v>0</v>
      </c>
      <c r="I13" s="13">
        <v>10</v>
      </c>
      <c r="J13" s="13">
        <v>1</v>
      </c>
      <c r="K13" s="13">
        <v>4</v>
      </c>
      <c r="L13" s="13">
        <v>9</v>
      </c>
      <c r="M13" s="13">
        <v>5</v>
      </c>
      <c r="N13" s="13">
        <v>8</v>
      </c>
      <c r="O13" s="13">
        <v>4</v>
      </c>
      <c r="P13" s="13">
        <v>5</v>
      </c>
      <c r="Q13" s="13">
        <v>0</v>
      </c>
      <c r="R13" s="13">
        <v>1</v>
      </c>
    </row>
    <row r="14" spans="1:18" s="12" customFormat="1" ht="14.25" customHeight="1" x14ac:dyDescent="0.2">
      <c r="A14" s="49" t="s">
        <v>163</v>
      </c>
      <c r="B14" s="35" t="s">
        <v>82</v>
      </c>
      <c r="C14" s="36" t="s">
        <v>0</v>
      </c>
      <c r="D14" s="37">
        <v>2258</v>
      </c>
      <c r="E14" s="37">
        <v>1194</v>
      </c>
      <c r="F14" s="37">
        <v>1064</v>
      </c>
      <c r="G14" s="37">
        <v>199</v>
      </c>
      <c r="H14" s="37">
        <v>148</v>
      </c>
      <c r="I14" s="37">
        <v>194</v>
      </c>
      <c r="J14" s="37">
        <v>117</v>
      </c>
      <c r="K14" s="37">
        <v>213</v>
      </c>
      <c r="L14" s="37">
        <v>155</v>
      </c>
      <c r="M14" s="37">
        <v>230</v>
      </c>
      <c r="N14" s="37">
        <v>156</v>
      </c>
      <c r="O14" s="37">
        <v>227</v>
      </c>
      <c r="P14" s="37">
        <v>287</v>
      </c>
      <c r="Q14" s="37">
        <v>131</v>
      </c>
      <c r="R14" s="37">
        <v>201</v>
      </c>
    </row>
    <row r="15" spans="1:18" s="12" customFormat="1" ht="14.25" customHeight="1" x14ac:dyDescent="0.2">
      <c r="A15" s="112" t="s">
        <v>153</v>
      </c>
      <c r="B15" s="38" t="s">
        <v>83</v>
      </c>
      <c r="C15" s="39" t="s">
        <v>2</v>
      </c>
      <c r="D15" s="13">
        <v>2250</v>
      </c>
      <c r="E15" s="13">
        <v>1192</v>
      </c>
      <c r="F15" s="13">
        <v>1058</v>
      </c>
      <c r="G15" s="13">
        <v>199</v>
      </c>
      <c r="H15" s="13">
        <v>148</v>
      </c>
      <c r="I15" s="13">
        <v>194</v>
      </c>
      <c r="J15" s="13">
        <v>117</v>
      </c>
      <c r="K15" s="13">
        <v>213</v>
      </c>
      <c r="L15" s="13">
        <v>155</v>
      </c>
      <c r="M15" s="13">
        <v>228</v>
      </c>
      <c r="N15" s="13">
        <v>156</v>
      </c>
      <c r="O15" s="13">
        <v>227</v>
      </c>
      <c r="P15" s="13">
        <v>284</v>
      </c>
      <c r="Q15" s="13">
        <v>131</v>
      </c>
      <c r="R15" s="13">
        <v>198</v>
      </c>
    </row>
    <row r="16" spans="1:18" s="12" customFormat="1" ht="14.25" customHeight="1" x14ac:dyDescent="0.2">
      <c r="A16" s="113"/>
      <c r="B16" s="40" t="s">
        <v>84</v>
      </c>
      <c r="C16" s="41" t="s">
        <v>225</v>
      </c>
      <c r="D16" s="13">
        <v>8</v>
      </c>
      <c r="E16" s="13">
        <v>2</v>
      </c>
      <c r="F16" s="13">
        <v>6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2</v>
      </c>
      <c r="N16" s="13">
        <v>0</v>
      </c>
      <c r="O16" s="13">
        <v>0</v>
      </c>
      <c r="P16" s="13">
        <v>3</v>
      </c>
      <c r="Q16" s="13">
        <v>0</v>
      </c>
      <c r="R16" s="13">
        <v>3</v>
      </c>
    </row>
    <row r="17" spans="1:18" s="12" customFormat="1" ht="14.25" customHeight="1" x14ac:dyDescent="0.2">
      <c r="A17" s="49" t="s">
        <v>164</v>
      </c>
      <c r="B17" s="35" t="s">
        <v>82</v>
      </c>
      <c r="C17" s="36" t="s">
        <v>0</v>
      </c>
      <c r="D17" s="37">
        <v>1043</v>
      </c>
      <c r="E17" s="37">
        <v>407</v>
      </c>
      <c r="F17" s="37">
        <v>636</v>
      </c>
      <c r="G17" s="37">
        <v>70</v>
      </c>
      <c r="H17" s="37">
        <v>49</v>
      </c>
      <c r="I17" s="37">
        <v>59</v>
      </c>
      <c r="J17" s="37">
        <v>55</v>
      </c>
      <c r="K17" s="37">
        <v>89</v>
      </c>
      <c r="L17" s="37">
        <v>57</v>
      </c>
      <c r="M17" s="37">
        <v>72</v>
      </c>
      <c r="N17" s="37">
        <v>61</v>
      </c>
      <c r="O17" s="37">
        <v>79</v>
      </c>
      <c r="P17" s="37">
        <v>212</v>
      </c>
      <c r="Q17" s="37">
        <v>38</v>
      </c>
      <c r="R17" s="37">
        <v>202</v>
      </c>
    </row>
    <row r="18" spans="1:18" s="12" customFormat="1" ht="14.25" customHeight="1" x14ac:dyDescent="0.2">
      <c r="A18" s="112" t="s">
        <v>155</v>
      </c>
      <c r="B18" s="38" t="s">
        <v>83</v>
      </c>
      <c r="C18" s="39" t="s">
        <v>2</v>
      </c>
      <c r="D18" s="13">
        <v>912</v>
      </c>
      <c r="E18" s="13">
        <v>353</v>
      </c>
      <c r="F18" s="13">
        <v>559</v>
      </c>
      <c r="G18" s="13">
        <v>61</v>
      </c>
      <c r="H18" s="13">
        <v>42</v>
      </c>
      <c r="I18" s="13">
        <v>48</v>
      </c>
      <c r="J18" s="13">
        <v>49</v>
      </c>
      <c r="K18" s="13">
        <v>81</v>
      </c>
      <c r="L18" s="13">
        <v>44</v>
      </c>
      <c r="M18" s="13">
        <v>57</v>
      </c>
      <c r="N18" s="13">
        <v>49</v>
      </c>
      <c r="O18" s="13">
        <v>70</v>
      </c>
      <c r="P18" s="13">
        <v>186</v>
      </c>
      <c r="Q18" s="13">
        <v>36</v>
      </c>
      <c r="R18" s="13">
        <v>189</v>
      </c>
    </row>
    <row r="19" spans="1:18" s="12" customFormat="1" ht="14.25" customHeight="1" x14ac:dyDescent="0.2">
      <c r="A19" s="113"/>
      <c r="B19" s="40" t="s">
        <v>84</v>
      </c>
      <c r="C19" s="41" t="s">
        <v>225</v>
      </c>
      <c r="D19" s="13">
        <v>131</v>
      </c>
      <c r="E19" s="13">
        <v>54</v>
      </c>
      <c r="F19" s="13">
        <v>77</v>
      </c>
      <c r="G19" s="13">
        <v>9</v>
      </c>
      <c r="H19" s="13">
        <v>7</v>
      </c>
      <c r="I19" s="13">
        <v>11</v>
      </c>
      <c r="J19" s="13">
        <v>6</v>
      </c>
      <c r="K19" s="13">
        <v>8</v>
      </c>
      <c r="L19" s="13">
        <v>13</v>
      </c>
      <c r="M19" s="13">
        <v>15</v>
      </c>
      <c r="N19" s="13">
        <v>12</v>
      </c>
      <c r="O19" s="13">
        <v>9</v>
      </c>
      <c r="P19" s="13">
        <v>26</v>
      </c>
      <c r="Q19" s="13">
        <v>2</v>
      </c>
      <c r="R19" s="13">
        <v>13</v>
      </c>
    </row>
    <row r="20" spans="1:18" s="12" customFormat="1" ht="14.25" customHeight="1" x14ac:dyDescent="0.2">
      <c r="A20" s="49" t="s">
        <v>165</v>
      </c>
      <c r="B20" s="35" t="s">
        <v>82</v>
      </c>
      <c r="C20" s="36" t="s">
        <v>0</v>
      </c>
      <c r="D20" s="37">
        <v>636</v>
      </c>
      <c r="E20" s="37">
        <v>335</v>
      </c>
      <c r="F20" s="37">
        <v>301</v>
      </c>
      <c r="G20" s="37">
        <v>59</v>
      </c>
      <c r="H20" s="37">
        <v>50</v>
      </c>
      <c r="I20" s="37">
        <v>36</v>
      </c>
      <c r="J20" s="37">
        <v>51</v>
      </c>
      <c r="K20" s="37">
        <v>48</v>
      </c>
      <c r="L20" s="37">
        <v>54</v>
      </c>
      <c r="M20" s="37">
        <v>81</v>
      </c>
      <c r="N20" s="37">
        <v>46</v>
      </c>
      <c r="O20" s="37">
        <v>86</v>
      </c>
      <c r="P20" s="37">
        <v>52</v>
      </c>
      <c r="Q20" s="37">
        <v>25</v>
      </c>
      <c r="R20" s="37">
        <v>48</v>
      </c>
    </row>
    <row r="21" spans="1:18" s="12" customFormat="1" ht="14.25" customHeight="1" x14ac:dyDescent="0.2">
      <c r="A21" s="112" t="s">
        <v>157</v>
      </c>
      <c r="B21" s="38" t="s">
        <v>83</v>
      </c>
      <c r="C21" s="39" t="s">
        <v>2</v>
      </c>
      <c r="D21" s="13">
        <v>598</v>
      </c>
      <c r="E21" s="13">
        <v>316</v>
      </c>
      <c r="F21" s="13">
        <v>282</v>
      </c>
      <c r="G21" s="13">
        <v>56</v>
      </c>
      <c r="H21" s="13">
        <v>48</v>
      </c>
      <c r="I21" s="13">
        <v>32</v>
      </c>
      <c r="J21" s="13">
        <v>46</v>
      </c>
      <c r="K21" s="13">
        <v>45</v>
      </c>
      <c r="L21" s="13">
        <v>52</v>
      </c>
      <c r="M21" s="13">
        <v>75</v>
      </c>
      <c r="N21" s="13">
        <v>39</v>
      </c>
      <c r="O21" s="13">
        <v>83</v>
      </c>
      <c r="P21" s="13">
        <v>50</v>
      </c>
      <c r="Q21" s="13">
        <v>25</v>
      </c>
      <c r="R21" s="13">
        <v>47</v>
      </c>
    </row>
    <row r="22" spans="1:18" s="12" customFormat="1" ht="14.25" customHeight="1" x14ac:dyDescent="0.2">
      <c r="A22" s="113"/>
      <c r="B22" s="40" t="s">
        <v>84</v>
      </c>
      <c r="C22" s="41" t="s">
        <v>225</v>
      </c>
      <c r="D22" s="13">
        <v>38</v>
      </c>
      <c r="E22" s="13">
        <v>19</v>
      </c>
      <c r="F22" s="13">
        <v>19</v>
      </c>
      <c r="G22" s="13">
        <v>3</v>
      </c>
      <c r="H22" s="13">
        <v>2</v>
      </c>
      <c r="I22" s="13">
        <v>4</v>
      </c>
      <c r="J22" s="13">
        <v>5</v>
      </c>
      <c r="K22" s="13">
        <v>3</v>
      </c>
      <c r="L22" s="13">
        <v>2</v>
      </c>
      <c r="M22" s="13">
        <v>6</v>
      </c>
      <c r="N22" s="13">
        <v>7</v>
      </c>
      <c r="O22" s="13">
        <v>3</v>
      </c>
      <c r="P22" s="13">
        <v>2</v>
      </c>
      <c r="Q22" s="13">
        <v>0</v>
      </c>
      <c r="R22" s="13">
        <v>1</v>
      </c>
    </row>
    <row r="23" spans="1:18" s="12" customFormat="1" ht="14.25" customHeight="1" x14ac:dyDescent="0.2">
      <c r="A23" s="49" t="s">
        <v>166</v>
      </c>
      <c r="B23" s="35" t="s">
        <v>82</v>
      </c>
      <c r="C23" s="36" t="s">
        <v>0</v>
      </c>
      <c r="D23" s="37">
        <v>375</v>
      </c>
      <c r="E23" s="37">
        <v>177</v>
      </c>
      <c r="F23" s="37">
        <v>198</v>
      </c>
      <c r="G23" s="37">
        <v>30</v>
      </c>
      <c r="H23" s="37">
        <v>26</v>
      </c>
      <c r="I23" s="37">
        <v>24</v>
      </c>
      <c r="J23" s="37">
        <v>29</v>
      </c>
      <c r="K23" s="37">
        <v>34</v>
      </c>
      <c r="L23" s="37">
        <v>21</v>
      </c>
      <c r="M23" s="37">
        <v>35</v>
      </c>
      <c r="N23" s="37">
        <v>40</v>
      </c>
      <c r="O23" s="37">
        <v>33</v>
      </c>
      <c r="P23" s="37">
        <v>43</v>
      </c>
      <c r="Q23" s="37">
        <v>21</v>
      </c>
      <c r="R23" s="37">
        <v>39</v>
      </c>
    </row>
    <row r="24" spans="1:18" s="12" customFormat="1" ht="14.25" customHeight="1" x14ac:dyDescent="0.2">
      <c r="A24" s="112" t="s">
        <v>159</v>
      </c>
      <c r="B24" s="38" t="s">
        <v>83</v>
      </c>
      <c r="C24" s="39" t="s">
        <v>2</v>
      </c>
      <c r="D24" s="13">
        <v>363</v>
      </c>
      <c r="E24" s="13">
        <v>170</v>
      </c>
      <c r="F24" s="13">
        <v>193</v>
      </c>
      <c r="G24" s="13">
        <v>26</v>
      </c>
      <c r="H24" s="13">
        <v>26</v>
      </c>
      <c r="I24" s="13">
        <v>24</v>
      </c>
      <c r="J24" s="13">
        <v>28</v>
      </c>
      <c r="K24" s="13">
        <v>33</v>
      </c>
      <c r="L24" s="13">
        <v>19</v>
      </c>
      <c r="M24" s="13">
        <v>34</v>
      </c>
      <c r="N24" s="13">
        <v>40</v>
      </c>
      <c r="O24" s="13">
        <v>33</v>
      </c>
      <c r="P24" s="13">
        <v>41</v>
      </c>
      <c r="Q24" s="13">
        <v>20</v>
      </c>
      <c r="R24" s="13">
        <v>39</v>
      </c>
    </row>
    <row r="25" spans="1:18" s="12" customFormat="1" ht="14.25" customHeight="1" x14ac:dyDescent="0.2">
      <c r="A25" s="113"/>
      <c r="B25" s="40" t="s">
        <v>84</v>
      </c>
      <c r="C25" s="41" t="s">
        <v>225</v>
      </c>
      <c r="D25" s="13">
        <v>12</v>
      </c>
      <c r="E25" s="13">
        <v>7</v>
      </c>
      <c r="F25" s="13">
        <v>5</v>
      </c>
      <c r="G25" s="13">
        <v>4</v>
      </c>
      <c r="H25" s="13">
        <v>0</v>
      </c>
      <c r="I25" s="13">
        <v>0</v>
      </c>
      <c r="J25" s="13">
        <v>1</v>
      </c>
      <c r="K25" s="13">
        <v>1</v>
      </c>
      <c r="L25" s="13">
        <v>2</v>
      </c>
      <c r="M25" s="13">
        <v>1</v>
      </c>
      <c r="N25" s="13">
        <v>0</v>
      </c>
      <c r="O25" s="13">
        <v>0</v>
      </c>
      <c r="P25" s="13">
        <v>2</v>
      </c>
      <c r="Q25" s="13">
        <v>1</v>
      </c>
      <c r="R25" s="13">
        <v>0</v>
      </c>
    </row>
    <row r="26" spans="1:18" s="12" customFormat="1" ht="14.25" customHeight="1" x14ac:dyDescent="0.2">
      <c r="A26" s="49" t="s">
        <v>167</v>
      </c>
      <c r="B26" s="35" t="s">
        <v>82</v>
      </c>
      <c r="C26" s="36" t="s">
        <v>0</v>
      </c>
      <c r="D26" s="37">
        <v>860</v>
      </c>
      <c r="E26" s="37">
        <v>409</v>
      </c>
      <c r="F26" s="37">
        <v>451</v>
      </c>
      <c r="G26" s="37">
        <v>92</v>
      </c>
      <c r="H26" s="37">
        <v>70</v>
      </c>
      <c r="I26" s="37">
        <v>44</v>
      </c>
      <c r="J26" s="37">
        <v>70</v>
      </c>
      <c r="K26" s="37">
        <v>72</v>
      </c>
      <c r="L26" s="37">
        <v>73</v>
      </c>
      <c r="M26" s="37">
        <v>80</v>
      </c>
      <c r="N26" s="37">
        <v>60</v>
      </c>
      <c r="O26" s="37">
        <v>76</v>
      </c>
      <c r="P26" s="37">
        <v>99</v>
      </c>
      <c r="Q26" s="37">
        <v>45</v>
      </c>
      <c r="R26" s="37">
        <v>79</v>
      </c>
    </row>
    <row r="27" spans="1:18" s="12" customFormat="1" ht="14.25" customHeight="1" x14ac:dyDescent="0.2">
      <c r="A27" s="112" t="s">
        <v>161</v>
      </c>
      <c r="B27" s="38" t="s">
        <v>83</v>
      </c>
      <c r="C27" s="39" t="s">
        <v>2</v>
      </c>
      <c r="D27" s="13">
        <v>807</v>
      </c>
      <c r="E27" s="13">
        <v>384</v>
      </c>
      <c r="F27" s="13">
        <v>423</v>
      </c>
      <c r="G27" s="13">
        <v>88</v>
      </c>
      <c r="H27" s="13">
        <v>64</v>
      </c>
      <c r="I27" s="13">
        <v>40</v>
      </c>
      <c r="J27" s="13">
        <v>65</v>
      </c>
      <c r="K27" s="13">
        <v>66</v>
      </c>
      <c r="L27" s="13">
        <v>72</v>
      </c>
      <c r="M27" s="13">
        <v>73</v>
      </c>
      <c r="N27" s="13">
        <v>52</v>
      </c>
      <c r="O27" s="13">
        <v>72</v>
      </c>
      <c r="P27" s="13">
        <v>94</v>
      </c>
      <c r="Q27" s="13">
        <v>45</v>
      </c>
      <c r="R27" s="13">
        <v>76</v>
      </c>
    </row>
    <row r="28" spans="1:18" s="12" customFormat="1" ht="14.25" customHeight="1" x14ac:dyDescent="0.2">
      <c r="A28" s="113"/>
      <c r="B28" s="40" t="s">
        <v>84</v>
      </c>
      <c r="C28" s="41" t="s">
        <v>225</v>
      </c>
      <c r="D28" s="13">
        <v>53</v>
      </c>
      <c r="E28" s="13">
        <v>25</v>
      </c>
      <c r="F28" s="13">
        <v>28</v>
      </c>
      <c r="G28" s="13">
        <v>4</v>
      </c>
      <c r="H28" s="13">
        <v>6</v>
      </c>
      <c r="I28" s="13">
        <v>4</v>
      </c>
      <c r="J28" s="13">
        <v>5</v>
      </c>
      <c r="K28" s="13">
        <v>6</v>
      </c>
      <c r="L28" s="13">
        <v>1</v>
      </c>
      <c r="M28" s="13">
        <v>7</v>
      </c>
      <c r="N28" s="13">
        <v>8</v>
      </c>
      <c r="O28" s="13">
        <v>4</v>
      </c>
      <c r="P28" s="13">
        <v>5</v>
      </c>
      <c r="Q28" s="13">
        <v>0</v>
      </c>
      <c r="R28" s="13">
        <v>3</v>
      </c>
    </row>
    <row r="29" spans="1:18" s="12" customFormat="1" ht="14.25" customHeight="1" x14ac:dyDescent="0.2">
      <c r="A29" s="34" t="s">
        <v>116</v>
      </c>
      <c r="B29" s="35" t="s">
        <v>82</v>
      </c>
      <c r="C29" s="36" t="s">
        <v>0</v>
      </c>
      <c r="D29" s="37">
        <v>183</v>
      </c>
      <c r="E29" s="37">
        <v>89</v>
      </c>
      <c r="F29" s="37">
        <v>94</v>
      </c>
      <c r="G29" s="37">
        <v>14</v>
      </c>
      <c r="H29" s="37">
        <v>16</v>
      </c>
      <c r="I29" s="37">
        <v>12</v>
      </c>
      <c r="J29" s="37">
        <v>8</v>
      </c>
      <c r="K29" s="37">
        <v>18</v>
      </c>
      <c r="L29" s="37">
        <v>10</v>
      </c>
      <c r="M29" s="37">
        <v>23</v>
      </c>
      <c r="N29" s="37">
        <v>12</v>
      </c>
      <c r="O29" s="37">
        <v>17</v>
      </c>
      <c r="P29" s="37">
        <v>28</v>
      </c>
      <c r="Q29" s="37">
        <v>5</v>
      </c>
      <c r="R29" s="37">
        <v>20</v>
      </c>
    </row>
    <row r="30" spans="1:18" s="12" customFormat="1" ht="14.25" customHeight="1" x14ac:dyDescent="0.2">
      <c r="A30" s="112" t="s">
        <v>5</v>
      </c>
      <c r="B30" s="38" t="s">
        <v>83</v>
      </c>
      <c r="C30" s="39" t="s">
        <v>2</v>
      </c>
      <c r="D30" s="13">
        <v>159</v>
      </c>
      <c r="E30" s="13">
        <v>74</v>
      </c>
      <c r="F30" s="13">
        <v>85</v>
      </c>
      <c r="G30" s="13">
        <v>11</v>
      </c>
      <c r="H30" s="13">
        <v>14</v>
      </c>
      <c r="I30" s="13">
        <v>9</v>
      </c>
      <c r="J30" s="13">
        <v>7</v>
      </c>
      <c r="K30" s="13">
        <v>14</v>
      </c>
      <c r="L30" s="13">
        <v>10</v>
      </c>
      <c r="M30" s="13">
        <v>19</v>
      </c>
      <c r="N30" s="13">
        <v>12</v>
      </c>
      <c r="O30" s="13">
        <v>17</v>
      </c>
      <c r="P30" s="13">
        <v>24</v>
      </c>
      <c r="Q30" s="13">
        <v>4</v>
      </c>
      <c r="R30" s="13">
        <v>18</v>
      </c>
    </row>
    <row r="31" spans="1:18" s="12" customFormat="1" ht="14.25" customHeight="1" x14ac:dyDescent="0.2">
      <c r="A31" s="113"/>
      <c r="B31" s="40" t="s">
        <v>84</v>
      </c>
      <c r="C31" s="41" t="s">
        <v>225</v>
      </c>
      <c r="D31" s="13">
        <v>24</v>
      </c>
      <c r="E31" s="13">
        <v>15</v>
      </c>
      <c r="F31" s="13">
        <v>9</v>
      </c>
      <c r="G31" s="13">
        <v>3</v>
      </c>
      <c r="H31" s="13">
        <v>2</v>
      </c>
      <c r="I31" s="13">
        <v>3</v>
      </c>
      <c r="J31" s="13">
        <v>1</v>
      </c>
      <c r="K31" s="13">
        <v>4</v>
      </c>
      <c r="L31" s="13">
        <v>0</v>
      </c>
      <c r="M31" s="13">
        <v>4</v>
      </c>
      <c r="N31" s="13">
        <v>0</v>
      </c>
      <c r="O31" s="13">
        <v>0</v>
      </c>
      <c r="P31" s="13">
        <v>4</v>
      </c>
      <c r="Q31" s="13">
        <v>1</v>
      </c>
      <c r="R31" s="13">
        <v>2</v>
      </c>
    </row>
    <row r="32" spans="1:18" s="12" customFormat="1" ht="14.25" customHeight="1" x14ac:dyDescent="0.2">
      <c r="A32" s="34" t="s">
        <v>117</v>
      </c>
      <c r="B32" s="35" t="s">
        <v>82</v>
      </c>
      <c r="C32" s="36" t="s">
        <v>0</v>
      </c>
      <c r="D32" s="37">
        <v>116</v>
      </c>
      <c r="E32" s="37">
        <v>62</v>
      </c>
      <c r="F32" s="37">
        <v>54</v>
      </c>
      <c r="G32" s="37">
        <v>9</v>
      </c>
      <c r="H32" s="37">
        <v>7</v>
      </c>
      <c r="I32" s="37">
        <v>22</v>
      </c>
      <c r="J32" s="37">
        <v>13</v>
      </c>
      <c r="K32" s="37">
        <v>11</v>
      </c>
      <c r="L32" s="37">
        <v>15</v>
      </c>
      <c r="M32" s="37">
        <v>15</v>
      </c>
      <c r="N32" s="37">
        <v>10</v>
      </c>
      <c r="O32" s="37">
        <v>4</v>
      </c>
      <c r="P32" s="37">
        <v>7</v>
      </c>
      <c r="Q32" s="37">
        <v>1</v>
      </c>
      <c r="R32" s="37">
        <v>2</v>
      </c>
    </row>
    <row r="33" spans="1:18" s="12" customFormat="1" ht="14.25" customHeight="1" x14ac:dyDescent="0.2">
      <c r="A33" s="112" t="s">
        <v>6</v>
      </c>
      <c r="B33" s="38" t="s">
        <v>83</v>
      </c>
      <c r="C33" s="39" t="s">
        <v>2</v>
      </c>
      <c r="D33" s="13">
        <v>84</v>
      </c>
      <c r="E33" s="13">
        <v>44</v>
      </c>
      <c r="F33" s="13">
        <v>40</v>
      </c>
      <c r="G33" s="13">
        <v>6</v>
      </c>
      <c r="H33" s="13">
        <v>7</v>
      </c>
      <c r="I33" s="13">
        <v>14</v>
      </c>
      <c r="J33" s="13">
        <v>8</v>
      </c>
      <c r="K33" s="13">
        <v>7</v>
      </c>
      <c r="L33" s="13">
        <v>12</v>
      </c>
      <c r="M33" s="13">
        <v>12</v>
      </c>
      <c r="N33" s="13">
        <v>6</v>
      </c>
      <c r="O33" s="13">
        <v>4</v>
      </c>
      <c r="P33" s="13">
        <v>6</v>
      </c>
      <c r="Q33" s="13">
        <v>1</v>
      </c>
      <c r="R33" s="13">
        <v>1</v>
      </c>
    </row>
    <row r="34" spans="1:18" s="12" customFormat="1" ht="14.25" customHeight="1" x14ac:dyDescent="0.2">
      <c r="A34" s="113"/>
      <c r="B34" s="40" t="s">
        <v>84</v>
      </c>
      <c r="C34" s="41" t="s">
        <v>225</v>
      </c>
      <c r="D34" s="13">
        <v>32</v>
      </c>
      <c r="E34" s="13">
        <v>18</v>
      </c>
      <c r="F34" s="13">
        <v>14</v>
      </c>
      <c r="G34" s="13">
        <v>3</v>
      </c>
      <c r="H34" s="13">
        <v>0</v>
      </c>
      <c r="I34" s="13">
        <v>8</v>
      </c>
      <c r="J34" s="13">
        <v>5</v>
      </c>
      <c r="K34" s="13">
        <v>4</v>
      </c>
      <c r="L34" s="13">
        <v>3</v>
      </c>
      <c r="M34" s="13">
        <v>3</v>
      </c>
      <c r="N34" s="13">
        <v>4</v>
      </c>
      <c r="O34" s="13">
        <v>0</v>
      </c>
      <c r="P34" s="13">
        <v>1</v>
      </c>
      <c r="Q34" s="13">
        <v>0</v>
      </c>
      <c r="R34" s="13">
        <v>1</v>
      </c>
    </row>
    <row r="35" spans="1:18" s="12" customFormat="1" ht="14.25" customHeight="1" x14ac:dyDescent="0.2">
      <c r="A35" s="34" t="s">
        <v>118</v>
      </c>
      <c r="B35" s="35" t="s">
        <v>82</v>
      </c>
      <c r="C35" s="36" t="s">
        <v>0</v>
      </c>
      <c r="D35" s="37">
        <v>251</v>
      </c>
      <c r="E35" s="37">
        <v>142</v>
      </c>
      <c r="F35" s="37">
        <v>109</v>
      </c>
      <c r="G35" s="37">
        <v>25</v>
      </c>
      <c r="H35" s="37">
        <v>32</v>
      </c>
      <c r="I35" s="37">
        <v>32</v>
      </c>
      <c r="J35" s="37">
        <v>12</v>
      </c>
      <c r="K35" s="37">
        <v>29</v>
      </c>
      <c r="L35" s="37">
        <v>15</v>
      </c>
      <c r="M35" s="37">
        <v>22</v>
      </c>
      <c r="N35" s="37">
        <v>21</v>
      </c>
      <c r="O35" s="37">
        <v>27</v>
      </c>
      <c r="P35" s="37">
        <v>24</v>
      </c>
      <c r="Q35" s="37">
        <v>7</v>
      </c>
      <c r="R35" s="37">
        <v>5</v>
      </c>
    </row>
    <row r="36" spans="1:18" s="12" customFormat="1" ht="14.25" customHeight="1" x14ac:dyDescent="0.2">
      <c r="A36" s="112" t="s">
        <v>7</v>
      </c>
      <c r="B36" s="38" t="s">
        <v>83</v>
      </c>
      <c r="C36" s="39" t="s">
        <v>2</v>
      </c>
      <c r="D36" s="13">
        <v>227</v>
      </c>
      <c r="E36" s="13">
        <v>132</v>
      </c>
      <c r="F36" s="13">
        <v>95</v>
      </c>
      <c r="G36" s="13">
        <v>23</v>
      </c>
      <c r="H36" s="13">
        <v>26</v>
      </c>
      <c r="I36" s="13">
        <v>31</v>
      </c>
      <c r="J36" s="13">
        <v>10</v>
      </c>
      <c r="K36" s="13">
        <v>25</v>
      </c>
      <c r="L36" s="13">
        <v>11</v>
      </c>
      <c r="M36" s="13">
        <v>20</v>
      </c>
      <c r="N36" s="13">
        <v>21</v>
      </c>
      <c r="O36" s="13">
        <v>26</v>
      </c>
      <c r="P36" s="13">
        <v>22</v>
      </c>
      <c r="Q36" s="13">
        <v>7</v>
      </c>
      <c r="R36" s="13">
        <v>5</v>
      </c>
    </row>
    <row r="37" spans="1:18" s="12" customFormat="1" ht="14.25" customHeight="1" x14ac:dyDescent="0.2">
      <c r="A37" s="113"/>
      <c r="B37" s="40" t="s">
        <v>84</v>
      </c>
      <c r="C37" s="41" t="s">
        <v>225</v>
      </c>
      <c r="D37" s="13">
        <v>24</v>
      </c>
      <c r="E37" s="13">
        <v>10</v>
      </c>
      <c r="F37" s="13">
        <v>14</v>
      </c>
      <c r="G37" s="13">
        <v>2</v>
      </c>
      <c r="H37" s="13">
        <v>6</v>
      </c>
      <c r="I37" s="13">
        <v>1</v>
      </c>
      <c r="J37" s="13">
        <v>2</v>
      </c>
      <c r="K37" s="13">
        <v>4</v>
      </c>
      <c r="L37" s="13">
        <v>4</v>
      </c>
      <c r="M37" s="13">
        <v>2</v>
      </c>
      <c r="N37" s="13">
        <v>0</v>
      </c>
      <c r="O37" s="13">
        <v>1</v>
      </c>
      <c r="P37" s="13">
        <v>2</v>
      </c>
      <c r="Q37" s="13">
        <v>0</v>
      </c>
      <c r="R37" s="13">
        <v>0</v>
      </c>
    </row>
    <row r="38" spans="1:18" s="12" customFormat="1" ht="14.25" customHeight="1" x14ac:dyDescent="0.2">
      <c r="A38" s="34" t="s">
        <v>119</v>
      </c>
      <c r="B38" s="35" t="s">
        <v>82</v>
      </c>
      <c r="C38" s="36" t="s">
        <v>0</v>
      </c>
      <c r="D38" s="37">
        <v>184</v>
      </c>
      <c r="E38" s="37">
        <v>108</v>
      </c>
      <c r="F38" s="37">
        <v>76</v>
      </c>
      <c r="G38" s="37">
        <v>14</v>
      </c>
      <c r="H38" s="37">
        <v>10</v>
      </c>
      <c r="I38" s="37">
        <v>21</v>
      </c>
      <c r="J38" s="37">
        <v>10</v>
      </c>
      <c r="K38" s="37">
        <v>26</v>
      </c>
      <c r="L38" s="37">
        <v>11</v>
      </c>
      <c r="M38" s="37">
        <v>24</v>
      </c>
      <c r="N38" s="37">
        <v>18</v>
      </c>
      <c r="O38" s="37">
        <v>14</v>
      </c>
      <c r="P38" s="37">
        <v>17</v>
      </c>
      <c r="Q38" s="37">
        <v>9</v>
      </c>
      <c r="R38" s="37">
        <v>10</v>
      </c>
    </row>
    <row r="39" spans="1:18" s="12" customFormat="1" ht="14.25" customHeight="1" x14ac:dyDescent="0.2">
      <c r="A39" s="112" t="s">
        <v>8</v>
      </c>
      <c r="B39" s="38" t="s">
        <v>83</v>
      </c>
      <c r="C39" s="39" t="s">
        <v>2</v>
      </c>
      <c r="D39" s="13">
        <v>176</v>
      </c>
      <c r="E39" s="13">
        <v>103</v>
      </c>
      <c r="F39" s="13">
        <v>73</v>
      </c>
      <c r="G39" s="13">
        <v>14</v>
      </c>
      <c r="H39" s="13">
        <v>10</v>
      </c>
      <c r="I39" s="13">
        <v>21</v>
      </c>
      <c r="J39" s="13">
        <v>9</v>
      </c>
      <c r="K39" s="13">
        <v>25</v>
      </c>
      <c r="L39" s="13">
        <v>10</v>
      </c>
      <c r="M39" s="13">
        <v>20</v>
      </c>
      <c r="N39" s="13">
        <v>17</v>
      </c>
      <c r="O39" s="13">
        <v>14</v>
      </c>
      <c r="P39" s="13">
        <v>17</v>
      </c>
      <c r="Q39" s="13">
        <v>9</v>
      </c>
      <c r="R39" s="13">
        <v>10</v>
      </c>
    </row>
    <row r="40" spans="1:18" s="12" customFormat="1" ht="14.25" customHeight="1" x14ac:dyDescent="0.2">
      <c r="A40" s="113"/>
      <c r="B40" s="40" t="s">
        <v>84</v>
      </c>
      <c r="C40" s="41" t="s">
        <v>225</v>
      </c>
      <c r="D40" s="13">
        <v>8</v>
      </c>
      <c r="E40" s="13">
        <v>5</v>
      </c>
      <c r="F40" s="13">
        <v>3</v>
      </c>
      <c r="G40" s="13">
        <v>0</v>
      </c>
      <c r="H40" s="13">
        <v>0</v>
      </c>
      <c r="I40" s="13">
        <v>0</v>
      </c>
      <c r="J40" s="13">
        <v>1</v>
      </c>
      <c r="K40" s="13">
        <v>1</v>
      </c>
      <c r="L40" s="13">
        <v>1</v>
      </c>
      <c r="M40" s="13">
        <v>4</v>
      </c>
      <c r="N40" s="13">
        <v>1</v>
      </c>
      <c r="O40" s="13">
        <v>0</v>
      </c>
      <c r="P40" s="13">
        <v>0</v>
      </c>
      <c r="Q40" s="13">
        <v>0</v>
      </c>
      <c r="R40" s="13">
        <v>0</v>
      </c>
    </row>
    <row r="41" spans="1:18" s="12" customFormat="1" ht="14.25" customHeight="1" x14ac:dyDescent="0.2">
      <c r="A41" s="34" t="s">
        <v>120</v>
      </c>
      <c r="B41" s="35" t="s">
        <v>82</v>
      </c>
      <c r="C41" s="36" t="s">
        <v>0</v>
      </c>
      <c r="D41" s="37">
        <v>91</v>
      </c>
      <c r="E41" s="37">
        <v>52</v>
      </c>
      <c r="F41" s="37">
        <v>39</v>
      </c>
      <c r="G41" s="37">
        <v>9</v>
      </c>
      <c r="H41" s="37">
        <v>8</v>
      </c>
      <c r="I41" s="37">
        <v>9</v>
      </c>
      <c r="J41" s="37">
        <v>4</v>
      </c>
      <c r="K41" s="37">
        <v>10</v>
      </c>
      <c r="L41" s="37">
        <v>4</v>
      </c>
      <c r="M41" s="37">
        <v>9</v>
      </c>
      <c r="N41" s="37">
        <v>7</v>
      </c>
      <c r="O41" s="37">
        <v>8</v>
      </c>
      <c r="P41" s="37">
        <v>10</v>
      </c>
      <c r="Q41" s="37">
        <v>7</v>
      </c>
      <c r="R41" s="37">
        <v>6</v>
      </c>
    </row>
    <row r="42" spans="1:18" s="12" customFormat="1" ht="14.25" customHeight="1" x14ac:dyDescent="0.2">
      <c r="A42" s="112" t="s">
        <v>9</v>
      </c>
      <c r="B42" s="38" t="s">
        <v>83</v>
      </c>
      <c r="C42" s="39" t="s">
        <v>2</v>
      </c>
      <c r="D42" s="13">
        <v>87</v>
      </c>
      <c r="E42" s="13">
        <v>51</v>
      </c>
      <c r="F42" s="13">
        <v>36</v>
      </c>
      <c r="G42" s="13">
        <v>9</v>
      </c>
      <c r="H42" s="13">
        <v>8</v>
      </c>
      <c r="I42" s="13">
        <v>9</v>
      </c>
      <c r="J42" s="13">
        <v>4</v>
      </c>
      <c r="K42" s="13">
        <v>10</v>
      </c>
      <c r="L42" s="13">
        <v>3</v>
      </c>
      <c r="M42" s="13">
        <v>8</v>
      </c>
      <c r="N42" s="13">
        <v>6</v>
      </c>
      <c r="O42" s="13">
        <v>8</v>
      </c>
      <c r="P42" s="13">
        <v>9</v>
      </c>
      <c r="Q42" s="13">
        <v>7</v>
      </c>
      <c r="R42" s="13">
        <v>6</v>
      </c>
    </row>
    <row r="43" spans="1:18" s="12" customFormat="1" ht="14.25" customHeight="1" x14ac:dyDescent="0.2">
      <c r="A43" s="113"/>
      <c r="B43" s="40" t="s">
        <v>84</v>
      </c>
      <c r="C43" s="41" t="s">
        <v>225</v>
      </c>
      <c r="D43" s="13">
        <v>4</v>
      </c>
      <c r="E43" s="13">
        <v>1</v>
      </c>
      <c r="F43" s="13">
        <v>3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</v>
      </c>
      <c r="M43" s="13">
        <v>1</v>
      </c>
      <c r="N43" s="13">
        <v>1</v>
      </c>
      <c r="O43" s="13">
        <v>0</v>
      </c>
      <c r="P43" s="13">
        <v>1</v>
      </c>
      <c r="Q43" s="13">
        <v>0</v>
      </c>
      <c r="R43" s="13">
        <v>0</v>
      </c>
    </row>
    <row r="44" spans="1:18" s="12" customFormat="1" ht="14.25" customHeight="1" x14ac:dyDescent="0.2">
      <c r="A44" s="34" t="s">
        <v>121</v>
      </c>
      <c r="B44" s="35" t="s">
        <v>82</v>
      </c>
      <c r="C44" s="36" t="s">
        <v>0</v>
      </c>
      <c r="D44" s="37">
        <v>757</v>
      </c>
      <c r="E44" s="37">
        <v>368</v>
      </c>
      <c r="F44" s="37">
        <v>389</v>
      </c>
      <c r="G44" s="37">
        <v>51</v>
      </c>
      <c r="H44" s="37">
        <v>58</v>
      </c>
      <c r="I44" s="37">
        <v>48</v>
      </c>
      <c r="J44" s="37">
        <v>56</v>
      </c>
      <c r="K44" s="37">
        <v>50</v>
      </c>
      <c r="L44" s="37">
        <v>47</v>
      </c>
      <c r="M44" s="37">
        <v>71</v>
      </c>
      <c r="N44" s="37">
        <v>68</v>
      </c>
      <c r="O44" s="37">
        <v>83</v>
      </c>
      <c r="P44" s="37">
        <v>86</v>
      </c>
      <c r="Q44" s="37">
        <v>65</v>
      </c>
      <c r="R44" s="37">
        <v>74</v>
      </c>
    </row>
    <row r="45" spans="1:18" s="12" customFormat="1" ht="14.25" customHeight="1" x14ac:dyDescent="0.2">
      <c r="A45" s="112" t="s">
        <v>10</v>
      </c>
      <c r="B45" s="38" t="s">
        <v>83</v>
      </c>
      <c r="C45" s="39" t="s">
        <v>2</v>
      </c>
      <c r="D45" s="13">
        <v>754</v>
      </c>
      <c r="E45" s="13">
        <v>368</v>
      </c>
      <c r="F45" s="13">
        <v>386</v>
      </c>
      <c r="G45" s="13">
        <v>51</v>
      </c>
      <c r="H45" s="13">
        <v>58</v>
      </c>
      <c r="I45" s="13">
        <v>48</v>
      </c>
      <c r="J45" s="13">
        <v>55</v>
      </c>
      <c r="K45" s="13">
        <v>50</v>
      </c>
      <c r="L45" s="13">
        <v>47</v>
      </c>
      <c r="M45" s="13">
        <v>71</v>
      </c>
      <c r="N45" s="13">
        <v>67</v>
      </c>
      <c r="O45" s="13">
        <v>83</v>
      </c>
      <c r="P45" s="13">
        <v>85</v>
      </c>
      <c r="Q45" s="13">
        <v>65</v>
      </c>
      <c r="R45" s="13">
        <v>74</v>
      </c>
    </row>
    <row r="46" spans="1:18" s="12" customFormat="1" ht="14.25" customHeight="1" x14ac:dyDescent="0.2">
      <c r="A46" s="113"/>
      <c r="B46" s="40" t="s">
        <v>84</v>
      </c>
      <c r="C46" s="41" t="s">
        <v>225</v>
      </c>
      <c r="D46" s="13">
        <v>3</v>
      </c>
      <c r="E46" s="13">
        <v>0</v>
      </c>
      <c r="F46" s="13">
        <v>3</v>
      </c>
      <c r="G46" s="13">
        <v>0</v>
      </c>
      <c r="H46" s="13">
        <v>0</v>
      </c>
      <c r="I46" s="13">
        <v>0</v>
      </c>
      <c r="J46" s="13">
        <v>1</v>
      </c>
      <c r="K46" s="13">
        <v>0</v>
      </c>
      <c r="L46" s="13">
        <v>0</v>
      </c>
      <c r="M46" s="13">
        <v>0</v>
      </c>
      <c r="N46" s="13">
        <v>1</v>
      </c>
      <c r="O46" s="13">
        <v>0</v>
      </c>
      <c r="P46" s="13">
        <v>1</v>
      </c>
      <c r="Q46" s="13">
        <v>0</v>
      </c>
      <c r="R46" s="13">
        <v>0</v>
      </c>
    </row>
    <row r="47" spans="1:18" s="12" customFormat="1" ht="14.25" customHeight="1" x14ac:dyDescent="0.2">
      <c r="A47" s="34" t="s">
        <v>122</v>
      </c>
      <c r="B47" s="35" t="s">
        <v>82</v>
      </c>
      <c r="C47" s="36" t="s">
        <v>0</v>
      </c>
      <c r="D47" s="37">
        <v>153</v>
      </c>
      <c r="E47" s="37">
        <v>84</v>
      </c>
      <c r="F47" s="37">
        <v>69</v>
      </c>
      <c r="G47" s="37">
        <v>10</v>
      </c>
      <c r="H47" s="37">
        <v>4</v>
      </c>
      <c r="I47" s="37">
        <v>9</v>
      </c>
      <c r="J47" s="37">
        <v>10</v>
      </c>
      <c r="K47" s="37">
        <v>8</v>
      </c>
      <c r="L47" s="37">
        <v>6</v>
      </c>
      <c r="M47" s="37">
        <v>25</v>
      </c>
      <c r="N47" s="37">
        <v>19</v>
      </c>
      <c r="O47" s="37">
        <v>21</v>
      </c>
      <c r="P47" s="37">
        <v>17</v>
      </c>
      <c r="Q47" s="37">
        <v>11</v>
      </c>
      <c r="R47" s="37">
        <v>13</v>
      </c>
    </row>
    <row r="48" spans="1:18" s="12" customFormat="1" ht="14.25" customHeight="1" x14ac:dyDescent="0.2">
      <c r="A48" s="112" t="s">
        <v>11</v>
      </c>
      <c r="B48" s="38" t="s">
        <v>83</v>
      </c>
      <c r="C48" s="39" t="s">
        <v>2</v>
      </c>
      <c r="D48" s="13">
        <v>150</v>
      </c>
      <c r="E48" s="13">
        <v>82</v>
      </c>
      <c r="F48" s="13">
        <v>68</v>
      </c>
      <c r="G48" s="13">
        <v>10</v>
      </c>
      <c r="H48" s="13">
        <v>4</v>
      </c>
      <c r="I48" s="13">
        <v>9</v>
      </c>
      <c r="J48" s="13">
        <v>10</v>
      </c>
      <c r="K48" s="13">
        <v>7</v>
      </c>
      <c r="L48" s="13">
        <v>6</v>
      </c>
      <c r="M48" s="13">
        <v>25</v>
      </c>
      <c r="N48" s="13">
        <v>18</v>
      </c>
      <c r="O48" s="13">
        <v>21</v>
      </c>
      <c r="P48" s="13">
        <v>17</v>
      </c>
      <c r="Q48" s="13">
        <v>10</v>
      </c>
      <c r="R48" s="13">
        <v>13</v>
      </c>
    </row>
    <row r="49" spans="1:18" s="12" customFormat="1" ht="14.25" customHeight="1" x14ac:dyDescent="0.2">
      <c r="A49" s="113"/>
      <c r="B49" s="40" t="s">
        <v>84</v>
      </c>
      <c r="C49" s="41" t="s">
        <v>225</v>
      </c>
      <c r="D49" s="13">
        <v>3</v>
      </c>
      <c r="E49" s="13">
        <v>2</v>
      </c>
      <c r="F49" s="13">
        <v>1</v>
      </c>
      <c r="G49" s="13">
        <v>0</v>
      </c>
      <c r="H49" s="13">
        <v>0</v>
      </c>
      <c r="I49" s="13">
        <v>0</v>
      </c>
      <c r="J49" s="13">
        <v>0</v>
      </c>
      <c r="K49" s="13">
        <v>1</v>
      </c>
      <c r="L49" s="13">
        <v>0</v>
      </c>
      <c r="M49" s="13">
        <v>0</v>
      </c>
      <c r="N49" s="13">
        <v>1</v>
      </c>
      <c r="O49" s="13">
        <v>0</v>
      </c>
      <c r="P49" s="13">
        <v>0</v>
      </c>
      <c r="Q49" s="13">
        <v>1</v>
      </c>
      <c r="R49" s="13">
        <v>0</v>
      </c>
    </row>
    <row r="50" spans="1:18" s="12" customFormat="1" ht="14.25" customHeight="1" x14ac:dyDescent="0.2">
      <c r="A50" s="34" t="s">
        <v>123</v>
      </c>
      <c r="B50" s="35" t="s">
        <v>82</v>
      </c>
      <c r="C50" s="36" t="s">
        <v>0</v>
      </c>
      <c r="D50" s="37">
        <v>333</v>
      </c>
      <c r="E50" s="37">
        <v>154</v>
      </c>
      <c r="F50" s="37">
        <v>179</v>
      </c>
      <c r="G50" s="37">
        <v>15</v>
      </c>
      <c r="H50" s="37">
        <v>37</v>
      </c>
      <c r="I50" s="37">
        <v>21</v>
      </c>
      <c r="J50" s="37">
        <v>23</v>
      </c>
      <c r="K50" s="37">
        <v>37</v>
      </c>
      <c r="L50" s="37">
        <v>27</v>
      </c>
      <c r="M50" s="37">
        <v>24</v>
      </c>
      <c r="N50" s="37">
        <v>29</v>
      </c>
      <c r="O50" s="37">
        <v>40</v>
      </c>
      <c r="P50" s="37">
        <v>30</v>
      </c>
      <c r="Q50" s="37">
        <v>17</v>
      </c>
      <c r="R50" s="37">
        <v>33</v>
      </c>
    </row>
    <row r="51" spans="1:18" s="12" customFormat="1" ht="14.25" customHeight="1" x14ac:dyDescent="0.2">
      <c r="A51" s="112" t="s">
        <v>12</v>
      </c>
      <c r="B51" s="38" t="s">
        <v>83</v>
      </c>
      <c r="C51" s="39" t="s">
        <v>2</v>
      </c>
      <c r="D51" s="13">
        <v>297</v>
      </c>
      <c r="E51" s="13">
        <v>131</v>
      </c>
      <c r="F51" s="13">
        <v>166</v>
      </c>
      <c r="G51" s="13">
        <v>14</v>
      </c>
      <c r="H51" s="13">
        <v>37</v>
      </c>
      <c r="I51" s="13">
        <v>17</v>
      </c>
      <c r="J51" s="13">
        <v>20</v>
      </c>
      <c r="K51" s="13">
        <v>31</v>
      </c>
      <c r="L51" s="13">
        <v>22</v>
      </c>
      <c r="M51" s="13">
        <v>21</v>
      </c>
      <c r="N51" s="13">
        <v>26</v>
      </c>
      <c r="O51" s="13">
        <v>33</v>
      </c>
      <c r="P51" s="13">
        <v>28</v>
      </c>
      <c r="Q51" s="13">
        <v>15</v>
      </c>
      <c r="R51" s="13">
        <v>33</v>
      </c>
    </row>
    <row r="52" spans="1:18" s="12" customFormat="1" ht="14.25" customHeight="1" x14ac:dyDescent="0.2">
      <c r="A52" s="113"/>
      <c r="B52" s="40" t="s">
        <v>84</v>
      </c>
      <c r="C52" s="41" t="s">
        <v>225</v>
      </c>
      <c r="D52" s="13">
        <v>36</v>
      </c>
      <c r="E52" s="13">
        <v>23</v>
      </c>
      <c r="F52" s="13">
        <v>13</v>
      </c>
      <c r="G52" s="13">
        <v>1</v>
      </c>
      <c r="H52" s="13">
        <v>0</v>
      </c>
      <c r="I52" s="13">
        <v>4</v>
      </c>
      <c r="J52" s="13">
        <v>3</v>
      </c>
      <c r="K52" s="13">
        <v>6</v>
      </c>
      <c r="L52" s="13">
        <v>5</v>
      </c>
      <c r="M52" s="13">
        <v>3</v>
      </c>
      <c r="N52" s="13">
        <v>3</v>
      </c>
      <c r="O52" s="13">
        <v>7</v>
      </c>
      <c r="P52" s="13">
        <v>2</v>
      </c>
      <c r="Q52" s="13">
        <v>2</v>
      </c>
      <c r="R52" s="13">
        <v>0</v>
      </c>
    </row>
    <row r="53" spans="1:18" s="12" customFormat="1" ht="14.25" customHeight="1" x14ac:dyDescent="0.2">
      <c r="A53" s="34" t="s">
        <v>124</v>
      </c>
      <c r="B53" s="35" t="s">
        <v>82</v>
      </c>
      <c r="C53" s="36" t="s">
        <v>0</v>
      </c>
      <c r="D53" s="37">
        <v>106</v>
      </c>
      <c r="E53" s="37">
        <v>33</v>
      </c>
      <c r="F53" s="37">
        <v>73</v>
      </c>
      <c r="G53" s="37">
        <v>3</v>
      </c>
      <c r="H53" s="37">
        <v>5</v>
      </c>
      <c r="I53" s="37">
        <v>2</v>
      </c>
      <c r="J53" s="37">
        <v>4</v>
      </c>
      <c r="K53" s="37">
        <v>13</v>
      </c>
      <c r="L53" s="37">
        <v>8</v>
      </c>
      <c r="M53" s="37">
        <v>4</v>
      </c>
      <c r="N53" s="37">
        <v>7</v>
      </c>
      <c r="O53" s="37">
        <v>6</v>
      </c>
      <c r="P53" s="37">
        <v>24</v>
      </c>
      <c r="Q53" s="37">
        <v>5</v>
      </c>
      <c r="R53" s="37">
        <v>25</v>
      </c>
    </row>
    <row r="54" spans="1:18" s="12" customFormat="1" ht="14.25" customHeight="1" x14ac:dyDescent="0.2">
      <c r="A54" s="112" t="s">
        <v>13</v>
      </c>
      <c r="B54" s="38" t="s">
        <v>83</v>
      </c>
      <c r="C54" s="39" t="s">
        <v>2</v>
      </c>
      <c r="D54" s="13">
        <v>48</v>
      </c>
      <c r="E54" s="13">
        <v>13</v>
      </c>
      <c r="F54" s="13">
        <v>35</v>
      </c>
      <c r="G54" s="13">
        <v>2</v>
      </c>
      <c r="H54" s="13">
        <v>3</v>
      </c>
      <c r="I54" s="13">
        <v>0</v>
      </c>
      <c r="J54" s="13">
        <v>2</v>
      </c>
      <c r="K54" s="13">
        <v>4</v>
      </c>
      <c r="L54" s="13">
        <v>5</v>
      </c>
      <c r="M54" s="13">
        <v>1</v>
      </c>
      <c r="N54" s="13">
        <v>3</v>
      </c>
      <c r="O54" s="13">
        <v>4</v>
      </c>
      <c r="P54" s="13">
        <v>8</v>
      </c>
      <c r="Q54" s="13">
        <v>2</v>
      </c>
      <c r="R54" s="13">
        <v>14</v>
      </c>
    </row>
    <row r="55" spans="1:18" s="12" customFormat="1" ht="14.25" customHeight="1" x14ac:dyDescent="0.2">
      <c r="A55" s="113"/>
      <c r="B55" s="40" t="s">
        <v>84</v>
      </c>
      <c r="C55" s="41" t="s">
        <v>225</v>
      </c>
      <c r="D55" s="13">
        <v>58</v>
      </c>
      <c r="E55" s="13">
        <v>20</v>
      </c>
      <c r="F55" s="13">
        <v>38</v>
      </c>
      <c r="G55" s="13">
        <v>1</v>
      </c>
      <c r="H55" s="13">
        <v>2</v>
      </c>
      <c r="I55" s="13">
        <v>2</v>
      </c>
      <c r="J55" s="13">
        <v>2</v>
      </c>
      <c r="K55" s="13">
        <v>9</v>
      </c>
      <c r="L55" s="13">
        <v>3</v>
      </c>
      <c r="M55" s="13">
        <v>3</v>
      </c>
      <c r="N55" s="13">
        <v>4</v>
      </c>
      <c r="O55" s="13">
        <v>2</v>
      </c>
      <c r="P55" s="13">
        <v>16</v>
      </c>
      <c r="Q55" s="13">
        <v>3</v>
      </c>
      <c r="R55" s="13">
        <v>11</v>
      </c>
    </row>
    <row r="56" spans="1:18" s="12" customFormat="1" ht="14.25" customHeight="1" x14ac:dyDescent="0.2">
      <c r="A56" s="34" t="s">
        <v>125</v>
      </c>
      <c r="B56" s="35" t="s">
        <v>82</v>
      </c>
      <c r="C56" s="36" t="s">
        <v>0</v>
      </c>
      <c r="D56" s="37">
        <v>305</v>
      </c>
      <c r="E56" s="37">
        <v>132</v>
      </c>
      <c r="F56" s="37">
        <v>173</v>
      </c>
      <c r="G56" s="37">
        <v>14</v>
      </c>
      <c r="H56" s="37">
        <v>14</v>
      </c>
      <c r="I56" s="37">
        <v>22</v>
      </c>
      <c r="J56" s="37">
        <v>8</v>
      </c>
      <c r="K56" s="37">
        <v>26</v>
      </c>
      <c r="L56" s="37">
        <v>28</v>
      </c>
      <c r="M56" s="37">
        <v>26</v>
      </c>
      <c r="N56" s="37">
        <v>25</v>
      </c>
      <c r="O56" s="37">
        <v>33</v>
      </c>
      <c r="P56" s="37">
        <v>64</v>
      </c>
      <c r="Q56" s="37">
        <v>11</v>
      </c>
      <c r="R56" s="37">
        <v>34</v>
      </c>
    </row>
    <row r="57" spans="1:18" s="12" customFormat="1" ht="14.25" customHeight="1" x14ac:dyDescent="0.2">
      <c r="A57" s="112" t="s">
        <v>14</v>
      </c>
      <c r="B57" s="38" t="s">
        <v>83</v>
      </c>
      <c r="C57" s="39" t="s">
        <v>2</v>
      </c>
      <c r="D57" s="13">
        <v>120</v>
      </c>
      <c r="E57" s="13">
        <v>58</v>
      </c>
      <c r="F57" s="13">
        <v>62</v>
      </c>
      <c r="G57" s="13">
        <v>8</v>
      </c>
      <c r="H57" s="13">
        <v>5</v>
      </c>
      <c r="I57" s="13">
        <v>6</v>
      </c>
      <c r="J57" s="13">
        <v>1</v>
      </c>
      <c r="K57" s="13">
        <v>10</v>
      </c>
      <c r="L57" s="13">
        <v>10</v>
      </c>
      <c r="M57" s="13">
        <v>14</v>
      </c>
      <c r="N57" s="13">
        <v>5</v>
      </c>
      <c r="O57" s="13">
        <v>14</v>
      </c>
      <c r="P57" s="13">
        <v>27</v>
      </c>
      <c r="Q57" s="13">
        <v>6</v>
      </c>
      <c r="R57" s="13">
        <v>14</v>
      </c>
    </row>
    <row r="58" spans="1:18" s="12" customFormat="1" ht="14.25" customHeight="1" x14ac:dyDescent="0.2">
      <c r="A58" s="113"/>
      <c r="B58" s="40" t="s">
        <v>84</v>
      </c>
      <c r="C58" s="41" t="s">
        <v>225</v>
      </c>
      <c r="D58" s="13">
        <v>185</v>
      </c>
      <c r="E58" s="13">
        <v>74</v>
      </c>
      <c r="F58" s="13">
        <v>111</v>
      </c>
      <c r="G58" s="13">
        <v>6</v>
      </c>
      <c r="H58" s="13">
        <v>9</v>
      </c>
      <c r="I58" s="13">
        <v>16</v>
      </c>
      <c r="J58" s="13">
        <v>7</v>
      </c>
      <c r="K58" s="13">
        <v>16</v>
      </c>
      <c r="L58" s="13">
        <v>18</v>
      </c>
      <c r="M58" s="13">
        <v>12</v>
      </c>
      <c r="N58" s="13">
        <v>20</v>
      </c>
      <c r="O58" s="13">
        <v>19</v>
      </c>
      <c r="P58" s="13">
        <v>37</v>
      </c>
      <c r="Q58" s="13">
        <v>5</v>
      </c>
      <c r="R58" s="13">
        <v>20</v>
      </c>
    </row>
    <row r="59" spans="1:18" s="12" customFormat="1" ht="14.25" customHeight="1" x14ac:dyDescent="0.2">
      <c r="A59" s="34" t="s">
        <v>126</v>
      </c>
      <c r="B59" s="35" t="s">
        <v>82</v>
      </c>
      <c r="C59" s="36" t="s">
        <v>0</v>
      </c>
      <c r="D59" s="37">
        <v>18</v>
      </c>
      <c r="E59" s="37">
        <v>13</v>
      </c>
      <c r="F59" s="37">
        <v>5</v>
      </c>
      <c r="G59" s="37">
        <v>3</v>
      </c>
      <c r="H59" s="37">
        <v>0</v>
      </c>
      <c r="I59" s="37">
        <v>1</v>
      </c>
      <c r="J59" s="37">
        <v>0</v>
      </c>
      <c r="K59" s="37">
        <v>1</v>
      </c>
      <c r="L59" s="37">
        <v>0</v>
      </c>
      <c r="M59" s="37">
        <v>3</v>
      </c>
      <c r="N59" s="37">
        <v>3</v>
      </c>
      <c r="O59" s="37">
        <v>3</v>
      </c>
      <c r="P59" s="37">
        <v>0</v>
      </c>
      <c r="Q59" s="37">
        <v>2</v>
      </c>
      <c r="R59" s="37">
        <v>2</v>
      </c>
    </row>
    <row r="60" spans="1:18" s="12" customFormat="1" ht="14.25" customHeight="1" x14ac:dyDescent="0.2">
      <c r="A60" s="112" t="s">
        <v>15</v>
      </c>
      <c r="B60" s="38" t="s">
        <v>83</v>
      </c>
      <c r="C60" s="39" t="s">
        <v>2</v>
      </c>
      <c r="D60" s="13">
        <v>18</v>
      </c>
      <c r="E60" s="13">
        <v>13</v>
      </c>
      <c r="F60" s="13">
        <v>5</v>
      </c>
      <c r="G60" s="13">
        <v>3</v>
      </c>
      <c r="H60" s="13">
        <v>0</v>
      </c>
      <c r="I60" s="13">
        <v>1</v>
      </c>
      <c r="J60" s="13">
        <v>0</v>
      </c>
      <c r="K60" s="13">
        <v>1</v>
      </c>
      <c r="L60" s="13">
        <v>0</v>
      </c>
      <c r="M60" s="13">
        <v>3</v>
      </c>
      <c r="N60" s="13">
        <v>3</v>
      </c>
      <c r="O60" s="13">
        <v>3</v>
      </c>
      <c r="P60" s="13">
        <v>0</v>
      </c>
      <c r="Q60" s="13">
        <v>2</v>
      </c>
      <c r="R60" s="13">
        <v>2</v>
      </c>
    </row>
    <row r="61" spans="1:18" s="12" customFormat="1" ht="14.25" customHeight="1" x14ac:dyDescent="0.2">
      <c r="A61" s="113"/>
      <c r="B61" s="40" t="s">
        <v>84</v>
      </c>
      <c r="C61" s="41" t="s">
        <v>225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</row>
    <row r="62" spans="1:18" s="12" customFormat="1" ht="14.25" customHeight="1" x14ac:dyDescent="0.2">
      <c r="A62" s="34" t="s">
        <v>127</v>
      </c>
      <c r="B62" s="35" t="s">
        <v>82</v>
      </c>
      <c r="C62" s="36" t="s">
        <v>0</v>
      </c>
      <c r="D62" s="37">
        <v>278</v>
      </c>
      <c r="E62" s="37">
        <v>115</v>
      </c>
      <c r="F62" s="37">
        <v>163</v>
      </c>
      <c r="G62" s="37">
        <v>18</v>
      </c>
      <c r="H62" s="37">
        <v>12</v>
      </c>
      <c r="I62" s="37">
        <v>14</v>
      </c>
      <c r="J62" s="37">
        <v>11</v>
      </c>
      <c r="K62" s="37">
        <v>16</v>
      </c>
      <c r="L62" s="37">
        <v>17</v>
      </c>
      <c r="M62" s="37">
        <v>23</v>
      </c>
      <c r="N62" s="37">
        <v>21</v>
      </c>
      <c r="O62" s="37">
        <v>27</v>
      </c>
      <c r="P62" s="37">
        <v>53</v>
      </c>
      <c r="Q62" s="37">
        <v>17</v>
      </c>
      <c r="R62" s="37">
        <v>49</v>
      </c>
    </row>
    <row r="63" spans="1:18" s="12" customFormat="1" ht="14.25" customHeight="1" x14ac:dyDescent="0.2">
      <c r="A63" s="112" t="s">
        <v>16</v>
      </c>
      <c r="B63" s="38" t="s">
        <v>83</v>
      </c>
      <c r="C63" s="39" t="s">
        <v>2</v>
      </c>
      <c r="D63" s="13">
        <v>255</v>
      </c>
      <c r="E63" s="13">
        <v>107</v>
      </c>
      <c r="F63" s="13">
        <v>148</v>
      </c>
      <c r="G63" s="13">
        <v>17</v>
      </c>
      <c r="H63" s="13">
        <v>12</v>
      </c>
      <c r="I63" s="13">
        <v>14</v>
      </c>
      <c r="J63" s="13">
        <v>10</v>
      </c>
      <c r="K63" s="13">
        <v>14</v>
      </c>
      <c r="L63" s="13">
        <v>17</v>
      </c>
      <c r="M63" s="13">
        <v>23</v>
      </c>
      <c r="N63" s="13">
        <v>16</v>
      </c>
      <c r="O63" s="13">
        <v>24</v>
      </c>
      <c r="P63" s="13">
        <v>47</v>
      </c>
      <c r="Q63" s="13">
        <v>15</v>
      </c>
      <c r="R63" s="13">
        <v>46</v>
      </c>
    </row>
    <row r="64" spans="1:18" s="12" customFormat="1" ht="14.25" customHeight="1" x14ac:dyDescent="0.2">
      <c r="A64" s="113"/>
      <c r="B64" s="40" t="s">
        <v>84</v>
      </c>
      <c r="C64" s="41" t="s">
        <v>225</v>
      </c>
      <c r="D64" s="13">
        <v>23</v>
      </c>
      <c r="E64" s="13">
        <v>8</v>
      </c>
      <c r="F64" s="13">
        <v>15</v>
      </c>
      <c r="G64" s="13">
        <v>1</v>
      </c>
      <c r="H64" s="13">
        <v>0</v>
      </c>
      <c r="I64" s="13">
        <v>0</v>
      </c>
      <c r="J64" s="13">
        <v>1</v>
      </c>
      <c r="K64" s="13">
        <v>2</v>
      </c>
      <c r="L64" s="13">
        <v>0</v>
      </c>
      <c r="M64" s="13">
        <v>0</v>
      </c>
      <c r="N64" s="13">
        <v>5</v>
      </c>
      <c r="O64" s="13">
        <v>3</v>
      </c>
      <c r="P64" s="13">
        <v>6</v>
      </c>
      <c r="Q64" s="13">
        <v>2</v>
      </c>
      <c r="R64" s="13">
        <v>3</v>
      </c>
    </row>
    <row r="65" spans="1:18" s="12" customFormat="1" ht="14.25" customHeight="1" x14ac:dyDescent="0.2">
      <c r="A65" s="34" t="s">
        <v>128</v>
      </c>
      <c r="B65" s="35" t="s">
        <v>82</v>
      </c>
      <c r="C65" s="36" t="s">
        <v>0</v>
      </c>
      <c r="D65" s="37">
        <v>52</v>
      </c>
      <c r="E65" s="37">
        <v>22</v>
      </c>
      <c r="F65" s="37">
        <v>30</v>
      </c>
      <c r="G65" s="37">
        <v>1</v>
      </c>
      <c r="H65" s="37">
        <v>4</v>
      </c>
      <c r="I65" s="37">
        <v>3</v>
      </c>
      <c r="J65" s="37">
        <v>5</v>
      </c>
      <c r="K65" s="37">
        <v>4</v>
      </c>
      <c r="L65" s="37">
        <v>5</v>
      </c>
      <c r="M65" s="37">
        <v>7</v>
      </c>
      <c r="N65" s="37">
        <v>8</v>
      </c>
      <c r="O65" s="37">
        <v>4</v>
      </c>
      <c r="P65" s="37">
        <v>5</v>
      </c>
      <c r="Q65" s="37">
        <v>3</v>
      </c>
      <c r="R65" s="37">
        <v>3</v>
      </c>
    </row>
    <row r="66" spans="1:18" s="12" customFormat="1" ht="14.25" customHeight="1" x14ac:dyDescent="0.2">
      <c r="A66" s="112" t="s">
        <v>17</v>
      </c>
      <c r="B66" s="38" t="s">
        <v>83</v>
      </c>
      <c r="C66" s="39" t="s">
        <v>2</v>
      </c>
      <c r="D66" s="13">
        <v>51</v>
      </c>
      <c r="E66" s="13">
        <v>21</v>
      </c>
      <c r="F66" s="13">
        <v>30</v>
      </c>
      <c r="G66" s="13">
        <v>1</v>
      </c>
      <c r="H66" s="13">
        <v>4</v>
      </c>
      <c r="I66" s="13">
        <v>2</v>
      </c>
      <c r="J66" s="13">
        <v>5</v>
      </c>
      <c r="K66" s="13">
        <v>4</v>
      </c>
      <c r="L66" s="13">
        <v>5</v>
      </c>
      <c r="M66" s="13">
        <v>7</v>
      </c>
      <c r="N66" s="13">
        <v>8</v>
      </c>
      <c r="O66" s="13">
        <v>4</v>
      </c>
      <c r="P66" s="13">
        <v>5</v>
      </c>
      <c r="Q66" s="13">
        <v>3</v>
      </c>
      <c r="R66" s="13">
        <v>3</v>
      </c>
    </row>
    <row r="67" spans="1:18" s="12" customFormat="1" ht="14.25" customHeight="1" x14ac:dyDescent="0.2">
      <c r="A67" s="113"/>
      <c r="B67" s="40" t="s">
        <v>84</v>
      </c>
      <c r="C67" s="41" t="s">
        <v>225</v>
      </c>
      <c r="D67" s="13">
        <v>1</v>
      </c>
      <c r="E67" s="13">
        <v>1</v>
      </c>
      <c r="F67" s="13">
        <v>0</v>
      </c>
      <c r="G67" s="13">
        <v>0</v>
      </c>
      <c r="H67" s="13">
        <v>0</v>
      </c>
      <c r="I67" s="13">
        <v>1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</row>
    <row r="68" spans="1:18" s="12" customFormat="1" ht="14.25" customHeight="1" x14ac:dyDescent="0.2">
      <c r="A68" s="34" t="s">
        <v>129</v>
      </c>
      <c r="B68" s="35" t="s">
        <v>82</v>
      </c>
      <c r="C68" s="36" t="s">
        <v>0</v>
      </c>
      <c r="D68" s="37">
        <v>71</v>
      </c>
      <c r="E68" s="37">
        <v>32</v>
      </c>
      <c r="F68" s="37">
        <v>39</v>
      </c>
      <c r="G68" s="37">
        <v>4</v>
      </c>
      <c r="H68" s="37">
        <v>5</v>
      </c>
      <c r="I68" s="37">
        <v>4</v>
      </c>
      <c r="J68" s="37">
        <v>2</v>
      </c>
      <c r="K68" s="37">
        <v>4</v>
      </c>
      <c r="L68" s="37">
        <v>4</v>
      </c>
      <c r="M68" s="37">
        <v>13</v>
      </c>
      <c r="N68" s="37">
        <v>7</v>
      </c>
      <c r="O68" s="37">
        <v>5</v>
      </c>
      <c r="P68" s="37">
        <v>8</v>
      </c>
      <c r="Q68" s="37">
        <v>2</v>
      </c>
      <c r="R68" s="37">
        <v>13</v>
      </c>
    </row>
    <row r="69" spans="1:18" s="12" customFormat="1" ht="14.25" customHeight="1" x14ac:dyDescent="0.2">
      <c r="A69" s="112" t="s">
        <v>18</v>
      </c>
      <c r="B69" s="38" t="s">
        <v>83</v>
      </c>
      <c r="C69" s="39" t="s">
        <v>2</v>
      </c>
      <c r="D69" s="13">
        <v>71</v>
      </c>
      <c r="E69" s="13">
        <v>32</v>
      </c>
      <c r="F69" s="13">
        <v>39</v>
      </c>
      <c r="G69" s="13">
        <v>4</v>
      </c>
      <c r="H69" s="13">
        <v>5</v>
      </c>
      <c r="I69" s="13">
        <v>4</v>
      </c>
      <c r="J69" s="13">
        <v>2</v>
      </c>
      <c r="K69" s="13">
        <v>4</v>
      </c>
      <c r="L69" s="13">
        <v>4</v>
      </c>
      <c r="M69" s="13">
        <v>13</v>
      </c>
      <c r="N69" s="13">
        <v>7</v>
      </c>
      <c r="O69" s="13">
        <v>5</v>
      </c>
      <c r="P69" s="13">
        <v>8</v>
      </c>
      <c r="Q69" s="13">
        <v>2</v>
      </c>
      <c r="R69" s="13">
        <v>13</v>
      </c>
    </row>
    <row r="70" spans="1:18" s="12" customFormat="1" ht="14.25" customHeight="1" x14ac:dyDescent="0.2">
      <c r="A70" s="113"/>
      <c r="B70" s="40" t="s">
        <v>84</v>
      </c>
      <c r="C70" s="41" t="s">
        <v>225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</row>
    <row r="71" spans="1:18" s="12" customFormat="1" ht="14.25" customHeight="1" x14ac:dyDescent="0.2">
      <c r="A71" s="34" t="s">
        <v>130</v>
      </c>
      <c r="B71" s="35" t="s">
        <v>82</v>
      </c>
      <c r="C71" s="36" t="s">
        <v>0</v>
      </c>
      <c r="D71" s="37">
        <v>22</v>
      </c>
      <c r="E71" s="37">
        <v>13</v>
      </c>
      <c r="F71" s="37">
        <v>9</v>
      </c>
      <c r="G71" s="37">
        <v>3</v>
      </c>
      <c r="H71" s="37">
        <v>2</v>
      </c>
      <c r="I71" s="37">
        <v>1</v>
      </c>
      <c r="J71" s="37">
        <v>0</v>
      </c>
      <c r="K71" s="37">
        <v>3</v>
      </c>
      <c r="L71" s="37">
        <v>2</v>
      </c>
      <c r="M71" s="37">
        <v>1</v>
      </c>
      <c r="N71" s="37">
        <v>2</v>
      </c>
      <c r="O71" s="37">
        <v>3</v>
      </c>
      <c r="P71" s="37">
        <v>3</v>
      </c>
      <c r="Q71" s="37">
        <v>2</v>
      </c>
      <c r="R71" s="37">
        <v>0</v>
      </c>
    </row>
    <row r="72" spans="1:18" s="12" customFormat="1" ht="14.25" customHeight="1" x14ac:dyDescent="0.2">
      <c r="A72" s="112" t="s">
        <v>19</v>
      </c>
      <c r="B72" s="38" t="s">
        <v>83</v>
      </c>
      <c r="C72" s="39" t="s">
        <v>2</v>
      </c>
      <c r="D72" s="13">
        <v>22</v>
      </c>
      <c r="E72" s="13">
        <v>13</v>
      </c>
      <c r="F72" s="13">
        <v>9</v>
      </c>
      <c r="G72" s="13">
        <v>3</v>
      </c>
      <c r="H72" s="13">
        <v>2</v>
      </c>
      <c r="I72" s="13">
        <v>1</v>
      </c>
      <c r="J72" s="13">
        <v>0</v>
      </c>
      <c r="K72" s="13">
        <v>3</v>
      </c>
      <c r="L72" s="13">
        <v>2</v>
      </c>
      <c r="M72" s="13">
        <v>1</v>
      </c>
      <c r="N72" s="13">
        <v>2</v>
      </c>
      <c r="O72" s="13">
        <v>3</v>
      </c>
      <c r="P72" s="13">
        <v>3</v>
      </c>
      <c r="Q72" s="13">
        <v>2</v>
      </c>
      <c r="R72" s="13">
        <v>0</v>
      </c>
    </row>
    <row r="73" spans="1:18" s="12" customFormat="1" ht="14.25" customHeight="1" x14ac:dyDescent="0.2">
      <c r="A73" s="113"/>
      <c r="B73" s="40" t="s">
        <v>84</v>
      </c>
      <c r="C73" s="41" t="s">
        <v>225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</row>
    <row r="74" spans="1:18" s="12" customFormat="1" ht="14.25" customHeight="1" x14ac:dyDescent="0.2">
      <c r="A74" s="34" t="s">
        <v>131</v>
      </c>
      <c r="B74" s="35" t="s">
        <v>82</v>
      </c>
      <c r="C74" s="36" t="s">
        <v>0</v>
      </c>
      <c r="D74" s="37">
        <v>3</v>
      </c>
      <c r="E74" s="37">
        <v>0</v>
      </c>
      <c r="F74" s="37">
        <v>3</v>
      </c>
      <c r="G74" s="37">
        <v>0</v>
      </c>
      <c r="H74" s="37">
        <v>0</v>
      </c>
      <c r="I74" s="37">
        <v>0</v>
      </c>
      <c r="J74" s="37">
        <v>3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</row>
    <row r="75" spans="1:18" s="12" customFormat="1" ht="14.25" customHeight="1" x14ac:dyDescent="0.2">
      <c r="A75" s="112" t="s">
        <v>20</v>
      </c>
      <c r="B75" s="38" t="s">
        <v>83</v>
      </c>
      <c r="C75" s="39" t="s">
        <v>2</v>
      </c>
      <c r="D75" s="13">
        <v>3</v>
      </c>
      <c r="E75" s="13">
        <v>0</v>
      </c>
      <c r="F75" s="13">
        <v>3</v>
      </c>
      <c r="G75" s="13">
        <v>0</v>
      </c>
      <c r="H75" s="13">
        <v>0</v>
      </c>
      <c r="I75" s="13">
        <v>0</v>
      </c>
      <c r="J75" s="13">
        <v>3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</row>
    <row r="76" spans="1:18" s="12" customFormat="1" ht="14.25" customHeight="1" x14ac:dyDescent="0.2">
      <c r="A76" s="113"/>
      <c r="B76" s="40" t="s">
        <v>84</v>
      </c>
      <c r="C76" s="41" t="s">
        <v>225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</row>
    <row r="77" spans="1:18" ht="14.25" customHeight="1" x14ac:dyDescent="0.2">
      <c r="A77" s="4" t="s">
        <v>132</v>
      </c>
    </row>
    <row r="78" spans="1:18" ht="14.25" customHeight="1" x14ac:dyDescent="0.2">
      <c r="A78" s="4" t="s">
        <v>133</v>
      </c>
    </row>
    <row r="79" spans="1:18" ht="14.25" customHeight="1" x14ac:dyDescent="0.2">
      <c r="A79" s="44" t="s">
        <v>24</v>
      </c>
    </row>
    <row r="80" spans="1:18" ht="14.25" customHeight="1" x14ac:dyDescent="0.2">
      <c r="A80" s="4" t="s">
        <v>134</v>
      </c>
    </row>
  </sheetData>
  <mergeCells count="47">
    <mergeCell ref="A66:A67"/>
    <mergeCell ref="A69:A70"/>
    <mergeCell ref="A72:A73"/>
    <mergeCell ref="A75:A76"/>
    <mergeCell ref="A48:A49"/>
    <mergeCell ref="A51:A52"/>
    <mergeCell ref="A54:A55"/>
    <mergeCell ref="A57:A58"/>
    <mergeCell ref="A63:A64"/>
    <mergeCell ref="A60:A61"/>
    <mergeCell ref="A42:A43"/>
    <mergeCell ref="A45:A46"/>
    <mergeCell ref="A36:A37"/>
    <mergeCell ref="A39:A40"/>
    <mergeCell ref="A27:A28"/>
    <mergeCell ref="A30:A31"/>
    <mergeCell ref="A33:A34"/>
    <mergeCell ref="A18:A19"/>
    <mergeCell ref="A21:A22"/>
    <mergeCell ref="A24:A25"/>
    <mergeCell ref="A4:C7"/>
    <mergeCell ref="A15:A16"/>
    <mergeCell ref="A9:A10"/>
    <mergeCell ref="A12:A13"/>
    <mergeCell ref="D4:R4"/>
    <mergeCell ref="G6:G7"/>
    <mergeCell ref="M5:N5"/>
    <mergeCell ref="O5:P5"/>
    <mergeCell ref="Q5:R5"/>
    <mergeCell ref="D6:D7"/>
    <mergeCell ref="D5:F5"/>
    <mergeCell ref="G5:H5"/>
    <mergeCell ref="M6:M7"/>
    <mergeCell ref="I5:J5"/>
    <mergeCell ref="K5:L5"/>
    <mergeCell ref="R6:R7"/>
    <mergeCell ref="N6:N7"/>
    <mergeCell ref="K6:K7"/>
    <mergeCell ref="L6:L7"/>
    <mergeCell ref="E6:E7"/>
    <mergeCell ref="H6:H7"/>
    <mergeCell ref="O6:O7"/>
    <mergeCell ref="P6:P7"/>
    <mergeCell ref="Q6:Q7"/>
    <mergeCell ref="F6:F7"/>
    <mergeCell ref="I6:I7"/>
    <mergeCell ref="J6:J7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 alignWithMargins="0">
    <oddHeader>&amp;L&amp;"微軟正黑體,標準"&amp;16兒童及少年保護執行概況&amp;C&amp;"微軟正黑體,標準"&amp;16
&amp;R&amp;"微軟正黑體,標準"本表共&amp;N頁，第&amp;P頁</oddHeader>
  </headerFooter>
  <rowBreaks count="1" manualBreakCount="1">
    <brk id="43" max="17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具名範圍</vt:lpstr>
      </vt:variant>
      <vt:variant>
        <vt:i4>30</vt:i4>
      </vt:variant>
    </vt:vector>
  </HeadingPairs>
  <TitlesOfParts>
    <vt:vector size="46" baseType="lpstr">
      <vt:lpstr>歷年</vt:lpstr>
      <vt:lpstr>2025</vt:lpstr>
      <vt:lpstr>July-Dec., 2025</vt:lpstr>
      <vt:lpstr>Jan.-June, 2025</vt:lpstr>
      <vt:lpstr>2024</vt:lpstr>
      <vt:lpstr>July-Dec., 2024</vt:lpstr>
      <vt:lpstr>Jan.-June, 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'2015'!Print_Area</vt:lpstr>
      <vt:lpstr>'2016'!Print_Area</vt:lpstr>
      <vt:lpstr>'2017'!Print_Area</vt:lpstr>
      <vt:lpstr>'2018'!Print_Area</vt:lpstr>
      <vt:lpstr>'2019'!Print_Area</vt:lpstr>
      <vt:lpstr>'2020'!Print_Area</vt:lpstr>
      <vt:lpstr>'2021'!Print_Area</vt:lpstr>
      <vt:lpstr>'2022'!Print_Area</vt:lpstr>
      <vt:lpstr>'2023'!Print_Area</vt:lpstr>
      <vt:lpstr>'2024'!Print_Area</vt:lpstr>
      <vt:lpstr>'2025'!Print_Area</vt:lpstr>
      <vt:lpstr>'Jan.-June, 2024'!Print_Area</vt:lpstr>
      <vt:lpstr>'Jan.-June, 2025'!Print_Area</vt:lpstr>
      <vt:lpstr>'July-Dec., 2024'!Print_Area</vt:lpstr>
      <vt:lpstr>'July-Dec., 2025'!Print_Area</vt:lpstr>
      <vt:lpstr>'2015'!Print_Titles</vt:lpstr>
      <vt:lpstr>'2016'!Print_Titles</vt:lpstr>
      <vt:lpstr>'2017'!Print_Titles</vt:lpstr>
      <vt:lpstr>'2018'!Print_Titles</vt:lpstr>
      <vt:lpstr>'2019'!Print_Titles</vt:lpstr>
      <vt:lpstr>'2020'!Print_Titles</vt:lpstr>
      <vt:lpstr>'2021'!Print_Titles</vt:lpstr>
      <vt:lpstr>'2022'!Print_Titles</vt:lpstr>
      <vt:lpstr>'2023'!Print_Titles</vt:lpstr>
      <vt:lpstr>'2024'!Print_Titles</vt:lpstr>
      <vt:lpstr>'2025'!Print_Titles</vt:lpstr>
      <vt:lpstr>'Jan.-June, 2024'!Print_Titles</vt:lpstr>
      <vt:lpstr>'Jan.-June, 2025'!Print_Titles</vt:lpstr>
      <vt:lpstr>'July-Dec., 2024'!Print_Titles</vt:lpstr>
      <vt:lpstr>'July-Dec., 2025'!Print_Titles</vt:lpstr>
    </vt:vector>
  </TitlesOfParts>
  <Company>衛福部統計處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統計處黃素滿</dc:creator>
  <cp:lastModifiedBy>統計處李美鈴</cp:lastModifiedBy>
  <cp:lastPrinted>2014-02-27T04:31:58Z</cp:lastPrinted>
  <dcterms:created xsi:type="dcterms:W3CDTF">2001-10-30T06:38:08Z</dcterms:created>
  <dcterms:modified xsi:type="dcterms:W3CDTF">2026-03-17T03:06:28Z</dcterms:modified>
</cp:coreProperties>
</file>